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702996\Desktop\CMMs_Database\"/>
    </mc:Choice>
  </mc:AlternateContent>
  <xr:revisionPtr revIDLastSave="0" documentId="13_ncr:1_{942DCDD6-98F1-461D-9E63-7B73C3AE78D7}" xr6:coauthVersionLast="47" xr6:coauthVersionMax="47" xr10:uidLastSave="{00000000-0000-0000-0000-000000000000}"/>
  <bookViews>
    <workbookView xWindow="-108" yWindow="-108" windowWidth="23256" windowHeight="12576" xr2:uid="{9510BE94-8FA8-4835-B108-001DE43A4F81}"/>
  </bookViews>
  <sheets>
    <sheet name="Machine_Clean" sheetId="4" r:id="rId1"/>
    <sheet name="Data_Readiness" sheetId="2" r:id="rId2"/>
    <sheet name="Cleaning_Rules" sheetId="3" r:id="rId3"/>
    <sheet name="query (2)" sheetId="1" r:id="rId4"/>
  </sheets>
  <definedNames>
    <definedName name="query__2" localSheetId="3" hidden="1">'query (2)'!$A$1:$M$974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7" i="2" l="1"/>
  <c r="B66" i="2"/>
  <c r="B65" i="2"/>
  <c r="B64" i="2"/>
  <c r="B63" i="2"/>
  <c r="C62" i="2"/>
  <c r="B62" i="2"/>
  <c r="C61" i="2"/>
  <c r="B61" i="2"/>
  <c r="D58" i="2"/>
  <c r="C58" i="2"/>
  <c r="B58" i="2"/>
  <c r="D57" i="2"/>
  <c r="C57" i="2"/>
  <c r="B57" i="2"/>
  <c r="D56" i="2"/>
  <c r="C56" i="2"/>
  <c r="B56" i="2"/>
  <c r="D55" i="2"/>
  <c r="C55" i="2"/>
  <c r="B55" i="2"/>
  <c r="D54" i="2"/>
  <c r="C54" i="2"/>
  <c r="B54" i="2"/>
  <c r="Y974" i="4"/>
  <c r="X974" i="4"/>
  <c r="Y973" i="4"/>
  <c r="X973" i="4"/>
  <c r="Y972" i="4"/>
  <c r="X972" i="4"/>
  <c r="Y971" i="4"/>
  <c r="X971" i="4"/>
  <c r="Y970" i="4"/>
  <c r="X970" i="4"/>
  <c r="Y969" i="4"/>
  <c r="X969" i="4"/>
  <c r="Y968" i="4"/>
  <c r="X968" i="4"/>
  <c r="Y967" i="4"/>
  <c r="X967" i="4"/>
  <c r="Y966" i="4"/>
  <c r="X966" i="4"/>
  <c r="Y965" i="4"/>
  <c r="X965" i="4"/>
  <c r="Y964" i="4"/>
  <c r="X964" i="4"/>
  <c r="Y963" i="4"/>
  <c r="X963" i="4"/>
  <c r="Y962" i="4"/>
  <c r="X962" i="4"/>
  <c r="Y961" i="4"/>
  <c r="X961" i="4"/>
  <c r="Y960" i="4"/>
  <c r="X960" i="4"/>
  <c r="Y959" i="4"/>
  <c r="X959" i="4"/>
  <c r="Y958" i="4"/>
  <c r="X958" i="4"/>
  <c r="Y957" i="4"/>
  <c r="X957" i="4"/>
  <c r="Y956" i="4"/>
  <c r="X956" i="4"/>
  <c r="Y955" i="4"/>
  <c r="X955" i="4"/>
  <c r="Y954" i="4"/>
  <c r="X954" i="4"/>
  <c r="Y953" i="4"/>
  <c r="X953" i="4"/>
  <c r="Y952" i="4"/>
  <c r="X952" i="4"/>
  <c r="Y951" i="4"/>
  <c r="X951" i="4"/>
  <c r="Y950" i="4"/>
  <c r="X950" i="4"/>
  <c r="Y949" i="4"/>
  <c r="X949" i="4"/>
  <c r="Y948" i="4"/>
  <c r="X948" i="4"/>
  <c r="Y947" i="4"/>
  <c r="X947" i="4"/>
  <c r="Y946" i="4"/>
  <c r="X946" i="4"/>
  <c r="Y945" i="4"/>
  <c r="X945" i="4"/>
  <c r="Y944" i="4"/>
  <c r="X944" i="4"/>
  <c r="Y943" i="4"/>
  <c r="X943" i="4"/>
  <c r="Y942" i="4"/>
  <c r="X942" i="4"/>
  <c r="Y941" i="4"/>
  <c r="X941" i="4"/>
  <c r="Y940" i="4"/>
  <c r="X940" i="4"/>
  <c r="Y939" i="4"/>
  <c r="X939" i="4"/>
  <c r="Y938" i="4"/>
  <c r="X938" i="4"/>
  <c r="Y937" i="4"/>
  <c r="X937" i="4"/>
  <c r="Y936" i="4"/>
  <c r="X936" i="4"/>
  <c r="Y935" i="4"/>
  <c r="X935" i="4"/>
  <c r="Y934" i="4"/>
  <c r="X934" i="4"/>
  <c r="Y933" i="4"/>
  <c r="X933" i="4"/>
  <c r="Y932" i="4"/>
  <c r="X932" i="4"/>
  <c r="Y931" i="4"/>
  <c r="X931" i="4"/>
  <c r="Y930" i="4"/>
  <c r="X930" i="4"/>
  <c r="Y929" i="4"/>
  <c r="X929" i="4"/>
  <c r="Y928" i="4"/>
  <c r="X928" i="4"/>
  <c r="Y927" i="4"/>
  <c r="X927" i="4"/>
  <c r="Y926" i="4"/>
  <c r="X926" i="4"/>
  <c r="Y925" i="4"/>
  <c r="X925" i="4"/>
  <c r="Y924" i="4"/>
  <c r="X924" i="4"/>
  <c r="Y923" i="4"/>
  <c r="X923" i="4"/>
  <c r="Y922" i="4"/>
  <c r="X922" i="4"/>
  <c r="Y921" i="4"/>
  <c r="X921" i="4"/>
  <c r="Y920" i="4"/>
  <c r="X920" i="4"/>
  <c r="Y919" i="4"/>
  <c r="X919" i="4"/>
  <c r="Y918" i="4"/>
  <c r="X918" i="4"/>
  <c r="Y917" i="4"/>
  <c r="X917" i="4"/>
  <c r="Y916" i="4"/>
  <c r="X916" i="4"/>
  <c r="Y915" i="4"/>
  <c r="X915" i="4"/>
  <c r="Y914" i="4"/>
  <c r="X914" i="4"/>
  <c r="Y913" i="4"/>
  <c r="X913" i="4"/>
  <c r="Y912" i="4"/>
  <c r="X912" i="4"/>
  <c r="Y911" i="4"/>
  <c r="X911" i="4"/>
  <c r="Y910" i="4"/>
  <c r="X910" i="4"/>
  <c r="Y909" i="4"/>
  <c r="X909" i="4"/>
  <c r="Y908" i="4"/>
  <c r="X908" i="4"/>
  <c r="Y907" i="4"/>
  <c r="X907" i="4"/>
  <c r="Y906" i="4"/>
  <c r="X906" i="4"/>
  <c r="Y905" i="4"/>
  <c r="X905" i="4"/>
  <c r="Y904" i="4"/>
  <c r="X904" i="4"/>
  <c r="Y903" i="4"/>
  <c r="X903" i="4"/>
  <c r="Y902" i="4"/>
  <c r="X902" i="4"/>
  <c r="Y901" i="4"/>
  <c r="X901" i="4"/>
  <c r="Y900" i="4"/>
  <c r="X900" i="4"/>
  <c r="Y899" i="4"/>
  <c r="X899" i="4"/>
  <c r="Y898" i="4"/>
  <c r="X898" i="4"/>
  <c r="Y897" i="4"/>
  <c r="X897" i="4"/>
  <c r="Y896" i="4"/>
  <c r="X896" i="4"/>
  <c r="Y895" i="4"/>
  <c r="X895" i="4"/>
  <c r="Y894" i="4"/>
  <c r="X894" i="4"/>
  <c r="Y893" i="4"/>
  <c r="X893" i="4"/>
  <c r="Y892" i="4"/>
  <c r="X892" i="4"/>
  <c r="Y891" i="4"/>
  <c r="X891" i="4"/>
  <c r="Y890" i="4"/>
  <c r="X890" i="4"/>
  <c r="Y889" i="4"/>
  <c r="X889" i="4"/>
  <c r="Y888" i="4"/>
  <c r="X888" i="4"/>
  <c r="Y887" i="4"/>
  <c r="X887" i="4"/>
  <c r="Y886" i="4"/>
  <c r="X886" i="4"/>
  <c r="Y885" i="4"/>
  <c r="X885" i="4"/>
  <c r="Y884" i="4"/>
  <c r="X884" i="4"/>
  <c r="Y883" i="4"/>
  <c r="X883" i="4"/>
  <c r="Y882" i="4"/>
  <c r="X882" i="4"/>
  <c r="Y881" i="4"/>
  <c r="X881" i="4"/>
  <c r="Y880" i="4"/>
  <c r="X880" i="4"/>
  <c r="Y879" i="4"/>
  <c r="X879" i="4"/>
  <c r="Y878" i="4"/>
  <c r="X878" i="4"/>
  <c r="Y877" i="4"/>
  <c r="X877" i="4"/>
  <c r="Y876" i="4"/>
  <c r="X876" i="4"/>
  <c r="Y875" i="4"/>
  <c r="X875" i="4"/>
  <c r="Y874" i="4"/>
  <c r="X874" i="4"/>
  <c r="Y873" i="4"/>
  <c r="X873" i="4"/>
  <c r="Y872" i="4"/>
  <c r="X872" i="4"/>
  <c r="Y871" i="4"/>
  <c r="X871" i="4"/>
  <c r="Y870" i="4"/>
  <c r="X870" i="4"/>
  <c r="Y869" i="4"/>
  <c r="X869" i="4"/>
  <c r="Y868" i="4"/>
  <c r="X868" i="4"/>
  <c r="Y867" i="4"/>
  <c r="X867" i="4"/>
  <c r="Y866" i="4"/>
  <c r="X866" i="4"/>
  <c r="Y865" i="4"/>
  <c r="X865" i="4"/>
  <c r="Y864" i="4"/>
  <c r="X864" i="4"/>
  <c r="Y863" i="4"/>
  <c r="X863" i="4"/>
  <c r="Y862" i="4"/>
  <c r="X862" i="4"/>
  <c r="Y861" i="4"/>
  <c r="X861" i="4"/>
  <c r="Y860" i="4"/>
  <c r="X860" i="4"/>
  <c r="Y859" i="4"/>
  <c r="X859" i="4"/>
  <c r="Y858" i="4"/>
  <c r="X858" i="4"/>
  <c r="Y857" i="4"/>
  <c r="X857" i="4"/>
  <c r="Y856" i="4"/>
  <c r="X856" i="4"/>
  <c r="Y855" i="4"/>
  <c r="X855" i="4"/>
  <c r="Y854" i="4"/>
  <c r="X854" i="4"/>
  <c r="Y853" i="4"/>
  <c r="X853" i="4"/>
  <c r="Y852" i="4"/>
  <c r="X852" i="4"/>
  <c r="Y851" i="4"/>
  <c r="X851" i="4"/>
  <c r="Y850" i="4"/>
  <c r="X850" i="4"/>
  <c r="Y849" i="4"/>
  <c r="X849" i="4"/>
  <c r="Y848" i="4"/>
  <c r="X848" i="4"/>
  <c r="Y847" i="4"/>
  <c r="X847" i="4"/>
  <c r="Y846" i="4"/>
  <c r="X846" i="4"/>
  <c r="Y845" i="4"/>
  <c r="X845" i="4"/>
  <c r="Y844" i="4"/>
  <c r="X844" i="4"/>
  <c r="Y843" i="4"/>
  <c r="X843" i="4"/>
  <c r="Y842" i="4"/>
  <c r="X842" i="4"/>
  <c r="Y841" i="4"/>
  <c r="X841" i="4"/>
  <c r="Y840" i="4"/>
  <c r="X840" i="4"/>
  <c r="Y839" i="4"/>
  <c r="X839" i="4"/>
  <c r="Y838" i="4"/>
  <c r="X838" i="4"/>
  <c r="Y837" i="4"/>
  <c r="X837" i="4"/>
  <c r="Y836" i="4"/>
  <c r="X836" i="4"/>
  <c r="Y835" i="4"/>
  <c r="X835" i="4"/>
  <c r="Y834" i="4"/>
  <c r="X834" i="4"/>
  <c r="Y833" i="4"/>
  <c r="X833" i="4"/>
  <c r="Y832" i="4"/>
  <c r="X832" i="4"/>
  <c r="Y831" i="4"/>
  <c r="X831" i="4"/>
  <c r="Y830" i="4"/>
  <c r="X830" i="4"/>
  <c r="Y829" i="4"/>
  <c r="X829" i="4"/>
  <c r="Y828" i="4"/>
  <c r="X828" i="4"/>
  <c r="Y827" i="4"/>
  <c r="X827" i="4"/>
  <c r="Y826" i="4"/>
  <c r="X826" i="4"/>
  <c r="Y825" i="4"/>
  <c r="X825" i="4"/>
  <c r="Y824" i="4"/>
  <c r="X824" i="4"/>
  <c r="Y823" i="4"/>
  <c r="X823" i="4"/>
  <c r="Y822" i="4"/>
  <c r="X822" i="4"/>
  <c r="Y821" i="4"/>
  <c r="X821" i="4"/>
  <c r="Y820" i="4"/>
  <c r="X820" i="4"/>
  <c r="Y819" i="4"/>
  <c r="X819" i="4"/>
  <c r="Y818" i="4"/>
  <c r="X818" i="4"/>
  <c r="Y817" i="4"/>
  <c r="X817" i="4"/>
  <c r="Y816" i="4"/>
  <c r="X816" i="4"/>
  <c r="Y815" i="4"/>
  <c r="X815" i="4"/>
  <c r="Y814" i="4"/>
  <c r="X814" i="4"/>
  <c r="Y813" i="4"/>
  <c r="X813" i="4"/>
  <c r="Y812" i="4"/>
  <c r="X812" i="4"/>
  <c r="Y811" i="4"/>
  <c r="X811" i="4"/>
  <c r="Y810" i="4"/>
  <c r="X810" i="4"/>
  <c r="Y809" i="4"/>
  <c r="X809" i="4"/>
  <c r="Y808" i="4"/>
  <c r="X808" i="4"/>
  <c r="Y807" i="4"/>
  <c r="X807" i="4"/>
  <c r="Y806" i="4"/>
  <c r="X806" i="4"/>
  <c r="Y805" i="4"/>
  <c r="X805" i="4"/>
  <c r="Y804" i="4"/>
  <c r="X804" i="4"/>
  <c r="Y803" i="4"/>
  <c r="X803" i="4"/>
  <c r="Y802" i="4"/>
  <c r="X802" i="4"/>
  <c r="Y801" i="4"/>
  <c r="X801" i="4"/>
  <c r="Y800" i="4"/>
  <c r="X800" i="4"/>
  <c r="Y799" i="4"/>
  <c r="X799" i="4"/>
  <c r="Y798" i="4"/>
  <c r="X798" i="4"/>
  <c r="Y797" i="4"/>
  <c r="X797" i="4"/>
  <c r="Y796" i="4"/>
  <c r="X796" i="4"/>
  <c r="Y795" i="4"/>
  <c r="X795" i="4"/>
  <c r="Y794" i="4"/>
  <c r="X794" i="4"/>
  <c r="Y793" i="4"/>
  <c r="X793" i="4"/>
  <c r="Y792" i="4"/>
  <c r="X792" i="4"/>
  <c r="Y791" i="4"/>
  <c r="X791" i="4"/>
  <c r="Y790" i="4"/>
  <c r="X790" i="4"/>
  <c r="Y789" i="4"/>
  <c r="X789" i="4"/>
  <c r="Y788" i="4"/>
  <c r="X788" i="4"/>
  <c r="Y787" i="4"/>
  <c r="X787" i="4"/>
  <c r="Y786" i="4"/>
  <c r="X786" i="4"/>
  <c r="Y785" i="4"/>
  <c r="X785" i="4"/>
  <c r="Y784" i="4"/>
  <c r="X784" i="4"/>
  <c r="Y783" i="4"/>
  <c r="X783" i="4"/>
  <c r="Y782" i="4"/>
  <c r="X782" i="4"/>
  <c r="Y781" i="4"/>
  <c r="X781" i="4"/>
  <c r="Y780" i="4"/>
  <c r="X780" i="4"/>
  <c r="Y779" i="4"/>
  <c r="X779" i="4"/>
  <c r="Y778" i="4"/>
  <c r="X778" i="4"/>
  <c r="Y777" i="4"/>
  <c r="X777" i="4"/>
  <c r="Y776" i="4"/>
  <c r="X776" i="4"/>
  <c r="Y775" i="4"/>
  <c r="X775" i="4"/>
  <c r="Y774" i="4"/>
  <c r="X774" i="4"/>
  <c r="Y773" i="4"/>
  <c r="X773" i="4"/>
  <c r="Y772" i="4"/>
  <c r="X772" i="4"/>
  <c r="Y771" i="4"/>
  <c r="X771" i="4"/>
  <c r="Y770" i="4"/>
  <c r="X770" i="4"/>
  <c r="Y769" i="4"/>
  <c r="X769" i="4"/>
  <c r="Y768" i="4"/>
  <c r="X768" i="4"/>
  <c r="Y767" i="4"/>
  <c r="X767" i="4"/>
  <c r="Y766" i="4"/>
  <c r="X766" i="4"/>
  <c r="Y765" i="4"/>
  <c r="X765" i="4"/>
  <c r="Y764" i="4"/>
  <c r="X764" i="4"/>
  <c r="Y763" i="4"/>
  <c r="X763" i="4"/>
  <c r="Y762" i="4"/>
  <c r="X762" i="4"/>
  <c r="Y761" i="4"/>
  <c r="X761" i="4"/>
  <c r="Y760" i="4"/>
  <c r="X760" i="4"/>
  <c r="Y759" i="4"/>
  <c r="X759" i="4"/>
  <c r="Y758" i="4"/>
  <c r="X758" i="4"/>
  <c r="Y757" i="4"/>
  <c r="X757" i="4"/>
  <c r="Y756" i="4"/>
  <c r="X756" i="4"/>
  <c r="Y755" i="4"/>
  <c r="X755" i="4"/>
  <c r="Y754" i="4"/>
  <c r="X754" i="4"/>
  <c r="Y753" i="4"/>
  <c r="X753" i="4"/>
  <c r="Y752" i="4"/>
  <c r="X752" i="4"/>
  <c r="Y751" i="4"/>
  <c r="X751" i="4"/>
  <c r="Y750" i="4"/>
  <c r="X750" i="4"/>
  <c r="Y749" i="4"/>
  <c r="X749" i="4"/>
  <c r="Y748" i="4"/>
  <c r="X748" i="4"/>
  <c r="Y747" i="4"/>
  <c r="X747" i="4"/>
  <c r="Y746" i="4"/>
  <c r="X746" i="4"/>
  <c r="Y745" i="4"/>
  <c r="X745" i="4"/>
  <c r="Y744" i="4"/>
  <c r="X744" i="4"/>
  <c r="Y743" i="4"/>
  <c r="X743" i="4"/>
  <c r="Y742" i="4"/>
  <c r="X742" i="4"/>
  <c r="Y741" i="4"/>
  <c r="X741" i="4"/>
  <c r="Y740" i="4"/>
  <c r="X740" i="4"/>
  <c r="Y739" i="4"/>
  <c r="X739" i="4"/>
  <c r="Y738" i="4"/>
  <c r="X738" i="4"/>
  <c r="Y737" i="4"/>
  <c r="X737" i="4"/>
  <c r="Y736" i="4"/>
  <c r="X736" i="4"/>
  <c r="Y735" i="4"/>
  <c r="X735" i="4"/>
  <c r="Y734" i="4"/>
  <c r="X734" i="4"/>
  <c r="Y733" i="4"/>
  <c r="X733" i="4"/>
  <c r="Y732" i="4"/>
  <c r="X732" i="4"/>
  <c r="Y731" i="4"/>
  <c r="X731" i="4"/>
  <c r="Y730" i="4"/>
  <c r="X730" i="4"/>
  <c r="Y729" i="4"/>
  <c r="X729" i="4"/>
  <c r="Y728" i="4"/>
  <c r="X728" i="4"/>
  <c r="Y727" i="4"/>
  <c r="X727" i="4"/>
  <c r="Y726" i="4"/>
  <c r="X726" i="4"/>
  <c r="Y725" i="4"/>
  <c r="X725" i="4"/>
  <c r="Y724" i="4"/>
  <c r="X724" i="4"/>
  <c r="Y723" i="4"/>
  <c r="X723" i="4"/>
  <c r="Y722" i="4"/>
  <c r="X722" i="4"/>
  <c r="Y721" i="4"/>
  <c r="X721" i="4"/>
  <c r="Y720" i="4"/>
  <c r="X720" i="4"/>
  <c r="Y719" i="4"/>
  <c r="X719" i="4"/>
  <c r="Y718" i="4"/>
  <c r="X718" i="4"/>
  <c r="Y717" i="4"/>
  <c r="X717" i="4"/>
  <c r="Y716" i="4"/>
  <c r="X716" i="4"/>
  <c r="Y715" i="4"/>
  <c r="X715" i="4"/>
  <c r="Y714" i="4"/>
  <c r="X714" i="4"/>
  <c r="Y713" i="4"/>
  <c r="X713" i="4"/>
  <c r="Y712" i="4"/>
  <c r="X712" i="4"/>
  <c r="Y711" i="4"/>
  <c r="X711" i="4"/>
  <c r="Y710" i="4"/>
  <c r="X710" i="4"/>
  <c r="Y709" i="4"/>
  <c r="X709" i="4"/>
  <c r="Y708" i="4"/>
  <c r="X708" i="4"/>
  <c r="Y707" i="4"/>
  <c r="X707" i="4"/>
  <c r="Y706" i="4"/>
  <c r="X706" i="4"/>
  <c r="Y705" i="4"/>
  <c r="X705" i="4"/>
  <c r="Y704" i="4"/>
  <c r="X704" i="4"/>
  <c r="Y703" i="4"/>
  <c r="X703" i="4"/>
  <c r="Y702" i="4"/>
  <c r="X702" i="4"/>
  <c r="Y701" i="4"/>
  <c r="X701" i="4"/>
  <c r="Y700" i="4"/>
  <c r="X700" i="4"/>
  <c r="Y699" i="4"/>
  <c r="X699" i="4"/>
  <c r="Y698" i="4"/>
  <c r="X698" i="4"/>
  <c r="Y697" i="4"/>
  <c r="X697" i="4"/>
  <c r="Y696" i="4"/>
  <c r="X696" i="4"/>
  <c r="Y695" i="4"/>
  <c r="X695" i="4"/>
  <c r="Y694" i="4"/>
  <c r="X694" i="4"/>
  <c r="Y693" i="4"/>
  <c r="X693" i="4"/>
  <c r="Y692" i="4"/>
  <c r="X692" i="4"/>
  <c r="Y691" i="4"/>
  <c r="X691" i="4"/>
  <c r="Y690" i="4"/>
  <c r="X690" i="4"/>
  <c r="Y689" i="4"/>
  <c r="X689" i="4"/>
  <c r="Y688" i="4"/>
  <c r="X688" i="4"/>
  <c r="Y687" i="4"/>
  <c r="X687" i="4"/>
  <c r="Y686" i="4"/>
  <c r="X686" i="4"/>
  <c r="Y685" i="4"/>
  <c r="X685" i="4"/>
  <c r="Y684" i="4"/>
  <c r="X684" i="4"/>
  <c r="Y683" i="4"/>
  <c r="X683" i="4"/>
  <c r="Y682" i="4"/>
  <c r="X682" i="4"/>
  <c r="Y681" i="4"/>
  <c r="X681" i="4"/>
  <c r="Y680" i="4"/>
  <c r="X680" i="4"/>
  <c r="Y679" i="4"/>
  <c r="X679" i="4"/>
  <c r="Y678" i="4"/>
  <c r="X678" i="4"/>
  <c r="Y677" i="4"/>
  <c r="X677" i="4"/>
  <c r="Y676" i="4"/>
  <c r="X676" i="4"/>
  <c r="Y675" i="4"/>
  <c r="X675" i="4"/>
  <c r="Y674" i="4"/>
  <c r="X674" i="4"/>
  <c r="Y673" i="4"/>
  <c r="X673" i="4"/>
  <c r="Y672" i="4"/>
  <c r="X672" i="4"/>
  <c r="Y671" i="4"/>
  <c r="X671" i="4"/>
  <c r="Y670" i="4"/>
  <c r="X670" i="4"/>
  <c r="Y669" i="4"/>
  <c r="X669" i="4"/>
  <c r="Y668" i="4"/>
  <c r="X668" i="4"/>
  <c r="Y667" i="4"/>
  <c r="X667" i="4"/>
  <c r="Y666" i="4"/>
  <c r="X666" i="4"/>
  <c r="Y665" i="4"/>
  <c r="X665" i="4"/>
  <c r="Y664" i="4"/>
  <c r="X664" i="4"/>
  <c r="Y663" i="4"/>
  <c r="X663" i="4"/>
  <c r="Y662" i="4"/>
  <c r="X662" i="4"/>
  <c r="Y661" i="4"/>
  <c r="X661" i="4"/>
  <c r="Y660" i="4"/>
  <c r="X660" i="4"/>
  <c r="Y659" i="4"/>
  <c r="X659" i="4"/>
  <c r="Y658" i="4"/>
  <c r="X658" i="4"/>
  <c r="Y657" i="4"/>
  <c r="X657" i="4"/>
  <c r="Y656" i="4"/>
  <c r="X656" i="4"/>
  <c r="Y655" i="4"/>
  <c r="X655" i="4"/>
  <c r="Y654" i="4"/>
  <c r="X654" i="4"/>
  <c r="Y653" i="4"/>
  <c r="X653" i="4"/>
  <c r="Y652" i="4"/>
  <c r="X652" i="4"/>
  <c r="Y651" i="4"/>
  <c r="X651" i="4"/>
  <c r="Y650" i="4"/>
  <c r="X650" i="4"/>
  <c r="Y649" i="4"/>
  <c r="X649" i="4"/>
  <c r="Y648" i="4"/>
  <c r="X648" i="4"/>
  <c r="Y647" i="4"/>
  <c r="X647" i="4"/>
  <c r="Y646" i="4"/>
  <c r="X646" i="4"/>
  <c r="Y645" i="4"/>
  <c r="X645" i="4"/>
  <c r="Y644" i="4"/>
  <c r="X644" i="4"/>
  <c r="Y643" i="4"/>
  <c r="X643" i="4"/>
  <c r="Y642" i="4"/>
  <c r="X642" i="4"/>
  <c r="Y641" i="4"/>
  <c r="X641" i="4"/>
  <c r="Y640" i="4"/>
  <c r="X640" i="4"/>
  <c r="Y639" i="4"/>
  <c r="X639" i="4"/>
  <c r="Y638" i="4"/>
  <c r="X638" i="4"/>
  <c r="Y637" i="4"/>
  <c r="X637" i="4"/>
  <c r="Y636" i="4"/>
  <c r="X636" i="4"/>
  <c r="Y635" i="4"/>
  <c r="X635" i="4"/>
  <c r="Y634" i="4"/>
  <c r="X634" i="4"/>
  <c r="Y633" i="4"/>
  <c r="X633" i="4"/>
  <c r="Y632" i="4"/>
  <c r="X632" i="4"/>
  <c r="Y631" i="4"/>
  <c r="X631" i="4"/>
  <c r="Y630" i="4"/>
  <c r="X630" i="4"/>
  <c r="Y629" i="4"/>
  <c r="X629" i="4"/>
  <c r="Y628" i="4"/>
  <c r="X628" i="4"/>
  <c r="Y627" i="4"/>
  <c r="X627" i="4"/>
  <c r="Y626" i="4"/>
  <c r="X626" i="4"/>
  <c r="Y625" i="4"/>
  <c r="X625" i="4"/>
  <c r="Y624" i="4"/>
  <c r="X624" i="4"/>
  <c r="Y623" i="4"/>
  <c r="X623" i="4"/>
  <c r="Y622" i="4"/>
  <c r="X622" i="4"/>
  <c r="Y621" i="4"/>
  <c r="X621" i="4"/>
  <c r="Y620" i="4"/>
  <c r="X620" i="4"/>
  <c r="Y619" i="4"/>
  <c r="X619" i="4"/>
  <c r="Y618" i="4"/>
  <c r="X618" i="4"/>
  <c r="Y617" i="4"/>
  <c r="X617" i="4"/>
  <c r="Y616" i="4"/>
  <c r="X616" i="4"/>
  <c r="Y615" i="4"/>
  <c r="X615" i="4"/>
  <c r="Y614" i="4"/>
  <c r="X614" i="4"/>
  <c r="Y613" i="4"/>
  <c r="X613" i="4"/>
  <c r="Y612" i="4"/>
  <c r="X612" i="4"/>
  <c r="Y611" i="4"/>
  <c r="X611" i="4"/>
  <c r="Y610" i="4"/>
  <c r="X610" i="4"/>
  <c r="Y609" i="4"/>
  <c r="X609" i="4"/>
  <c r="Y608" i="4"/>
  <c r="X608" i="4"/>
  <c r="Y607" i="4"/>
  <c r="X607" i="4"/>
  <c r="Y606" i="4"/>
  <c r="X606" i="4"/>
  <c r="Y605" i="4"/>
  <c r="X605" i="4"/>
  <c r="Y604" i="4"/>
  <c r="X604" i="4"/>
  <c r="Y603" i="4"/>
  <c r="X603" i="4"/>
  <c r="Y602" i="4"/>
  <c r="X602" i="4"/>
  <c r="Y601" i="4"/>
  <c r="X601" i="4"/>
  <c r="Y600" i="4"/>
  <c r="X600" i="4"/>
  <c r="Y599" i="4"/>
  <c r="X599" i="4"/>
  <c r="Y598" i="4"/>
  <c r="X598" i="4"/>
  <c r="Y597" i="4"/>
  <c r="X597" i="4"/>
  <c r="Y596" i="4"/>
  <c r="X596" i="4"/>
  <c r="Y595" i="4"/>
  <c r="X595" i="4"/>
  <c r="Y594" i="4"/>
  <c r="X594" i="4"/>
  <c r="Y593" i="4"/>
  <c r="X593" i="4"/>
  <c r="Y592" i="4"/>
  <c r="X592" i="4"/>
  <c r="Y591" i="4"/>
  <c r="X591" i="4"/>
  <c r="Y590" i="4"/>
  <c r="X590" i="4"/>
  <c r="Y589" i="4"/>
  <c r="X589" i="4"/>
  <c r="Y588" i="4"/>
  <c r="X588" i="4"/>
  <c r="Y587" i="4"/>
  <c r="X587" i="4"/>
  <c r="Y586" i="4"/>
  <c r="X586" i="4"/>
  <c r="Y585" i="4"/>
  <c r="X585" i="4"/>
  <c r="Y584" i="4"/>
  <c r="X584" i="4"/>
  <c r="Y583" i="4"/>
  <c r="X583" i="4"/>
  <c r="Y582" i="4"/>
  <c r="X582" i="4"/>
  <c r="Y581" i="4"/>
  <c r="X581" i="4"/>
  <c r="Y580" i="4"/>
  <c r="X580" i="4"/>
  <c r="Y579" i="4"/>
  <c r="X579" i="4"/>
  <c r="Y578" i="4"/>
  <c r="X578" i="4"/>
  <c r="Y577" i="4"/>
  <c r="X577" i="4"/>
  <c r="Y576" i="4"/>
  <c r="X576" i="4"/>
  <c r="Y575" i="4"/>
  <c r="X575" i="4"/>
  <c r="Y574" i="4"/>
  <c r="X574" i="4"/>
  <c r="Y573" i="4"/>
  <c r="X573" i="4"/>
  <c r="Y572" i="4"/>
  <c r="X572" i="4"/>
  <c r="Y571" i="4"/>
  <c r="X571" i="4"/>
  <c r="Y570" i="4"/>
  <c r="X570" i="4"/>
  <c r="Y569" i="4"/>
  <c r="X569" i="4"/>
  <c r="Y568" i="4"/>
  <c r="X568" i="4"/>
  <c r="Y567" i="4"/>
  <c r="X567" i="4"/>
  <c r="Y566" i="4"/>
  <c r="X566" i="4"/>
  <c r="Y565" i="4"/>
  <c r="X565" i="4"/>
  <c r="Y564" i="4"/>
  <c r="X564" i="4"/>
  <c r="Y563" i="4"/>
  <c r="X563" i="4"/>
  <c r="Y562" i="4"/>
  <c r="X562" i="4"/>
  <c r="Y561" i="4"/>
  <c r="X561" i="4"/>
  <c r="Y560" i="4"/>
  <c r="X560" i="4"/>
  <c r="Y559" i="4"/>
  <c r="X559" i="4"/>
  <c r="Y558" i="4"/>
  <c r="X558" i="4"/>
  <c r="Y557" i="4"/>
  <c r="X557" i="4"/>
  <c r="Y556" i="4"/>
  <c r="X556" i="4"/>
  <c r="Y555" i="4"/>
  <c r="X555" i="4"/>
  <c r="Y554" i="4"/>
  <c r="X554" i="4"/>
  <c r="Y553" i="4"/>
  <c r="X553" i="4"/>
  <c r="Y552" i="4"/>
  <c r="X552" i="4"/>
  <c r="Y551" i="4"/>
  <c r="X551" i="4"/>
  <c r="Y550" i="4"/>
  <c r="X550" i="4"/>
  <c r="Y549" i="4"/>
  <c r="X549" i="4"/>
  <c r="Y548" i="4"/>
  <c r="X548" i="4"/>
  <c r="Y547" i="4"/>
  <c r="X547" i="4"/>
  <c r="Y546" i="4"/>
  <c r="X546" i="4"/>
  <c r="Y545" i="4"/>
  <c r="X545" i="4"/>
  <c r="Y544" i="4"/>
  <c r="X544" i="4"/>
  <c r="Y543" i="4"/>
  <c r="X543" i="4"/>
  <c r="Y542" i="4"/>
  <c r="X542" i="4"/>
  <c r="Y541" i="4"/>
  <c r="X541" i="4"/>
  <c r="Y540" i="4"/>
  <c r="X540" i="4"/>
  <c r="Y539" i="4"/>
  <c r="X539" i="4"/>
  <c r="Y538" i="4"/>
  <c r="X538" i="4"/>
  <c r="Y537" i="4"/>
  <c r="X537" i="4"/>
  <c r="Y536" i="4"/>
  <c r="X536" i="4"/>
  <c r="Y535" i="4"/>
  <c r="X535" i="4"/>
  <c r="Y534" i="4"/>
  <c r="X534" i="4"/>
  <c r="Y533" i="4"/>
  <c r="X533" i="4"/>
  <c r="Y532" i="4"/>
  <c r="X532" i="4"/>
  <c r="Y531" i="4"/>
  <c r="X531" i="4"/>
  <c r="Y530" i="4"/>
  <c r="X530" i="4"/>
  <c r="Y529" i="4"/>
  <c r="X529" i="4"/>
  <c r="Y528" i="4"/>
  <c r="X528" i="4"/>
  <c r="Y527" i="4"/>
  <c r="X527" i="4"/>
  <c r="Y526" i="4"/>
  <c r="X526" i="4"/>
  <c r="Y525" i="4"/>
  <c r="X525" i="4"/>
  <c r="Y524" i="4"/>
  <c r="X524" i="4"/>
  <c r="Y523" i="4"/>
  <c r="X523" i="4"/>
  <c r="Y522" i="4"/>
  <c r="X522" i="4"/>
  <c r="Y521" i="4"/>
  <c r="X521" i="4"/>
  <c r="Y520" i="4"/>
  <c r="X520" i="4"/>
  <c r="Y519" i="4"/>
  <c r="X519" i="4"/>
  <c r="Y518" i="4"/>
  <c r="X518" i="4"/>
  <c r="Y517" i="4"/>
  <c r="X517" i="4"/>
  <c r="Y516" i="4"/>
  <c r="X516" i="4"/>
  <c r="Y515" i="4"/>
  <c r="X515" i="4"/>
  <c r="Y514" i="4"/>
  <c r="X514" i="4"/>
  <c r="Y513" i="4"/>
  <c r="X513" i="4"/>
  <c r="Y512" i="4"/>
  <c r="X512" i="4"/>
  <c r="Y511" i="4"/>
  <c r="X511" i="4"/>
  <c r="Y510" i="4"/>
  <c r="X510" i="4"/>
  <c r="Y509" i="4"/>
  <c r="X509" i="4"/>
  <c r="Y508" i="4"/>
  <c r="X508" i="4"/>
  <c r="Y507" i="4"/>
  <c r="X507" i="4"/>
  <c r="Y506" i="4"/>
  <c r="X506" i="4"/>
  <c r="Y505" i="4"/>
  <c r="X505" i="4"/>
  <c r="Y504" i="4"/>
  <c r="X504" i="4"/>
  <c r="Y503" i="4"/>
  <c r="X503" i="4"/>
  <c r="Y502" i="4"/>
  <c r="X502" i="4"/>
  <c r="Y501" i="4"/>
  <c r="X501" i="4"/>
  <c r="Y500" i="4"/>
  <c r="X500" i="4"/>
  <c r="Y499" i="4"/>
  <c r="X499" i="4"/>
  <c r="Y498" i="4"/>
  <c r="X498" i="4"/>
  <c r="Y497" i="4"/>
  <c r="X497" i="4"/>
  <c r="Y496" i="4"/>
  <c r="X496" i="4"/>
  <c r="Y495" i="4"/>
  <c r="X495" i="4"/>
  <c r="Y494" i="4"/>
  <c r="X494" i="4"/>
  <c r="Y493" i="4"/>
  <c r="X493" i="4"/>
  <c r="Y492" i="4"/>
  <c r="X492" i="4"/>
  <c r="Y491" i="4"/>
  <c r="X491" i="4"/>
  <c r="Y490" i="4"/>
  <c r="X490" i="4"/>
  <c r="Y489" i="4"/>
  <c r="X489" i="4"/>
  <c r="Y488" i="4"/>
  <c r="X488" i="4"/>
  <c r="Y487" i="4"/>
  <c r="X487" i="4"/>
  <c r="Y486" i="4"/>
  <c r="X486" i="4"/>
  <c r="Y485" i="4"/>
  <c r="X485" i="4"/>
  <c r="Y484" i="4"/>
  <c r="X484" i="4"/>
  <c r="Y483" i="4"/>
  <c r="X483" i="4"/>
  <c r="Y482" i="4"/>
  <c r="X482" i="4"/>
  <c r="Y481" i="4"/>
  <c r="X481" i="4"/>
  <c r="Y480" i="4"/>
  <c r="X480" i="4"/>
  <c r="Y479" i="4"/>
  <c r="X479" i="4"/>
  <c r="Y478" i="4"/>
  <c r="X478" i="4"/>
  <c r="Y477" i="4"/>
  <c r="X477" i="4"/>
  <c r="Y476" i="4"/>
  <c r="X476" i="4"/>
  <c r="Y475" i="4"/>
  <c r="X475" i="4"/>
  <c r="Y474" i="4"/>
  <c r="X474" i="4"/>
  <c r="Y473" i="4"/>
  <c r="X473" i="4"/>
  <c r="Y472" i="4"/>
  <c r="X472" i="4"/>
  <c r="Y471" i="4"/>
  <c r="X471" i="4"/>
  <c r="Y470" i="4"/>
  <c r="X470" i="4"/>
  <c r="Y469" i="4"/>
  <c r="X469" i="4"/>
  <c r="Y468" i="4"/>
  <c r="X468" i="4"/>
  <c r="Y467" i="4"/>
  <c r="X467" i="4"/>
  <c r="Y466" i="4"/>
  <c r="X466" i="4"/>
  <c r="Y465" i="4"/>
  <c r="X465" i="4"/>
  <c r="Y464" i="4"/>
  <c r="X464" i="4"/>
  <c r="Y463" i="4"/>
  <c r="X463" i="4"/>
  <c r="Y462" i="4"/>
  <c r="X462" i="4"/>
  <c r="Y461" i="4"/>
  <c r="X461" i="4"/>
  <c r="Y460" i="4"/>
  <c r="X460" i="4"/>
  <c r="Y459" i="4"/>
  <c r="X459" i="4"/>
  <c r="Y458" i="4"/>
  <c r="X458" i="4"/>
  <c r="Y457" i="4"/>
  <c r="X457" i="4"/>
  <c r="Y456" i="4"/>
  <c r="X456" i="4"/>
  <c r="Y455" i="4"/>
  <c r="X455" i="4"/>
  <c r="Y454" i="4"/>
  <c r="X454" i="4"/>
  <c r="Y453" i="4"/>
  <c r="X453" i="4"/>
  <c r="Y452" i="4"/>
  <c r="X452" i="4"/>
  <c r="Y451" i="4"/>
  <c r="X451" i="4"/>
  <c r="Y450" i="4"/>
  <c r="X450" i="4"/>
  <c r="Y449" i="4"/>
  <c r="X449" i="4"/>
  <c r="Y448" i="4"/>
  <c r="X448" i="4"/>
  <c r="Y447" i="4"/>
  <c r="X447" i="4"/>
  <c r="Y446" i="4"/>
  <c r="X446" i="4"/>
  <c r="Y445" i="4"/>
  <c r="X445" i="4"/>
  <c r="Y444" i="4"/>
  <c r="X444" i="4"/>
  <c r="Y443" i="4"/>
  <c r="X443" i="4"/>
  <c r="Y442" i="4"/>
  <c r="X442" i="4"/>
  <c r="Y441" i="4"/>
  <c r="X441" i="4"/>
  <c r="Y440" i="4"/>
  <c r="X440" i="4"/>
  <c r="Y439" i="4"/>
  <c r="X439" i="4"/>
  <c r="Y438" i="4"/>
  <c r="X438" i="4"/>
  <c r="Y437" i="4"/>
  <c r="X437" i="4"/>
  <c r="Y436" i="4"/>
  <c r="X436" i="4"/>
  <c r="Y435" i="4"/>
  <c r="X435" i="4"/>
  <c r="Y434" i="4"/>
  <c r="X434" i="4"/>
  <c r="Y433" i="4"/>
  <c r="X433" i="4"/>
  <c r="Y432" i="4"/>
  <c r="X432" i="4"/>
  <c r="Y431" i="4"/>
  <c r="X431" i="4"/>
  <c r="Y430" i="4"/>
  <c r="X430" i="4"/>
  <c r="Y429" i="4"/>
  <c r="X429" i="4"/>
  <c r="Y428" i="4"/>
  <c r="X428" i="4"/>
  <c r="Y427" i="4"/>
  <c r="X427" i="4"/>
  <c r="Y426" i="4"/>
  <c r="X426" i="4"/>
  <c r="Y425" i="4"/>
  <c r="X425" i="4"/>
  <c r="Y424" i="4"/>
  <c r="X424" i="4"/>
  <c r="Y423" i="4"/>
  <c r="X423" i="4"/>
  <c r="Y422" i="4"/>
  <c r="X422" i="4"/>
  <c r="Y421" i="4"/>
  <c r="X421" i="4"/>
  <c r="Y420" i="4"/>
  <c r="X420" i="4"/>
  <c r="Y419" i="4"/>
  <c r="X419" i="4"/>
  <c r="Y418" i="4"/>
  <c r="X418" i="4"/>
  <c r="Y417" i="4"/>
  <c r="X417" i="4"/>
  <c r="Y416" i="4"/>
  <c r="X416" i="4"/>
  <c r="Y415" i="4"/>
  <c r="X415" i="4"/>
  <c r="Y414" i="4"/>
  <c r="X414" i="4"/>
  <c r="Y413" i="4"/>
  <c r="X413" i="4"/>
  <c r="Y412" i="4"/>
  <c r="X412" i="4"/>
  <c r="Y411" i="4"/>
  <c r="X411" i="4"/>
  <c r="Y410" i="4"/>
  <c r="X410" i="4"/>
  <c r="Y409" i="4"/>
  <c r="X409" i="4"/>
  <c r="Y408" i="4"/>
  <c r="X408" i="4"/>
  <c r="Y407" i="4"/>
  <c r="X407" i="4"/>
  <c r="Y406" i="4"/>
  <c r="X406" i="4"/>
  <c r="Y405" i="4"/>
  <c r="X405" i="4"/>
  <c r="Y404" i="4"/>
  <c r="X404" i="4"/>
  <c r="Y403" i="4"/>
  <c r="X403" i="4"/>
  <c r="Y402" i="4"/>
  <c r="X402" i="4"/>
  <c r="Y401" i="4"/>
  <c r="X401" i="4"/>
  <c r="Y400" i="4"/>
  <c r="X400" i="4"/>
  <c r="Y399" i="4"/>
  <c r="X399" i="4"/>
  <c r="Y398" i="4"/>
  <c r="X398" i="4"/>
  <c r="Y397" i="4"/>
  <c r="X397" i="4"/>
  <c r="Y396" i="4"/>
  <c r="X396" i="4"/>
  <c r="Y395" i="4"/>
  <c r="X395" i="4"/>
  <c r="Y394" i="4"/>
  <c r="X394" i="4"/>
  <c r="Y393" i="4"/>
  <c r="X393" i="4"/>
  <c r="Y392" i="4"/>
  <c r="X392" i="4"/>
  <c r="Y391" i="4"/>
  <c r="X391" i="4"/>
  <c r="Y390" i="4"/>
  <c r="X390" i="4"/>
  <c r="Y389" i="4"/>
  <c r="X389" i="4"/>
  <c r="Y388" i="4"/>
  <c r="X388" i="4"/>
  <c r="Y387" i="4"/>
  <c r="X387" i="4"/>
  <c r="Y386" i="4"/>
  <c r="X386" i="4"/>
  <c r="Y385" i="4"/>
  <c r="X385" i="4"/>
  <c r="Y384" i="4"/>
  <c r="X384" i="4"/>
  <c r="Y383" i="4"/>
  <c r="X383" i="4"/>
  <c r="Y382" i="4"/>
  <c r="X382" i="4"/>
  <c r="Y381" i="4"/>
  <c r="X381" i="4"/>
  <c r="Y380" i="4"/>
  <c r="X380" i="4"/>
  <c r="Y379" i="4"/>
  <c r="X379" i="4"/>
  <c r="Y378" i="4"/>
  <c r="X378" i="4"/>
  <c r="Y377" i="4"/>
  <c r="X377" i="4"/>
  <c r="Y376" i="4"/>
  <c r="X376" i="4"/>
  <c r="Y375" i="4"/>
  <c r="X375" i="4"/>
  <c r="Y374" i="4"/>
  <c r="X374" i="4"/>
  <c r="Y373" i="4"/>
  <c r="X373" i="4"/>
  <c r="Y372" i="4"/>
  <c r="X372" i="4"/>
  <c r="Y371" i="4"/>
  <c r="X371" i="4"/>
  <c r="Y370" i="4"/>
  <c r="X370" i="4"/>
  <c r="Y369" i="4"/>
  <c r="X369" i="4"/>
  <c r="Y368" i="4"/>
  <c r="X368" i="4"/>
  <c r="Y367" i="4"/>
  <c r="X367" i="4"/>
  <c r="Y366" i="4"/>
  <c r="X366" i="4"/>
  <c r="Y365" i="4"/>
  <c r="X365" i="4"/>
  <c r="Y364" i="4"/>
  <c r="X364" i="4"/>
  <c r="Y363" i="4"/>
  <c r="X363" i="4"/>
  <c r="Y362" i="4"/>
  <c r="X362" i="4"/>
  <c r="Y361" i="4"/>
  <c r="X361" i="4"/>
  <c r="Y360" i="4"/>
  <c r="X360" i="4"/>
  <c r="Y359" i="4"/>
  <c r="X359" i="4"/>
  <c r="Y358" i="4"/>
  <c r="X358" i="4"/>
  <c r="Y357" i="4"/>
  <c r="X357" i="4"/>
  <c r="Y356" i="4"/>
  <c r="X356" i="4"/>
  <c r="Y355" i="4"/>
  <c r="X355" i="4"/>
  <c r="Y354" i="4"/>
  <c r="X354" i="4"/>
  <c r="Y353" i="4"/>
  <c r="X353" i="4"/>
  <c r="Y352" i="4"/>
  <c r="X352" i="4"/>
  <c r="Y351" i="4"/>
  <c r="X351" i="4"/>
  <c r="Y350" i="4"/>
  <c r="X350" i="4"/>
  <c r="Y349" i="4"/>
  <c r="X349" i="4"/>
  <c r="Y348" i="4"/>
  <c r="X348" i="4"/>
  <c r="Y347" i="4"/>
  <c r="X347" i="4"/>
  <c r="Y346" i="4"/>
  <c r="X346" i="4"/>
  <c r="Y345" i="4"/>
  <c r="X345" i="4"/>
  <c r="Y344" i="4"/>
  <c r="X344" i="4"/>
  <c r="Y343" i="4"/>
  <c r="X343" i="4"/>
  <c r="Y342" i="4"/>
  <c r="X342" i="4"/>
  <c r="Y341" i="4"/>
  <c r="X341" i="4"/>
  <c r="Y340" i="4"/>
  <c r="X340" i="4"/>
  <c r="Y339" i="4"/>
  <c r="X339" i="4"/>
  <c r="Y338" i="4"/>
  <c r="X338" i="4"/>
  <c r="Y337" i="4"/>
  <c r="X337" i="4"/>
  <c r="Y336" i="4"/>
  <c r="X336" i="4"/>
  <c r="Y335" i="4"/>
  <c r="X335" i="4"/>
  <c r="Y334" i="4"/>
  <c r="X334" i="4"/>
  <c r="Y333" i="4"/>
  <c r="X333" i="4"/>
  <c r="Y332" i="4"/>
  <c r="X332" i="4"/>
  <c r="Y331" i="4"/>
  <c r="X331" i="4"/>
  <c r="Y330" i="4"/>
  <c r="X330" i="4"/>
  <c r="Y329" i="4"/>
  <c r="X329" i="4"/>
  <c r="Y328" i="4"/>
  <c r="X328" i="4"/>
  <c r="Y327" i="4"/>
  <c r="X327" i="4"/>
  <c r="Y326" i="4"/>
  <c r="X326" i="4"/>
  <c r="Y325" i="4"/>
  <c r="X325" i="4"/>
  <c r="Y324" i="4"/>
  <c r="X324" i="4"/>
  <c r="Y323" i="4"/>
  <c r="X323" i="4"/>
  <c r="Y322" i="4"/>
  <c r="X322" i="4"/>
  <c r="Y321" i="4"/>
  <c r="X321" i="4"/>
  <c r="Y320" i="4"/>
  <c r="X320" i="4"/>
  <c r="Y319" i="4"/>
  <c r="X319" i="4"/>
  <c r="Y318" i="4"/>
  <c r="X318" i="4"/>
  <c r="Y317" i="4"/>
  <c r="X317" i="4"/>
  <c r="Y316" i="4"/>
  <c r="X316" i="4"/>
  <c r="Y315" i="4"/>
  <c r="X315" i="4"/>
  <c r="Y314" i="4"/>
  <c r="X314" i="4"/>
  <c r="Y313" i="4"/>
  <c r="X313" i="4"/>
  <c r="Y312" i="4"/>
  <c r="X312" i="4"/>
  <c r="Y311" i="4"/>
  <c r="X311" i="4"/>
  <c r="Y310" i="4"/>
  <c r="X310" i="4"/>
  <c r="Y309" i="4"/>
  <c r="X309" i="4"/>
  <c r="Y308" i="4"/>
  <c r="X308" i="4"/>
  <c r="Y307" i="4"/>
  <c r="X307" i="4"/>
  <c r="Y306" i="4"/>
  <c r="X306" i="4"/>
  <c r="Y305" i="4"/>
  <c r="X305" i="4"/>
  <c r="Y304" i="4"/>
  <c r="X304" i="4"/>
  <c r="Y303" i="4"/>
  <c r="X303" i="4"/>
  <c r="Y302" i="4"/>
  <c r="X302" i="4"/>
  <c r="Y301" i="4"/>
  <c r="X301" i="4"/>
  <c r="Y300" i="4"/>
  <c r="X300" i="4"/>
  <c r="Y299" i="4"/>
  <c r="X299" i="4"/>
  <c r="Y298" i="4"/>
  <c r="X298" i="4"/>
  <c r="Y297" i="4"/>
  <c r="X297" i="4"/>
  <c r="Y296" i="4"/>
  <c r="X296" i="4"/>
  <c r="Y295" i="4"/>
  <c r="X295" i="4"/>
  <c r="Y294" i="4"/>
  <c r="X294" i="4"/>
  <c r="Y293" i="4"/>
  <c r="X293" i="4"/>
  <c r="Y292" i="4"/>
  <c r="X292" i="4"/>
  <c r="Y291" i="4"/>
  <c r="X291" i="4"/>
  <c r="Y290" i="4"/>
  <c r="X290" i="4"/>
  <c r="Y289" i="4"/>
  <c r="X289" i="4"/>
  <c r="Y288" i="4"/>
  <c r="X288" i="4"/>
  <c r="Y287" i="4"/>
  <c r="X287" i="4"/>
  <c r="Y286" i="4"/>
  <c r="X286" i="4"/>
  <c r="Y285" i="4"/>
  <c r="X285" i="4"/>
  <c r="Y284" i="4"/>
  <c r="X284" i="4"/>
  <c r="Y283" i="4"/>
  <c r="X283" i="4"/>
  <c r="Y282" i="4"/>
  <c r="X282" i="4"/>
  <c r="Y281" i="4"/>
  <c r="X281" i="4"/>
  <c r="Y280" i="4"/>
  <c r="X280" i="4"/>
  <c r="Y279" i="4"/>
  <c r="X279" i="4"/>
  <c r="Y278" i="4"/>
  <c r="X278" i="4"/>
  <c r="Y277" i="4"/>
  <c r="X277" i="4"/>
  <c r="Y276" i="4"/>
  <c r="X276" i="4"/>
  <c r="Y275" i="4"/>
  <c r="X275" i="4"/>
  <c r="Y274" i="4"/>
  <c r="X274" i="4"/>
  <c r="Y273" i="4"/>
  <c r="X273" i="4"/>
  <c r="Y272" i="4"/>
  <c r="X272" i="4"/>
  <c r="Y271" i="4"/>
  <c r="X271" i="4"/>
  <c r="Y270" i="4"/>
  <c r="X270" i="4"/>
  <c r="Y269" i="4"/>
  <c r="X269" i="4"/>
  <c r="Y268" i="4"/>
  <c r="X268" i="4"/>
  <c r="Y267" i="4"/>
  <c r="X267" i="4"/>
  <c r="Y266" i="4"/>
  <c r="X266" i="4"/>
  <c r="Y265" i="4"/>
  <c r="X265" i="4"/>
  <c r="Y264" i="4"/>
  <c r="X264" i="4"/>
  <c r="Y263" i="4"/>
  <c r="X263" i="4"/>
  <c r="Y262" i="4"/>
  <c r="X262" i="4"/>
  <c r="Y261" i="4"/>
  <c r="X261" i="4"/>
  <c r="Y260" i="4"/>
  <c r="X260" i="4"/>
  <c r="Y259" i="4"/>
  <c r="X259" i="4"/>
  <c r="Y258" i="4"/>
  <c r="X258" i="4"/>
  <c r="Y257" i="4"/>
  <c r="X257" i="4"/>
  <c r="Y256" i="4"/>
  <c r="X256" i="4"/>
  <c r="Y255" i="4"/>
  <c r="X255" i="4"/>
  <c r="Y254" i="4"/>
  <c r="X254" i="4"/>
  <c r="Y253" i="4"/>
  <c r="X253" i="4"/>
  <c r="Y252" i="4"/>
  <c r="X252" i="4"/>
  <c r="Y251" i="4"/>
  <c r="X251" i="4"/>
  <c r="Y250" i="4"/>
  <c r="X250" i="4"/>
  <c r="Y249" i="4"/>
  <c r="X249" i="4"/>
  <c r="Y248" i="4"/>
  <c r="X248" i="4"/>
  <c r="Y247" i="4"/>
  <c r="X247" i="4"/>
  <c r="Y246" i="4"/>
  <c r="X246" i="4"/>
  <c r="Y245" i="4"/>
  <c r="X245" i="4"/>
  <c r="Y244" i="4"/>
  <c r="X244" i="4"/>
  <c r="Y243" i="4"/>
  <c r="X243" i="4"/>
  <c r="Y242" i="4"/>
  <c r="X242" i="4"/>
  <c r="Y241" i="4"/>
  <c r="X241" i="4"/>
  <c r="Y240" i="4"/>
  <c r="X240" i="4"/>
  <c r="Y239" i="4"/>
  <c r="X239" i="4"/>
  <c r="Y238" i="4"/>
  <c r="X238" i="4"/>
  <c r="Y237" i="4"/>
  <c r="X237" i="4"/>
  <c r="Y236" i="4"/>
  <c r="X236" i="4"/>
  <c r="Y235" i="4"/>
  <c r="X235" i="4"/>
  <c r="Y234" i="4"/>
  <c r="X234" i="4"/>
  <c r="Y233" i="4"/>
  <c r="X233" i="4"/>
  <c r="Y232" i="4"/>
  <c r="X232" i="4"/>
  <c r="Y231" i="4"/>
  <c r="X231" i="4"/>
  <c r="Y230" i="4"/>
  <c r="X230" i="4"/>
  <c r="Y229" i="4"/>
  <c r="X229" i="4"/>
  <c r="Y228" i="4"/>
  <c r="X228" i="4"/>
  <c r="Y227" i="4"/>
  <c r="X227" i="4"/>
  <c r="Y226" i="4"/>
  <c r="X226" i="4"/>
  <c r="Y225" i="4"/>
  <c r="X225" i="4"/>
  <c r="Y224" i="4"/>
  <c r="X224" i="4"/>
  <c r="Y223" i="4"/>
  <c r="X223" i="4"/>
  <c r="Y222" i="4"/>
  <c r="X222" i="4"/>
  <c r="Y221" i="4"/>
  <c r="X221" i="4"/>
  <c r="Y220" i="4"/>
  <c r="X220" i="4"/>
  <c r="Y219" i="4"/>
  <c r="X219" i="4"/>
  <c r="Y218" i="4"/>
  <c r="X218" i="4"/>
  <c r="Y217" i="4"/>
  <c r="X217" i="4"/>
  <c r="Y216" i="4"/>
  <c r="X216" i="4"/>
  <c r="Y215" i="4"/>
  <c r="X215" i="4"/>
  <c r="Y214" i="4"/>
  <c r="X214" i="4"/>
  <c r="Y213" i="4"/>
  <c r="X213" i="4"/>
  <c r="Y212" i="4"/>
  <c r="X212" i="4"/>
  <c r="Y211" i="4"/>
  <c r="X211" i="4"/>
  <c r="Y210" i="4"/>
  <c r="X210" i="4"/>
  <c r="Y209" i="4"/>
  <c r="X209" i="4"/>
  <c r="Y208" i="4"/>
  <c r="X208" i="4"/>
  <c r="Y207" i="4"/>
  <c r="X207" i="4"/>
  <c r="Y206" i="4"/>
  <c r="X206" i="4"/>
  <c r="Y205" i="4"/>
  <c r="X205" i="4"/>
  <c r="Y204" i="4"/>
  <c r="X204" i="4"/>
  <c r="Y203" i="4"/>
  <c r="X203" i="4"/>
  <c r="Y202" i="4"/>
  <c r="X202" i="4"/>
  <c r="Y201" i="4"/>
  <c r="X201" i="4"/>
  <c r="Y200" i="4"/>
  <c r="X200" i="4"/>
  <c r="Y199" i="4"/>
  <c r="X199" i="4"/>
  <c r="Y198" i="4"/>
  <c r="X198" i="4"/>
  <c r="Y197" i="4"/>
  <c r="X197" i="4"/>
  <c r="Y196" i="4"/>
  <c r="X196" i="4"/>
  <c r="Y195" i="4"/>
  <c r="X195" i="4"/>
  <c r="Y194" i="4"/>
  <c r="X194" i="4"/>
  <c r="Y193" i="4"/>
  <c r="X193" i="4"/>
  <c r="Y192" i="4"/>
  <c r="X192" i="4"/>
  <c r="Y191" i="4"/>
  <c r="X191" i="4"/>
  <c r="Y190" i="4"/>
  <c r="X190" i="4"/>
  <c r="Y189" i="4"/>
  <c r="X189" i="4"/>
  <c r="Y188" i="4"/>
  <c r="X188" i="4"/>
  <c r="Y187" i="4"/>
  <c r="X187" i="4"/>
  <c r="Y186" i="4"/>
  <c r="X186" i="4"/>
  <c r="Y185" i="4"/>
  <c r="X185" i="4"/>
  <c r="Y184" i="4"/>
  <c r="X184" i="4"/>
  <c r="Y183" i="4"/>
  <c r="X183" i="4"/>
  <c r="Y182" i="4"/>
  <c r="X182" i="4"/>
  <c r="Y181" i="4"/>
  <c r="X181" i="4"/>
  <c r="Y180" i="4"/>
  <c r="X180" i="4"/>
  <c r="Y179" i="4"/>
  <c r="X179" i="4"/>
  <c r="Y178" i="4"/>
  <c r="X178" i="4"/>
  <c r="Y177" i="4"/>
  <c r="X177" i="4"/>
  <c r="Y176" i="4"/>
  <c r="X176" i="4"/>
  <c r="Y175" i="4"/>
  <c r="X175" i="4"/>
  <c r="Y174" i="4"/>
  <c r="X174" i="4"/>
  <c r="Y173" i="4"/>
  <c r="X173" i="4"/>
  <c r="Y172" i="4"/>
  <c r="X172" i="4"/>
  <c r="Y171" i="4"/>
  <c r="X171" i="4"/>
  <c r="Y170" i="4"/>
  <c r="X170" i="4"/>
  <c r="Y169" i="4"/>
  <c r="X169" i="4"/>
  <c r="Y168" i="4"/>
  <c r="X168" i="4"/>
  <c r="Y167" i="4"/>
  <c r="X167" i="4"/>
  <c r="Y166" i="4"/>
  <c r="X166" i="4"/>
  <c r="Y165" i="4"/>
  <c r="X165" i="4"/>
  <c r="Y164" i="4"/>
  <c r="X164" i="4"/>
  <c r="Y163" i="4"/>
  <c r="X163" i="4"/>
  <c r="Y162" i="4"/>
  <c r="X162" i="4"/>
  <c r="Y161" i="4"/>
  <c r="X161" i="4"/>
  <c r="Y160" i="4"/>
  <c r="X160" i="4"/>
  <c r="Y159" i="4"/>
  <c r="X159" i="4"/>
  <c r="Y158" i="4"/>
  <c r="X158" i="4"/>
  <c r="Y157" i="4"/>
  <c r="X157" i="4"/>
  <c r="Y156" i="4"/>
  <c r="X156" i="4"/>
  <c r="Y155" i="4"/>
  <c r="X155" i="4"/>
  <c r="Y154" i="4"/>
  <c r="X154" i="4"/>
  <c r="Y153" i="4"/>
  <c r="X153" i="4"/>
  <c r="Y152" i="4"/>
  <c r="X152" i="4"/>
  <c r="Y151" i="4"/>
  <c r="X151" i="4"/>
  <c r="Y150" i="4"/>
  <c r="X150" i="4"/>
  <c r="Y149" i="4"/>
  <c r="X149" i="4"/>
  <c r="Y148" i="4"/>
  <c r="X148" i="4"/>
  <c r="Y147" i="4"/>
  <c r="X147" i="4"/>
  <c r="Y146" i="4"/>
  <c r="X146" i="4"/>
  <c r="Y145" i="4"/>
  <c r="X145" i="4"/>
  <c r="Y144" i="4"/>
  <c r="X144" i="4"/>
  <c r="Y143" i="4"/>
  <c r="X143" i="4"/>
  <c r="Y142" i="4"/>
  <c r="X142" i="4"/>
  <c r="Y141" i="4"/>
  <c r="X141" i="4"/>
  <c r="Y140" i="4"/>
  <c r="X140" i="4"/>
  <c r="Y139" i="4"/>
  <c r="X139" i="4"/>
  <c r="Y138" i="4"/>
  <c r="X138" i="4"/>
  <c r="Y137" i="4"/>
  <c r="X137" i="4"/>
  <c r="Y136" i="4"/>
  <c r="X136" i="4"/>
  <c r="Y135" i="4"/>
  <c r="X135" i="4"/>
  <c r="Y134" i="4"/>
  <c r="X134" i="4"/>
  <c r="Y133" i="4"/>
  <c r="X133" i="4"/>
  <c r="Y132" i="4"/>
  <c r="X132" i="4"/>
  <c r="Y131" i="4"/>
  <c r="X131" i="4"/>
  <c r="Y130" i="4"/>
  <c r="X130" i="4"/>
  <c r="Y129" i="4"/>
  <c r="X129" i="4"/>
  <c r="Y128" i="4"/>
  <c r="X128" i="4"/>
  <c r="Y127" i="4"/>
  <c r="X127" i="4"/>
  <c r="Y126" i="4"/>
  <c r="X126" i="4"/>
  <c r="Y125" i="4"/>
  <c r="X125" i="4"/>
  <c r="Y124" i="4"/>
  <c r="X124" i="4"/>
  <c r="Y123" i="4"/>
  <c r="X123" i="4"/>
  <c r="Y122" i="4"/>
  <c r="X122" i="4"/>
  <c r="Y121" i="4"/>
  <c r="X121" i="4"/>
  <c r="Y120" i="4"/>
  <c r="X120" i="4"/>
  <c r="Y119" i="4"/>
  <c r="X119" i="4"/>
  <c r="Y118" i="4"/>
  <c r="X118" i="4"/>
  <c r="Y117" i="4"/>
  <c r="X117" i="4"/>
  <c r="Y116" i="4"/>
  <c r="X116" i="4"/>
  <c r="Y115" i="4"/>
  <c r="X115" i="4"/>
  <c r="Y114" i="4"/>
  <c r="X114" i="4"/>
  <c r="Y113" i="4"/>
  <c r="X113" i="4"/>
  <c r="Y112" i="4"/>
  <c r="X112" i="4"/>
  <c r="Y111" i="4"/>
  <c r="X111" i="4"/>
  <c r="Y110" i="4"/>
  <c r="X110" i="4"/>
  <c r="Y109" i="4"/>
  <c r="X109" i="4"/>
  <c r="Y108" i="4"/>
  <c r="X108" i="4"/>
  <c r="Y107" i="4"/>
  <c r="X107" i="4"/>
  <c r="Y106" i="4"/>
  <c r="X106" i="4"/>
  <c r="Y105" i="4"/>
  <c r="X105" i="4"/>
  <c r="Y104" i="4"/>
  <c r="X104" i="4"/>
  <c r="Y103" i="4"/>
  <c r="X103" i="4"/>
  <c r="Y102" i="4"/>
  <c r="X102" i="4"/>
  <c r="Y101" i="4"/>
  <c r="X101" i="4"/>
  <c r="Y100" i="4"/>
  <c r="X100" i="4"/>
  <c r="Y99" i="4"/>
  <c r="X99" i="4"/>
  <c r="Y98" i="4"/>
  <c r="X98" i="4"/>
  <c r="Y97" i="4"/>
  <c r="X97" i="4"/>
  <c r="Y96" i="4"/>
  <c r="X96" i="4"/>
  <c r="Y95" i="4"/>
  <c r="X95" i="4"/>
  <c r="Y94" i="4"/>
  <c r="X94" i="4"/>
  <c r="Y93" i="4"/>
  <c r="X93" i="4"/>
  <c r="Y92" i="4"/>
  <c r="X92" i="4"/>
  <c r="Y91" i="4"/>
  <c r="X91" i="4"/>
  <c r="Y90" i="4"/>
  <c r="X90" i="4"/>
  <c r="Y89" i="4"/>
  <c r="X89" i="4"/>
  <c r="Y88" i="4"/>
  <c r="X88" i="4"/>
  <c r="Y87" i="4"/>
  <c r="X87" i="4"/>
  <c r="Y86" i="4"/>
  <c r="X86" i="4"/>
  <c r="Y85" i="4"/>
  <c r="X85" i="4"/>
  <c r="Y84" i="4"/>
  <c r="X84" i="4"/>
  <c r="Y83" i="4"/>
  <c r="X83" i="4"/>
  <c r="Y82" i="4"/>
  <c r="X82" i="4"/>
  <c r="Y81" i="4"/>
  <c r="X81" i="4"/>
  <c r="Y80" i="4"/>
  <c r="X80" i="4"/>
  <c r="Y79" i="4"/>
  <c r="X79" i="4"/>
  <c r="Y78" i="4"/>
  <c r="X78" i="4"/>
  <c r="Y77" i="4"/>
  <c r="X77" i="4"/>
  <c r="Y76" i="4"/>
  <c r="X76" i="4"/>
  <c r="Y75" i="4"/>
  <c r="X75" i="4"/>
  <c r="Y74" i="4"/>
  <c r="X74" i="4"/>
  <c r="Y73" i="4"/>
  <c r="X73" i="4"/>
  <c r="Y72" i="4"/>
  <c r="X72" i="4"/>
  <c r="Y71" i="4"/>
  <c r="X71" i="4"/>
  <c r="Y70" i="4"/>
  <c r="X70" i="4"/>
  <c r="Y69" i="4"/>
  <c r="X69" i="4"/>
  <c r="Y68" i="4"/>
  <c r="X68" i="4"/>
  <c r="Y67" i="4"/>
  <c r="X67" i="4"/>
  <c r="Y66" i="4"/>
  <c r="X66" i="4"/>
  <c r="Y65" i="4"/>
  <c r="X65" i="4"/>
  <c r="Y64" i="4"/>
  <c r="X64" i="4"/>
  <c r="Y63" i="4"/>
  <c r="X63" i="4"/>
  <c r="Y62" i="4"/>
  <c r="X62" i="4"/>
  <c r="Y61" i="4"/>
  <c r="X61" i="4"/>
  <c r="Y60" i="4"/>
  <c r="X60" i="4"/>
  <c r="Y59" i="4"/>
  <c r="X59" i="4"/>
  <c r="Y58" i="4"/>
  <c r="X58" i="4"/>
  <c r="Y57" i="4"/>
  <c r="X57" i="4"/>
  <c r="Y56" i="4"/>
  <c r="X56" i="4"/>
  <c r="Y55" i="4"/>
  <c r="X55" i="4"/>
  <c r="Y54" i="4"/>
  <c r="X54" i="4"/>
  <c r="Y53" i="4"/>
  <c r="X53" i="4"/>
  <c r="Y52" i="4"/>
  <c r="X52" i="4"/>
  <c r="Y51" i="4"/>
  <c r="X51" i="4"/>
  <c r="Y50" i="4"/>
  <c r="X50" i="4"/>
  <c r="Y49" i="4"/>
  <c r="X49" i="4"/>
  <c r="Y48" i="4"/>
  <c r="X48" i="4"/>
  <c r="Y47" i="4"/>
  <c r="X47" i="4"/>
  <c r="Y46" i="4"/>
  <c r="X46" i="4"/>
  <c r="Y45" i="4"/>
  <c r="X45" i="4"/>
  <c r="Y44" i="4"/>
  <c r="X44" i="4"/>
  <c r="Y43" i="4"/>
  <c r="X43" i="4"/>
  <c r="Y42" i="4"/>
  <c r="X42" i="4"/>
  <c r="Y41" i="4"/>
  <c r="X41" i="4"/>
  <c r="Y40" i="4"/>
  <c r="X40" i="4"/>
  <c r="Y39" i="4"/>
  <c r="X39" i="4"/>
  <c r="Y38" i="4"/>
  <c r="X38" i="4"/>
  <c r="Y37" i="4"/>
  <c r="X37" i="4"/>
  <c r="Y36" i="4"/>
  <c r="X36" i="4"/>
  <c r="Y35" i="4"/>
  <c r="X35" i="4"/>
  <c r="Y34" i="4"/>
  <c r="X34" i="4"/>
  <c r="Y33" i="4"/>
  <c r="X33" i="4"/>
  <c r="Y32" i="4"/>
  <c r="X32" i="4"/>
  <c r="Y31" i="4"/>
  <c r="X31" i="4"/>
  <c r="Y30" i="4"/>
  <c r="X30" i="4"/>
  <c r="Y29" i="4"/>
  <c r="X29" i="4"/>
  <c r="Y28" i="4"/>
  <c r="X28" i="4"/>
  <c r="Y27" i="4"/>
  <c r="X27" i="4"/>
  <c r="Y26" i="4"/>
  <c r="X26" i="4"/>
  <c r="Y25" i="4"/>
  <c r="X25" i="4"/>
  <c r="Y24" i="4"/>
  <c r="X24" i="4"/>
  <c r="Y23" i="4"/>
  <c r="X23" i="4"/>
  <c r="Y22" i="4"/>
  <c r="X22" i="4"/>
  <c r="Y21" i="4"/>
  <c r="X21" i="4"/>
  <c r="Y20" i="4"/>
  <c r="X20" i="4"/>
  <c r="Y19" i="4"/>
  <c r="X19" i="4"/>
  <c r="Y18" i="4"/>
  <c r="X18" i="4"/>
  <c r="Y17" i="4"/>
  <c r="X17" i="4"/>
  <c r="Y16" i="4"/>
  <c r="X16" i="4"/>
  <c r="Y15" i="4"/>
  <c r="X15" i="4"/>
  <c r="Y14" i="4"/>
  <c r="X14" i="4"/>
  <c r="Y13" i="4"/>
  <c r="X13" i="4"/>
  <c r="Y12" i="4"/>
  <c r="X12" i="4"/>
  <c r="Y11" i="4"/>
  <c r="X11" i="4"/>
  <c r="Y10" i="4"/>
  <c r="X10" i="4"/>
  <c r="Y9" i="4"/>
  <c r="X9" i="4"/>
  <c r="Y8" i="4"/>
  <c r="X8" i="4"/>
  <c r="Y7" i="4"/>
  <c r="X7" i="4"/>
  <c r="Y6" i="4"/>
  <c r="X6" i="4"/>
  <c r="Y5" i="4"/>
  <c r="X5" i="4"/>
  <c r="Y4" i="4"/>
  <c r="X4" i="4"/>
  <c r="Y3" i="4"/>
  <c r="X3" i="4"/>
  <c r="Y2" i="4"/>
  <c r="X2" i="4"/>
  <c r="V974" i="4"/>
  <c r="T974" i="4"/>
  <c r="S974" i="4"/>
  <c r="R974" i="4"/>
  <c r="U974" i="4" s="1"/>
  <c r="Q974" i="4"/>
  <c r="P974" i="4"/>
  <c r="O974" i="4"/>
  <c r="K974" i="4"/>
  <c r="J974" i="4"/>
  <c r="L974" i="4" s="1"/>
  <c r="H974" i="4"/>
  <c r="G974" i="4"/>
  <c r="I974" i="4" s="1" a="1"/>
  <c r="I974" i="4" s="1"/>
  <c r="F974" i="4"/>
  <c r="D974" i="4"/>
  <c r="C974" i="4"/>
  <c r="B974" i="4"/>
  <c r="V973" i="4"/>
  <c r="T973" i="4"/>
  <c r="S973" i="4"/>
  <c r="R973" i="4"/>
  <c r="U973" i="4" s="1"/>
  <c r="Q973" i="4"/>
  <c r="P973" i="4"/>
  <c r="O973" i="4"/>
  <c r="L973" i="4"/>
  <c r="N973" i="4" s="1"/>
  <c r="K973" i="4"/>
  <c r="J973" i="4"/>
  <c r="I973" i="4" a="1"/>
  <c r="I973" i="4" s="1"/>
  <c r="H973" i="4"/>
  <c r="G973" i="4"/>
  <c r="F973" i="4"/>
  <c r="C973" i="4"/>
  <c r="B973" i="4"/>
  <c r="D973" i="4" s="1"/>
  <c r="A973" i="4"/>
  <c r="V972" i="4"/>
  <c r="U972" i="4"/>
  <c r="T972" i="4"/>
  <c r="S972" i="4"/>
  <c r="R972" i="4"/>
  <c r="Q972" i="4"/>
  <c r="P972" i="4"/>
  <c r="O972" i="4"/>
  <c r="K972" i="4"/>
  <c r="J972" i="4"/>
  <c r="L972" i="4" s="1"/>
  <c r="I972" i="4"/>
  <c r="I972" i="4" a="1"/>
  <c r="H972" i="4"/>
  <c r="G972" i="4"/>
  <c r="F972" i="4"/>
  <c r="C972" i="4"/>
  <c r="B972" i="4"/>
  <c r="V971" i="4"/>
  <c r="T971" i="4"/>
  <c r="S971" i="4"/>
  <c r="R971" i="4"/>
  <c r="U971" i="4" s="1"/>
  <c r="Q971" i="4"/>
  <c r="P971" i="4"/>
  <c r="O971" i="4"/>
  <c r="K971" i="4"/>
  <c r="J971" i="4"/>
  <c r="L971" i="4" s="1"/>
  <c r="H971" i="4"/>
  <c r="G971" i="4"/>
  <c r="I971" i="4" s="1" a="1"/>
  <c r="I971" i="4" s="1"/>
  <c r="F971" i="4"/>
  <c r="C971" i="4"/>
  <c r="B971" i="4"/>
  <c r="D971" i="4" s="1"/>
  <c r="V970" i="4"/>
  <c r="T970" i="4"/>
  <c r="S970" i="4"/>
  <c r="R970" i="4"/>
  <c r="U970" i="4" s="1"/>
  <c r="Q970" i="4"/>
  <c r="P970" i="4"/>
  <c r="O970" i="4"/>
  <c r="K970" i="4"/>
  <c r="J970" i="4"/>
  <c r="L970" i="4" s="1"/>
  <c r="I970" i="4" a="1"/>
  <c r="I970" i="4" s="1"/>
  <c r="H970" i="4"/>
  <c r="G970" i="4"/>
  <c r="F970" i="4"/>
  <c r="D970" i="4"/>
  <c r="C970" i="4"/>
  <c r="B970" i="4"/>
  <c r="A970" i="4"/>
  <c r="V969" i="4"/>
  <c r="T969" i="4"/>
  <c r="S969" i="4"/>
  <c r="R969" i="4"/>
  <c r="U969" i="4" s="1"/>
  <c r="Q969" i="4"/>
  <c r="P969" i="4"/>
  <c r="O969" i="4"/>
  <c r="L969" i="4"/>
  <c r="M969" i="4" s="1"/>
  <c r="K969" i="4"/>
  <c r="J969" i="4"/>
  <c r="I969" i="4" a="1"/>
  <c r="I969" i="4" s="1"/>
  <c r="H969" i="4"/>
  <c r="G969" i="4"/>
  <c r="F969" i="4"/>
  <c r="C969" i="4"/>
  <c r="B969" i="4"/>
  <c r="D969" i="4" s="1"/>
  <c r="A969" i="4"/>
  <c r="V968" i="4"/>
  <c r="U968" i="4"/>
  <c r="T968" i="4"/>
  <c r="S968" i="4"/>
  <c r="R968" i="4"/>
  <c r="Q968" i="4"/>
  <c r="P968" i="4"/>
  <c r="O968" i="4"/>
  <c r="M968" i="4"/>
  <c r="K968" i="4"/>
  <c r="J968" i="4"/>
  <c r="L968" i="4" s="1"/>
  <c r="N968" i="4" s="1"/>
  <c r="I968" i="4"/>
  <c r="I968" i="4" a="1"/>
  <c r="H968" i="4"/>
  <c r="G968" i="4"/>
  <c r="F968" i="4"/>
  <c r="C968" i="4"/>
  <c r="B968" i="4"/>
  <c r="A968" i="4"/>
  <c r="V967" i="4"/>
  <c r="T967" i="4"/>
  <c r="S967" i="4"/>
  <c r="R967" i="4"/>
  <c r="U967" i="4" s="1"/>
  <c r="Q967" i="4"/>
  <c r="P967" i="4"/>
  <c r="O967" i="4"/>
  <c r="N967" i="4"/>
  <c r="K967" i="4"/>
  <c r="J967" i="4"/>
  <c r="L967" i="4" s="1"/>
  <c r="M967" i="4" s="1"/>
  <c r="H967" i="4"/>
  <c r="G967" i="4"/>
  <c r="I967" i="4" s="1" a="1"/>
  <c r="I967" i="4" s="1"/>
  <c r="F967" i="4"/>
  <c r="C967" i="4"/>
  <c r="B967" i="4"/>
  <c r="V966" i="4"/>
  <c r="T966" i="4"/>
  <c r="S966" i="4"/>
  <c r="R966" i="4"/>
  <c r="U966" i="4" s="1"/>
  <c r="Q966" i="4"/>
  <c r="P966" i="4"/>
  <c r="O966" i="4"/>
  <c r="K966" i="4"/>
  <c r="J966" i="4"/>
  <c r="L966" i="4" s="1"/>
  <c r="I966" i="4" a="1"/>
  <c r="I966" i="4" s="1"/>
  <c r="H966" i="4"/>
  <c r="G966" i="4"/>
  <c r="F966" i="4"/>
  <c r="E966" i="4"/>
  <c r="D966" i="4"/>
  <c r="C966" i="4"/>
  <c r="B966" i="4"/>
  <c r="A966" i="4"/>
  <c r="V965" i="4"/>
  <c r="U965" i="4"/>
  <c r="T965" i="4"/>
  <c r="S965" i="4"/>
  <c r="R965" i="4"/>
  <c r="Q965" i="4"/>
  <c r="P965" i="4"/>
  <c r="O965" i="4"/>
  <c r="N965" i="4"/>
  <c r="M965" i="4"/>
  <c r="L965" i="4"/>
  <c r="K965" i="4"/>
  <c r="J965" i="4"/>
  <c r="I965" i="4" a="1"/>
  <c r="I965" i="4" s="1"/>
  <c r="H965" i="4"/>
  <c r="G965" i="4"/>
  <c r="F965" i="4"/>
  <c r="D965" i="4"/>
  <c r="C965" i="4"/>
  <c r="B965" i="4"/>
  <c r="W965" i="4" s="1"/>
  <c r="A965" i="4"/>
  <c r="V964" i="4"/>
  <c r="U964" i="4"/>
  <c r="T964" i="4"/>
  <c r="S964" i="4"/>
  <c r="R964" i="4"/>
  <c r="Q964" i="4"/>
  <c r="P964" i="4"/>
  <c r="O964" i="4"/>
  <c r="N964" i="4"/>
  <c r="M964" i="4"/>
  <c r="L964" i="4"/>
  <c r="K964" i="4"/>
  <c r="J964" i="4"/>
  <c r="I964" i="4"/>
  <c r="H964" i="4"/>
  <c r="G964" i="4"/>
  <c r="I964" i="4" s="1" a="1"/>
  <c r="F964" i="4"/>
  <c r="C964" i="4"/>
  <c r="B964" i="4"/>
  <c r="V963" i="4"/>
  <c r="U963" i="4"/>
  <c r="T963" i="4"/>
  <c r="S963" i="4"/>
  <c r="R963" i="4"/>
  <c r="Q963" i="4"/>
  <c r="P963" i="4"/>
  <c r="O963" i="4"/>
  <c r="N963" i="4"/>
  <c r="M963" i="4"/>
  <c r="K963" i="4"/>
  <c r="J963" i="4"/>
  <c r="L963" i="4" s="1"/>
  <c r="H963" i="4"/>
  <c r="G963" i="4"/>
  <c r="F963" i="4"/>
  <c r="D963" i="4"/>
  <c r="C963" i="4"/>
  <c r="B963" i="4"/>
  <c r="W962" i="4"/>
  <c r="V962" i="4"/>
  <c r="T962" i="4"/>
  <c r="S962" i="4"/>
  <c r="R962" i="4"/>
  <c r="U962" i="4" s="1"/>
  <c r="Q962" i="4"/>
  <c r="P962" i="4"/>
  <c r="O962" i="4"/>
  <c r="N962" i="4"/>
  <c r="M962" i="4"/>
  <c r="L962" i="4"/>
  <c r="K962" i="4"/>
  <c r="J962" i="4"/>
  <c r="H962" i="4"/>
  <c r="G962" i="4"/>
  <c r="F962" i="4"/>
  <c r="D962" i="4"/>
  <c r="C962" i="4"/>
  <c r="B962" i="4"/>
  <c r="A962" i="4"/>
  <c r="V961" i="4"/>
  <c r="U961" i="4"/>
  <c r="T961" i="4"/>
  <c r="S961" i="4"/>
  <c r="R961" i="4"/>
  <c r="Q961" i="4"/>
  <c r="P961" i="4"/>
  <c r="O961" i="4"/>
  <c r="W961" i="4" s="1"/>
  <c r="N961" i="4"/>
  <c r="M961" i="4"/>
  <c r="L961" i="4"/>
  <c r="K961" i="4"/>
  <c r="J961" i="4"/>
  <c r="I961" i="4" a="1"/>
  <c r="I961" i="4" s="1"/>
  <c r="H961" i="4"/>
  <c r="G961" i="4"/>
  <c r="F961" i="4"/>
  <c r="C961" i="4"/>
  <c r="B961" i="4"/>
  <c r="D961" i="4" s="1"/>
  <c r="A961" i="4"/>
  <c r="V960" i="4"/>
  <c r="U960" i="4"/>
  <c r="T960" i="4"/>
  <c r="S960" i="4"/>
  <c r="R960" i="4"/>
  <c r="Q960" i="4"/>
  <c r="P960" i="4"/>
  <c r="O960" i="4"/>
  <c r="N960" i="4"/>
  <c r="M960" i="4"/>
  <c r="K960" i="4"/>
  <c r="J960" i="4"/>
  <c r="L960" i="4" s="1"/>
  <c r="I960" i="4"/>
  <c r="I960" i="4" a="1"/>
  <c r="H960" i="4"/>
  <c r="G960" i="4"/>
  <c r="F960" i="4"/>
  <c r="C960" i="4"/>
  <c r="B960" i="4"/>
  <c r="A960" i="4"/>
  <c r="V959" i="4"/>
  <c r="T959" i="4"/>
  <c r="S959" i="4"/>
  <c r="R959" i="4"/>
  <c r="U959" i="4" s="1"/>
  <c r="Q959" i="4"/>
  <c r="P959" i="4"/>
  <c r="O959" i="4"/>
  <c r="N959" i="4"/>
  <c r="M959" i="4"/>
  <c r="K959" i="4"/>
  <c r="J959" i="4"/>
  <c r="L959" i="4" s="1"/>
  <c r="H959" i="4"/>
  <c r="G959" i="4"/>
  <c r="I959" i="4" s="1" a="1"/>
  <c r="I959" i="4" s="1"/>
  <c r="F959" i="4"/>
  <c r="C959" i="4"/>
  <c r="B959" i="4"/>
  <c r="V958" i="4"/>
  <c r="T958" i="4"/>
  <c r="S958" i="4"/>
  <c r="R958" i="4"/>
  <c r="U958" i="4" s="1"/>
  <c r="Q958" i="4"/>
  <c r="P958" i="4"/>
  <c r="O958" i="4"/>
  <c r="N958" i="4"/>
  <c r="M958" i="4"/>
  <c r="K958" i="4"/>
  <c r="J958" i="4"/>
  <c r="W958" i="4" s="1"/>
  <c r="I958" i="4" a="1"/>
  <c r="I958" i="4" s="1"/>
  <c r="H958" i="4"/>
  <c r="G958" i="4"/>
  <c r="F958" i="4"/>
  <c r="D958" i="4"/>
  <c r="C958" i="4"/>
  <c r="B958" i="4"/>
  <c r="A958" i="4"/>
  <c r="V957" i="4"/>
  <c r="U957" i="4"/>
  <c r="T957" i="4"/>
  <c r="S957" i="4"/>
  <c r="R957" i="4"/>
  <c r="Q957" i="4"/>
  <c r="P957" i="4"/>
  <c r="O957" i="4"/>
  <c r="N957" i="4"/>
  <c r="M957" i="4"/>
  <c r="L957" i="4"/>
  <c r="K957" i="4"/>
  <c r="J957" i="4"/>
  <c r="I957" i="4" a="1"/>
  <c r="I957" i="4" s="1"/>
  <c r="H957" i="4"/>
  <c r="G957" i="4"/>
  <c r="F957" i="4"/>
  <c r="D957" i="4"/>
  <c r="C957" i="4"/>
  <c r="B957" i="4"/>
  <c r="A957" i="4"/>
  <c r="V956" i="4"/>
  <c r="U956" i="4"/>
  <c r="T956" i="4"/>
  <c r="S956" i="4"/>
  <c r="R956" i="4"/>
  <c r="Q956" i="4"/>
  <c r="P956" i="4"/>
  <c r="O956" i="4"/>
  <c r="N956" i="4"/>
  <c r="M956" i="4"/>
  <c r="L956" i="4"/>
  <c r="K956" i="4"/>
  <c r="J956" i="4"/>
  <c r="I956" i="4"/>
  <c r="H956" i="4"/>
  <c r="G956" i="4"/>
  <c r="I956" i="4" s="1" a="1"/>
  <c r="F956" i="4"/>
  <c r="C956" i="4"/>
  <c r="B956" i="4"/>
  <c r="V955" i="4"/>
  <c r="T955" i="4"/>
  <c r="S955" i="4"/>
  <c r="R955" i="4"/>
  <c r="U955" i="4" s="1"/>
  <c r="Q955" i="4"/>
  <c r="P955" i="4"/>
  <c r="O955" i="4"/>
  <c r="N955" i="4"/>
  <c r="M955" i="4"/>
  <c r="K955" i="4"/>
  <c r="J955" i="4"/>
  <c r="L955" i="4" s="1"/>
  <c r="H955" i="4"/>
  <c r="G955" i="4"/>
  <c r="F955" i="4"/>
  <c r="D955" i="4"/>
  <c r="C955" i="4"/>
  <c r="B955" i="4"/>
  <c r="A955" i="4"/>
  <c r="V954" i="4"/>
  <c r="T954" i="4"/>
  <c r="S954" i="4"/>
  <c r="R954" i="4"/>
  <c r="U954" i="4" s="1"/>
  <c r="Q954" i="4"/>
  <c r="P954" i="4"/>
  <c r="O954" i="4"/>
  <c r="N954" i="4"/>
  <c r="M954" i="4"/>
  <c r="L954" i="4"/>
  <c r="K954" i="4"/>
  <c r="J954" i="4"/>
  <c r="H954" i="4"/>
  <c r="G954" i="4"/>
  <c r="I954" i="4" s="1" a="1"/>
  <c r="I954" i="4" s="1"/>
  <c r="F954" i="4"/>
  <c r="D954" i="4"/>
  <c r="C954" i="4"/>
  <c r="B954" i="4"/>
  <c r="V953" i="4"/>
  <c r="U953" i="4"/>
  <c r="T953" i="4"/>
  <c r="S953" i="4"/>
  <c r="R953" i="4"/>
  <c r="Q953" i="4"/>
  <c r="P953" i="4"/>
  <c r="O953" i="4"/>
  <c r="N953" i="4"/>
  <c r="M953" i="4"/>
  <c r="L953" i="4"/>
  <c r="K953" i="4"/>
  <c r="J953" i="4"/>
  <c r="I953" i="4" a="1"/>
  <c r="I953" i="4" s="1"/>
  <c r="H953" i="4"/>
  <c r="G953" i="4"/>
  <c r="F953" i="4"/>
  <c r="C953" i="4"/>
  <c r="B953" i="4"/>
  <c r="D953" i="4" s="1"/>
  <c r="A953" i="4"/>
  <c r="V952" i="4"/>
  <c r="U952" i="4"/>
  <c r="T952" i="4"/>
  <c r="S952" i="4"/>
  <c r="R952" i="4"/>
  <c r="Q952" i="4"/>
  <c r="P952" i="4"/>
  <c r="O952" i="4"/>
  <c r="N952" i="4"/>
  <c r="M952" i="4"/>
  <c r="K952" i="4"/>
  <c r="J952" i="4"/>
  <c r="L952" i="4" s="1"/>
  <c r="I952" i="4" a="1"/>
  <c r="I952" i="4" s="1"/>
  <c r="H952" i="4"/>
  <c r="G952" i="4"/>
  <c r="F952" i="4"/>
  <c r="C952" i="4"/>
  <c r="B952" i="4"/>
  <c r="A952" i="4" s="1"/>
  <c r="V951" i="4"/>
  <c r="T951" i="4"/>
  <c r="S951" i="4"/>
  <c r="R951" i="4"/>
  <c r="U951" i="4" s="1"/>
  <c r="Q951" i="4"/>
  <c r="P951" i="4"/>
  <c r="O951" i="4"/>
  <c r="N951" i="4"/>
  <c r="M951" i="4"/>
  <c r="K951" i="4"/>
  <c r="J951" i="4"/>
  <c r="L951" i="4" s="1"/>
  <c r="H951" i="4"/>
  <c r="G951" i="4"/>
  <c r="I951" i="4" s="1" a="1"/>
  <c r="I951" i="4" s="1"/>
  <c r="F951" i="4"/>
  <c r="C951" i="4"/>
  <c r="B951" i="4"/>
  <c r="V950" i="4"/>
  <c r="T950" i="4"/>
  <c r="S950" i="4"/>
  <c r="R950" i="4"/>
  <c r="U950" i="4" s="1"/>
  <c r="Q950" i="4"/>
  <c r="P950" i="4"/>
  <c r="O950" i="4"/>
  <c r="N950" i="4"/>
  <c r="M950" i="4"/>
  <c r="K950" i="4"/>
  <c r="J950" i="4"/>
  <c r="I950" i="4" a="1"/>
  <c r="I950" i="4" s="1"/>
  <c r="H950" i="4"/>
  <c r="G950" i="4"/>
  <c r="F950" i="4"/>
  <c r="D950" i="4"/>
  <c r="C950" i="4"/>
  <c r="B950" i="4"/>
  <c r="A950" i="4"/>
  <c r="V949" i="4"/>
  <c r="U949" i="4"/>
  <c r="T949" i="4"/>
  <c r="S949" i="4"/>
  <c r="R949" i="4"/>
  <c r="Q949" i="4"/>
  <c r="P949" i="4"/>
  <c r="O949" i="4"/>
  <c r="N949" i="4"/>
  <c r="M949" i="4"/>
  <c r="L949" i="4"/>
  <c r="K949" i="4"/>
  <c r="J949" i="4"/>
  <c r="I949" i="4" a="1"/>
  <c r="I949" i="4" s="1"/>
  <c r="H949" i="4"/>
  <c r="G949" i="4"/>
  <c r="F949" i="4"/>
  <c r="D949" i="4"/>
  <c r="C949" i="4"/>
  <c r="B949" i="4"/>
  <c r="W949" i="4" s="1"/>
  <c r="A949" i="4"/>
  <c r="V948" i="4"/>
  <c r="U948" i="4"/>
  <c r="T948" i="4"/>
  <c r="S948" i="4"/>
  <c r="R948" i="4"/>
  <c r="Q948" i="4"/>
  <c r="P948" i="4"/>
  <c r="O948" i="4"/>
  <c r="N948" i="4"/>
  <c r="M948" i="4"/>
  <c r="L948" i="4"/>
  <c r="K948" i="4"/>
  <c r="J948" i="4"/>
  <c r="H948" i="4"/>
  <c r="G948" i="4"/>
  <c r="I948" i="4" s="1" a="1"/>
  <c r="I948" i="4" s="1"/>
  <c r="F948" i="4"/>
  <c r="C948" i="4"/>
  <c r="B948" i="4"/>
  <c r="V947" i="4"/>
  <c r="U947" i="4"/>
  <c r="T947" i="4"/>
  <c r="S947" i="4"/>
  <c r="R947" i="4"/>
  <c r="Q947" i="4"/>
  <c r="P947" i="4"/>
  <c r="O947" i="4"/>
  <c r="N947" i="4"/>
  <c r="M947" i="4"/>
  <c r="K947" i="4"/>
  <c r="J947" i="4"/>
  <c r="L947" i="4" s="1"/>
  <c r="H947" i="4"/>
  <c r="G947" i="4"/>
  <c r="F947" i="4"/>
  <c r="D947" i="4"/>
  <c r="C947" i="4"/>
  <c r="B947" i="4"/>
  <c r="A947" i="4"/>
  <c r="V946" i="4"/>
  <c r="T946" i="4"/>
  <c r="S946" i="4"/>
  <c r="R946" i="4"/>
  <c r="U946" i="4" s="1"/>
  <c r="Q946" i="4"/>
  <c r="P946" i="4"/>
  <c r="O946" i="4"/>
  <c r="W946" i="4" s="1"/>
  <c r="N946" i="4"/>
  <c r="M946" i="4"/>
  <c r="L946" i="4"/>
  <c r="K946" i="4"/>
  <c r="J946" i="4"/>
  <c r="H946" i="4"/>
  <c r="G946" i="4"/>
  <c r="I946" i="4" s="1" a="1"/>
  <c r="I946" i="4" s="1"/>
  <c r="F946" i="4"/>
  <c r="D946" i="4"/>
  <c r="C946" i="4"/>
  <c r="B946" i="4"/>
  <c r="V945" i="4"/>
  <c r="T945" i="4"/>
  <c r="S945" i="4"/>
  <c r="R945" i="4"/>
  <c r="U945" i="4" s="1"/>
  <c r="Q945" i="4"/>
  <c r="P945" i="4"/>
  <c r="O945" i="4"/>
  <c r="N945" i="4"/>
  <c r="M945" i="4"/>
  <c r="L945" i="4"/>
  <c r="K945" i="4"/>
  <c r="J945" i="4"/>
  <c r="I945" i="4" a="1"/>
  <c r="I945" i="4" s="1"/>
  <c r="H945" i="4"/>
  <c r="G945" i="4"/>
  <c r="F945" i="4"/>
  <c r="C945" i="4"/>
  <c r="B945" i="4"/>
  <c r="D945" i="4" s="1"/>
  <c r="A945" i="4"/>
  <c r="V944" i="4"/>
  <c r="U944" i="4"/>
  <c r="T944" i="4"/>
  <c r="S944" i="4"/>
  <c r="R944" i="4"/>
  <c r="Q944" i="4"/>
  <c r="P944" i="4"/>
  <c r="O944" i="4"/>
  <c r="N944" i="4"/>
  <c r="M944" i="4"/>
  <c r="K944" i="4"/>
  <c r="J944" i="4"/>
  <c r="L944" i="4" s="1"/>
  <c r="I944" i="4" a="1"/>
  <c r="I944" i="4" s="1"/>
  <c r="H944" i="4"/>
  <c r="G944" i="4"/>
  <c r="F944" i="4"/>
  <c r="C944" i="4"/>
  <c r="B944" i="4"/>
  <c r="A944" i="4" s="1"/>
  <c r="V943" i="4"/>
  <c r="T943" i="4"/>
  <c r="S943" i="4"/>
  <c r="R943" i="4"/>
  <c r="U943" i="4" s="1"/>
  <c r="Q943" i="4"/>
  <c r="P943" i="4"/>
  <c r="O943" i="4"/>
  <c r="N943" i="4"/>
  <c r="M943" i="4"/>
  <c r="K943" i="4"/>
  <c r="J943" i="4"/>
  <c r="L943" i="4" s="1"/>
  <c r="H943" i="4"/>
  <c r="G943" i="4"/>
  <c r="I943" i="4" s="1" a="1"/>
  <c r="I943" i="4" s="1"/>
  <c r="F943" i="4"/>
  <c r="C943" i="4"/>
  <c r="B943" i="4"/>
  <c r="W942" i="4"/>
  <c r="V942" i="4"/>
  <c r="T942" i="4"/>
  <c r="S942" i="4"/>
  <c r="R942" i="4"/>
  <c r="U942" i="4" s="1"/>
  <c r="Q942" i="4"/>
  <c r="P942" i="4"/>
  <c r="O942" i="4"/>
  <c r="N942" i="4"/>
  <c r="M942" i="4"/>
  <c r="K942" i="4"/>
  <c r="J942" i="4"/>
  <c r="L942" i="4" s="1"/>
  <c r="I942" i="4" a="1"/>
  <c r="I942" i="4" s="1"/>
  <c r="H942" i="4"/>
  <c r="G942" i="4"/>
  <c r="F942" i="4"/>
  <c r="D942" i="4"/>
  <c r="C942" i="4"/>
  <c r="B942" i="4"/>
  <c r="A942" i="4"/>
  <c r="V941" i="4"/>
  <c r="U941" i="4"/>
  <c r="T941" i="4"/>
  <c r="S941" i="4"/>
  <c r="R941" i="4"/>
  <c r="Q941" i="4"/>
  <c r="P941" i="4"/>
  <c r="O941" i="4"/>
  <c r="N941" i="4"/>
  <c r="M941" i="4"/>
  <c r="L941" i="4"/>
  <c r="K941" i="4"/>
  <c r="J941" i="4"/>
  <c r="I941" i="4" a="1"/>
  <c r="I941" i="4" s="1"/>
  <c r="H941" i="4"/>
  <c r="G941" i="4"/>
  <c r="F941" i="4"/>
  <c r="D941" i="4"/>
  <c r="C941" i="4"/>
  <c r="B941" i="4"/>
  <c r="A941" i="4"/>
  <c r="V940" i="4"/>
  <c r="U940" i="4"/>
  <c r="T940" i="4"/>
  <c r="S940" i="4"/>
  <c r="R940" i="4"/>
  <c r="Q940" i="4"/>
  <c r="P940" i="4"/>
  <c r="O940" i="4"/>
  <c r="N940" i="4"/>
  <c r="M940" i="4"/>
  <c r="L940" i="4"/>
  <c r="K940" i="4"/>
  <c r="J940" i="4"/>
  <c r="I940" i="4"/>
  <c r="H940" i="4"/>
  <c r="G940" i="4"/>
  <c r="I940" i="4" s="1" a="1"/>
  <c r="F940" i="4"/>
  <c r="C940" i="4"/>
  <c r="B940" i="4"/>
  <c r="V939" i="4"/>
  <c r="U939" i="4"/>
  <c r="T939" i="4"/>
  <c r="S939" i="4"/>
  <c r="R939" i="4"/>
  <c r="Q939" i="4"/>
  <c r="P939" i="4"/>
  <c r="O939" i="4"/>
  <c r="N939" i="4"/>
  <c r="M939" i="4"/>
  <c r="K939" i="4"/>
  <c r="J939" i="4"/>
  <c r="L939" i="4" s="1"/>
  <c r="H939" i="4"/>
  <c r="G939" i="4"/>
  <c r="F939" i="4"/>
  <c r="D939" i="4"/>
  <c r="C939" i="4"/>
  <c r="B939" i="4"/>
  <c r="A939" i="4"/>
  <c r="V938" i="4"/>
  <c r="T938" i="4"/>
  <c r="S938" i="4"/>
  <c r="R938" i="4"/>
  <c r="U938" i="4" s="1"/>
  <c r="Q938" i="4"/>
  <c r="P938" i="4"/>
  <c r="O938" i="4"/>
  <c r="N938" i="4"/>
  <c r="M938" i="4"/>
  <c r="L938" i="4"/>
  <c r="K938" i="4"/>
  <c r="J938" i="4"/>
  <c r="H938" i="4"/>
  <c r="G938" i="4"/>
  <c r="I938" i="4" s="1" a="1"/>
  <c r="I938" i="4" s="1"/>
  <c r="F938" i="4"/>
  <c r="D938" i="4"/>
  <c r="C938" i="4"/>
  <c r="B938" i="4"/>
  <c r="V937" i="4"/>
  <c r="T937" i="4"/>
  <c r="S937" i="4"/>
  <c r="R937" i="4"/>
  <c r="U937" i="4" s="1"/>
  <c r="Q937" i="4"/>
  <c r="P937" i="4"/>
  <c r="O937" i="4"/>
  <c r="N937" i="4"/>
  <c r="M937" i="4"/>
  <c r="K937" i="4"/>
  <c r="J937" i="4"/>
  <c r="W937" i="4" s="1"/>
  <c r="I937" i="4" a="1"/>
  <c r="I937" i="4" s="1"/>
  <c r="H937" i="4"/>
  <c r="G937" i="4"/>
  <c r="F937" i="4"/>
  <c r="C937" i="4"/>
  <c r="B937" i="4"/>
  <c r="D937" i="4" s="1"/>
  <c r="A937" i="4"/>
  <c r="V936" i="4"/>
  <c r="U936" i="4"/>
  <c r="T936" i="4"/>
  <c r="S936" i="4"/>
  <c r="R936" i="4"/>
  <c r="Q936" i="4"/>
  <c r="P936" i="4"/>
  <c r="O936" i="4"/>
  <c r="N936" i="4"/>
  <c r="M936" i="4"/>
  <c r="K936" i="4"/>
  <c r="J936" i="4"/>
  <c r="L936" i="4" s="1"/>
  <c r="I936" i="4"/>
  <c r="I936" i="4" a="1"/>
  <c r="H936" i="4"/>
  <c r="G936" i="4"/>
  <c r="F936" i="4"/>
  <c r="C936" i="4"/>
  <c r="B936" i="4"/>
  <c r="V935" i="4"/>
  <c r="T935" i="4"/>
  <c r="S935" i="4"/>
  <c r="R935" i="4"/>
  <c r="U935" i="4" s="1"/>
  <c r="Q935" i="4"/>
  <c r="P935" i="4"/>
  <c r="O935" i="4"/>
  <c r="N935" i="4"/>
  <c r="M935" i="4"/>
  <c r="L935" i="4"/>
  <c r="K935" i="4"/>
  <c r="J935" i="4"/>
  <c r="H935" i="4"/>
  <c r="G935" i="4"/>
  <c r="I935" i="4" s="1" a="1"/>
  <c r="I935" i="4" s="1"/>
  <c r="F935" i="4"/>
  <c r="C935" i="4"/>
  <c r="B935" i="4"/>
  <c r="V934" i="4"/>
  <c r="U934" i="4"/>
  <c r="T934" i="4"/>
  <c r="S934" i="4"/>
  <c r="R934" i="4"/>
  <c r="Q934" i="4"/>
  <c r="P934" i="4"/>
  <c r="O934" i="4"/>
  <c r="N934" i="4"/>
  <c r="M934" i="4"/>
  <c r="K934" i="4"/>
  <c r="J934" i="4"/>
  <c r="L934" i="4" s="1"/>
  <c r="I934" i="4" a="1"/>
  <c r="I934" i="4" s="1"/>
  <c r="H934" i="4"/>
  <c r="G934" i="4"/>
  <c r="F934" i="4"/>
  <c r="D934" i="4"/>
  <c r="C934" i="4"/>
  <c r="B934" i="4"/>
  <c r="A934" i="4"/>
  <c r="V933" i="4"/>
  <c r="U933" i="4"/>
  <c r="T933" i="4"/>
  <c r="S933" i="4"/>
  <c r="R933" i="4"/>
  <c r="Q933" i="4"/>
  <c r="P933" i="4"/>
  <c r="O933" i="4"/>
  <c r="N933" i="4"/>
  <c r="M933" i="4"/>
  <c r="L933" i="4"/>
  <c r="K933" i="4"/>
  <c r="J933" i="4"/>
  <c r="I933" i="4"/>
  <c r="H933" i="4"/>
  <c r="G933" i="4"/>
  <c r="I933" i="4" s="1" a="1"/>
  <c r="F933" i="4"/>
  <c r="C933" i="4"/>
  <c r="B933" i="4"/>
  <c r="V932" i="4"/>
  <c r="U932" i="4"/>
  <c r="T932" i="4"/>
  <c r="S932" i="4"/>
  <c r="R932" i="4"/>
  <c r="Q932" i="4"/>
  <c r="P932" i="4"/>
  <c r="O932" i="4"/>
  <c r="N932" i="4"/>
  <c r="M932" i="4"/>
  <c r="L932" i="4"/>
  <c r="K932" i="4"/>
  <c r="J932" i="4"/>
  <c r="I932" i="4"/>
  <c r="H932" i="4"/>
  <c r="G932" i="4"/>
  <c r="I932" i="4" s="1" a="1"/>
  <c r="F932" i="4"/>
  <c r="C932" i="4"/>
  <c r="B932" i="4"/>
  <c r="V931" i="4"/>
  <c r="T931" i="4"/>
  <c r="S931" i="4"/>
  <c r="R931" i="4"/>
  <c r="U931" i="4" s="1"/>
  <c r="Q931" i="4"/>
  <c r="P931" i="4"/>
  <c r="O931" i="4"/>
  <c r="N931" i="4"/>
  <c r="M931" i="4"/>
  <c r="K931" i="4"/>
  <c r="J931" i="4"/>
  <c r="L931" i="4" s="1"/>
  <c r="I931" i="4" a="1"/>
  <c r="I931" i="4" s="1"/>
  <c r="H931" i="4"/>
  <c r="G931" i="4"/>
  <c r="F931" i="4"/>
  <c r="D931" i="4"/>
  <c r="C931" i="4"/>
  <c r="B931" i="4"/>
  <c r="A931" i="4"/>
  <c r="W930" i="4"/>
  <c r="V930" i="4"/>
  <c r="T930" i="4"/>
  <c r="S930" i="4"/>
  <c r="R930" i="4"/>
  <c r="U930" i="4" s="1"/>
  <c r="Q930" i="4"/>
  <c r="P930" i="4"/>
  <c r="O930" i="4"/>
  <c r="N930" i="4"/>
  <c r="M930" i="4"/>
  <c r="L930" i="4"/>
  <c r="K930" i="4"/>
  <c r="J930" i="4"/>
  <c r="H930" i="4"/>
  <c r="G930" i="4"/>
  <c r="I930" i="4" s="1" a="1"/>
  <c r="I930" i="4" s="1"/>
  <c r="F930" i="4"/>
  <c r="C930" i="4"/>
  <c r="B930" i="4"/>
  <c r="V929" i="4"/>
  <c r="U929" i="4"/>
  <c r="T929" i="4"/>
  <c r="S929" i="4"/>
  <c r="R929" i="4"/>
  <c r="Q929" i="4"/>
  <c r="P929" i="4"/>
  <c r="O929" i="4"/>
  <c r="N929" i="4"/>
  <c r="M929" i="4"/>
  <c r="L929" i="4"/>
  <c r="K929" i="4"/>
  <c r="J929" i="4"/>
  <c r="I929" i="4" a="1"/>
  <c r="I929" i="4" s="1"/>
  <c r="H929" i="4"/>
  <c r="G929" i="4"/>
  <c r="F929" i="4"/>
  <c r="C929" i="4"/>
  <c r="B929" i="4"/>
  <c r="D929" i="4" s="1"/>
  <c r="A929" i="4"/>
  <c r="V928" i="4"/>
  <c r="U928" i="4"/>
  <c r="T928" i="4"/>
  <c r="S928" i="4"/>
  <c r="R928" i="4"/>
  <c r="Q928" i="4"/>
  <c r="P928" i="4"/>
  <c r="O928" i="4"/>
  <c r="N928" i="4"/>
  <c r="M928" i="4"/>
  <c r="K928" i="4"/>
  <c r="J928" i="4"/>
  <c r="L928" i="4" s="1"/>
  <c r="H928" i="4"/>
  <c r="G928" i="4"/>
  <c r="I928" i="4" s="1" a="1"/>
  <c r="I928" i="4" s="1"/>
  <c r="F928" i="4"/>
  <c r="C928" i="4"/>
  <c r="B928" i="4"/>
  <c r="V927" i="4"/>
  <c r="T927" i="4"/>
  <c r="S927" i="4"/>
  <c r="R927" i="4"/>
  <c r="U927" i="4" s="1"/>
  <c r="Q927" i="4"/>
  <c r="P927" i="4"/>
  <c r="O927" i="4"/>
  <c r="N927" i="4"/>
  <c r="M927" i="4"/>
  <c r="L927" i="4"/>
  <c r="K927" i="4"/>
  <c r="J927" i="4"/>
  <c r="I927" i="4"/>
  <c r="H927" i="4"/>
  <c r="G927" i="4"/>
  <c r="I927" i="4" s="1" a="1"/>
  <c r="F927" i="4"/>
  <c r="D927" i="4"/>
  <c r="C927" i="4"/>
  <c r="B927" i="4"/>
  <c r="W927" i="4" s="1"/>
  <c r="W926" i="4"/>
  <c r="V926" i="4"/>
  <c r="T926" i="4"/>
  <c r="S926" i="4"/>
  <c r="R926" i="4"/>
  <c r="U926" i="4" s="1"/>
  <c r="Q926" i="4"/>
  <c r="P926" i="4"/>
  <c r="O926" i="4"/>
  <c r="N926" i="4"/>
  <c r="M926" i="4"/>
  <c r="K926" i="4"/>
  <c r="J926" i="4"/>
  <c r="L926" i="4" s="1"/>
  <c r="I926" i="4" a="1"/>
  <c r="I926" i="4" s="1"/>
  <c r="H926" i="4"/>
  <c r="G926" i="4"/>
  <c r="F926" i="4"/>
  <c r="D926" i="4"/>
  <c r="C926" i="4"/>
  <c r="B926" i="4"/>
  <c r="A926" i="4"/>
  <c r="V925" i="4"/>
  <c r="U925" i="4"/>
  <c r="T925" i="4"/>
  <c r="S925" i="4"/>
  <c r="R925" i="4"/>
  <c r="Q925" i="4"/>
  <c r="P925" i="4"/>
  <c r="O925" i="4"/>
  <c r="N925" i="4"/>
  <c r="M925" i="4"/>
  <c r="L925" i="4"/>
  <c r="K925" i="4"/>
  <c r="J925" i="4"/>
  <c r="H925" i="4"/>
  <c r="G925" i="4"/>
  <c r="F925" i="4"/>
  <c r="C925" i="4"/>
  <c r="B925" i="4"/>
  <c r="A925" i="4" s="1"/>
  <c r="V924" i="4"/>
  <c r="T924" i="4"/>
  <c r="S924" i="4"/>
  <c r="R924" i="4"/>
  <c r="U924" i="4" s="1"/>
  <c r="Q924" i="4"/>
  <c r="P924" i="4"/>
  <c r="O924" i="4"/>
  <c r="N924" i="4"/>
  <c r="M924" i="4"/>
  <c r="K924" i="4"/>
  <c r="J924" i="4"/>
  <c r="L924" i="4" s="1"/>
  <c r="H924" i="4"/>
  <c r="G924" i="4"/>
  <c r="I924" i="4" s="1" a="1"/>
  <c r="I924" i="4" s="1"/>
  <c r="F924" i="4"/>
  <c r="C924" i="4"/>
  <c r="B924" i="4"/>
  <c r="V923" i="4"/>
  <c r="U923" i="4"/>
  <c r="T923" i="4"/>
  <c r="S923" i="4"/>
  <c r="R923" i="4"/>
  <c r="Q923" i="4"/>
  <c r="P923" i="4"/>
  <c r="O923" i="4"/>
  <c r="N923" i="4"/>
  <c r="M923" i="4"/>
  <c r="K923" i="4"/>
  <c r="J923" i="4"/>
  <c r="L923" i="4" s="1"/>
  <c r="H923" i="4"/>
  <c r="G923" i="4"/>
  <c r="F923" i="4"/>
  <c r="D923" i="4"/>
  <c r="C923" i="4"/>
  <c r="B923" i="4"/>
  <c r="A923" i="4"/>
  <c r="V922" i="4"/>
  <c r="T922" i="4"/>
  <c r="S922" i="4"/>
  <c r="R922" i="4"/>
  <c r="U922" i="4" s="1"/>
  <c r="Q922" i="4"/>
  <c r="P922" i="4"/>
  <c r="O922" i="4"/>
  <c r="N922" i="4"/>
  <c r="M922" i="4"/>
  <c r="L922" i="4"/>
  <c r="K922" i="4"/>
  <c r="J922" i="4"/>
  <c r="I922" i="4"/>
  <c r="I922" i="4" a="1"/>
  <c r="H922" i="4"/>
  <c r="G922" i="4"/>
  <c r="F922" i="4"/>
  <c r="C922" i="4"/>
  <c r="B922" i="4"/>
  <c r="V921" i="4"/>
  <c r="T921" i="4"/>
  <c r="S921" i="4"/>
  <c r="R921" i="4"/>
  <c r="U921" i="4" s="1"/>
  <c r="Q921" i="4"/>
  <c r="P921" i="4"/>
  <c r="O921" i="4"/>
  <c r="N921" i="4"/>
  <c r="M921" i="4"/>
  <c r="K921" i="4"/>
  <c r="J921" i="4"/>
  <c r="L921" i="4" s="1"/>
  <c r="I921" i="4"/>
  <c r="I921" i="4" a="1"/>
  <c r="H921" i="4"/>
  <c r="G921" i="4"/>
  <c r="F921" i="4"/>
  <c r="C921" i="4"/>
  <c r="B921" i="4"/>
  <c r="V920" i="4"/>
  <c r="U920" i="4"/>
  <c r="T920" i="4"/>
  <c r="S920" i="4"/>
  <c r="R920" i="4"/>
  <c r="Q920" i="4"/>
  <c r="P920" i="4"/>
  <c r="O920" i="4"/>
  <c r="N920" i="4"/>
  <c r="M920" i="4"/>
  <c r="K920" i="4"/>
  <c r="J920" i="4"/>
  <c r="L920" i="4" s="1"/>
  <c r="I920" i="4" a="1"/>
  <c r="I920" i="4" s="1"/>
  <c r="H920" i="4"/>
  <c r="G920" i="4"/>
  <c r="F920" i="4"/>
  <c r="D920" i="4"/>
  <c r="C920" i="4"/>
  <c r="B920" i="4"/>
  <c r="A920" i="4"/>
  <c r="V919" i="4"/>
  <c r="T919" i="4"/>
  <c r="S919" i="4"/>
  <c r="R919" i="4"/>
  <c r="U919" i="4" s="1"/>
  <c r="Q919" i="4"/>
  <c r="P919" i="4"/>
  <c r="O919" i="4"/>
  <c r="N919" i="4"/>
  <c r="M919" i="4"/>
  <c r="K919" i="4"/>
  <c r="J919" i="4"/>
  <c r="L919" i="4" s="1"/>
  <c r="H919" i="4"/>
  <c r="G919" i="4"/>
  <c r="I919" i="4" s="1" a="1"/>
  <c r="I919" i="4" s="1"/>
  <c r="F919" i="4"/>
  <c r="C919" i="4"/>
  <c r="B919" i="4"/>
  <c r="V918" i="4"/>
  <c r="U918" i="4"/>
  <c r="T918" i="4"/>
  <c r="S918" i="4"/>
  <c r="R918" i="4"/>
  <c r="Q918" i="4"/>
  <c r="P918" i="4"/>
  <c r="O918" i="4"/>
  <c r="N918" i="4"/>
  <c r="M918" i="4"/>
  <c r="L918" i="4"/>
  <c r="K918" i="4"/>
  <c r="J918" i="4"/>
  <c r="W918" i="4" s="1"/>
  <c r="I918" i="4" a="1"/>
  <c r="I918" i="4" s="1"/>
  <c r="H918" i="4"/>
  <c r="G918" i="4"/>
  <c r="F918" i="4"/>
  <c r="D918" i="4"/>
  <c r="C918" i="4"/>
  <c r="B918" i="4"/>
  <c r="A918" i="4"/>
  <c r="V917" i="4"/>
  <c r="U917" i="4"/>
  <c r="T917" i="4"/>
  <c r="S917" i="4"/>
  <c r="R917" i="4"/>
  <c r="Q917" i="4"/>
  <c r="P917" i="4"/>
  <c r="O917" i="4"/>
  <c r="N917" i="4"/>
  <c r="M917" i="4"/>
  <c r="L917" i="4"/>
  <c r="K917" i="4"/>
  <c r="J917" i="4"/>
  <c r="I917" i="4" a="1"/>
  <c r="I917" i="4" s="1"/>
  <c r="H917" i="4"/>
  <c r="G917" i="4"/>
  <c r="F917" i="4"/>
  <c r="D917" i="4"/>
  <c r="C917" i="4"/>
  <c r="B917" i="4"/>
  <c r="A917" i="4"/>
  <c r="V916" i="4"/>
  <c r="U916" i="4"/>
  <c r="T916" i="4"/>
  <c r="S916" i="4"/>
  <c r="R916" i="4"/>
  <c r="Q916" i="4"/>
  <c r="P916" i="4"/>
  <c r="O916" i="4"/>
  <c r="N916" i="4"/>
  <c r="M916" i="4"/>
  <c r="L916" i="4"/>
  <c r="K916" i="4"/>
  <c r="J916" i="4"/>
  <c r="H916" i="4"/>
  <c r="G916" i="4"/>
  <c r="I916" i="4" s="1" a="1"/>
  <c r="I916" i="4" s="1"/>
  <c r="F916" i="4"/>
  <c r="C916" i="4"/>
  <c r="B916" i="4"/>
  <c r="V915" i="4"/>
  <c r="T915" i="4"/>
  <c r="S915" i="4"/>
  <c r="R915" i="4"/>
  <c r="U915" i="4" s="1"/>
  <c r="Q915" i="4"/>
  <c r="P915" i="4"/>
  <c r="O915" i="4"/>
  <c r="N915" i="4"/>
  <c r="M915" i="4"/>
  <c r="K915" i="4"/>
  <c r="J915" i="4"/>
  <c r="L915" i="4" s="1"/>
  <c r="I915" i="4" a="1"/>
  <c r="I915" i="4" s="1"/>
  <c r="H915" i="4"/>
  <c r="G915" i="4"/>
  <c r="F915" i="4"/>
  <c r="D915" i="4"/>
  <c r="C915" i="4"/>
  <c r="B915" i="4"/>
  <c r="A915" i="4"/>
  <c r="V914" i="4"/>
  <c r="T914" i="4"/>
  <c r="S914" i="4"/>
  <c r="R914" i="4"/>
  <c r="U914" i="4" s="1"/>
  <c r="Q914" i="4"/>
  <c r="P914" i="4"/>
  <c r="O914" i="4"/>
  <c r="N914" i="4"/>
  <c r="M914" i="4"/>
  <c r="L914" i="4"/>
  <c r="K914" i="4"/>
  <c r="J914" i="4"/>
  <c r="I914" i="4" a="1"/>
  <c r="I914" i="4" s="1"/>
  <c r="H914" i="4"/>
  <c r="G914" i="4"/>
  <c r="W914" i="4" s="1"/>
  <c r="F914" i="4"/>
  <c r="D914" i="4"/>
  <c r="C914" i="4"/>
  <c r="B914" i="4"/>
  <c r="A914" i="4"/>
  <c r="V913" i="4"/>
  <c r="U913" i="4"/>
  <c r="T913" i="4"/>
  <c r="S913" i="4"/>
  <c r="R913" i="4"/>
  <c r="Q913" i="4"/>
  <c r="P913" i="4"/>
  <c r="O913" i="4"/>
  <c r="N913" i="4"/>
  <c r="M913" i="4"/>
  <c r="L913" i="4"/>
  <c r="K913" i="4"/>
  <c r="J913" i="4"/>
  <c r="I913" i="4" a="1"/>
  <c r="I913" i="4" s="1"/>
  <c r="H913" i="4"/>
  <c r="G913" i="4"/>
  <c r="F913" i="4"/>
  <c r="C913" i="4"/>
  <c r="B913" i="4"/>
  <c r="D913" i="4" s="1"/>
  <c r="A913" i="4"/>
  <c r="V912" i="4"/>
  <c r="T912" i="4"/>
  <c r="S912" i="4"/>
  <c r="R912" i="4"/>
  <c r="U912" i="4" s="1"/>
  <c r="Q912" i="4"/>
  <c r="P912" i="4"/>
  <c r="O912" i="4"/>
  <c r="N912" i="4"/>
  <c r="M912" i="4"/>
  <c r="K912" i="4"/>
  <c r="J912" i="4"/>
  <c r="L912" i="4" s="1"/>
  <c r="H912" i="4"/>
  <c r="G912" i="4"/>
  <c r="I912" i="4" s="1" a="1"/>
  <c r="I912" i="4" s="1"/>
  <c r="F912" i="4"/>
  <c r="C912" i="4"/>
  <c r="B912" i="4"/>
  <c r="V911" i="4"/>
  <c r="T911" i="4"/>
  <c r="S911" i="4"/>
  <c r="R911" i="4"/>
  <c r="U911" i="4" s="1"/>
  <c r="Q911" i="4"/>
  <c r="P911" i="4"/>
  <c r="O911" i="4"/>
  <c r="N911" i="4"/>
  <c r="M911" i="4"/>
  <c r="L911" i="4"/>
  <c r="K911" i="4"/>
  <c r="J911" i="4"/>
  <c r="H911" i="4"/>
  <c r="G911" i="4"/>
  <c r="I911" i="4" s="1" a="1"/>
  <c r="I911" i="4" s="1"/>
  <c r="F911" i="4"/>
  <c r="D911" i="4"/>
  <c r="C911" i="4"/>
  <c r="B911" i="4"/>
  <c r="W910" i="4"/>
  <c r="V910" i="4"/>
  <c r="T910" i="4"/>
  <c r="S910" i="4"/>
  <c r="R910" i="4"/>
  <c r="U910" i="4" s="1"/>
  <c r="Q910" i="4"/>
  <c r="P910" i="4"/>
  <c r="O910" i="4"/>
  <c r="N910" i="4"/>
  <c r="M910" i="4"/>
  <c r="L910" i="4"/>
  <c r="K910" i="4"/>
  <c r="J910" i="4"/>
  <c r="I910" i="4" a="1"/>
  <c r="I910" i="4" s="1"/>
  <c r="H910" i="4"/>
  <c r="G910" i="4"/>
  <c r="F910" i="4"/>
  <c r="D910" i="4"/>
  <c r="C910" i="4"/>
  <c r="B910" i="4"/>
  <c r="A910" i="4"/>
  <c r="V909" i="4"/>
  <c r="U909" i="4"/>
  <c r="T909" i="4"/>
  <c r="S909" i="4"/>
  <c r="R909" i="4"/>
  <c r="Q909" i="4"/>
  <c r="P909" i="4"/>
  <c r="O909" i="4"/>
  <c r="N909" i="4"/>
  <c r="M909" i="4"/>
  <c r="L909" i="4"/>
  <c r="K909" i="4"/>
  <c r="J909" i="4"/>
  <c r="H909" i="4"/>
  <c r="G909" i="4"/>
  <c r="I909" i="4" s="1" a="1"/>
  <c r="I909" i="4" s="1"/>
  <c r="F909" i="4"/>
  <c r="D909" i="4"/>
  <c r="C909" i="4"/>
  <c r="B909" i="4"/>
  <c r="A909" i="4" s="1"/>
  <c r="V908" i="4"/>
  <c r="T908" i="4"/>
  <c r="S908" i="4"/>
  <c r="R908" i="4"/>
  <c r="U908" i="4" s="1"/>
  <c r="Q908" i="4"/>
  <c r="P908" i="4"/>
  <c r="O908" i="4"/>
  <c r="N908" i="4"/>
  <c r="M908" i="4"/>
  <c r="K908" i="4"/>
  <c r="J908" i="4"/>
  <c r="L908" i="4" s="1"/>
  <c r="I908" i="4"/>
  <c r="H908" i="4"/>
  <c r="G908" i="4"/>
  <c r="I908" i="4" s="1" a="1"/>
  <c r="F908" i="4"/>
  <c r="C908" i="4"/>
  <c r="B908" i="4"/>
  <c r="V907" i="4"/>
  <c r="T907" i="4"/>
  <c r="S907" i="4"/>
  <c r="R907" i="4"/>
  <c r="U907" i="4" s="1"/>
  <c r="Q907" i="4"/>
  <c r="P907" i="4"/>
  <c r="O907" i="4"/>
  <c r="N907" i="4"/>
  <c r="M907" i="4"/>
  <c r="K907" i="4"/>
  <c r="J907" i="4"/>
  <c r="L907" i="4" s="1"/>
  <c r="H907" i="4"/>
  <c r="G907" i="4"/>
  <c r="F907" i="4"/>
  <c r="D907" i="4"/>
  <c r="C907" i="4"/>
  <c r="B907" i="4"/>
  <c r="A907" i="4"/>
  <c r="V906" i="4"/>
  <c r="U906" i="4"/>
  <c r="T906" i="4"/>
  <c r="S906" i="4"/>
  <c r="R906" i="4"/>
  <c r="Q906" i="4"/>
  <c r="P906" i="4"/>
  <c r="O906" i="4"/>
  <c r="N906" i="4"/>
  <c r="M906" i="4"/>
  <c r="L906" i="4"/>
  <c r="K906" i="4"/>
  <c r="J906" i="4"/>
  <c r="H906" i="4"/>
  <c r="G906" i="4"/>
  <c r="F906" i="4"/>
  <c r="C906" i="4"/>
  <c r="B906" i="4"/>
  <c r="D906" i="4" s="1"/>
  <c r="V905" i="4"/>
  <c r="T905" i="4"/>
  <c r="S905" i="4"/>
  <c r="R905" i="4"/>
  <c r="U905" i="4" s="1"/>
  <c r="Q905" i="4"/>
  <c r="P905" i="4"/>
  <c r="O905" i="4"/>
  <c r="W905" i="4" s="1"/>
  <c r="N905" i="4"/>
  <c r="M905" i="4"/>
  <c r="K905" i="4"/>
  <c r="J905" i="4"/>
  <c r="L905" i="4" s="1"/>
  <c r="I905" i="4" a="1"/>
  <c r="I905" i="4" s="1"/>
  <c r="H905" i="4"/>
  <c r="G905" i="4"/>
  <c r="F905" i="4"/>
  <c r="C905" i="4"/>
  <c r="B905" i="4"/>
  <c r="D905" i="4" s="1"/>
  <c r="V904" i="4"/>
  <c r="T904" i="4"/>
  <c r="S904" i="4"/>
  <c r="R904" i="4"/>
  <c r="U904" i="4" s="1"/>
  <c r="Q904" i="4"/>
  <c r="P904" i="4"/>
  <c r="O904" i="4"/>
  <c r="N904" i="4"/>
  <c r="M904" i="4"/>
  <c r="K904" i="4"/>
  <c r="J904" i="4"/>
  <c r="L904" i="4" s="1"/>
  <c r="H904" i="4"/>
  <c r="G904" i="4"/>
  <c r="I904" i="4" s="1" a="1"/>
  <c r="I904" i="4" s="1"/>
  <c r="F904" i="4"/>
  <c r="C904" i="4"/>
  <c r="B904" i="4"/>
  <c r="V903" i="4"/>
  <c r="T903" i="4"/>
  <c r="S903" i="4"/>
  <c r="R903" i="4"/>
  <c r="U903" i="4" s="1"/>
  <c r="Q903" i="4"/>
  <c r="P903" i="4"/>
  <c r="O903" i="4"/>
  <c r="N903" i="4"/>
  <c r="M903" i="4"/>
  <c r="K903" i="4"/>
  <c r="J903" i="4"/>
  <c r="L903" i="4" s="1"/>
  <c r="H903" i="4"/>
  <c r="G903" i="4"/>
  <c r="I903" i="4" s="1" a="1"/>
  <c r="I903" i="4" s="1"/>
  <c r="F903" i="4"/>
  <c r="C903" i="4"/>
  <c r="B903" i="4"/>
  <c r="V902" i="4"/>
  <c r="T902" i="4"/>
  <c r="S902" i="4"/>
  <c r="R902" i="4"/>
  <c r="U902" i="4" s="1"/>
  <c r="Q902" i="4"/>
  <c r="P902" i="4"/>
  <c r="O902" i="4"/>
  <c r="N902" i="4"/>
  <c r="M902" i="4"/>
  <c r="K902" i="4"/>
  <c r="J902" i="4"/>
  <c r="I902" i="4"/>
  <c r="I902" i="4" a="1"/>
  <c r="H902" i="4"/>
  <c r="G902" i="4"/>
  <c r="F902" i="4"/>
  <c r="C902" i="4"/>
  <c r="B902" i="4"/>
  <c r="D902" i="4" s="1"/>
  <c r="V901" i="4"/>
  <c r="T901" i="4"/>
  <c r="S901" i="4"/>
  <c r="R901" i="4"/>
  <c r="U901" i="4" s="1"/>
  <c r="Q901" i="4"/>
  <c r="P901" i="4"/>
  <c r="O901" i="4"/>
  <c r="N901" i="4"/>
  <c r="M901" i="4"/>
  <c r="K901" i="4"/>
  <c r="J901" i="4"/>
  <c r="L901" i="4" s="1"/>
  <c r="H901" i="4"/>
  <c r="G901" i="4"/>
  <c r="F901" i="4"/>
  <c r="C901" i="4"/>
  <c r="B901" i="4"/>
  <c r="A901" i="4" s="1"/>
  <c r="V900" i="4"/>
  <c r="T900" i="4"/>
  <c r="S900" i="4"/>
  <c r="R900" i="4"/>
  <c r="U900" i="4" s="1"/>
  <c r="Q900" i="4"/>
  <c r="P900" i="4"/>
  <c r="O900" i="4"/>
  <c r="N900" i="4"/>
  <c r="M900" i="4"/>
  <c r="K900" i="4"/>
  <c r="J900" i="4"/>
  <c r="L900" i="4" s="1"/>
  <c r="H900" i="4"/>
  <c r="G900" i="4"/>
  <c r="F900" i="4"/>
  <c r="C900" i="4"/>
  <c r="B900" i="4"/>
  <c r="A900" i="4" s="1"/>
  <c r="V899" i="4"/>
  <c r="T899" i="4"/>
  <c r="S899" i="4"/>
  <c r="R899" i="4"/>
  <c r="U899" i="4" s="1"/>
  <c r="Q899" i="4"/>
  <c r="P899" i="4"/>
  <c r="O899" i="4"/>
  <c r="W899" i="4" s="1"/>
  <c r="N899" i="4"/>
  <c r="M899" i="4"/>
  <c r="K899" i="4"/>
  <c r="J899" i="4"/>
  <c r="L899" i="4" s="1"/>
  <c r="I899" i="4" a="1"/>
  <c r="I899" i="4" s="1"/>
  <c r="H899" i="4"/>
  <c r="G899" i="4"/>
  <c r="F899" i="4"/>
  <c r="D899" i="4"/>
  <c r="C899" i="4"/>
  <c r="B899" i="4"/>
  <c r="A899" i="4"/>
  <c r="V898" i="4"/>
  <c r="T898" i="4"/>
  <c r="S898" i="4"/>
  <c r="R898" i="4"/>
  <c r="U898" i="4" s="1"/>
  <c r="Q898" i="4"/>
  <c r="P898" i="4"/>
  <c r="O898" i="4"/>
  <c r="N898" i="4"/>
  <c r="M898" i="4"/>
  <c r="L898" i="4"/>
  <c r="K898" i="4"/>
  <c r="J898" i="4"/>
  <c r="I898" i="4"/>
  <c r="I898" i="4" a="1"/>
  <c r="H898" i="4"/>
  <c r="G898" i="4"/>
  <c r="F898" i="4"/>
  <c r="C898" i="4"/>
  <c r="B898" i="4"/>
  <c r="A898" i="4"/>
  <c r="V897" i="4"/>
  <c r="T897" i="4"/>
  <c r="S897" i="4"/>
  <c r="R897" i="4"/>
  <c r="U897" i="4" s="1"/>
  <c r="Q897" i="4"/>
  <c r="P897" i="4"/>
  <c r="O897" i="4"/>
  <c r="N897" i="4"/>
  <c r="M897" i="4"/>
  <c r="K897" i="4"/>
  <c r="J897" i="4"/>
  <c r="L897" i="4" s="1"/>
  <c r="H897" i="4"/>
  <c r="G897" i="4"/>
  <c r="I897" i="4" s="1" a="1"/>
  <c r="I897" i="4" s="1"/>
  <c r="F897" i="4"/>
  <c r="C897" i="4"/>
  <c r="B897" i="4"/>
  <c r="V896" i="4"/>
  <c r="T896" i="4"/>
  <c r="S896" i="4"/>
  <c r="R896" i="4"/>
  <c r="U896" i="4" s="1"/>
  <c r="Q896" i="4"/>
  <c r="P896" i="4"/>
  <c r="O896" i="4"/>
  <c r="N896" i="4"/>
  <c r="M896" i="4"/>
  <c r="K896" i="4"/>
  <c r="J896" i="4"/>
  <c r="L896" i="4" s="1"/>
  <c r="H896" i="4"/>
  <c r="G896" i="4"/>
  <c r="F896" i="4"/>
  <c r="D896" i="4"/>
  <c r="C896" i="4"/>
  <c r="B896" i="4"/>
  <c r="V895" i="4"/>
  <c r="U895" i="4"/>
  <c r="T895" i="4"/>
  <c r="S895" i="4"/>
  <c r="R895" i="4"/>
  <c r="Q895" i="4"/>
  <c r="P895" i="4"/>
  <c r="O895" i="4"/>
  <c r="W895" i="4" s="1"/>
  <c r="N895" i="4"/>
  <c r="M895" i="4"/>
  <c r="L895" i="4"/>
  <c r="K895" i="4"/>
  <c r="J895" i="4"/>
  <c r="H895" i="4"/>
  <c r="G895" i="4"/>
  <c r="I895" i="4" s="1" a="1"/>
  <c r="I895" i="4" s="1"/>
  <c r="F895" i="4"/>
  <c r="D895" i="4"/>
  <c r="C895" i="4"/>
  <c r="B895" i="4"/>
  <c r="A895" i="4"/>
  <c r="V894" i="4"/>
  <c r="U894" i="4"/>
  <c r="T894" i="4"/>
  <c r="S894" i="4"/>
  <c r="R894" i="4"/>
  <c r="Q894" i="4"/>
  <c r="P894" i="4"/>
  <c r="O894" i="4"/>
  <c r="N894" i="4"/>
  <c r="M894" i="4"/>
  <c r="W894" i="4" s="1"/>
  <c r="L894" i="4"/>
  <c r="K894" i="4"/>
  <c r="J894" i="4"/>
  <c r="I894" i="4" a="1"/>
  <c r="I894" i="4" s="1"/>
  <c r="H894" i="4"/>
  <c r="G894" i="4"/>
  <c r="F894" i="4"/>
  <c r="C894" i="4"/>
  <c r="B894" i="4"/>
  <c r="D894" i="4" s="1"/>
  <c r="A894" i="4"/>
  <c r="V893" i="4"/>
  <c r="U893" i="4"/>
  <c r="T893" i="4"/>
  <c r="S893" i="4"/>
  <c r="R893" i="4"/>
  <c r="Q893" i="4"/>
  <c r="P893" i="4"/>
  <c r="O893" i="4"/>
  <c r="N893" i="4"/>
  <c r="M893" i="4"/>
  <c r="K893" i="4"/>
  <c r="J893" i="4"/>
  <c r="L893" i="4" s="1"/>
  <c r="I893" i="4"/>
  <c r="H893" i="4"/>
  <c r="G893" i="4"/>
  <c r="I893" i="4" s="1" a="1"/>
  <c r="F893" i="4"/>
  <c r="C893" i="4"/>
  <c r="B893" i="4"/>
  <c r="V892" i="4"/>
  <c r="T892" i="4"/>
  <c r="S892" i="4"/>
  <c r="R892" i="4"/>
  <c r="U892" i="4" s="1"/>
  <c r="Q892" i="4"/>
  <c r="P892" i="4"/>
  <c r="O892" i="4"/>
  <c r="N892" i="4"/>
  <c r="M892" i="4"/>
  <c r="K892" i="4"/>
  <c r="J892" i="4"/>
  <c r="L892" i="4" s="1"/>
  <c r="H892" i="4"/>
  <c r="G892" i="4"/>
  <c r="I892" i="4" s="1" a="1"/>
  <c r="I892" i="4" s="1"/>
  <c r="F892" i="4"/>
  <c r="C892" i="4"/>
  <c r="B892" i="4"/>
  <c r="D892" i="4" s="1"/>
  <c r="W891" i="4"/>
  <c r="V891" i="4"/>
  <c r="T891" i="4"/>
  <c r="S891" i="4"/>
  <c r="R891" i="4"/>
  <c r="U891" i="4" s="1"/>
  <c r="Q891" i="4"/>
  <c r="P891" i="4"/>
  <c r="O891" i="4"/>
  <c r="N891" i="4"/>
  <c r="M891" i="4"/>
  <c r="K891" i="4"/>
  <c r="J891" i="4"/>
  <c r="L891" i="4" s="1"/>
  <c r="I891" i="4" a="1"/>
  <c r="I891" i="4" s="1"/>
  <c r="H891" i="4"/>
  <c r="G891" i="4"/>
  <c r="F891" i="4"/>
  <c r="D891" i="4"/>
  <c r="C891" i="4"/>
  <c r="B891" i="4"/>
  <c r="A891" i="4"/>
  <c r="V890" i="4"/>
  <c r="T890" i="4"/>
  <c r="S890" i="4"/>
  <c r="R890" i="4"/>
  <c r="U890" i="4" s="1"/>
  <c r="Q890" i="4"/>
  <c r="P890" i="4"/>
  <c r="O890" i="4"/>
  <c r="N890" i="4"/>
  <c r="M890" i="4"/>
  <c r="L890" i="4"/>
  <c r="K890" i="4"/>
  <c r="J890" i="4"/>
  <c r="I890" i="4" a="1"/>
  <c r="I890" i="4" s="1"/>
  <c r="H890" i="4"/>
  <c r="G890" i="4"/>
  <c r="F890" i="4"/>
  <c r="C890" i="4"/>
  <c r="B890" i="4"/>
  <c r="A890" i="4" s="1"/>
  <c r="V889" i="4"/>
  <c r="U889" i="4"/>
  <c r="T889" i="4"/>
  <c r="S889" i="4"/>
  <c r="R889" i="4"/>
  <c r="Q889" i="4"/>
  <c r="P889" i="4"/>
  <c r="O889" i="4"/>
  <c r="N889" i="4"/>
  <c r="M889" i="4"/>
  <c r="K889" i="4"/>
  <c r="J889" i="4"/>
  <c r="L889" i="4" s="1"/>
  <c r="H889" i="4"/>
  <c r="G889" i="4"/>
  <c r="I889" i="4" s="1" a="1"/>
  <c r="I889" i="4" s="1"/>
  <c r="F889" i="4"/>
  <c r="C889" i="4"/>
  <c r="B889" i="4"/>
  <c r="V888" i="4"/>
  <c r="T888" i="4"/>
  <c r="S888" i="4"/>
  <c r="R888" i="4"/>
  <c r="U888" i="4" s="1"/>
  <c r="Q888" i="4"/>
  <c r="P888" i="4"/>
  <c r="O888" i="4"/>
  <c r="N888" i="4"/>
  <c r="M888" i="4"/>
  <c r="K888" i="4"/>
  <c r="J888" i="4"/>
  <c r="L888" i="4" s="1"/>
  <c r="H888" i="4"/>
  <c r="G888" i="4"/>
  <c r="F888" i="4"/>
  <c r="D888" i="4"/>
  <c r="C888" i="4"/>
  <c r="B888" i="4"/>
  <c r="V887" i="4"/>
  <c r="U887" i="4"/>
  <c r="T887" i="4"/>
  <c r="S887" i="4"/>
  <c r="R887" i="4"/>
  <c r="Q887" i="4"/>
  <c r="P887" i="4"/>
  <c r="O887" i="4"/>
  <c r="W887" i="4" s="1"/>
  <c r="N887" i="4"/>
  <c r="M887" i="4"/>
  <c r="L887" i="4"/>
  <c r="K887" i="4"/>
  <c r="J887" i="4"/>
  <c r="H887" i="4"/>
  <c r="G887" i="4"/>
  <c r="I887" i="4" s="1" a="1"/>
  <c r="I887" i="4" s="1"/>
  <c r="F887" i="4"/>
  <c r="D887" i="4"/>
  <c r="C887" i="4"/>
  <c r="B887" i="4"/>
  <c r="A887" i="4"/>
  <c r="V886" i="4"/>
  <c r="U886" i="4"/>
  <c r="T886" i="4"/>
  <c r="S886" i="4"/>
  <c r="R886" i="4"/>
  <c r="Q886" i="4"/>
  <c r="P886" i="4"/>
  <c r="O886" i="4"/>
  <c r="N886" i="4"/>
  <c r="M886" i="4"/>
  <c r="W886" i="4" s="1"/>
  <c r="L886" i="4"/>
  <c r="K886" i="4"/>
  <c r="J886" i="4"/>
  <c r="I886" i="4" a="1"/>
  <c r="I886" i="4" s="1"/>
  <c r="H886" i="4"/>
  <c r="G886" i="4"/>
  <c r="F886" i="4"/>
  <c r="C886" i="4"/>
  <c r="B886" i="4"/>
  <c r="D886" i="4" s="1"/>
  <c r="A886" i="4"/>
  <c r="V885" i="4"/>
  <c r="U885" i="4"/>
  <c r="T885" i="4"/>
  <c r="S885" i="4"/>
  <c r="R885" i="4"/>
  <c r="Q885" i="4"/>
  <c r="P885" i="4"/>
  <c r="O885" i="4"/>
  <c r="N885" i="4"/>
  <c r="M885" i="4"/>
  <c r="K885" i="4"/>
  <c r="J885" i="4"/>
  <c r="L885" i="4" s="1"/>
  <c r="I885" i="4" a="1"/>
  <c r="I885" i="4" s="1"/>
  <c r="H885" i="4"/>
  <c r="G885" i="4"/>
  <c r="F885" i="4"/>
  <c r="C885" i="4"/>
  <c r="B885" i="4"/>
  <c r="A885" i="4" s="1"/>
  <c r="V884" i="4"/>
  <c r="T884" i="4"/>
  <c r="S884" i="4"/>
  <c r="R884" i="4"/>
  <c r="U884" i="4" s="1"/>
  <c r="Q884" i="4"/>
  <c r="P884" i="4"/>
  <c r="O884" i="4"/>
  <c r="N884" i="4"/>
  <c r="M884" i="4"/>
  <c r="K884" i="4"/>
  <c r="J884" i="4"/>
  <c r="L884" i="4" s="1"/>
  <c r="H884" i="4"/>
  <c r="G884" i="4"/>
  <c r="I884" i="4" s="1" a="1"/>
  <c r="I884" i="4" s="1"/>
  <c r="F884" i="4"/>
  <c r="C884" i="4"/>
  <c r="B884" i="4"/>
  <c r="W884" i="4" s="1"/>
  <c r="V883" i="4"/>
  <c r="T883" i="4"/>
  <c r="S883" i="4"/>
  <c r="R883" i="4"/>
  <c r="U883" i="4" s="1"/>
  <c r="Q883" i="4"/>
  <c r="P883" i="4"/>
  <c r="O883" i="4"/>
  <c r="N883" i="4"/>
  <c r="M883" i="4"/>
  <c r="K883" i="4"/>
  <c r="J883" i="4"/>
  <c r="L883" i="4" s="1"/>
  <c r="I883" i="4" a="1"/>
  <c r="I883" i="4" s="1"/>
  <c r="H883" i="4"/>
  <c r="G883" i="4"/>
  <c r="F883" i="4"/>
  <c r="D883" i="4"/>
  <c r="C883" i="4"/>
  <c r="B883" i="4"/>
  <c r="A883" i="4"/>
  <c r="V882" i="4"/>
  <c r="T882" i="4"/>
  <c r="S882" i="4"/>
  <c r="R882" i="4"/>
  <c r="U882" i="4" s="1"/>
  <c r="Q882" i="4"/>
  <c r="P882" i="4"/>
  <c r="O882" i="4"/>
  <c r="N882" i="4"/>
  <c r="M882" i="4"/>
  <c r="L882" i="4"/>
  <c r="K882" i="4"/>
  <c r="J882" i="4"/>
  <c r="I882" i="4"/>
  <c r="I882" i="4" a="1"/>
  <c r="H882" i="4"/>
  <c r="G882" i="4"/>
  <c r="F882" i="4"/>
  <c r="D882" i="4"/>
  <c r="C882" i="4"/>
  <c r="B882" i="4"/>
  <c r="A882" i="4" s="1"/>
  <c r="V881" i="4"/>
  <c r="T881" i="4"/>
  <c r="S881" i="4"/>
  <c r="R881" i="4"/>
  <c r="U881" i="4" s="1"/>
  <c r="Q881" i="4"/>
  <c r="P881" i="4"/>
  <c r="O881" i="4"/>
  <c r="N881" i="4"/>
  <c r="M881" i="4"/>
  <c r="K881" i="4"/>
  <c r="J881" i="4"/>
  <c r="L881" i="4" s="1"/>
  <c r="I881" i="4"/>
  <c r="H881" i="4"/>
  <c r="G881" i="4"/>
  <c r="I881" i="4" s="1" a="1"/>
  <c r="F881" i="4"/>
  <c r="C881" i="4"/>
  <c r="B881" i="4"/>
  <c r="V880" i="4"/>
  <c r="T880" i="4"/>
  <c r="S880" i="4"/>
  <c r="R880" i="4"/>
  <c r="U880" i="4" s="1"/>
  <c r="Q880" i="4"/>
  <c r="P880" i="4"/>
  <c r="O880" i="4"/>
  <c r="N880" i="4"/>
  <c r="M880" i="4"/>
  <c r="K880" i="4"/>
  <c r="J880" i="4"/>
  <c r="L880" i="4" s="1"/>
  <c r="H880" i="4"/>
  <c r="G880" i="4"/>
  <c r="F880" i="4"/>
  <c r="D880" i="4"/>
  <c r="C880" i="4"/>
  <c r="B880" i="4"/>
  <c r="V879" i="4"/>
  <c r="U879" i="4"/>
  <c r="T879" i="4"/>
  <c r="S879" i="4"/>
  <c r="R879" i="4"/>
  <c r="Q879" i="4"/>
  <c r="P879" i="4"/>
  <c r="O879" i="4"/>
  <c r="N879" i="4"/>
  <c r="M879" i="4"/>
  <c r="L879" i="4"/>
  <c r="K879" i="4"/>
  <c r="J879" i="4"/>
  <c r="H879" i="4"/>
  <c r="G879" i="4"/>
  <c r="I879" i="4" s="1" a="1"/>
  <c r="I879" i="4" s="1"/>
  <c r="F879" i="4"/>
  <c r="D879" i="4"/>
  <c r="C879" i="4"/>
  <c r="B879" i="4"/>
  <c r="A879" i="4"/>
  <c r="V878" i="4"/>
  <c r="U878" i="4"/>
  <c r="T878" i="4"/>
  <c r="S878" i="4"/>
  <c r="R878" i="4"/>
  <c r="Q878" i="4"/>
  <c r="P878" i="4"/>
  <c r="O878" i="4"/>
  <c r="N878" i="4"/>
  <c r="M878" i="4"/>
  <c r="L878" i="4"/>
  <c r="K878" i="4"/>
  <c r="J878" i="4"/>
  <c r="I878" i="4" a="1"/>
  <c r="I878" i="4" s="1"/>
  <c r="H878" i="4"/>
  <c r="G878" i="4"/>
  <c r="W878" i="4" s="1"/>
  <c r="F878" i="4"/>
  <c r="C878" i="4"/>
  <c r="B878" i="4"/>
  <c r="D878" i="4" s="1"/>
  <c r="A878" i="4"/>
  <c r="V877" i="4"/>
  <c r="U877" i="4"/>
  <c r="T877" i="4"/>
  <c r="S877" i="4"/>
  <c r="R877" i="4"/>
  <c r="Q877" i="4"/>
  <c r="P877" i="4"/>
  <c r="O877" i="4"/>
  <c r="N877" i="4"/>
  <c r="M877" i="4"/>
  <c r="K877" i="4"/>
  <c r="J877" i="4"/>
  <c r="L877" i="4" s="1"/>
  <c r="H877" i="4"/>
  <c r="G877" i="4"/>
  <c r="F877" i="4"/>
  <c r="C877" i="4"/>
  <c r="B877" i="4"/>
  <c r="A877" i="4"/>
  <c r="V876" i="4"/>
  <c r="T876" i="4"/>
  <c r="S876" i="4"/>
  <c r="R876" i="4"/>
  <c r="U876" i="4" s="1"/>
  <c r="Q876" i="4"/>
  <c r="P876" i="4"/>
  <c r="O876" i="4"/>
  <c r="N876" i="4"/>
  <c r="M876" i="4"/>
  <c r="K876" i="4"/>
  <c r="J876" i="4"/>
  <c r="L876" i="4" s="1"/>
  <c r="H876" i="4"/>
  <c r="G876" i="4"/>
  <c r="I876" i="4" s="1" a="1"/>
  <c r="I876" i="4" s="1"/>
  <c r="F876" i="4"/>
  <c r="C876" i="4"/>
  <c r="B876" i="4"/>
  <c r="A876" i="4" s="1"/>
  <c r="V875" i="4"/>
  <c r="T875" i="4"/>
  <c r="S875" i="4"/>
  <c r="R875" i="4"/>
  <c r="U875" i="4" s="1"/>
  <c r="Q875" i="4"/>
  <c r="W875" i="4" s="1"/>
  <c r="P875" i="4"/>
  <c r="O875" i="4"/>
  <c r="N875" i="4"/>
  <c r="M875" i="4"/>
  <c r="K875" i="4"/>
  <c r="J875" i="4"/>
  <c r="L875" i="4" s="1"/>
  <c r="I875" i="4" a="1"/>
  <c r="I875" i="4" s="1"/>
  <c r="H875" i="4"/>
  <c r="G875" i="4"/>
  <c r="F875" i="4"/>
  <c r="D875" i="4"/>
  <c r="C875" i="4"/>
  <c r="B875" i="4"/>
  <c r="A875" i="4"/>
  <c r="V874" i="4"/>
  <c r="T874" i="4"/>
  <c r="S874" i="4"/>
  <c r="R874" i="4"/>
  <c r="U874" i="4" s="1"/>
  <c r="Q874" i="4"/>
  <c r="P874" i="4"/>
  <c r="O874" i="4"/>
  <c r="N874" i="4"/>
  <c r="M874" i="4"/>
  <c r="K874" i="4"/>
  <c r="J874" i="4"/>
  <c r="I874" i="4"/>
  <c r="I874" i="4" a="1"/>
  <c r="H874" i="4"/>
  <c r="G874" i="4"/>
  <c r="F874" i="4"/>
  <c r="C874" i="4"/>
  <c r="B874" i="4"/>
  <c r="A874" i="4" s="1"/>
  <c r="V873" i="4"/>
  <c r="U873" i="4"/>
  <c r="T873" i="4"/>
  <c r="S873" i="4"/>
  <c r="R873" i="4"/>
  <c r="Q873" i="4"/>
  <c r="P873" i="4"/>
  <c r="O873" i="4"/>
  <c r="N873" i="4"/>
  <c r="M873" i="4"/>
  <c r="K873" i="4"/>
  <c r="J873" i="4"/>
  <c r="L873" i="4" s="1"/>
  <c r="I873" i="4"/>
  <c r="H873" i="4"/>
  <c r="G873" i="4"/>
  <c r="I873" i="4" s="1" a="1"/>
  <c r="F873" i="4"/>
  <c r="C873" i="4"/>
  <c r="B873" i="4"/>
  <c r="V872" i="4"/>
  <c r="T872" i="4"/>
  <c r="S872" i="4"/>
  <c r="R872" i="4"/>
  <c r="U872" i="4" s="1"/>
  <c r="Q872" i="4"/>
  <c r="P872" i="4"/>
  <c r="O872" i="4"/>
  <c r="N872" i="4"/>
  <c r="M872" i="4"/>
  <c r="K872" i="4"/>
  <c r="J872" i="4"/>
  <c r="L872" i="4" s="1"/>
  <c r="H872" i="4"/>
  <c r="G872" i="4"/>
  <c r="F872" i="4"/>
  <c r="D872" i="4"/>
  <c r="C872" i="4"/>
  <c r="B872" i="4"/>
  <c r="V871" i="4"/>
  <c r="U871" i="4"/>
  <c r="T871" i="4"/>
  <c r="S871" i="4"/>
  <c r="R871" i="4"/>
  <c r="Q871" i="4"/>
  <c r="P871" i="4"/>
  <c r="O871" i="4"/>
  <c r="N871" i="4"/>
  <c r="M871" i="4"/>
  <c r="L871" i="4"/>
  <c r="K871" i="4"/>
  <c r="J871" i="4"/>
  <c r="I871" i="4" a="1"/>
  <c r="I871" i="4" s="1"/>
  <c r="H871" i="4"/>
  <c r="G871" i="4"/>
  <c r="W871" i="4" s="1"/>
  <c r="F871" i="4"/>
  <c r="D871" i="4"/>
  <c r="C871" i="4"/>
  <c r="B871" i="4"/>
  <c r="A871" i="4"/>
  <c r="V870" i="4"/>
  <c r="U870" i="4"/>
  <c r="T870" i="4"/>
  <c r="S870" i="4"/>
  <c r="R870" i="4"/>
  <c r="Q870" i="4"/>
  <c r="P870" i="4"/>
  <c r="O870" i="4"/>
  <c r="N870" i="4"/>
  <c r="M870" i="4"/>
  <c r="L870" i="4"/>
  <c r="K870" i="4"/>
  <c r="J870" i="4"/>
  <c r="I870" i="4" a="1"/>
  <c r="I870" i="4" s="1"/>
  <c r="H870" i="4"/>
  <c r="G870" i="4"/>
  <c r="W870" i="4" s="1"/>
  <c r="F870" i="4"/>
  <c r="C870" i="4"/>
  <c r="B870" i="4"/>
  <c r="D870" i="4" s="1"/>
  <c r="A870" i="4"/>
  <c r="V869" i="4"/>
  <c r="U869" i="4"/>
  <c r="T869" i="4"/>
  <c r="S869" i="4"/>
  <c r="R869" i="4"/>
  <c r="Q869" i="4"/>
  <c r="P869" i="4"/>
  <c r="O869" i="4"/>
  <c r="N869" i="4"/>
  <c r="M869" i="4"/>
  <c r="K869" i="4"/>
  <c r="J869" i="4"/>
  <c r="L869" i="4" s="1"/>
  <c r="I869" i="4" a="1"/>
  <c r="I869" i="4" s="1"/>
  <c r="H869" i="4"/>
  <c r="G869" i="4"/>
  <c r="F869" i="4"/>
  <c r="C869" i="4"/>
  <c r="B869" i="4"/>
  <c r="A869" i="4" s="1"/>
  <c r="V868" i="4"/>
  <c r="T868" i="4"/>
  <c r="S868" i="4"/>
  <c r="R868" i="4"/>
  <c r="U868" i="4" s="1"/>
  <c r="Q868" i="4"/>
  <c r="P868" i="4"/>
  <c r="W868" i="4" s="1"/>
  <c r="O868" i="4"/>
  <c r="N868" i="4"/>
  <c r="M868" i="4"/>
  <c r="K868" i="4"/>
  <c r="J868" i="4"/>
  <c r="L868" i="4" s="1"/>
  <c r="I868" i="4" a="1"/>
  <c r="I868" i="4" s="1"/>
  <c r="H868" i="4"/>
  <c r="G868" i="4"/>
  <c r="F868" i="4"/>
  <c r="D868" i="4"/>
  <c r="C868" i="4"/>
  <c r="B868" i="4"/>
  <c r="A868" i="4"/>
  <c r="V867" i="4"/>
  <c r="T867" i="4"/>
  <c r="S867" i="4"/>
  <c r="R867" i="4"/>
  <c r="U867" i="4" s="1"/>
  <c r="Q867" i="4"/>
  <c r="P867" i="4"/>
  <c r="O867" i="4"/>
  <c r="N867" i="4"/>
  <c r="M867" i="4"/>
  <c r="L867" i="4"/>
  <c r="K867" i="4"/>
  <c r="J867" i="4"/>
  <c r="I867" i="4" a="1"/>
  <c r="I867" i="4" s="1"/>
  <c r="H867" i="4"/>
  <c r="G867" i="4"/>
  <c r="F867" i="4"/>
  <c r="D867" i="4"/>
  <c r="C867" i="4"/>
  <c r="B867" i="4"/>
  <c r="A867" i="4"/>
  <c r="V866" i="4"/>
  <c r="T866" i="4"/>
  <c r="S866" i="4"/>
  <c r="R866" i="4"/>
  <c r="U866" i="4" s="1"/>
  <c r="Q866" i="4"/>
  <c r="P866" i="4"/>
  <c r="O866" i="4"/>
  <c r="N866" i="4"/>
  <c r="M866" i="4"/>
  <c r="L866" i="4"/>
  <c r="K866" i="4"/>
  <c r="J866" i="4"/>
  <c r="I866" i="4" a="1"/>
  <c r="I866" i="4" s="1"/>
  <c r="H866" i="4"/>
  <c r="G866" i="4"/>
  <c r="F866" i="4"/>
  <c r="D866" i="4"/>
  <c r="C866" i="4"/>
  <c r="B866" i="4"/>
  <c r="A866" i="4"/>
  <c r="V865" i="4"/>
  <c r="T865" i="4"/>
  <c r="S865" i="4"/>
  <c r="R865" i="4"/>
  <c r="U865" i="4" s="1"/>
  <c r="Q865" i="4"/>
  <c r="P865" i="4"/>
  <c r="O865" i="4"/>
  <c r="N865" i="4"/>
  <c r="M865" i="4"/>
  <c r="L865" i="4"/>
  <c r="K865" i="4"/>
  <c r="J865" i="4"/>
  <c r="I865" i="4" a="1"/>
  <c r="I865" i="4" s="1"/>
  <c r="H865" i="4"/>
  <c r="G865" i="4"/>
  <c r="F865" i="4"/>
  <c r="D865" i="4"/>
  <c r="C865" i="4"/>
  <c r="B865" i="4"/>
  <c r="A865" i="4"/>
  <c r="V864" i="4"/>
  <c r="T864" i="4"/>
  <c r="S864" i="4"/>
  <c r="R864" i="4"/>
  <c r="U864" i="4" s="1"/>
  <c r="Q864" i="4"/>
  <c r="P864" i="4"/>
  <c r="O864" i="4"/>
  <c r="N864" i="4"/>
  <c r="M864" i="4"/>
  <c r="L864" i="4"/>
  <c r="K864" i="4"/>
  <c r="J864" i="4"/>
  <c r="H864" i="4"/>
  <c r="G864" i="4"/>
  <c r="I864" i="4" s="1" a="1"/>
  <c r="I864" i="4" s="1"/>
  <c r="F864" i="4"/>
  <c r="D864" i="4"/>
  <c r="C864" i="4"/>
  <c r="B864" i="4"/>
  <c r="V863" i="4"/>
  <c r="T863" i="4"/>
  <c r="S863" i="4"/>
  <c r="R863" i="4"/>
  <c r="U863" i="4" s="1"/>
  <c r="Q863" i="4"/>
  <c r="P863" i="4"/>
  <c r="O863" i="4"/>
  <c r="N863" i="4"/>
  <c r="M863" i="4"/>
  <c r="K863" i="4"/>
  <c r="J863" i="4"/>
  <c r="L863" i="4" s="1"/>
  <c r="H863" i="4"/>
  <c r="G863" i="4"/>
  <c r="I863" i="4" s="1" a="1"/>
  <c r="I863" i="4" s="1"/>
  <c r="F863" i="4"/>
  <c r="C863" i="4"/>
  <c r="B863" i="4"/>
  <c r="A863" i="4" s="1"/>
  <c r="V862" i="4"/>
  <c r="T862" i="4"/>
  <c r="S862" i="4"/>
  <c r="R862" i="4"/>
  <c r="U862" i="4" s="1"/>
  <c r="Q862" i="4"/>
  <c r="P862" i="4"/>
  <c r="O862" i="4"/>
  <c r="N862" i="4"/>
  <c r="M862" i="4"/>
  <c r="K862" i="4"/>
  <c r="J862" i="4"/>
  <c r="L862" i="4" s="1"/>
  <c r="H862" i="4"/>
  <c r="G862" i="4"/>
  <c r="F862" i="4"/>
  <c r="D862" i="4"/>
  <c r="C862" i="4"/>
  <c r="B862" i="4"/>
  <c r="A862" i="4"/>
  <c r="V861" i="4"/>
  <c r="T861" i="4"/>
  <c r="S861" i="4"/>
  <c r="R861" i="4"/>
  <c r="U861" i="4" s="1"/>
  <c r="Q861" i="4"/>
  <c r="P861" i="4"/>
  <c r="O861" i="4"/>
  <c r="N861" i="4"/>
  <c r="M861" i="4"/>
  <c r="L861" i="4"/>
  <c r="K861" i="4"/>
  <c r="J861" i="4"/>
  <c r="I861" i="4" a="1"/>
  <c r="I861" i="4" s="1"/>
  <c r="H861" i="4"/>
  <c r="G861" i="4"/>
  <c r="F861" i="4"/>
  <c r="D861" i="4"/>
  <c r="C861" i="4"/>
  <c r="B861" i="4"/>
  <c r="A861" i="4"/>
  <c r="V860" i="4"/>
  <c r="U860" i="4"/>
  <c r="T860" i="4"/>
  <c r="S860" i="4"/>
  <c r="R860" i="4"/>
  <c r="Q860" i="4"/>
  <c r="P860" i="4"/>
  <c r="O860" i="4"/>
  <c r="N860" i="4"/>
  <c r="M860" i="4"/>
  <c r="L860" i="4"/>
  <c r="K860" i="4"/>
  <c r="J860" i="4"/>
  <c r="I860" i="4" a="1"/>
  <c r="I860" i="4" s="1"/>
  <c r="H860" i="4"/>
  <c r="G860" i="4"/>
  <c r="F860" i="4"/>
  <c r="C860" i="4"/>
  <c r="B860" i="4"/>
  <c r="D860" i="4" s="1"/>
  <c r="A860" i="4"/>
  <c r="V859" i="4"/>
  <c r="U859" i="4"/>
  <c r="T859" i="4"/>
  <c r="S859" i="4"/>
  <c r="R859" i="4"/>
  <c r="Q859" i="4"/>
  <c r="P859" i="4"/>
  <c r="O859" i="4"/>
  <c r="N859" i="4"/>
  <c r="M859" i="4"/>
  <c r="K859" i="4"/>
  <c r="J859" i="4"/>
  <c r="L859" i="4" s="1"/>
  <c r="H859" i="4"/>
  <c r="G859" i="4"/>
  <c r="I859" i="4" s="1" a="1"/>
  <c r="I859" i="4" s="1"/>
  <c r="F859" i="4"/>
  <c r="C859" i="4"/>
  <c r="B859" i="4"/>
  <c r="V858" i="4"/>
  <c r="T858" i="4"/>
  <c r="S858" i="4"/>
  <c r="R858" i="4"/>
  <c r="U858" i="4" s="1"/>
  <c r="Q858" i="4"/>
  <c r="P858" i="4"/>
  <c r="O858" i="4"/>
  <c r="N858" i="4"/>
  <c r="M858" i="4"/>
  <c r="K858" i="4"/>
  <c r="J858" i="4"/>
  <c r="L858" i="4" s="1"/>
  <c r="H858" i="4"/>
  <c r="G858" i="4"/>
  <c r="W858" i="4" s="1"/>
  <c r="F858" i="4"/>
  <c r="D858" i="4"/>
  <c r="C858" i="4"/>
  <c r="B858" i="4"/>
  <c r="V857" i="4"/>
  <c r="U857" i="4"/>
  <c r="T857" i="4"/>
  <c r="S857" i="4"/>
  <c r="R857" i="4"/>
  <c r="Q857" i="4"/>
  <c r="P857" i="4"/>
  <c r="O857" i="4"/>
  <c r="N857" i="4"/>
  <c r="M857" i="4"/>
  <c r="L857" i="4"/>
  <c r="K857" i="4"/>
  <c r="J857" i="4"/>
  <c r="I857" i="4" a="1"/>
  <c r="I857" i="4" s="1"/>
  <c r="H857" i="4"/>
  <c r="G857" i="4"/>
  <c r="F857" i="4"/>
  <c r="D857" i="4"/>
  <c r="C857" i="4"/>
  <c r="B857" i="4"/>
  <c r="A857" i="4"/>
  <c r="V856" i="4"/>
  <c r="U856" i="4"/>
  <c r="T856" i="4"/>
  <c r="S856" i="4"/>
  <c r="R856" i="4"/>
  <c r="Q856" i="4"/>
  <c r="P856" i="4"/>
  <c r="O856" i="4"/>
  <c r="N856" i="4"/>
  <c r="M856" i="4"/>
  <c r="L856" i="4"/>
  <c r="K856" i="4"/>
  <c r="J856" i="4"/>
  <c r="I856" i="4" a="1"/>
  <c r="I856" i="4" s="1"/>
  <c r="H856" i="4"/>
  <c r="G856" i="4"/>
  <c r="F856" i="4"/>
  <c r="C856" i="4"/>
  <c r="B856" i="4"/>
  <c r="W856" i="4" s="1"/>
  <c r="A856" i="4"/>
  <c r="V855" i="4"/>
  <c r="U855" i="4"/>
  <c r="T855" i="4"/>
  <c r="S855" i="4"/>
  <c r="R855" i="4"/>
  <c r="Q855" i="4"/>
  <c r="P855" i="4"/>
  <c r="O855" i="4"/>
  <c r="N855" i="4"/>
  <c r="M855" i="4"/>
  <c r="K855" i="4"/>
  <c r="J855" i="4"/>
  <c r="L855" i="4" s="1"/>
  <c r="H855" i="4"/>
  <c r="G855" i="4"/>
  <c r="I855" i="4" s="1" a="1"/>
  <c r="I855" i="4" s="1"/>
  <c r="F855" i="4"/>
  <c r="C855" i="4"/>
  <c r="B855" i="4"/>
  <c r="V854" i="4"/>
  <c r="T854" i="4"/>
  <c r="S854" i="4"/>
  <c r="R854" i="4"/>
  <c r="U854" i="4" s="1"/>
  <c r="Q854" i="4"/>
  <c r="P854" i="4"/>
  <c r="O854" i="4"/>
  <c r="N854" i="4"/>
  <c r="M854" i="4"/>
  <c r="K854" i="4"/>
  <c r="J854" i="4"/>
  <c r="L854" i="4" s="1"/>
  <c r="H854" i="4"/>
  <c r="G854" i="4"/>
  <c r="F854" i="4"/>
  <c r="D854" i="4"/>
  <c r="C854" i="4"/>
  <c r="B854" i="4"/>
  <c r="A854" i="4"/>
  <c r="V853" i="4"/>
  <c r="T853" i="4"/>
  <c r="S853" i="4"/>
  <c r="R853" i="4"/>
  <c r="U853" i="4" s="1"/>
  <c r="Q853" i="4"/>
  <c r="P853" i="4"/>
  <c r="O853" i="4"/>
  <c r="N853" i="4"/>
  <c r="M853" i="4"/>
  <c r="L853" i="4"/>
  <c r="K853" i="4"/>
  <c r="J853" i="4"/>
  <c r="I853" i="4" a="1"/>
  <c r="I853" i="4" s="1"/>
  <c r="H853" i="4"/>
  <c r="G853" i="4"/>
  <c r="F853" i="4"/>
  <c r="D853" i="4"/>
  <c r="C853" i="4"/>
  <c r="B853" i="4"/>
  <c r="A853" i="4"/>
  <c r="V852" i="4"/>
  <c r="U852" i="4"/>
  <c r="T852" i="4"/>
  <c r="S852" i="4"/>
  <c r="R852" i="4"/>
  <c r="Q852" i="4"/>
  <c r="P852" i="4"/>
  <c r="O852" i="4"/>
  <c r="N852" i="4"/>
  <c r="M852" i="4"/>
  <c r="L852" i="4"/>
  <c r="K852" i="4"/>
  <c r="J852" i="4"/>
  <c r="I852" i="4" a="1"/>
  <c r="I852" i="4" s="1"/>
  <c r="H852" i="4"/>
  <c r="G852" i="4"/>
  <c r="F852" i="4"/>
  <c r="C852" i="4"/>
  <c r="B852" i="4"/>
  <c r="D852" i="4" s="1"/>
  <c r="A852" i="4"/>
  <c r="V851" i="4"/>
  <c r="U851" i="4"/>
  <c r="T851" i="4"/>
  <c r="S851" i="4"/>
  <c r="R851" i="4"/>
  <c r="Q851" i="4"/>
  <c r="P851" i="4"/>
  <c r="O851" i="4"/>
  <c r="N851" i="4"/>
  <c r="M851" i="4"/>
  <c r="K851" i="4"/>
  <c r="J851" i="4"/>
  <c r="L851" i="4" s="1"/>
  <c r="H851" i="4"/>
  <c r="G851" i="4"/>
  <c r="I851" i="4" s="1" a="1"/>
  <c r="I851" i="4" s="1"/>
  <c r="F851" i="4"/>
  <c r="C851" i="4"/>
  <c r="B851" i="4"/>
  <c r="V850" i="4"/>
  <c r="T850" i="4"/>
  <c r="S850" i="4"/>
  <c r="R850" i="4"/>
  <c r="U850" i="4" s="1"/>
  <c r="Q850" i="4"/>
  <c r="P850" i="4"/>
  <c r="O850" i="4"/>
  <c r="N850" i="4"/>
  <c r="M850" i="4"/>
  <c r="K850" i="4"/>
  <c r="J850" i="4"/>
  <c r="L850" i="4" s="1"/>
  <c r="H850" i="4"/>
  <c r="G850" i="4"/>
  <c r="W850" i="4" s="1"/>
  <c r="F850" i="4"/>
  <c r="D850" i="4"/>
  <c r="C850" i="4"/>
  <c r="B850" i="4"/>
  <c r="V849" i="4"/>
  <c r="U849" i="4"/>
  <c r="T849" i="4"/>
  <c r="S849" i="4"/>
  <c r="R849" i="4"/>
  <c r="Q849" i="4"/>
  <c r="P849" i="4"/>
  <c r="O849" i="4"/>
  <c r="N849" i="4"/>
  <c r="M849" i="4"/>
  <c r="L849" i="4"/>
  <c r="K849" i="4"/>
  <c r="J849" i="4"/>
  <c r="I849" i="4" a="1"/>
  <c r="I849" i="4" s="1"/>
  <c r="H849" i="4"/>
  <c r="G849" i="4"/>
  <c r="F849" i="4"/>
  <c r="D849" i="4"/>
  <c r="C849" i="4"/>
  <c r="B849" i="4"/>
  <c r="A849" i="4"/>
  <c r="V848" i="4"/>
  <c r="U848" i="4"/>
  <c r="T848" i="4"/>
  <c r="S848" i="4"/>
  <c r="R848" i="4"/>
  <c r="Q848" i="4"/>
  <c r="P848" i="4"/>
  <c r="O848" i="4"/>
  <c r="N848" i="4"/>
  <c r="M848" i="4"/>
  <c r="L848" i="4"/>
  <c r="K848" i="4"/>
  <c r="J848" i="4"/>
  <c r="I848" i="4" a="1"/>
  <c r="I848" i="4" s="1"/>
  <c r="H848" i="4"/>
  <c r="G848" i="4"/>
  <c r="F848" i="4"/>
  <c r="C848" i="4"/>
  <c r="B848" i="4"/>
  <c r="W848" i="4" s="1"/>
  <c r="A848" i="4"/>
  <c r="V847" i="4"/>
  <c r="U847" i="4"/>
  <c r="T847" i="4"/>
  <c r="S847" i="4"/>
  <c r="R847" i="4"/>
  <c r="Q847" i="4"/>
  <c r="P847" i="4"/>
  <c r="O847" i="4"/>
  <c r="N847" i="4"/>
  <c r="M847" i="4"/>
  <c r="K847" i="4"/>
  <c r="J847" i="4"/>
  <c r="L847" i="4" s="1"/>
  <c r="H847" i="4"/>
  <c r="G847" i="4"/>
  <c r="I847" i="4" s="1" a="1"/>
  <c r="I847" i="4" s="1"/>
  <c r="F847" i="4"/>
  <c r="C847" i="4"/>
  <c r="B847" i="4"/>
  <c r="V846" i="4"/>
  <c r="T846" i="4"/>
  <c r="S846" i="4"/>
  <c r="R846" i="4"/>
  <c r="U846" i="4" s="1"/>
  <c r="Q846" i="4"/>
  <c r="P846" i="4"/>
  <c r="O846" i="4"/>
  <c r="N846" i="4"/>
  <c r="M846" i="4"/>
  <c r="K846" i="4"/>
  <c r="J846" i="4"/>
  <c r="L846" i="4" s="1"/>
  <c r="H846" i="4"/>
  <c r="G846" i="4"/>
  <c r="F846" i="4"/>
  <c r="D846" i="4"/>
  <c r="C846" i="4"/>
  <c r="B846" i="4"/>
  <c r="A846" i="4"/>
  <c r="V845" i="4"/>
  <c r="T845" i="4"/>
  <c r="S845" i="4"/>
  <c r="R845" i="4"/>
  <c r="U845" i="4" s="1"/>
  <c r="Q845" i="4"/>
  <c r="P845" i="4"/>
  <c r="O845" i="4"/>
  <c r="N845" i="4"/>
  <c r="M845" i="4"/>
  <c r="L845" i="4"/>
  <c r="K845" i="4"/>
  <c r="J845" i="4"/>
  <c r="I845" i="4" a="1"/>
  <c r="I845" i="4" s="1"/>
  <c r="H845" i="4"/>
  <c r="G845" i="4"/>
  <c r="F845" i="4"/>
  <c r="D845" i="4"/>
  <c r="C845" i="4"/>
  <c r="B845" i="4"/>
  <c r="A845" i="4"/>
  <c r="V844" i="4"/>
  <c r="U844" i="4"/>
  <c r="T844" i="4"/>
  <c r="S844" i="4"/>
  <c r="R844" i="4"/>
  <c r="Q844" i="4"/>
  <c r="P844" i="4"/>
  <c r="O844" i="4"/>
  <c r="N844" i="4"/>
  <c r="M844" i="4"/>
  <c r="L844" i="4"/>
  <c r="K844" i="4"/>
  <c r="J844" i="4"/>
  <c r="I844" i="4" a="1"/>
  <c r="I844" i="4" s="1"/>
  <c r="H844" i="4"/>
  <c r="G844" i="4"/>
  <c r="F844" i="4"/>
  <c r="C844" i="4"/>
  <c r="B844" i="4"/>
  <c r="D844" i="4" s="1"/>
  <c r="A844" i="4"/>
  <c r="V843" i="4"/>
  <c r="U843" i="4"/>
  <c r="T843" i="4"/>
  <c r="S843" i="4"/>
  <c r="R843" i="4"/>
  <c r="Q843" i="4"/>
  <c r="P843" i="4"/>
  <c r="O843" i="4"/>
  <c r="N843" i="4"/>
  <c r="M843" i="4"/>
  <c r="K843" i="4"/>
  <c r="J843" i="4"/>
  <c r="L843" i="4" s="1"/>
  <c r="H843" i="4"/>
  <c r="G843" i="4"/>
  <c r="I843" i="4" s="1" a="1"/>
  <c r="I843" i="4" s="1"/>
  <c r="F843" i="4"/>
  <c r="C843" i="4"/>
  <c r="B843" i="4"/>
  <c r="V842" i="4"/>
  <c r="T842" i="4"/>
  <c r="S842" i="4"/>
  <c r="R842" i="4"/>
  <c r="U842" i="4" s="1"/>
  <c r="Q842" i="4"/>
  <c r="P842" i="4"/>
  <c r="O842" i="4"/>
  <c r="N842" i="4"/>
  <c r="M842" i="4"/>
  <c r="K842" i="4"/>
  <c r="J842" i="4"/>
  <c r="L842" i="4" s="1"/>
  <c r="H842" i="4"/>
  <c r="G842" i="4"/>
  <c r="W842" i="4" s="1"/>
  <c r="F842" i="4"/>
  <c r="D842" i="4"/>
  <c r="C842" i="4"/>
  <c r="B842" i="4"/>
  <c r="V841" i="4"/>
  <c r="U841" i="4"/>
  <c r="T841" i="4"/>
  <c r="S841" i="4"/>
  <c r="R841" i="4"/>
  <c r="Q841" i="4"/>
  <c r="P841" i="4"/>
  <c r="O841" i="4"/>
  <c r="N841" i="4"/>
  <c r="M841" i="4"/>
  <c r="L841" i="4"/>
  <c r="K841" i="4"/>
  <c r="J841" i="4"/>
  <c r="I841" i="4" a="1"/>
  <c r="I841" i="4" s="1"/>
  <c r="H841" i="4"/>
  <c r="G841" i="4"/>
  <c r="F841" i="4"/>
  <c r="D841" i="4"/>
  <c r="C841" i="4"/>
  <c r="B841" i="4"/>
  <c r="A841" i="4"/>
  <c r="V840" i="4"/>
  <c r="U840" i="4"/>
  <c r="T840" i="4"/>
  <c r="S840" i="4"/>
  <c r="R840" i="4"/>
  <c r="Q840" i="4"/>
  <c r="P840" i="4"/>
  <c r="O840" i="4"/>
  <c r="N840" i="4"/>
  <c r="M840" i="4"/>
  <c r="L840" i="4"/>
  <c r="K840" i="4"/>
  <c r="J840" i="4"/>
  <c r="I840" i="4" a="1"/>
  <c r="I840" i="4" s="1"/>
  <c r="H840" i="4"/>
  <c r="G840" i="4"/>
  <c r="F840" i="4"/>
  <c r="C840" i="4"/>
  <c r="B840" i="4"/>
  <c r="W840" i="4" s="1"/>
  <c r="A840" i="4"/>
  <c r="V839" i="4"/>
  <c r="U839" i="4"/>
  <c r="T839" i="4"/>
  <c r="S839" i="4"/>
  <c r="R839" i="4"/>
  <c r="Q839" i="4"/>
  <c r="P839" i="4"/>
  <c r="O839" i="4"/>
  <c r="N839" i="4"/>
  <c r="M839" i="4"/>
  <c r="K839" i="4"/>
  <c r="J839" i="4"/>
  <c r="L839" i="4" s="1"/>
  <c r="H839" i="4"/>
  <c r="G839" i="4"/>
  <c r="I839" i="4" s="1" a="1"/>
  <c r="I839" i="4" s="1"/>
  <c r="F839" i="4"/>
  <c r="C839" i="4"/>
  <c r="B839" i="4"/>
  <c r="V838" i="4"/>
  <c r="T838" i="4"/>
  <c r="S838" i="4"/>
  <c r="R838" i="4"/>
  <c r="U838" i="4" s="1"/>
  <c r="Q838" i="4"/>
  <c r="P838" i="4"/>
  <c r="O838" i="4"/>
  <c r="N838" i="4"/>
  <c r="M838" i="4"/>
  <c r="K838" i="4"/>
  <c r="J838" i="4"/>
  <c r="L838" i="4" s="1"/>
  <c r="H838" i="4"/>
  <c r="G838" i="4"/>
  <c r="F838" i="4"/>
  <c r="D838" i="4"/>
  <c r="C838" i="4"/>
  <c r="B838" i="4"/>
  <c r="A838" i="4"/>
  <c r="V837" i="4"/>
  <c r="T837" i="4"/>
  <c r="S837" i="4"/>
  <c r="R837" i="4"/>
  <c r="U837" i="4" s="1"/>
  <c r="Q837" i="4"/>
  <c r="P837" i="4"/>
  <c r="O837" i="4"/>
  <c r="L837" i="4"/>
  <c r="N837" i="4" s="1"/>
  <c r="K837" i="4"/>
  <c r="J837" i="4"/>
  <c r="I837" i="4" a="1"/>
  <c r="I837" i="4" s="1"/>
  <c r="H837" i="4"/>
  <c r="G837" i="4"/>
  <c r="F837" i="4"/>
  <c r="D837" i="4"/>
  <c r="C837" i="4"/>
  <c r="B837" i="4"/>
  <c r="A837" i="4"/>
  <c r="V836" i="4"/>
  <c r="U836" i="4"/>
  <c r="T836" i="4"/>
  <c r="S836" i="4"/>
  <c r="R836" i="4"/>
  <c r="Q836" i="4"/>
  <c r="P836" i="4"/>
  <c r="O836" i="4"/>
  <c r="N836" i="4"/>
  <c r="M836" i="4"/>
  <c r="L836" i="4"/>
  <c r="K836" i="4"/>
  <c r="J836" i="4"/>
  <c r="I836" i="4" a="1"/>
  <c r="I836" i="4" s="1"/>
  <c r="H836" i="4"/>
  <c r="G836" i="4"/>
  <c r="F836" i="4"/>
  <c r="C836" i="4"/>
  <c r="B836" i="4"/>
  <c r="D836" i="4" s="1"/>
  <c r="A836" i="4"/>
  <c r="V835" i="4"/>
  <c r="U835" i="4"/>
  <c r="T835" i="4"/>
  <c r="S835" i="4"/>
  <c r="R835" i="4"/>
  <c r="Q835" i="4"/>
  <c r="P835" i="4"/>
  <c r="O835" i="4"/>
  <c r="N835" i="4"/>
  <c r="M835" i="4"/>
  <c r="K835" i="4"/>
  <c r="J835" i="4"/>
  <c r="L835" i="4" s="1"/>
  <c r="H835" i="4"/>
  <c r="G835" i="4"/>
  <c r="I835" i="4" s="1" a="1"/>
  <c r="I835" i="4" s="1"/>
  <c r="F835" i="4"/>
  <c r="C835" i="4"/>
  <c r="B835" i="4"/>
  <c r="V834" i="4"/>
  <c r="T834" i="4"/>
  <c r="S834" i="4"/>
  <c r="R834" i="4"/>
  <c r="U834" i="4" s="1"/>
  <c r="Q834" i="4"/>
  <c r="P834" i="4"/>
  <c r="O834" i="4"/>
  <c r="N834" i="4"/>
  <c r="M834" i="4"/>
  <c r="K834" i="4"/>
  <c r="J834" i="4"/>
  <c r="L834" i="4" s="1"/>
  <c r="H834" i="4"/>
  <c r="G834" i="4"/>
  <c r="W834" i="4" s="1"/>
  <c r="F834" i="4"/>
  <c r="D834" i="4"/>
  <c r="C834" i="4"/>
  <c r="B834" i="4"/>
  <c r="V833" i="4"/>
  <c r="U833" i="4"/>
  <c r="T833" i="4"/>
  <c r="S833" i="4"/>
  <c r="R833" i="4"/>
  <c r="Q833" i="4"/>
  <c r="P833" i="4"/>
  <c r="O833" i="4"/>
  <c r="N833" i="4"/>
  <c r="M833" i="4"/>
  <c r="L833" i="4"/>
  <c r="K833" i="4"/>
  <c r="J833" i="4"/>
  <c r="I833" i="4" a="1"/>
  <c r="I833" i="4" s="1"/>
  <c r="H833" i="4"/>
  <c r="G833" i="4"/>
  <c r="F833" i="4"/>
  <c r="D833" i="4"/>
  <c r="C833" i="4"/>
  <c r="B833" i="4"/>
  <c r="A833" i="4"/>
  <c r="V832" i="4"/>
  <c r="U832" i="4"/>
  <c r="T832" i="4"/>
  <c r="S832" i="4"/>
  <c r="R832" i="4"/>
  <c r="Q832" i="4"/>
  <c r="P832" i="4"/>
  <c r="O832" i="4"/>
  <c r="N832" i="4"/>
  <c r="M832" i="4"/>
  <c r="L832" i="4"/>
  <c r="K832" i="4"/>
  <c r="J832" i="4"/>
  <c r="I832" i="4" a="1"/>
  <c r="I832" i="4" s="1"/>
  <c r="H832" i="4"/>
  <c r="G832" i="4"/>
  <c r="F832" i="4"/>
  <c r="C832" i="4"/>
  <c r="B832" i="4"/>
  <c r="A832" i="4"/>
  <c r="V831" i="4"/>
  <c r="T831" i="4"/>
  <c r="S831" i="4"/>
  <c r="R831" i="4"/>
  <c r="U831" i="4" s="1"/>
  <c r="Q831" i="4"/>
  <c r="P831" i="4"/>
  <c r="O831" i="4"/>
  <c r="N831" i="4"/>
  <c r="M831" i="4"/>
  <c r="K831" i="4"/>
  <c r="J831" i="4"/>
  <c r="L831" i="4" s="1"/>
  <c r="I831" i="4"/>
  <c r="H831" i="4"/>
  <c r="G831" i="4"/>
  <c r="I831" i="4" s="1" a="1"/>
  <c r="F831" i="4"/>
  <c r="C831" i="4"/>
  <c r="B831" i="4"/>
  <c r="V830" i="4"/>
  <c r="T830" i="4"/>
  <c r="S830" i="4"/>
  <c r="R830" i="4"/>
  <c r="U830" i="4" s="1"/>
  <c r="Q830" i="4"/>
  <c r="P830" i="4"/>
  <c r="O830" i="4"/>
  <c r="N830" i="4"/>
  <c r="M830" i="4"/>
  <c r="K830" i="4"/>
  <c r="J830" i="4"/>
  <c r="L830" i="4" s="1"/>
  <c r="H830" i="4"/>
  <c r="G830" i="4"/>
  <c r="F830" i="4"/>
  <c r="D830" i="4"/>
  <c r="C830" i="4"/>
  <c r="B830" i="4"/>
  <c r="A830" i="4"/>
  <c r="W829" i="4"/>
  <c r="V829" i="4"/>
  <c r="T829" i="4"/>
  <c r="S829" i="4"/>
  <c r="R829" i="4"/>
  <c r="U829" i="4" s="1"/>
  <c r="Q829" i="4"/>
  <c r="P829" i="4"/>
  <c r="O829" i="4"/>
  <c r="N829" i="4"/>
  <c r="M829" i="4"/>
  <c r="L829" i="4"/>
  <c r="K829" i="4"/>
  <c r="J829" i="4"/>
  <c r="I829" i="4" a="1"/>
  <c r="I829" i="4" s="1"/>
  <c r="H829" i="4"/>
  <c r="G829" i="4"/>
  <c r="F829" i="4"/>
  <c r="D829" i="4"/>
  <c r="C829" i="4"/>
  <c r="B829" i="4"/>
  <c r="A829" i="4"/>
  <c r="V828" i="4"/>
  <c r="U828" i="4"/>
  <c r="T828" i="4"/>
  <c r="S828" i="4"/>
  <c r="R828" i="4"/>
  <c r="Q828" i="4"/>
  <c r="P828" i="4"/>
  <c r="O828" i="4"/>
  <c r="N828" i="4"/>
  <c r="M828" i="4"/>
  <c r="L828" i="4"/>
  <c r="K828" i="4"/>
  <c r="J828" i="4"/>
  <c r="I828" i="4"/>
  <c r="I828" i="4" a="1"/>
  <c r="H828" i="4"/>
  <c r="G828" i="4"/>
  <c r="F828" i="4"/>
  <c r="C828" i="4"/>
  <c r="B828" i="4"/>
  <c r="A828" i="4" s="1"/>
  <c r="V827" i="4"/>
  <c r="T827" i="4"/>
  <c r="S827" i="4"/>
  <c r="R827" i="4"/>
  <c r="U827" i="4" s="1"/>
  <c r="Q827" i="4"/>
  <c r="P827" i="4"/>
  <c r="O827" i="4"/>
  <c r="N827" i="4"/>
  <c r="M827" i="4"/>
  <c r="K827" i="4"/>
  <c r="J827" i="4"/>
  <c r="L827" i="4" s="1"/>
  <c r="H827" i="4"/>
  <c r="G827" i="4"/>
  <c r="I827" i="4" s="1" a="1"/>
  <c r="I827" i="4" s="1"/>
  <c r="F827" i="4"/>
  <c r="C827" i="4"/>
  <c r="B827" i="4"/>
  <c r="V826" i="4"/>
  <c r="T826" i="4"/>
  <c r="S826" i="4"/>
  <c r="R826" i="4"/>
  <c r="U826" i="4" s="1"/>
  <c r="Q826" i="4"/>
  <c r="P826" i="4"/>
  <c r="O826" i="4"/>
  <c r="N826" i="4"/>
  <c r="M826" i="4"/>
  <c r="K826" i="4"/>
  <c r="J826" i="4"/>
  <c r="L826" i="4" s="1"/>
  <c r="H826" i="4"/>
  <c r="G826" i="4"/>
  <c r="I826" i="4" s="1" a="1"/>
  <c r="I826" i="4" s="1"/>
  <c r="F826" i="4"/>
  <c r="D826" i="4"/>
  <c r="C826" i="4"/>
  <c r="B826" i="4"/>
  <c r="V825" i="4"/>
  <c r="U825" i="4"/>
  <c r="T825" i="4"/>
  <c r="S825" i="4"/>
  <c r="R825" i="4"/>
  <c r="Q825" i="4"/>
  <c r="P825" i="4"/>
  <c r="O825" i="4"/>
  <c r="W825" i="4" s="1"/>
  <c r="N825" i="4"/>
  <c r="M825" i="4"/>
  <c r="L825" i="4"/>
  <c r="K825" i="4"/>
  <c r="J825" i="4"/>
  <c r="I825" i="4" a="1"/>
  <c r="I825" i="4" s="1"/>
  <c r="H825" i="4"/>
  <c r="G825" i="4"/>
  <c r="F825" i="4"/>
  <c r="D825" i="4"/>
  <c r="C825" i="4"/>
  <c r="B825" i="4"/>
  <c r="A825" i="4"/>
  <c r="V824" i="4"/>
  <c r="U824" i="4"/>
  <c r="T824" i="4"/>
  <c r="S824" i="4"/>
  <c r="R824" i="4"/>
  <c r="Q824" i="4"/>
  <c r="P824" i="4"/>
  <c r="O824" i="4"/>
  <c r="N824" i="4"/>
  <c r="M824" i="4"/>
  <c r="L824" i="4"/>
  <c r="K824" i="4"/>
  <c r="J824" i="4"/>
  <c r="I824" i="4" a="1"/>
  <c r="I824" i="4" s="1"/>
  <c r="H824" i="4"/>
  <c r="G824" i="4"/>
  <c r="F824" i="4"/>
  <c r="C824" i="4"/>
  <c r="B824" i="4"/>
  <c r="A824" i="4"/>
  <c r="V823" i="4"/>
  <c r="T823" i="4"/>
  <c r="S823" i="4"/>
  <c r="R823" i="4"/>
  <c r="U823" i="4" s="1"/>
  <c r="Q823" i="4"/>
  <c r="P823" i="4"/>
  <c r="O823" i="4"/>
  <c r="N823" i="4"/>
  <c r="M823" i="4"/>
  <c r="K823" i="4"/>
  <c r="J823" i="4"/>
  <c r="L823" i="4" s="1"/>
  <c r="I823" i="4"/>
  <c r="H823" i="4"/>
  <c r="G823" i="4"/>
  <c r="I823" i="4" s="1" a="1"/>
  <c r="F823" i="4"/>
  <c r="C823" i="4"/>
  <c r="B823" i="4"/>
  <c r="V822" i="4"/>
  <c r="T822" i="4"/>
  <c r="S822" i="4"/>
  <c r="R822" i="4"/>
  <c r="U822" i="4" s="1"/>
  <c r="Q822" i="4"/>
  <c r="P822" i="4"/>
  <c r="O822" i="4"/>
  <c r="N822" i="4"/>
  <c r="M822" i="4"/>
  <c r="K822" i="4"/>
  <c r="J822" i="4"/>
  <c r="L822" i="4" s="1"/>
  <c r="H822" i="4"/>
  <c r="G822" i="4"/>
  <c r="W822" i="4" s="1"/>
  <c r="F822" i="4"/>
  <c r="D822" i="4"/>
  <c r="C822" i="4"/>
  <c r="B822" i="4"/>
  <c r="A822" i="4"/>
  <c r="V821" i="4"/>
  <c r="T821" i="4"/>
  <c r="S821" i="4"/>
  <c r="R821" i="4"/>
  <c r="U821" i="4" s="1"/>
  <c r="Q821" i="4"/>
  <c r="P821" i="4"/>
  <c r="O821" i="4"/>
  <c r="N821" i="4"/>
  <c r="M821" i="4"/>
  <c r="L821" i="4"/>
  <c r="K821" i="4"/>
  <c r="J821" i="4"/>
  <c r="I821" i="4"/>
  <c r="I821" i="4" a="1"/>
  <c r="H821" i="4"/>
  <c r="G821" i="4"/>
  <c r="F821" i="4"/>
  <c r="C821" i="4"/>
  <c r="B821" i="4"/>
  <c r="A821" i="4" s="1"/>
  <c r="V820" i="4"/>
  <c r="U820" i="4"/>
  <c r="T820" i="4"/>
  <c r="S820" i="4"/>
  <c r="R820" i="4"/>
  <c r="Q820" i="4"/>
  <c r="P820" i="4"/>
  <c r="O820" i="4"/>
  <c r="N820" i="4"/>
  <c r="M820" i="4"/>
  <c r="L820" i="4"/>
  <c r="K820" i="4"/>
  <c r="J820" i="4"/>
  <c r="I820" i="4"/>
  <c r="I820" i="4" a="1"/>
  <c r="H820" i="4"/>
  <c r="G820" i="4"/>
  <c r="F820" i="4"/>
  <c r="C820" i="4"/>
  <c r="B820" i="4"/>
  <c r="A820" i="4"/>
  <c r="V819" i="4"/>
  <c r="T819" i="4"/>
  <c r="S819" i="4"/>
  <c r="R819" i="4"/>
  <c r="U819" i="4" s="1"/>
  <c r="Q819" i="4"/>
  <c r="P819" i="4"/>
  <c r="O819" i="4"/>
  <c r="N819" i="4"/>
  <c r="M819" i="4"/>
  <c r="K819" i="4"/>
  <c r="J819" i="4"/>
  <c r="L819" i="4" s="1"/>
  <c r="I819" i="4"/>
  <c r="H819" i="4"/>
  <c r="G819" i="4"/>
  <c r="I819" i="4" s="1" a="1"/>
  <c r="F819" i="4"/>
  <c r="D819" i="4"/>
  <c r="C819" i="4"/>
  <c r="B819" i="4"/>
  <c r="V818" i="4"/>
  <c r="T818" i="4"/>
  <c r="S818" i="4"/>
  <c r="R818" i="4"/>
  <c r="U818" i="4" s="1"/>
  <c r="Q818" i="4"/>
  <c r="P818" i="4"/>
  <c r="O818" i="4"/>
  <c r="N818" i="4"/>
  <c r="M818" i="4"/>
  <c r="K818" i="4"/>
  <c r="J818" i="4"/>
  <c r="W818" i="4" s="1"/>
  <c r="H818" i="4"/>
  <c r="G818" i="4"/>
  <c r="I818" i="4" s="1" a="1"/>
  <c r="I818" i="4" s="1"/>
  <c r="F818" i="4"/>
  <c r="D818" i="4"/>
  <c r="C818" i="4"/>
  <c r="B818" i="4"/>
  <c r="V817" i="4"/>
  <c r="U817" i="4"/>
  <c r="T817" i="4"/>
  <c r="S817" i="4"/>
  <c r="R817" i="4"/>
  <c r="Q817" i="4"/>
  <c r="P817" i="4"/>
  <c r="O817" i="4"/>
  <c r="W817" i="4" s="1"/>
  <c r="N817" i="4"/>
  <c r="M817" i="4"/>
  <c r="L817" i="4"/>
  <c r="K817" i="4"/>
  <c r="J817" i="4"/>
  <c r="I817" i="4" a="1"/>
  <c r="I817" i="4" s="1"/>
  <c r="H817" i="4"/>
  <c r="G817" i="4"/>
  <c r="F817" i="4"/>
  <c r="D817" i="4"/>
  <c r="C817" i="4"/>
  <c r="B817" i="4"/>
  <c r="A817" i="4"/>
  <c r="V816" i="4"/>
  <c r="U816" i="4"/>
  <c r="T816" i="4"/>
  <c r="S816" i="4"/>
  <c r="R816" i="4"/>
  <c r="Q816" i="4"/>
  <c r="P816" i="4"/>
  <c r="O816" i="4"/>
  <c r="N816" i="4"/>
  <c r="M816" i="4"/>
  <c r="L816" i="4"/>
  <c r="K816" i="4"/>
  <c r="J816" i="4"/>
  <c r="H816" i="4"/>
  <c r="G816" i="4"/>
  <c r="I816" i="4" s="1" a="1"/>
  <c r="I816" i="4" s="1"/>
  <c r="F816" i="4"/>
  <c r="C816" i="4"/>
  <c r="B816" i="4"/>
  <c r="A816" i="4" s="1"/>
  <c r="V815" i="4"/>
  <c r="T815" i="4"/>
  <c r="S815" i="4"/>
  <c r="R815" i="4"/>
  <c r="U815" i="4" s="1"/>
  <c r="Q815" i="4"/>
  <c r="P815" i="4"/>
  <c r="O815" i="4"/>
  <c r="N815" i="4"/>
  <c r="M815" i="4"/>
  <c r="K815" i="4"/>
  <c r="J815" i="4"/>
  <c r="L815" i="4" s="1"/>
  <c r="I815" i="4"/>
  <c r="H815" i="4"/>
  <c r="G815" i="4"/>
  <c r="I815" i="4" s="1" a="1"/>
  <c r="F815" i="4"/>
  <c r="C815" i="4"/>
  <c r="B815" i="4"/>
  <c r="W815" i="4" s="1"/>
  <c r="V814" i="4"/>
  <c r="T814" i="4"/>
  <c r="S814" i="4"/>
  <c r="R814" i="4"/>
  <c r="U814" i="4" s="1"/>
  <c r="Q814" i="4"/>
  <c r="P814" i="4"/>
  <c r="O814" i="4"/>
  <c r="N814" i="4"/>
  <c r="M814" i="4"/>
  <c r="K814" i="4"/>
  <c r="J814" i="4"/>
  <c r="L814" i="4" s="1"/>
  <c r="H814" i="4"/>
  <c r="G814" i="4"/>
  <c r="F814" i="4"/>
  <c r="D814" i="4"/>
  <c r="C814" i="4"/>
  <c r="B814" i="4"/>
  <c r="A814" i="4"/>
  <c r="V813" i="4"/>
  <c r="T813" i="4"/>
  <c r="S813" i="4"/>
  <c r="R813" i="4"/>
  <c r="U813" i="4" s="1"/>
  <c r="Q813" i="4"/>
  <c r="P813" i="4"/>
  <c r="O813" i="4"/>
  <c r="N813" i="4"/>
  <c r="M813" i="4"/>
  <c r="L813" i="4"/>
  <c r="K813" i="4"/>
  <c r="J813" i="4"/>
  <c r="I813" i="4"/>
  <c r="I813" i="4" a="1"/>
  <c r="H813" i="4"/>
  <c r="G813" i="4"/>
  <c r="F813" i="4"/>
  <c r="C813" i="4"/>
  <c r="B813" i="4"/>
  <c r="W813" i="4" s="1"/>
  <c r="V812" i="4"/>
  <c r="T812" i="4"/>
  <c r="S812" i="4"/>
  <c r="R812" i="4"/>
  <c r="U812" i="4" s="1"/>
  <c r="Q812" i="4"/>
  <c r="P812" i="4"/>
  <c r="O812" i="4"/>
  <c r="N812" i="4"/>
  <c r="M812" i="4"/>
  <c r="K812" i="4"/>
  <c r="J812" i="4"/>
  <c r="L812" i="4" s="1"/>
  <c r="I812" i="4"/>
  <c r="I812" i="4" a="1"/>
  <c r="H812" i="4"/>
  <c r="G812" i="4"/>
  <c r="F812" i="4"/>
  <c r="C812" i="4"/>
  <c r="B812" i="4"/>
  <c r="A812" i="4"/>
  <c r="V811" i="4"/>
  <c r="U811" i="4"/>
  <c r="T811" i="4"/>
  <c r="S811" i="4"/>
  <c r="R811" i="4"/>
  <c r="Q811" i="4"/>
  <c r="P811" i="4"/>
  <c r="O811" i="4"/>
  <c r="N811" i="4"/>
  <c r="M811" i="4"/>
  <c r="K811" i="4"/>
  <c r="J811" i="4"/>
  <c r="L811" i="4" s="1"/>
  <c r="H811" i="4"/>
  <c r="G811" i="4"/>
  <c r="I811" i="4" s="1" a="1"/>
  <c r="I811" i="4" s="1"/>
  <c r="F811" i="4"/>
  <c r="C811" i="4"/>
  <c r="B811" i="4"/>
  <c r="D811" i="4" s="1"/>
  <c r="V810" i="4"/>
  <c r="T810" i="4"/>
  <c r="S810" i="4"/>
  <c r="R810" i="4"/>
  <c r="U810" i="4" s="1"/>
  <c r="Q810" i="4"/>
  <c r="P810" i="4"/>
  <c r="O810" i="4"/>
  <c r="N810" i="4"/>
  <c r="M810" i="4"/>
  <c r="K810" i="4"/>
  <c r="J810" i="4"/>
  <c r="W810" i="4" s="1"/>
  <c r="H810" i="4"/>
  <c r="G810" i="4"/>
  <c r="I810" i="4" s="1" a="1"/>
  <c r="I810" i="4" s="1"/>
  <c r="F810" i="4"/>
  <c r="D810" i="4"/>
  <c r="C810" i="4"/>
  <c r="B810" i="4"/>
  <c r="V809" i="4"/>
  <c r="U809" i="4"/>
  <c r="T809" i="4"/>
  <c r="S809" i="4"/>
  <c r="R809" i="4"/>
  <c r="Q809" i="4"/>
  <c r="P809" i="4"/>
  <c r="O809" i="4"/>
  <c r="N809" i="4"/>
  <c r="M809" i="4"/>
  <c r="W809" i="4" s="1"/>
  <c r="L809" i="4"/>
  <c r="K809" i="4"/>
  <c r="J809" i="4"/>
  <c r="I809" i="4" a="1"/>
  <c r="I809" i="4" s="1"/>
  <c r="H809" i="4"/>
  <c r="G809" i="4"/>
  <c r="F809" i="4"/>
  <c r="D809" i="4"/>
  <c r="C809" i="4"/>
  <c r="B809" i="4"/>
  <c r="A809" i="4"/>
  <c r="V808" i="4"/>
  <c r="U808" i="4"/>
  <c r="T808" i="4"/>
  <c r="S808" i="4"/>
  <c r="R808" i="4"/>
  <c r="Q808" i="4"/>
  <c r="P808" i="4"/>
  <c r="O808" i="4"/>
  <c r="N808" i="4"/>
  <c r="M808" i="4"/>
  <c r="L808" i="4"/>
  <c r="K808" i="4"/>
  <c r="J808" i="4"/>
  <c r="I808" i="4" a="1"/>
  <c r="I808" i="4" s="1"/>
  <c r="H808" i="4"/>
  <c r="G808" i="4"/>
  <c r="F808" i="4"/>
  <c r="C808" i="4"/>
  <c r="B808" i="4"/>
  <c r="A808" i="4"/>
  <c r="V807" i="4"/>
  <c r="T807" i="4"/>
  <c r="S807" i="4"/>
  <c r="R807" i="4"/>
  <c r="U807" i="4" s="1"/>
  <c r="Q807" i="4"/>
  <c r="P807" i="4"/>
  <c r="O807" i="4"/>
  <c r="N807" i="4"/>
  <c r="M807" i="4"/>
  <c r="K807" i="4"/>
  <c r="J807" i="4"/>
  <c r="L807" i="4" s="1"/>
  <c r="I807" i="4"/>
  <c r="H807" i="4"/>
  <c r="G807" i="4"/>
  <c r="I807" i="4" s="1" a="1"/>
  <c r="F807" i="4"/>
  <c r="C807" i="4"/>
  <c r="B807" i="4"/>
  <c r="W806" i="4"/>
  <c r="V806" i="4"/>
  <c r="T806" i="4"/>
  <c r="S806" i="4"/>
  <c r="R806" i="4"/>
  <c r="U806" i="4" s="1"/>
  <c r="Q806" i="4"/>
  <c r="P806" i="4"/>
  <c r="O806" i="4"/>
  <c r="N806" i="4"/>
  <c r="M806" i="4"/>
  <c r="K806" i="4"/>
  <c r="J806" i="4"/>
  <c r="L806" i="4" s="1"/>
  <c r="I806" i="4" a="1"/>
  <c r="I806" i="4" s="1"/>
  <c r="H806" i="4"/>
  <c r="G806" i="4"/>
  <c r="F806" i="4"/>
  <c r="D806" i="4"/>
  <c r="C806" i="4"/>
  <c r="B806" i="4"/>
  <c r="A806" i="4"/>
  <c r="W805" i="4"/>
  <c r="V805" i="4"/>
  <c r="T805" i="4"/>
  <c r="S805" i="4"/>
  <c r="R805" i="4"/>
  <c r="U805" i="4" s="1"/>
  <c r="Q805" i="4"/>
  <c r="P805" i="4"/>
  <c r="O805" i="4"/>
  <c r="N805" i="4"/>
  <c r="M805" i="4"/>
  <c r="L805" i="4"/>
  <c r="K805" i="4"/>
  <c r="J805" i="4"/>
  <c r="I805" i="4" a="1"/>
  <c r="I805" i="4" s="1"/>
  <c r="H805" i="4"/>
  <c r="G805" i="4"/>
  <c r="F805" i="4"/>
  <c r="D805" i="4"/>
  <c r="C805" i="4"/>
  <c r="B805" i="4"/>
  <c r="A805" i="4"/>
  <c r="V804" i="4"/>
  <c r="T804" i="4"/>
  <c r="S804" i="4"/>
  <c r="R804" i="4"/>
  <c r="U804" i="4" s="1"/>
  <c r="Q804" i="4"/>
  <c r="P804" i="4"/>
  <c r="O804" i="4"/>
  <c r="K804" i="4"/>
  <c r="J804" i="4"/>
  <c r="L804" i="4" s="1"/>
  <c r="I804" i="4"/>
  <c r="I804" i="4" a="1"/>
  <c r="H804" i="4"/>
  <c r="G804" i="4"/>
  <c r="F804" i="4"/>
  <c r="C804" i="4"/>
  <c r="B804" i="4"/>
  <c r="A804" i="4" s="1"/>
  <c r="V803" i="4"/>
  <c r="T803" i="4"/>
  <c r="S803" i="4"/>
  <c r="R803" i="4"/>
  <c r="U803" i="4" s="1"/>
  <c r="Q803" i="4"/>
  <c r="P803" i="4"/>
  <c r="O803" i="4"/>
  <c r="K803" i="4"/>
  <c r="J803" i="4"/>
  <c r="L803" i="4" s="1"/>
  <c r="H803" i="4"/>
  <c r="G803" i="4"/>
  <c r="I803" i="4" s="1" a="1"/>
  <c r="I803" i="4" s="1"/>
  <c r="F803" i="4"/>
  <c r="C803" i="4"/>
  <c r="B803" i="4"/>
  <c r="A803" i="4" s="1"/>
  <c r="V802" i="4"/>
  <c r="T802" i="4"/>
  <c r="S802" i="4"/>
  <c r="R802" i="4"/>
  <c r="U802" i="4" s="1"/>
  <c r="Q802" i="4"/>
  <c r="P802" i="4"/>
  <c r="O802" i="4"/>
  <c r="N802" i="4"/>
  <c r="M802" i="4"/>
  <c r="K802" i="4"/>
  <c r="J802" i="4"/>
  <c r="L802" i="4" s="1"/>
  <c r="I802" i="4"/>
  <c r="H802" i="4"/>
  <c r="G802" i="4"/>
  <c r="I802" i="4" s="1" a="1"/>
  <c r="F802" i="4"/>
  <c r="C802" i="4"/>
  <c r="B802" i="4"/>
  <c r="W802" i="4" s="1"/>
  <c r="V801" i="4"/>
  <c r="U801" i="4"/>
  <c r="T801" i="4"/>
  <c r="S801" i="4"/>
  <c r="R801" i="4"/>
  <c r="Q801" i="4"/>
  <c r="P801" i="4"/>
  <c r="O801" i="4"/>
  <c r="N801" i="4"/>
  <c r="M801" i="4"/>
  <c r="L801" i="4"/>
  <c r="K801" i="4"/>
  <c r="J801" i="4"/>
  <c r="I801" i="4" a="1"/>
  <c r="I801" i="4" s="1"/>
  <c r="H801" i="4"/>
  <c r="G801" i="4"/>
  <c r="W801" i="4" s="1"/>
  <c r="F801" i="4"/>
  <c r="D801" i="4"/>
  <c r="C801" i="4"/>
  <c r="B801" i="4"/>
  <c r="A801" i="4"/>
  <c r="V800" i="4"/>
  <c r="U800" i="4"/>
  <c r="T800" i="4"/>
  <c r="S800" i="4"/>
  <c r="R800" i="4"/>
  <c r="Q800" i="4"/>
  <c r="P800" i="4"/>
  <c r="O800" i="4"/>
  <c r="M800" i="4"/>
  <c r="L800" i="4"/>
  <c r="N800" i="4" s="1"/>
  <c r="K800" i="4"/>
  <c r="J800" i="4"/>
  <c r="I800" i="4"/>
  <c r="I800" i="4" a="1"/>
  <c r="H800" i="4"/>
  <c r="G800" i="4"/>
  <c r="F800" i="4"/>
  <c r="C800" i="4"/>
  <c r="B800" i="4"/>
  <c r="V799" i="4"/>
  <c r="T799" i="4"/>
  <c r="S799" i="4"/>
  <c r="R799" i="4"/>
  <c r="U799" i="4" s="1"/>
  <c r="Q799" i="4"/>
  <c r="P799" i="4"/>
  <c r="O799" i="4"/>
  <c r="N799" i="4"/>
  <c r="M799" i="4"/>
  <c r="K799" i="4"/>
  <c r="J799" i="4"/>
  <c r="L799" i="4" s="1"/>
  <c r="H799" i="4"/>
  <c r="G799" i="4"/>
  <c r="I799" i="4" s="1" a="1"/>
  <c r="I799" i="4" s="1"/>
  <c r="F799" i="4"/>
  <c r="C799" i="4"/>
  <c r="B799" i="4"/>
  <c r="D799" i="4" s="1"/>
  <c r="V798" i="4"/>
  <c r="T798" i="4"/>
  <c r="S798" i="4"/>
  <c r="R798" i="4"/>
  <c r="U798" i="4" s="1"/>
  <c r="Q798" i="4"/>
  <c r="P798" i="4"/>
  <c r="O798" i="4"/>
  <c r="N798" i="4"/>
  <c r="M798" i="4"/>
  <c r="K798" i="4"/>
  <c r="J798" i="4"/>
  <c r="L798" i="4" s="1"/>
  <c r="I798" i="4"/>
  <c r="I798" i="4" a="1"/>
  <c r="H798" i="4"/>
  <c r="G798" i="4"/>
  <c r="W798" i="4" s="1"/>
  <c r="F798" i="4"/>
  <c r="D798" i="4"/>
  <c r="C798" i="4"/>
  <c r="B798" i="4"/>
  <c r="A798" i="4"/>
  <c r="V797" i="4"/>
  <c r="T797" i="4"/>
  <c r="S797" i="4"/>
  <c r="R797" i="4"/>
  <c r="U797" i="4" s="1"/>
  <c r="Q797" i="4"/>
  <c r="P797" i="4"/>
  <c r="O797" i="4"/>
  <c r="N797" i="4"/>
  <c r="M797" i="4"/>
  <c r="L797" i="4"/>
  <c r="K797" i="4"/>
  <c r="J797" i="4"/>
  <c r="I797" i="4" a="1"/>
  <c r="I797" i="4" s="1"/>
  <c r="H797" i="4"/>
  <c r="G797" i="4"/>
  <c r="F797" i="4"/>
  <c r="D797" i="4"/>
  <c r="C797" i="4"/>
  <c r="B797" i="4"/>
  <c r="W797" i="4" s="1"/>
  <c r="A797" i="4"/>
  <c r="V796" i="4"/>
  <c r="U796" i="4"/>
  <c r="T796" i="4"/>
  <c r="S796" i="4"/>
  <c r="R796" i="4"/>
  <c r="Q796" i="4"/>
  <c r="P796" i="4"/>
  <c r="O796" i="4"/>
  <c r="N796" i="4"/>
  <c r="M796" i="4"/>
  <c r="L796" i="4"/>
  <c r="K796" i="4"/>
  <c r="J796" i="4"/>
  <c r="I796" i="4"/>
  <c r="I796" i="4" a="1"/>
  <c r="H796" i="4"/>
  <c r="G796" i="4"/>
  <c r="F796" i="4"/>
  <c r="C796" i="4"/>
  <c r="B796" i="4"/>
  <c r="V795" i="4"/>
  <c r="U795" i="4"/>
  <c r="T795" i="4"/>
  <c r="S795" i="4"/>
  <c r="R795" i="4"/>
  <c r="Q795" i="4"/>
  <c r="P795" i="4"/>
  <c r="O795" i="4"/>
  <c r="N795" i="4"/>
  <c r="M795" i="4"/>
  <c r="L795" i="4"/>
  <c r="K795" i="4"/>
  <c r="J795" i="4"/>
  <c r="I795" i="4"/>
  <c r="I795" i="4" a="1"/>
  <c r="H795" i="4"/>
  <c r="G795" i="4"/>
  <c r="F795" i="4"/>
  <c r="C795" i="4"/>
  <c r="B795" i="4"/>
  <c r="W795" i="4" s="1"/>
  <c r="V794" i="4"/>
  <c r="U794" i="4"/>
  <c r="T794" i="4"/>
  <c r="S794" i="4"/>
  <c r="R794" i="4"/>
  <c r="Q794" i="4"/>
  <c r="P794" i="4"/>
  <c r="O794" i="4"/>
  <c r="N794" i="4"/>
  <c r="M794" i="4"/>
  <c r="L794" i="4"/>
  <c r="K794" i="4"/>
  <c r="J794" i="4"/>
  <c r="I794" i="4"/>
  <c r="H794" i="4"/>
  <c r="G794" i="4"/>
  <c r="I794" i="4" s="1" a="1"/>
  <c r="F794" i="4"/>
  <c r="D794" i="4"/>
  <c r="C794" i="4"/>
  <c r="B794" i="4"/>
  <c r="V793" i="4"/>
  <c r="U793" i="4"/>
  <c r="T793" i="4"/>
  <c r="S793" i="4"/>
  <c r="R793" i="4"/>
  <c r="Q793" i="4"/>
  <c r="P793" i="4"/>
  <c r="O793" i="4"/>
  <c r="N793" i="4"/>
  <c r="M793" i="4"/>
  <c r="L793" i="4"/>
  <c r="K793" i="4"/>
  <c r="J793" i="4"/>
  <c r="H793" i="4"/>
  <c r="G793" i="4"/>
  <c r="W793" i="4" s="1"/>
  <c r="F793" i="4"/>
  <c r="D793" i="4"/>
  <c r="C793" i="4"/>
  <c r="B793" i="4"/>
  <c r="A793" i="4"/>
  <c r="V792" i="4"/>
  <c r="U792" i="4"/>
  <c r="T792" i="4"/>
  <c r="S792" i="4"/>
  <c r="R792" i="4"/>
  <c r="Q792" i="4"/>
  <c r="P792" i="4"/>
  <c r="O792" i="4"/>
  <c r="W792" i="4" s="1"/>
  <c r="N792" i="4"/>
  <c r="M792" i="4"/>
  <c r="L792" i="4"/>
  <c r="K792" i="4"/>
  <c r="J792" i="4"/>
  <c r="I792" i="4" a="1"/>
  <c r="I792" i="4" s="1"/>
  <c r="H792" i="4"/>
  <c r="G792" i="4"/>
  <c r="F792" i="4"/>
  <c r="D792" i="4"/>
  <c r="C792" i="4"/>
  <c r="B792" i="4"/>
  <c r="A792" i="4"/>
  <c r="V791" i="4"/>
  <c r="U791" i="4"/>
  <c r="T791" i="4"/>
  <c r="S791" i="4"/>
  <c r="R791" i="4"/>
  <c r="Q791" i="4"/>
  <c r="P791" i="4"/>
  <c r="O791" i="4"/>
  <c r="N791" i="4"/>
  <c r="M791" i="4"/>
  <c r="L791" i="4"/>
  <c r="K791" i="4"/>
  <c r="J791" i="4"/>
  <c r="I791" i="4"/>
  <c r="I791" i="4" a="1"/>
  <c r="H791" i="4"/>
  <c r="G791" i="4"/>
  <c r="F791" i="4"/>
  <c r="C791" i="4"/>
  <c r="B791" i="4"/>
  <c r="D791" i="4" s="1"/>
  <c r="A791" i="4"/>
  <c r="V790" i="4"/>
  <c r="U790" i="4"/>
  <c r="T790" i="4"/>
  <c r="S790" i="4"/>
  <c r="R790" i="4"/>
  <c r="Q790" i="4"/>
  <c r="P790" i="4"/>
  <c r="O790" i="4"/>
  <c r="N790" i="4"/>
  <c r="M790" i="4"/>
  <c r="K790" i="4"/>
  <c r="J790" i="4"/>
  <c r="L790" i="4" s="1"/>
  <c r="I790" i="4" a="1"/>
  <c r="I790" i="4" s="1"/>
  <c r="H790" i="4"/>
  <c r="G790" i="4"/>
  <c r="F790" i="4"/>
  <c r="D790" i="4"/>
  <c r="C790" i="4"/>
  <c r="B790" i="4"/>
  <c r="A790" i="4"/>
  <c r="V789" i="4"/>
  <c r="T789" i="4"/>
  <c r="S789" i="4"/>
  <c r="R789" i="4"/>
  <c r="U789" i="4" s="1"/>
  <c r="Q789" i="4"/>
  <c r="P789" i="4"/>
  <c r="O789" i="4"/>
  <c r="N789" i="4"/>
  <c r="M789" i="4"/>
  <c r="K789" i="4"/>
  <c r="J789" i="4"/>
  <c r="L789" i="4" s="1"/>
  <c r="H789" i="4"/>
  <c r="G789" i="4"/>
  <c r="W789" i="4" s="1"/>
  <c r="F789" i="4"/>
  <c r="D789" i="4"/>
  <c r="C789" i="4"/>
  <c r="B789" i="4"/>
  <c r="A789" i="4"/>
  <c r="V788" i="4"/>
  <c r="U788" i="4"/>
  <c r="T788" i="4"/>
  <c r="S788" i="4"/>
  <c r="R788" i="4"/>
  <c r="Q788" i="4"/>
  <c r="P788" i="4"/>
  <c r="O788" i="4"/>
  <c r="W788" i="4" s="1"/>
  <c r="N788" i="4"/>
  <c r="M788" i="4"/>
  <c r="L788" i="4"/>
  <c r="K788" i="4"/>
  <c r="J788" i="4"/>
  <c r="I788" i="4" a="1"/>
  <c r="I788" i="4" s="1"/>
  <c r="H788" i="4"/>
  <c r="G788" i="4"/>
  <c r="F788" i="4"/>
  <c r="D788" i="4"/>
  <c r="C788" i="4"/>
  <c r="B788" i="4"/>
  <c r="A788" i="4"/>
  <c r="V787" i="4"/>
  <c r="U787" i="4"/>
  <c r="T787" i="4"/>
  <c r="S787" i="4"/>
  <c r="R787" i="4"/>
  <c r="Q787" i="4"/>
  <c r="P787" i="4"/>
  <c r="O787" i="4"/>
  <c r="N787" i="4"/>
  <c r="M787" i="4"/>
  <c r="L787" i="4"/>
  <c r="K787" i="4"/>
  <c r="J787" i="4"/>
  <c r="I787" i="4"/>
  <c r="I787" i="4" a="1"/>
  <c r="H787" i="4"/>
  <c r="G787" i="4"/>
  <c r="F787" i="4"/>
  <c r="C787" i="4"/>
  <c r="B787" i="4"/>
  <c r="V786" i="4"/>
  <c r="T786" i="4"/>
  <c r="S786" i="4"/>
  <c r="R786" i="4"/>
  <c r="U786" i="4" s="1"/>
  <c r="Q786" i="4"/>
  <c r="P786" i="4"/>
  <c r="O786" i="4"/>
  <c r="N786" i="4"/>
  <c r="M786" i="4"/>
  <c r="K786" i="4"/>
  <c r="J786" i="4"/>
  <c r="L786" i="4" s="1"/>
  <c r="H786" i="4"/>
  <c r="G786" i="4"/>
  <c r="I786" i="4" s="1" a="1"/>
  <c r="I786" i="4" s="1"/>
  <c r="F786" i="4"/>
  <c r="C786" i="4"/>
  <c r="B786" i="4"/>
  <c r="V785" i="4"/>
  <c r="T785" i="4"/>
  <c r="S785" i="4"/>
  <c r="R785" i="4"/>
  <c r="U785" i="4" s="1"/>
  <c r="Q785" i="4"/>
  <c r="P785" i="4"/>
  <c r="O785" i="4"/>
  <c r="W785" i="4" s="1"/>
  <c r="N785" i="4"/>
  <c r="M785" i="4"/>
  <c r="K785" i="4"/>
  <c r="J785" i="4"/>
  <c r="L785" i="4" s="1"/>
  <c r="H785" i="4"/>
  <c r="G785" i="4"/>
  <c r="F785" i="4"/>
  <c r="D785" i="4"/>
  <c r="C785" i="4"/>
  <c r="B785" i="4"/>
  <c r="A785" i="4"/>
  <c r="V784" i="4"/>
  <c r="U784" i="4"/>
  <c r="T784" i="4"/>
  <c r="S784" i="4"/>
  <c r="R784" i="4"/>
  <c r="Q784" i="4"/>
  <c r="P784" i="4"/>
  <c r="O784" i="4"/>
  <c r="W784" i="4" s="1"/>
  <c r="N784" i="4"/>
  <c r="M784" i="4"/>
  <c r="L784" i="4"/>
  <c r="K784" i="4"/>
  <c r="J784" i="4"/>
  <c r="I784" i="4" a="1"/>
  <c r="I784" i="4" s="1"/>
  <c r="H784" i="4"/>
  <c r="G784" i="4"/>
  <c r="F784" i="4"/>
  <c r="D784" i="4"/>
  <c r="C784" i="4"/>
  <c r="B784" i="4"/>
  <c r="A784" i="4"/>
  <c r="V783" i="4"/>
  <c r="U783" i="4"/>
  <c r="T783" i="4"/>
  <c r="S783" i="4"/>
  <c r="R783" i="4"/>
  <c r="Q783" i="4"/>
  <c r="P783" i="4"/>
  <c r="O783" i="4"/>
  <c r="N783" i="4"/>
  <c r="M783" i="4"/>
  <c r="L783" i="4"/>
  <c r="K783" i="4"/>
  <c r="J783" i="4"/>
  <c r="I783" i="4"/>
  <c r="I783" i="4" a="1"/>
  <c r="H783" i="4"/>
  <c r="G783" i="4"/>
  <c r="F783" i="4"/>
  <c r="C783" i="4"/>
  <c r="B783" i="4"/>
  <c r="V782" i="4"/>
  <c r="T782" i="4"/>
  <c r="S782" i="4"/>
  <c r="R782" i="4"/>
  <c r="U782" i="4" s="1"/>
  <c r="Q782" i="4"/>
  <c r="P782" i="4"/>
  <c r="O782" i="4"/>
  <c r="N782" i="4"/>
  <c r="M782" i="4"/>
  <c r="K782" i="4"/>
  <c r="J782" i="4"/>
  <c r="L782" i="4" s="1"/>
  <c r="H782" i="4"/>
  <c r="G782" i="4"/>
  <c r="I782" i="4" s="1" a="1"/>
  <c r="I782" i="4" s="1"/>
  <c r="F782" i="4"/>
  <c r="C782" i="4"/>
  <c r="B782" i="4"/>
  <c r="V781" i="4"/>
  <c r="T781" i="4"/>
  <c r="S781" i="4"/>
  <c r="R781" i="4"/>
  <c r="U781" i="4" s="1"/>
  <c r="Q781" i="4"/>
  <c r="P781" i="4"/>
  <c r="O781" i="4"/>
  <c r="W781" i="4" s="1"/>
  <c r="N781" i="4"/>
  <c r="M781" i="4"/>
  <c r="K781" i="4"/>
  <c r="J781" i="4"/>
  <c r="L781" i="4" s="1"/>
  <c r="H781" i="4"/>
  <c r="G781" i="4"/>
  <c r="F781" i="4"/>
  <c r="D781" i="4"/>
  <c r="C781" i="4"/>
  <c r="B781" i="4"/>
  <c r="A781" i="4"/>
  <c r="V780" i="4"/>
  <c r="U780" i="4"/>
  <c r="T780" i="4"/>
  <c r="S780" i="4"/>
  <c r="R780" i="4"/>
  <c r="Q780" i="4"/>
  <c r="P780" i="4"/>
  <c r="O780" i="4"/>
  <c r="W780" i="4" s="1"/>
  <c r="N780" i="4"/>
  <c r="M780" i="4"/>
  <c r="L780" i="4"/>
  <c r="K780" i="4"/>
  <c r="J780" i="4"/>
  <c r="I780" i="4" a="1"/>
  <c r="I780" i="4" s="1"/>
  <c r="H780" i="4"/>
  <c r="G780" i="4"/>
  <c r="F780" i="4"/>
  <c r="D780" i="4"/>
  <c r="C780" i="4"/>
  <c r="B780" i="4"/>
  <c r="A780" i="4"/>
  <c r="V779" i="4"/>
  <c r="U779" i="4"/>
  <c r="T779" i="4"/>
  <c r="S779" i="4"/>
  <c r="R779" i="4"/>
  <c r="Q779" i="4"/>
  <c r="P779" i="4"/>
  <c r="O779" i="4"/>
  <c r="N779" i="4"/>
  <c r="M779" i="4"/>
  <c r="L779" i="4"/>
  <c r="K779" i="4"/>
  <c r="J779" i="4"/>
  <c r="I779" i="4"/>
  <c r="I779" i="4" a="1"/>
  <c r="H779" i="4"/>
  <c r="G779" i="4"/>
  <c r="F779" i="4"/>
  <c r="C779" i="4"/>
  <c r="B779" i="4"/>
  <c r="V778" i="4"/>
  <c r="T778" i="4"/>
  <c r="S778" i="4"/>
  <c r="R778" i="4"/>
  <c r="U778" i="4" s="1"/>
  <c r="Q778" i="4"/>
  <c r="P778" i="4"/>
  <c r="O778" i="4"/>
  <c r="N778" i="4"/>
  <c r="M778" i="4"/>
  <c r="K778" i="4"/>
  <c r="J778" i="4"/>
  <c r="L778" i="4" s="1"/>
  <c r="H778" i="4"/>
  <c r="G778" i="4"/>
  <c r="I778" i="4" s="1" a="1"/>
  <c r="I778" i="4" s="1"/>
  <c r="F778" i="4"/>
  <c r="C778" i="4"/>
  <c r="B778" i="4"/>
  <c r="V777" i="4"/>
  <c r="T777" i="4"/>
  <c r="S777" i="4"/>
  <c r="R777" i="4"/>
  <c r="U777" i="4" s="1"/>
  <c r="Q777" i="4"/>
  <c r="P777" i="4"/>
  <c r="O777" i="4"/>
  <c r="W777" i="4" s="1"/>
  <c r="N777" i="4"/>
  <c r="M777" i="4"/>
  <c r="K777" i="4"/>
  <c r="J777" i="4"/>
  <c r="L777" i="4" s="1"/>
  <c r="H777" i="4"/>
  <c r="G777" i="4"/>
  <c r="F777" i="4"/>
  <c r="D777" i="4"/>
  <c r="C777" i="4"/>
  <c r="B777" i="4"/>
  <c r="A777" i="4"/>
  <c r="V776" i="4"/>
  <c r="U776" i="4"/>
  <c r="T776" i="4"/>
  <c r="S776" i="4"/>
  <c r="R776" i="4"/>
  <c r="Q776" i="4"/>
  <c r="P776" i="4"/>
  <c r="O776" i="4"/>
  <c r="W776" i="4" s="1"/>
  <c r="N776" i="4"/>
  <c r="M776" i="4"/>
  <c r="L776" i="4"/>
  <c r="K776" i="4"/>
  <c r="J776" i="4"/>
  <c r="I776" i="4" a="1"/>
  <c r="I776" i="4" s="1"/>
  <c r="H776" i="4"/>
  <c r="G776" i="4"/>
  <c r="F776" i="4"/>
  <c r="D776" i="4"/>
  <c r="C776" i="4"/>
  <c r="B776" i="4"/>
  <c r="A776" i="4"/>
  <c r="V775" i="4"/>
  <c r="U775" i="4"/>
  <c r="T775" i="4"/>
  <c r="S775" i="4"/>
  <c r="R775" i="4"/>
  <c r="Q775" i="4"/>
  <c r="P775" i="4"/>
  <c r="O775" i="4"/>
  <c r="N775" i="4"/>
  <c r="M775" i="4"/>
  <c r="L775" i="4"/>
  <c r="K775" i="4"/>
  <c r="J775" i="4"/>
  <c r="I775" i="4"/>
  <c r="I775" i="4" a="1"/>
  <c r="H775" i="4"/>
  <c r="G775" i="4"/>
  <c r="F775" i="4"/>
  <c r="C775" i="4"/>
  <c r="B775" i="4"/>
  <c r="V774" i="4"/>
  <c r="T774" i="4"/>
  <c r="S774" i="4"/>
  <c r="R774" i="4"/>
  <c r="U774" i="4" s="1"/>
  <c r="Q774" i="4"/>
  <c r="P774" i="4"/>
  <c r="O774" i="4"/>
  <c r="N774" i="4"/>
  <c r="M774" i="4"/>
  <c r="K774" i="4"/>
  <c r="J774" i="4"/>
  <c r="L774" i="4" s="1"/>
  <c r="H774" i="4"/>
  <c r="G774" i="4"/>
  <c r="I774" i="4" s="1" a="1"/>
  <c r="I774" i="4" s="1"/>
  <c r="F774" i="4"/>
  <c r="C774" i="4"/>
  <c r="B774" i="4"/>
  <c r="V773" i="4"/>
  <c r="T773" i="4"/>
  <c r="S773" i="4"/>
  <c r="R773" i="4"/>
  <c r="U773" i="4" s="1"/>
  <c r="Q773" i="4"/>
  <c r="P773" i="4"/>
  <c r="O773" i="4"/>
  <c r="W773" i="4" s="1"/>
  <c r="N773" i="4"/>
  <c r="M773" i="4"/>
  <c r="K773" i="4"/>
  <c r="J773" i="4"/>
  <c r="L773" i="4" s="1"/>
  <c r="H773" i="4"/>
  <c r="G773" i="4"/>
  <c r="F773" i="4"/>
  <c r="D773" i="4"/>
  <c r="C773" i="4"/>
  <c r="B773" i="4"/>
  <c r="A773" i="4"/>
  <c r="V772" i="4"/>
  <c r="U772" i="4"/>
  <c r="T772" i="4"/>
  <c r="S772" i="4"/>
  <c r="R772" i="4"/>
  <c r="Q772" i="4"/>
  <c r="P772" i="4"/>
  <c r="O772" i="4"/>
  <c r="W772" i="4" s="1"/>
  <c r="N772" i="4"/>
  <c r="M772" i="4"/>
  <c r="L772" i="4"/>
  <c r="K772" i="4"/>
  <c r="J772" i="4"/>
  <c r="I772" i="4" a="1"/>
  <c r="I772" i="4" s="1"/>
  <c r="H772" i="4"/>
  <c r="G772" i="4"/>
  <c r="F772" i="4"/>
  <c r="D772" i="4"/>
  <c r="C772" i="4"/>
  <c r="B772" i="4"/>
  <c r="A772" i="4"/>
  <c r="V771" i="4"/>
  <c r="U771" i="4"/>
  <c r="T771" i="4"/>
  <c r="S771" i="4"/>
  <c r="R771" i="4"/>
  <c r="Q771" i="4"/>
  <c r="P771" i="4"/>
  <c r="O771" i="4"/>
  <c r="N771" i="4"/>
  <c r="M771" i="4"/>
  <c r="L771" i="4"/>
  <c r="K771" i="4"/>
  <c r="J771" i="4"/>
  <c r="I771" i="4"/>
  <c r="I771" i="4" a="1"/>
  <c r="H771" i="4"/>
  <c r="G771" i="4"/>
  <c r="F771" i="4"/>
  <c r="C771" i="4"/>
  <c r="B771" i="4"/>
  <c r="V770" i="4"/>
  <c r="T770" i="4"/>
  <c r="S770" i="4"/>
  <c r="R770" i="4"/>
  <c r="U770" i="4" s="1"/>
  <c r="Q770" i="4"/>
  <c r="P770" i="4"/>
  <c r="O770" i="4"/>
  <c r="N770" i="4"/>
  <c r="M770" i="4"/>
  <c r="K770" i="4"/>
  <c r="J770" i="4"/>
  <c r="L770" i="4" s="1"/>
  <c r="H770" i="4"/>
  <c r="G770" i="4"/>
  <c r="I770" i="4" s="1" a="1"/>
  <c r="I770" i="4" s="1"/>
  <c r="F770" i="4"/>
  <c r="C770" i="4"/>
  <c r="B770" i="4"/>
  <c r="V769" i="4"/>
  <c r="T769" i="4"/>
  <c r="S769" i="4"/>
  <c r="R769" i="4"/>
  <c r="U769" i="4" s="1"/>
  <c r="Q769" i="4"/>
  <c r="P769" i="4"/>
  <c r="O769" i="4"/>
  <c r="W769" i="4" s="1"/>
  <c r="N769" i="4"/>
  <c r="M769" i="4"/>
  <c r="K769" i="4"/>
  <c r="J769" i="4"/>
  <c r="L769" i="4" s="1"/>
  <c r="H769" i="4"/>
  <c r="G769" i="4"/>
  <c r="F769" i="4"/>
  <c r="D769" i="4"/>
  <c r="C769" i="4"/>
  <c r="B769" i="4"/>
  <c r="A769" i="4"/>
  <c r="V768" i="4"/>
  <c r="U768" i="4"/>
  <c r="T768" i="4"/>
  <c r="S768" i="4"/>
  <c r="R768" i="4"/>
  <c r="Q768" i="4"/>
  <c r="P768" i="4"/>
  <c r="O768" i="4"/>
  <c r="W768" i="4" s="1"/>
  <c r="N768" i="4"/>
  <c r="M768" i="4"/>
  <c r="L768" i="4"/>
  <c r="K768" i="4"/>
  <c r="J768" i="4"/>
  <c r="I768" i="4" a="1"/>
  <c r="I768" i="4" s="1"/>
  <c r="H768" i="4"/>
  <c r="G768" i="4"/>
  <c r="F768" i="4"/>
  <c r="D768" i="4"/>
  <c r="C768" i="4"/>
  <c r="B768" i="4"/>
  <c r="A768" i="4"/>
  <c r="V767" i="4"/>
  <c r="U767" i="4"/>
  <c r="T767" i="4"/>
  <c r="S767" i="4"/>
  <c r="R767" i="4"/>
  <c r="Q767" i="4"/>
  <c r="P767" i="4"/>
  <c r="O767" i="4"/>
  <c r="N767" i="4"/>
  <c r="M767" i="4"/>
  <c r="L767" i="4"/>
  <c r="K767" i="4"/>
  <c r="J767" i="4"/>
  <c r="I767" i="4"/>
  <c r="I767" i="4" a="1"/>
  <c r="H767" i="4"/>
  <c r="G767" i="4"/>
  <c r="F767" i="4"/>
  <c r="C767" i="4"/>
  <c r="B767" i="4"/>
  <c r="V766" i="4"/>
  <c r="T766" i="4"/>
  <c r="S766" i="4"/>
  <c r="R766" i="4"/>
  <c r="U766" i="4" s="1"/>
  <c r="Q766" i="4"/>
  <c r="P766" i="4"/>
  <c r="O766" i="4"/>
  <c r="N766" i="4"/>
  <c r="M766" i="4"/>
  <c r="K766" i="4"/>
  <c r="J766" i="4"/>
  <c r="L766" i="4" s="1"/>
  <c r="H766" i="4"/>
  <c r="G766" i="4"/>
  <c r="I766" i="4" s="1" a="1"/>
  <c r="I766" i="4" s="1"/>
  <c r="F766" i="4"/>
  <c r="C766" i="4"/>
  <c r="B766" i="4"/>
  <c r="V765" i="4"/>
  <c r="T765" i="4"/>
  <c r="S765" i="4"/>
  <c r="R765" i="4"/>
  <c r="U765" i="4" s="1"/>
  <c r="Q765" i="4"/>
  <c r="P765" i="4"/>
  <c r="O765" i="4"/>
  <c r="W765" i="4" s="1"/>
  <c r="N765" i="4"/>
  <c r="M765" i="4"/>
  <c r="K765" i="4"/>
  <c r="J765" i="4"/>
  <c r="L765" i="4" s="1"/>
  <c r="H765" i="4"/>
  <c r="G765" i="4"/>
  <c r="F765" i="4"/>
  <c r="D765" i="4"/>
  <c r="C765" i="4"/>
  <c r="B765" i="4"/>
  <c r="A765" i="4"/>
  <c r="V764" i="4"/>
  <c r="U764" i="4"/>
  <c r="T764" i="4"/>
  <c r="S764" i="4"/>
  <c r="R764" i="4"/>
  <c r="Q764" i="4"/>
  <c r="P764" i="4"/>
  <c r="O764" i="4"/>
  <c r="W764" i="4" s="1"/>
  <c r="N764" i="4"/>
  <c r="M764" i="4"/>
  <c r="L764" i="4"/>
  <c r="K764" i="4"/>
  <c r="J764" i="4"/>
  <c r="I764" i="4" a="1"/>
  <c r="I764" i="4" s="1"/>
  <c r="H764" i="4"/>
  <c r="G764" i="4"/>
  <c r="F764" i="4"/>
  <c r="D764" i="4"/>
  <c r="C764" i="4"/>
  <c r="B764" i="4"/>
  <c r="A764" i="4"/>
  <c r="V763" i="4"/>
  <c r="U763" i="4"/>
  <c r="T763" i="4"/>
  <c r="S763" i="4"/>
  <c r="R763" i="4"/>
  <c r="Q763" i="4"/>
  <c r="P763" i="4"/>
  <c r="O763" i="4"/>
  <c r="N763" i="4"/>
  <c r="M763" i="4"/>
  <c r="L763" i="4"/>
  <c r="K763" i="4"/>
  <c r="J763" i="4"/>
  <c r="I763" i="4"/>
  <c r="I763" i="4" a="1"/>
  <c r="H763" i="4"/>
  <c r="G763" i="4"/>
  <c r="F763" i="4"/>
  <c r="C763" i="4"/>
  <c r="B763" i="4"/>
  <c r="V762" i="4"/>
  <c r="T762" i="4"/>
  <c r="S762" i="4"/>
  <c r="R762" i="4"/>
  <c r="U762" i="4" s="1"/>
  <c r="Q762" i="4"/>
  <c r="P762" i="4"/>
  <c r="O762" i="4"/>
  <c r="N762" i="4"/>
  <c r="M762" i="4"/>
  <c r="K762" i="4"/>
  <c r="J762" i="4"/>
  <c r="L762" i="4" s="1"/>
  <c r="H762" i="4"/>
  <c r="G762" i="4"/>
  <c r="I762" i="4" s="1" a="1"/>
  <c r="I762" i="4" s="1"/>
  <c r="F762" i="4"/>
  <c r="C762" i="4"/>
  <c r="B762" i="4"/>
  <c r="V761" i="4"/>
  <c r="T761" i="4"/>
  <c r="S761" i="4"/>
  <c r="R761" i="4"/>
  <c r="U761" i="4" s="1"/>
  <c r="Q761" i="4"/>
  <c r="P761" i="4"/>
  <c r="O761" i="4"/>
  <c r="K761" i="4"/>
  <c r="J761" i="4"/>
  <c r="L761" i="4" s="1"/>
  <c r="H761" i="4"/>
  <c r="G761" i="4"/>
  <c r="F761" i="4"/>
  <c r="D761" i="4"/>
  <c r="C761" i="4"/>
  <c r="B761" i="4"/>
  <c r="A761" i="4"/>
  <c r="V760" i="4"/>
  <c r="U760" i="4"/>
  <c r="T760" i="4"/>
  <c r="S760" i="4"/>
  <c r="R760" i="4"/>
  <c r="Q760" i="4"/>
  <c r="P760" i="4"/>
  <c r="O760" i="4"/>
  <c r="W760" i="4" s="1"/>
  <c r="N760" i="4"/>
  <c r="M760" i="4"/>
  <c r="L760" i="4"/>
  <c r="K760" i="4"/>
  <c r="J760" i="4"/>
  <c r="I760" i="4" a="1"/>
  <c r="I760" i="4" s="1"/>
  <c r="H760" i="4"/>
  <c r="G760" i="4"/>
  <c r="F760" i="4"/>
  <c r="D760" i="4"/>
  <c r="C760" i="4"/>
  <c r="B760" i="4"/>
  <c r="A760" i="4"/>
  <c r="V759" i="4"/>
  <c r="U759" i="4"/>
  <c r="T759" i="4"/>
  <c r="S759" i="4"/>
  <c r="R759" i="4"/>
  <c r="Q759" i="4"/>
  <c r="P759" i="4"/>
  <c r="O759" i="4"/>
  <c r="N759" i="4"/>
  <c r="M759" i="4"/>
  <c r="L759" i="4"/>
  <c r="K759" i="4"/>
  <c r="J759" i="4"/>
  <c r="I759" i="4"/>
  <c r="I759" i="4" a="1"/>
  <c r="H759" i="4"/>
  <c r="G759" i="4"/>
  <c r="F759" i="4"/>
  <c r="C759" i="4"/>
  <c r="B759" i="4"/>
  <c r="V758" i="4"/>
  <c r="T758" i="4"/>
  <c r="S758" i="4"/>
  <c r="R758" i="4"/>
  <c r="U758" i="4" s="1"/>
  <c r="Q758" i="4"/>
  <c r="P758" i="4"/>
  <c r="O758" i="4"/>
  <c r="N758" i="4"/>
  <c r="M758" i="4"/>
  <c r="K758" i="4"/>
  <c r="J758" i="4"/>
  <c r="L758" i="4" s="1"/>
  <c r="H758" i="4"/>
  <c r="G758" i="4"/>
  <c r="I758" i="4" s="1" a="1"/>
  <c r="I758" i="4" s="1"/>
  <c r="F758" i="4"/>
  <c r="C758" i="4"/>
  <c r="B758" i="4"/>
  <c r="V757" i="4"/>
  <c r="T757" i="4"/>
  <c r="S757" i="4"/>
  <c r="R757" i="4"/>
  <c r="U757" i="4" s="1"/>
  <c r="Q757" i="4"/>
  <c r="P757" i="4"/>
  <c r="O757" i="4"/>
  <c r="W757" i="4" s="1"/>
  <c r="N757" i="4"/>
  <c r="M757" i="4"/>
  <c r="K757" i="4"/>
  <c r="J757" i="4"/>
  <c r="L757" i="4" s="1"/>
  <c r="H757" i="4"/>
  <c r="G757" i="4"/>
  <c r="F757" i="4"/>
  <c r="D757" i="4"/>
  <c r="C757" i="4"/>
  <c r="B757" i="4"/>
  <c r="A757" i="4"/>
  <c r="V756" i="4"/>
  <c r="U756" i="4"/>
  <c r="T756" i="4"/>
  <c r="S756" i="4"/>
  <c r="R756" i="4"/>
  <c r="Q756" i="4"/>
  <c r="P756" i="4"/>
  <c r="O756" i="4"/>
  <c r="W756" i="4" s="1"/>
  <c r="N756" i="4"/>
  <c r="M756" i="4"/>
  <c r="L756" i="4"/>
  <c r="K756" i="4"/>
  <c r="J756" i="4"/>
  <c r="I756" i="4" a="1"/>
  <c r="I756" i="4" s="1"/>
  <c r="H756" i="4"/>
  <c r="G756" i="4"/>
  <c r="F756" i="4"/>
  <c r="D756" i="4"/>
  <c r="C756" i="4"/>
  <c r="B756" i="4"/>
  <c r="A756" i="4"/>
  <c r="V755" i="4"/>
  <c r="U755" i="4"/>
  <c r="T755" i="4"/>
  <c r="S755" i="4"/>
  <c r="R755" i="4"/>
  <c r="Q755" i="4"/>
  <c r="P755" i="4"/>
  <c r="O755" i="4"/>
  <c r="N755" i="4"/>
  <c r="M755" i="4"/>
  <c r="L755" i="4"/>
  <c r="K755" i="4"/>
  <c r="J755" i="4"/>
  <c r="I755" i="4"/>
  <c r="I755" i="4" a="1"/>
  <c r="H755" i="4"/>
  <c r="G755" i="4"/>
  <c r="F755" i="4"/>
  <c r="C755" i="4"/>
  <c r="B755" i="4"/>
  <c r="V754" i="4"/>
  <c r="T754" i="4"/>
  <c r="S754" i="4"/>
  <c r="R754" i="4"/>
  <c r="U754" i="4" s="1"/>
  <c r="Q754" i="4"/>
  <c r="P754" i="4"/>
  <c r="O754" i="4"/>
  <c r="N754" i="4"/>
  <c r="M754" i="4"/>
  <c r="K754" i="4"/>
  <c r="J754" i="4"/>
  <c r="L754" i="4" s="1"/>
  <c r="H754" i="4"/>
  <c r="G754" i="4"/>
  <c r="I754" i="4" s="1" a="1"/>
  <c r="I754" i="4" s="1"/>
  <c r="F754" i="4"/>
  <c r="C754" i="4"/>
  <c r="B754" i="4"/>
  <c r="V753" i="4"/>
  <c r="T753" i="4"/>
  <c r="S753" i="4"/>
  <c r="R753" i="4"/>
  <c r="U753" i="4" s="1"/>
  <c r="Q753" i="4"/>
  <c r="P753" i="4"/>
  <c r="O753" i="4"/>
  <c r="W753" i="4" s="1"/>
  <c r="N753" i="4"/>
  <c r="M753" i="4"/>
  <c r="K753" i="4"/>
  <c r="J753" i="4"/>
  <c r="L753" i="4" s="1"/>
  <c r="H753" i="4"/>
  <c r="G753" i="4"/>
  <c r="F753" i="4"/>
  <c r="D753" i="4"/>
  <c r="C753" i="4"/>
  <c r="B753" i="4"/>
  <c r="A753" i="4"/>
  <c r="V752" i="4"/>
  <c r="U752" i="4"/>
  <c r="T752" i="4"/>
  <c r="S752" i="4"/>
  <c r="R752" i="4"/>
  <c r="Q752" i="4"/>
  <c r="P752" i="4"/>
  <c r="O752" i="4"/>
  <c r="W752" i="4" s="1"/>
  <c r="N752" i="4"/>
  <c r="M752" i="4"/>
  <c r="L752" i="4"/>
  <c r="K752" i="4"/>
  <c r="J752" i="4"/>
  <c r="I752" i="4" a="1"/>
  <c r="I752" i="4" s="1"/>
  <c r="H752" i="4"/>
  <c r="G752" i="4"/>
  <c r="F752" i="4"/>
  <c r="D752" i="4"/>
  <c r="C752" i="4"/>
  <c r="B752" i="4"/>
  <c r="A752" i="4"/>
  <c r="V751" i="4"/>
  <c r="U751" i="4"/>
  <c r="T751" i="4"/>
  <c r="S751" i="4"/>
  <c r="R751" i="4"/>
  <c r="Q751" i="4"/>
  <c r="P751" i="4"/>
  <c r="O751" i="4"/>
  <c r="N751" i="4"/>
  <c r="M751" i="4"/>
  <c r="L751" i="4"/>
  <c r="K751" i="4"/>
  <c r="J751" i="4"/>
  <c r="I751" i="4"/>
  <c r="I751" i="4" a="1"/>
  <c r="H751" i="4"/>
  <c r="G751" i="4"/>
  <c r="F751" i="4"/>
  <c r="C751" i="4"/>
  <c r="B751" i="4"/>
  <c r="V750" i="4"/>
  <c r="T750" i="4"/>
  <c r="S750" i="4"/>
  <c r="R750" i="4"/>
  <c r="U750" i="4" s="1"/>
  <c r="Q750" i="4"/>
  <c r="P750" i="4"/>
  <c r="O750" i="4"/>
  <c r="N750" i="4"/>
  <c r="M750" i="4"/>
  <c r="K750" i="4"/>
  <c r="J750" i="4"/>
  <c r="L750" i="4" s="1"/>
  <c r="H750" i="4"/>
  <c r="G750" i="4"/>
  <c r="I750" i="4" s="1" a="1"/>
  <c r="I750" i="4" s="1"/>
  <c r="F750" i="4"/>
  <c r="C750" i="4"/>
  <c r="B750" i="4"/>
  <c r="W749" i="4"/>
  <c r="V749" i="4"/>
  <c r="T749" i="4"/>
  <c r="S749" i="4"/>
  <c r="R749" i="4"/>
  <c r="U749" i="4" s="1"/>
  <c r="Q749" i="4"/>
  <c r="P749" i="4"/>
  <c r="O749" i="4"/>
  <c r="N749" i="4"/>
  <c r="M749" i="4"/>
  <c r="K749" i="4"/>
  <c r="J749" i="4"/>
  <c r="L749" i="4" s="1"/>
  <c r="H749" i="4"/>
  <c r="G749" i="4"/>
  <c r="F749" i="4"/>
  <c r="D749" i="4"/>
  <c r="C749" i="4"/>
  <c r="B749" i="4"/>
  <c r="A749" i="4"/>
  <c r="V748" i="4"/>
  <c r="U748" i="4"/>
  <c r="T748" i="4"/>
  <c r="S748" i="4"/>
  <c r="R748" i="4"/>
  <c r="Q748" i="4"/>
  <c r="P748" i="4"/>
  <c r="O748" i="4"/>
  <c r="W748" i="4" s="1"/>
  <c r="N748" i="4"/>
  <c r="M748" i="4"/>
  <c r="L748" i="4"/>
  <c r="K748" i="4"/>
  <c r="J748" i="4"/>
  <c r="I748" i="4" a="1"/>
  <c r="I748" i="4" s="1"/>
  <c r="H748" i="4"/>
  <c r="G748" i="4"/>
  <c r="F748" i="4"/>
  <c r="D748" i="4"/>
  <c r="C748" i="4"/>
  <c r="B748" i="4"/>
  <c r="A748" i="4"/>
  <c r="V747" i="4"/>
  <c r="U747" i="4"/>
  <c r="T747" i="4"/>
  <c r="S747" i="4"/>
  <c r="R747" i="4"/>
  <c r="Q747" i="4"/>
  <c r="P747" i="4"/>
  <c r="O747" i="4"/>
  <c r="N747" i="4"/>
  <c r="M747" i="4"/>
  <c r="L747" i="4"/>
  <c r="K747" i="4"/>
  <c r="J747" i="4"/>
  <c r="I747" i="4"/>
  <c r="I747" i="4" a="1"/>
  <c r="H747" i="4"/>
  <c r="G747" i="4"/>
  <c r="F747" i="4"/>
  <c r="C747" i="4"/>
  <c r="B747" i="4"/>
  <c r="V746" i="4"/>
  <c r="T746" i="4"/>
  <c r="S746" i="4"/>
  <c r="R746" i="4"/>
  <c r="U746" i="4" s="1"/>
  <c r="Q746" i="4"/>
  <c r="P746" i="4"/>
  <c r="O746" i="4"/>
  <c r="N746" i="4"/>
  <c r="M746" i="4"/>
  <c r="K746" i="4"/>
  <c r="J746" i="4"/>
  <c r="L746" i="4" s="1"/>
  <c r="H746" i="4"/>
  <c r="G746" i="4"/>
  <c r="I746" i="4" s="1" a="1"/>
  <c r="I746" i="4" s="1"/>
  <c r="F746" i="4"/>
  <c r="C746" i="4"/>
  <c r="B746" i="4"/>
  <c r="V745" i="4"/>
  <c r="T745" i="4"/>
  <c r="S745" i="4"/>
  <c r="R745" i="4"/>
  <c r="U745" i="4" s="1"/>
  <c r="Q745" i="4"/>
  <c r="P745" i="4"/>
  <c r="O745" i="4"/>
  <c r="W745" i="4" s="1"/>
  <c r="N745" i="4"/>
  <c r="M745" i="4"/>
  <c r="K745" i="4"/>
  <c r="J745" i="4"/>
  <c r="L745" i="4" s="1"/>
  <c r="H745" i="4"/>
  <c r="G745" i="4"/>
  <c r="F745" i="4"/>
  <c r="D745" i="4"/>
  <c r="C745" i="4"/>
  <c r="B745" i="4"/>
  <c r="A745" i="4"/>
  <c r="V744" i="4"/>
  <c r="U744" i="4"/>
  <c r="T744" i="4"/>
  <c r="S744" i="4"/>
  <c r="R744" i="4"/>
  <c r="Q744" i="4"/>
  <c r="P744" i="4"/>
  <c r="O744" i="4"/>
  <c r="N744" i="4"/>
  <c r="M744" i="4"/>
  <c r="L744" i="4"/>
  <c r="K744" i="4"/>
  <c r="J744" i="4"/>
  <c r="I744" i="4" a="1"/>
  <c r="I744" i="4" s="1"/>
  <c r="H744" i="4"/>
  <c r="G744" i="4"/>
  <c r="F744" i="4"/>
  <c r="D744" i="4"/>
  <c r="C744" i="4"/>
  <c r="B744" i="4"/>
  <c r="A744" i="4"/>
  <c r="V743" i="4"/>
  <c r="U743" i="4"/>
  <c r="T743" i="4"/>
  <c r="S743" i="4"/>
  <c r="R743" i="4"/>
  <c r="Q743" i="4"/>
  <c r="P743" i="4"/>
  <c r="O743" i="4"/>
  <c r="N743" i="4"/>
  <c r="M743" i="4"/>
  <c r="L743" i="4"/>
  <c r="K743" i="4"/>
  <c r="J743" i="4"/>
  <c r="I743" i="4"/>
  <c r="I743" i="4" a="1"/>
  <c r="H743" i="4"/>
  <c r="G743" i="4"/>
  <c r="F743" i="4"/>
  <c r="C743" i="4"/>
  <c r="B743" i="4"/>
  <c r="V742" i="4"/>
  <c r="T742" i="4"/>
  <c r="S742" i="4"/>
  <c r="R742" i="4"/>
  <c r="U742" i="4" s="1"/>
  <c r="Q742" i="4"/>
  <c r="P742" i="4"/>
  <c r="O742" i="4"/>
  <c r="N742" i="4"/>
  <c r="M742" i="4"/>
  <c r="K742" i="4"/>
  <c r="J742" i="4"/>
  <c r="L742" i="4" s="1"/>
  <c r="H742" i="4"/>
  <c r="G742" i="4"/>
  <c r="I742" i="4" s="1" a="1"/>
  <c r="I742" i="4" s="1"/>
  <c r="F742" i="4"/>
  <c r="C742" i="4"/>
  <c r="B742" i="4"/>
  <c r="W741" i="4"/>
  <c r="V741" i="4"/>
  <c r="T741" i="4"/>
  <c r="S741" i="4"/>
  <c r="R741" i="4"/>
  <c r="U741" i="4" s="1"/>
  <c r="Q741" i="4"/>
  <c r="P741" i="4"/>
  <c r="O741" i="4"/>
  <c r="N741" i="4"/>
  <c r="M741" i="4"/>
  <c r="K741" i="4"/>
  <c r="J741" i="4"/>
  <c r="L741" i="4" s="1"/>
  <c r="H741" i="4"/>
  <c r="G741" i="4"/>
  <c r="F741" i="4"/>
  <c r="D741" i="4"/>
  <c r="C741" i="4"/>
  <c r="B741" i="4"/>
  <c r="A741" i="4"/>
  <c r="V740" i="4"/>
  <c r="U740" i="4"/>
  <c r="T740" i="4"/>
  <c r="S740" i="4"/>
  <c r="R740" i="4"/>
  <c r="Q740" i="4"/>
  <c r="P740" i="4"/>
  <c r="O740" i="4"/>
  <c r="N740" i="4"/>
  <c r="M740" i="4"/>
  <c r="L740" i="4"/>
  <c r="K740" i="4"/>
  <c r="J740" i="4"/>
  <c r="I740" i="4" a="1"/>
  <c r="I740" i="4" s="1"/>
  <c r="H740" i="4"/>
  <c r="G740" i="4"/>
  <c r="F740" i="4"/>
  <c r="D740" i="4"/>
  <c r="C740" i="4"/>
  <c r="B740" i="4"/>
  <c r="W740" i="4" s="1"/>
  <c r="A740" i="4"/>
  <c r="V739" i="4"/>
  <c r="U739" i="4"/>
  <c r="T739" i="4"/>
  <c r="S739" i="4"/>
  <c r="R739" i="4"/>
  <c r="Q739" i="4"/>
  <c r="P739" i="4"/>
  <c r="O739" i="4"/>
  <c r="N739" i="4"/>
  <c r="M739" i="4"/>
  <c r="L739" i="4"/>
  <c r="K739" i="4"/>
  <c r="J739" i="4"/>
  <c r="H739" i="4"/>
  <c r="G739" i="4"/>
  <c r="I739" i="4" s="1" a="1"/>
  <c r="I739" i="4" s="1"/>
  <c r="F739" i="4"/>
  <c r="C739" i="4"/>
  <c r="B739" i="4"/>
  <c r="V738" i="4"/>
  <c r="T738" i="4"/>
  <c r="S738" i="4"/>
  <c r="R738" i="4"/>
  <c r="U738" i="4" s="1"/>
  <c r="Q738" i="4"/>
  <c r="P738" i="4"/>
  <c r="O738" i="4"/>
  <c r="N738" i="4"/>
  <c r="M738" i="4"/>
  <c r="K738" i="4"/>
  <c r="J738" i="4"/>
  <c r="L738" i="4" s="1"/>
  <c r="H738" i="4"/>
  <c r="G738" i="4"/>
  <c r="I738" i="4" s="1" a="1"/>
  <c r="I738" i="4" s="1"/>
  <c r="F738" i="4"/>
  <c r="D738" i="4"/>
  <c r="C738" i="4"/>
  <c r="B738" i="4"/>
  <c r="V737" i="4"/>
  <c r="T737" i="4"/>
  <c r="S737" i="4"/>
  <c r="R737" i="4"/>
  <c r="U737" i="4" s="1"/>
  <c r="Q737" i="4"/>
  <c r="P737" i="4"/>
  <c r="O737" i="4"/>
  <c r="W737" i="4" s="1"/>
  <c r="N737" i="4"/>
  <c r="M737" i="4"/>
  <c r="K737" i="4"/>
  <c r="J737" i="4"/>
  <c r="L737" i="4" s="1"/>
  <c r="H737" i="4"/>
  <c r="G737" i="4"/>
  <c r="F737" i="4"/>
  <c r="D737" i="4"/>
  <c r="C737" i="4"/>
  <c r="B737" i="4"/>
  <c r="A737" i="4"/>
  <c r="V736" i="4"/>
  <c r="U736" i="4"/>
  <c r="T736" i="4"/>
  <c r="S736" i="4"/>
  <c r="R736" i="4"/>
  <c r="Q736" i="4"/>
  <c r="P736" i="4"/>
  <c r="O736" i="4"/>
  <c r="N736" i="4"/>
  <c r="M736" i="4"/>
  <c r="L736" i="4"/>
  <c r="K736" i="4"/>
  <c r="J736" i="4"/>
  <c r="I736" i="4" a="1"/>
  <c r="I736" i="4" s="1"/>
  <c r="H736" i="4"/>
  <c r="G736" i="4"/>
  <c r="F736" i="4"/>
  <c r="D736" i="4"/>
  <c r="C736" i="4"/>
  <c r="B736" i="4"/>
  <c r="A736" i="4"/>
  <c r="V735" i="4"/>
  <c r="U735" i="4"/>
  <c r="T735" i="4"/>
  <c r="S735" i="4"/>
  <c r="R735" i="4"/>
  <c r="Q735" i="4"/>
  <c r="P735" i="4"/>
  <c r="O735" i="4"/>
  <c r="N735" i="4"/>
  <c r="M735" i="4"/>
  <c r="K735" i="4"/>
  <c r="J735" i="4"/>
  <c r="L735" i="4" s="1"/>
  <c r="I735" i="4"/>
  <c r="I735" i="4" a="1"/>
  <c r="H735" i="4"/>
  <c r="G735" i="4"/>
  <c r="F735" i="4"/>
  <c r="C735" i="4"/>
  <c r="B735" i="4"/>
  <c r="V734" i="4"/>
  <c r="T734" i="4"/>
  <c r="S734" i="4"/>
  <c r="R734" i="4"/>
  <c r="U734" i="4" s="1"/>
  <c r="Q734" i="4"/>
  <c r="P734" i="4"/>
  <c r="O734" i="4"/>
  <c r="N734" i="4"/>
  <c r="M734" i="4"/>
  <c r="K734" i="4"/>
  <c r="J734" i="4"/>
  <c r="L734" i="4" s="1"/>
  <c r="H734" i="4"/>
  <c r="G734" i="4"/>
  <c r="I734" i="4" s="1" a="1"/>
  <c r="I734" i="4" s="1"/>
  <c r="F734" i="4"/>
  <c r="C734" i="4"/>
  <c r="B734" i="4"/>
  <c r="W733" i="4"/>
  <c r="V733" i="4"/>
  <c r="T733" i="4"/>
  <c r="S733" i="4"/>
  <c r="R733" i="4"/>
  <c r="U733" i="4" s="1"/>
  <c r="Q733" i="4"/>
  <c r="P733" i="4"/>
  <c r="O733" i="4"/>
  <c r="N733" i="4"/>
  <c r="M733" i="4"/>
  <c r="K733" i="4"/>
  <c r="J733" i="4"/>
  <c r="L733" i="4" s="1"/>
  <c r="I733" i="4" a="1"/>
  <c r="I733" i="4" s="1"/>
  <c r="H733" i="4"/>
  <c r="G733" i="4"/>
  <c r="F733" i="4"/>
  <c r="D733" i="4"/>
  <c r="C733" i="4"/>
  <c r="B733" i="4"/>
  <c r="A733" i="4"/>
  <c r="V732" i="4"/>
  <c r="U732" i="4"/>
  <c r="T732" i="4"/>
  <c r="S732" i="4"/>
  <c r="R732" i="4"/>
  <c r="Q732" i="4"/>
  <c r="P732" i="4"/>
  <c r="O732" i="4"/>
  <c r="N732" i="4"/>
  <c r="M732" i="4"/>
  <c r="L732" i="4"/>
  <c r="K732" i="4"/>
  <c r="J732" i="4"/>
  <c r="I732" i="4" a="1"/>
  <c r="I732" i="4" s="1"/>
  <c r="H732" i="4"/>
  <c r="G732" i="4"/>
  <c r="F732" i="4"/>
  <c r="D732" i="4"/>
  <c r="C732" i="4"/>
  <c r="B732" i="4"/>
  <c r="W732" i="4" s="1"/>
  <c r="A732" i="4"/>
  <c r="V731" i="4"/>
  <c r="U731" i="4"/>
  <c r="T731" i="4"/>
  <c r="S731" i="4"/>
  <c r="R731" i="4"/>
  <c r="Q731" i="4"/>
  <c r="P731" i="4"/>
  <c r="O731" i="4"/>
  <c r="N731" i="4"/>
  <c r="M731" i="4"/>
  <c r="L731" i="4"/>
  <c r="K731" i="4"/>
  <c r="J731" i="4"/>
  <c r="H731" i="4"/>
  <c r="G731" i="4"/>
  <c r="I731" i="4" s="1" a="1"/>
  <c r="I731" i="4" s="1"/>
  <c r="F731" i="4"/>
  <c r="C731" i="4"/>
  <c r="B731" i="4"/>
  <c r="V730" i="4"/>
  <c r="U730" i="4"/>
  <c r="T730" i="4"/>
  <c r="S730" i="4"/>
  <c r="R730" i="4"/>
  <c r="Q730" i="4"/>
  <c r="P730" i="4"/>
  <c r="O730" i="4"/>
  <c r="N730" i="4"/>
  <c r="M730" i="4"/>
  <c r="K730" i="4"/>
  <c r="J730" i="4"/>
  <c r="L730" i="4" s="1"/>
  <c r="H730" i="4"/>
  <c r="G730" i="4"/>
  <c r="F730" i="4"/>
  <c r="D730" i="4"/>
  <c r="C730" i="4"/>
  <c r="B730" i="4"/>
  <c r="W729" i="4"/>
  <c r="V729" i="4"/>
  <c r="T729" i="4"/>
  <c r="S729" i="4"/>
  <c r="R729" i="4"/>
  <c r="U729" i="4" s="1"/>
  <c r="Q729" i="4"/>
  <c r="P729" i="4"/>
  <c r="O729" i="4"/>
  <c r="N729" i="4"/>
  <c r="M729" i="4"/>
  <c r="L729" i="4"/>
  <c r="K729" i="4"/>
  <c r="J729" i="4"/>
  <c r="H729" i="4"/>
  <c r="G729" i="4"/>
  <c r="F729" i="4"/>
  <c r="D729" i="4"/>
  <c r="C729" i="4"/>
  <c r="B729" i="4"/>
  <c r="A729" i="4"/>
  <c r="V728" i="4"/>
  <c r="U728" i="4"/>
  <c r="T728" i="4"/>
  <c r="S728" i="4"/>
  <c r="R728" i="4"/>
  <c r="Q728" i="4"/>
  <c r="P728" i="4"/>
  <c r="O728" i="4"/>
  <c r="N728" i="4"/>
  <c r="M728" i="4"/>
  <c r="L728" i="4"/>
  <c r="K728" i="4"/>
  <c r="J728" i="4"/>
  <c r="I728" i="4"/>
  <c r="I728" i="4" a="1"/>
  <c r="H728" i="4"/>
  <c r="G728" i="4"/>
  <c r="F728" i="4"/>
  <c r="C728" i="4"/>
  <c r="B728" i="4"/>
  <c r="D728" i="4" s="1"/>
  <c r="A728" i="4"/>
  <c r="V727" i="4"/>
  <c r="U727" i="4"/>
  <c r="T727" i="4"/>
  <c r="S727" i="4"/>
  <c r="R727" i="4"/>
  <c r="Q727" i="4"/>
  <c r="P727" i="4"/>
  <c r="O727" i="4"/>
  <c r="N727" i="4"/>
  <c r="M727" i="4"/>
  <c r="K727" i="4"/>
  <c r="J727" i="4"/>
  <c r="L727" i="4" s="1"/>
  <c r="H727" i="4"/>
  <c r="G727" i="4"/>
  <c r="I727" i="4" s="1" a="1"/>
  <c r="I727" i="4" s="1"/>
  <c r="F727" i="4"/>
  <c r="C727" i="4"/>
  <c r="B727" i="4"/>
  <c r="A727" i="4" s="1"/>
  <c r="V726" i="4"/>
  <c r="T726" i="4"/>
  <c r="S726" i="4"/>
  <c r="R726" i="4"/>
  <c r="U726" i="4" s="1"/>
  <c r="Q726" i="4"/>
  <c r="P726" i="4"/>
  <c r="O726" i="4"/>
  <c r="N726" i="4"/>
  <c r="M726" i="4"/>
  <c r="K726" i="4"/>
  <c r="J726" i="4"/>
  <c r="L726" i="4" s="1"/>
  <c r="H726" i="4"/>
  <c r="G726" i="4"/>
  <c r="I726" i="4" s="1" a="1"/>
  <c r="I726" i="4" s="1"/>
  <c r="F726" i="4"/>
  <c r="C726" i="4"/>
  <c r="B726" i="4"/>
  <c r="V725" i="4"/>
  <c r="T725" i="4"/>
  <c r="S725" i="4"/>
  <c r="R725" i="4"/>
  <c r="U725" i="4" s="1"/>
  <c r="Q725" i="4"/>
  <c r="P725" i="4"/>
  <c r="O725" i="4"/>
  <c r="N725" i="4"/>
  <c r="M725" i="4"/>
  <c r="L725" i="4"/>
  <c r="K725" i="4"/>
  <c r="J725" i="4"/>
  <c r="H725" i="4"/>
  <c r="G725" i="4"/>
  <c r="I725" i="4" s="1" a="1"/>
  <c r="I725" i="4" s="1"/>
  <c r="F725" i="4"/>
  <c r="D725" i="4"/>
  <c r="C725" i="4"/>
  <c r="B725" i="4"/>
  <c r="A725" i="4"/>
  <c r="V724" i="4"/>
  <c r="U724" i="4"/>
  <c r="T724" i="4"/>
  <c r="S724" i="4"/>
  <c r="R724" i="4"/>
  <c r="Q724" i="4"/>
  <c r="P724" i="4"/>
  <c r="O724" i="4"/>
  <c r="W724" i="4" s="1"/>
  <c r="N724" i="4"/>
  <c r="M724" i="4"/>
  <c r="L724" i="4"/>
  <c r="K724" i="4"/>
  <c r="J724" i="4"/>
  <c r="I724" i="4" a="1"/>
  <c r="I724" i="4" s="1"/>
  <c r="H724" i="4"/>
  <c r="G724" i="4"/>
  <c r="F724" i="4"/>
  <c r="D724" i="4"/>
  <c r="C724" i="4"/>
  <c r="B724" i="4"/>
  <c r="A724" i="4"/>
  <c r="V723" i="4"/>
  <c r="U723" i="4"/>
  <c r="T723" i="4"/>
  <c r="S723" i="4"/>
  <c r="R723" i="4"/>
  <c r="Q723" i="4"/>
  <c r="P723" i="4"/>
  <c r="O723" i="4"/>
  <c r="N723" i="4"/>
  <c r="M723" i="4"/>
  <c r="L723" i="4"/>
  <c r="K723" i="4"/>
  <c r="J723" i="4"/>
  <c r="I723" i="4" a="1"/>
  <c r="I723" i="4" s="1"/>
  <c r="H723" i="4"/>
  <c r="G723" i="4"/>
  <c r="F723" i="4"/>
  <c r="C723" i="4"/>
  <c r="B723" i="4"/>
  <c r="A723" i="4"/>
  <c r="V722" i="4"/>
  <c r="T722" i="4"/>
  <c r="S722" i="4"/>
  <c r="R722" i="4"/>
  <c r="U722" i="4" s="1"/>
  <c r="Q722" i="4"/>
  <c r="P722" i="4"/>
  <c r="O722" i="4"/>
  <c r="N722" i="4"/>
  <c r="M722" i="4"/>
  <c r="K722" i="4"/>
  <c r="J722" i="4"/>
  <c r="L722" i="4" s="1"/>
  <c r="I722" i="4"/>
  <c r="H722" i="4"/>
  <c r="G722" i="4"/>
  <c r="I722" i="4" s="1" a="1"/>
  <c r="F722" i="4"/>
  <c r="D722" i="4"/>
  <c r="C722" i="4"/>
  <c r="B722" i="4"/>
  <c r="V721" i="4"/>
  <c r="T721" i="4"/>
  <c r="S721" i="4"/>
  <c r="R721" i="4"/>
  <c r="U721" i="4" s="1"/>
  <c r="Q721" i="4"/>
  <c r="P721" i="4"/>
  <c r="O721" i="4"/>
  <c r="N721" i="4"/>
  <c r="M721" i="4"/>
  <c r="K721" i="4"/>
  <c r="J721" i="4"/>
  <c r="L721" i="4" s="1"/>
  <c r="H721" i="4"/>
  <c r="G721" i="4"/>
  <c r="F721" i="4"/>
  <c r="D721" i="4"/>
  <c r="C721" i="4"/>
  <c r="B721" i="4"/>
  <c r="A721" i="4"/>
  <c r="V720" i="4"/>
  <c r="U720" i="4"/>
  <c r="T720" i="4"/>
  <c r="S720" i="4"/>
  <c r="R720" i="4"/>
  <c r="Q720" i="4"/>
  <c r="P720" i="4"/>
  <c r="O720" i="4"/>
  <c r="W720" i="4" s="1"/>
  <c r="N720" i="4"/>
  <c r="M720" i="4"/>
  <c r="L720" i="4"/>
  <c r="K720" i="4"/>
  <c r="J720" i="4"/>
  <c r="I720" i="4" a="1"/>
  <c r="I720" i="4" s="1"/>
  <c r="H720" i="4"/>
  <c r="G720" i="4"/>
  <c r="F720" i="4"/>
  <c r="D720" i="4"/>
  <c r="C720" i="4"/>
  <c r="B720" i="4"/>
  <c r="A720" i="4"/>
  <c r="V719" i="4"/>
  <c r="T719" i="4"/>
  <c r="S719" i="4"/>
  <c r="R719" i="4"/>
  <c r="U719" i="4" s="1"/>
  <c r="Q719" i="4"/>
  <c r="P719" i="4"/>
  <c r="O719" i="4"/>
  <c r="N719" i="4"/>
  <c r="M719" i="4"/>
  <c r="K719" i="4"/>
  <c r="J719" i="4"/>
  <c r="L719" i="4" s="1"/>
  <c r="H719" i="4"/>
  <c r="G719" i="4"/>
  <c r="I719" i="4" s="1" a="1"/>
  <c r="I719" i="4" s="1"/>
  <c r="F719" i="4"/>
  <c r="C719" i="4"/>
  <c r="B719" i="4"/>
  <c r="A719" i="4" s="1"/>
  <c r="V718" i="4"/>
  <c r="U718" i="4"/>
  <c r="T718" i="4"/>
  <c r="S718" i="4"/>
  <c r="R718" i="4"/>
  <c r="Q718" i="4"/>
  <c r="P718" i="4"/>
  <c r="O718" i="4"/>
  <c r="N718" i="4"/>
  <c r="M718" i="4"/>
  <c r="W718" i="4" s="1"/>
  <c r="K718" i="4"/>
  <c r="J718" i="4"/>
  <c r="L718" i="4" s="1"/>
  <c r="I718" i="4"/>
  <c r="H718" i="4"/>
  <c r="G718" i="4"/>
  <c r="I718" i="4" s="1" a="1"/>
  <c r="F718" i="4"/>
  <c r="D718" i="4"/>
  <c r="C718" i="4"/>
  <c r="B718" i="4"/>
  <c r="V717" i="4"/>
  <c r="T717" i="4"/>
  <c r="S717" i="4"/>
  <c r="R717" i="4"/>
  <c r="U717" i="4" s="1"/>
  <c r="Q717" i="4"/>
  <c r="P717" i="4"/>
  <c r="O717" i="4"/>
  <c r="N717" i="4"/>
  <c r="M717" i="4"/>
  <c r="K717" i="4"/>
  <c r="J717" i="4"/>
  <c r="W717" i="4" s="1"/>
  <c r="I717" i="4" a="1"/>
  <c r="I717" i="4" s="1"/>
  <c r="H717" i="4"/>
  <c r="G717" i="4"/>
  <c r="F717" i="4"/>
  <c r="D717" i="4"/>
  <c r="C717" i="4"/>
  <c r="B717" i="4"/>
  <c r="A717" i="4"/>
  <c r="V716" i="4"/>
  <c r="U716" i="4"/>
  <c r="T716" i="4"/>
  <c r="S716" i="4"/>
  <c r="R716" i="4"/>
  <c r="Q716" i="4"/>
  <c r="P716" i="4"/>
  <c r="O716" i="4"/>
  <c r="N716" i="4"/>
  <c r="M716" i="4"/>
  <c r="L716" i="4"/>
  <c r="K716" i="4"/>
  <c r="J716" i="4"/>
  <c r="I716" i="4"/>
  <c r="I716" i="4" a="1"/>
  <c r="H716" i="4"/>
  <c r="G716" i="4"/>
  <c r="F716" i="4"/>
  <c r="C716" i="4"/>
  <c r="B716" i="4"/>
  <c r="V715" i="4"/>
  <c r="T715" i="4"/>
  <c r="S715" i="4"/>
  <c r="R715" i="4"/>
  <c r="U715" i="4" s="1"/>
  <c r="Q715" i="4"/>
  <c r="P715" i="4"/>
  <c r="O715" i="4"/>
  <c r="N715" i="4"/>
  <c r="M715" i="4"/>
  <c r="K715" i="4"/>
  <c r="J715" i="4"/>
  <c r="L715" i="4" s="1"/>
  <c r="H715" i="4"/>
  <c r="G715" i="4"/>
  <c r="I715" i="4" s="1" a="1"/>
  <c r="I715" i="4" s="1"/>
  <c r="F715" i="4"/>
  <c r="C715" i="4"/>
  <c r="B715" i="4"/>
  <c r="A715" i="4" s="1"/>
  <c r="V714" i="4"/>
  <c r="U714" i="4"/>
  <c r="T714" i="4"/>
  <c r="S714" i="4"/>
  <c r="R714" i="4"/>
  <c r="Q714" i="4"/>
  <c r="P714" i="4"/>
  <c r="O714" i="4"/>
  <c r="N714" i="4"/>
  <c r="M714" i="4"/>
  <c r="K714" i="4"/>
  <c r="J714" i="4"/>
  <c r="L714" i="4" s="1"/>
  <c r="H714" i="4"/>
  <c r="G714" i="4"/>
  <c r="I714" i="4" s="1" a="1"/>
  <c r="I714" i="4" s="1"/>
  <c r="F714" i="4"/>
  <c r="C714" i="4"/>
  <c r="B714" i="4"/>
  <c r="V713" i="4"/>
  <c r="T713" i="4"/>
  <c r="S713" i="4"/>
  <c r="R713" i="4"/>
  <c r="U713" i="4" s="1"/>
  <c r="Q713" i="4"/>
  <c r="P713" i="4"/>
  <c r="O713" i="4"/>
  <c r="N713" i="4"/>
  <c r="M713" i="4"/>
  <c r="L713" i="4"/>
  <c r="K713" i="4"/>
  <c r="J713" i="4"/>
  <c r="W713" i="4" s="1"/>
  <c r="I713" i="4" a="1"/>
  <c r="I713" i="4" s="1"/>
  <c r="H713" i="4"/>
  <c r="G713" i="4"/>
  <c r="F713" i="4"/>
  <c r="D713" i="4"/>
  <c r="C713" i="4"/>
  <c r="B713" i="4"/>
  <c r="A713" i="4"/>
  <c r="V712" i="4"/>
  <c r="U712" i="4"/>
  <c r="T712" i="4"/>
  <c r="S712" i="4"/>
  <c r="R712" i="4"/>
  <c r="Q712" i="4"/>
  <c r="P712" i="4"/>
  <c r="O712" i="4"/>
  <c r="N712" i="4"/>
  <c r="M712" i="4"/>
  <c r="L712" i="4"/>
  <c r="K712" i="4"/>
  <c r="J712" i="4"/>
  <c r="I712" i="4" a="1"/>
  <c r="I712" i="4" s="1"/>
  <c r="H712" i="4"/>
  <c r="G712" i="4"/>
  <c r="F712" i="4"/>
  <c r="C712" i="4"/>
  <c r="B712" i="4"/>
  <c r="D712" i="4" s="1"/>
  <c r="A712" i="4"/>
  <c r="V711" i="4"/>
  <c r="U711" i="4"/>
  <c r="T711" i="4"/>
  <c r="S711" i="4"/>
  <c r="R711" i="4"/>
  <c r="Q711" i="4"/>
  <c r="P711" i="4"/>
  <c r="O711" i="4"/>
  <c r="N711" i="4"/>
  <c r="M711" i="4"/>
  <c r="L711" i="4"/>
  <c r="K711" i="4"/>
  <c r="J711" i="4"/>
  <c r="I711" i="4" a="1"/>
  <c r="I711" i="4" s="1"/>
  <c r="H711" i="4"/>
  <c r="G711" i="4"/>
  <c r="F711" i="4"/>
  <c r="C711" i="4"/>
  <c r="B711" i="4"/>
  <c r="A711" i="4"/>
  <c r="V710" i="4"/>
  <c r="U710" i="4"/>
  <c r="T710" i="4"/>
  <c r="S710" i="4"/>
  <c r="R710" i="4"/>
  <c r="Q710" i="4"/>
  <c r="P710" i="4"/>
  <c r="O710" i="4"/>
  <c r="N710" i="4"/>
  <c r="M710" i="4"/>
  <c r="K710" i="4"/>
  <c r="J710" i="4"/>
  <c r="L710" i="4" s="1"/>
  <c r="H710" i="4"/>
  <c r="G710" i="4"/>
  <c r="I710" i="4" s="1" a="1"/>
  <c r="I710" i="4" s="1"/>
  <c r="F710" i="4"/>
  <c r="C710" i="4"/>
  <c r="B710" i="4"/>
  <c r="W710" i="4" s="1"/>
  <c r="V709" i="4"/>
  <c r="T709" i="4"/>
  <c r="S709" i="4"/>
  <c r="R709" i="4"/>
  <c r="U709" i="4" s="1"/>
  <c r="Q709" i="4"/>
  <c r="P709" i="4"/>
  <c r="O709" i="4"/>
  <c r="N709" i="4"/>
  <c r="M709" i="4"/>
  <c r="L709" i="4"/>
  <c r="K709" i="4"/>
  <c r="J709" i="4"/>
  <c r="H709" i="4"/>
  <c r="G709" i="4"/>
  <c r="F709" i="4"/>
  <c r="D709" i="4"/>
  <c r="C709" i="4"/>
  <c r="B709" i="4"/>
  <c r="A709" i="4"/>
  <c r="V708" i="4"/>
  <c r="U708" i="4"/>
  <c r="T708" i="4"/>
  <c r="S708" i="4"/>
  <c r="R708" i="4"/>
  <c r="Q708" i="4"/>
  <c r="P708" i="4"/>
  <c r="O708" i="4"/>
  <c r="W708" i="4" s="1"/>
  <c r="N708" i="4"/>
  <c r="M708" i="4"/>
  <c r="L708" i="4"/>
  <c r="K708" i="4"/>
  <c r="J708" i="4"/>
  <c r="I708" i="4" a="1"/>
  <c r="I708" i="4" s="1"/>
  <c r="H708" i="4"/>
  <c r="G708" i="4"/>
  <c r="F708" i="4"/>
  <c r="D708" i="4"/>
  <c r="C708" i="4"/>
  <c r="B708" i="4"/>
  <c r="A708" i="4"/>
  <c r="V707" i="4"/>
  <c r="U707" i="4"/>
  <c r="T707" i="4"/>
  <c r="S707" i="4"/>
  <c r="R707" i="4"/>
  <c r="Q707" i="4"/>
  <c r="P707" i="4"/>
  <c r="O707" i="4"/>
  <c r="N707" i="4"/>
  <c r="M707" i="4"/>
  <c r="L707" i="4"/>
  <c r="K707" i="4"/>
  <c r="J707" i="4"/>
  <c r="I707" i="4" a="1"/>
  <c r="I707" i="4" s="1"/>
  <c r="H707" i="4"/>
  <c r="G707" i="4"/>
  <c r="F707" i="4"/>
  <c r="C707" i="4"/>
  <c r="B707" i="4"/>
  <c r="A707" i="4"/>
  <c r="V706" i="4"/>
  <c r="T706" i="4"/>
  <c r="S706" i="4"/>
  <c r="R706" i="4"/>
  <c r="U706" i="4" s="1"/>
  <c r="Q706" i="4"/>
  <c r="P706" i="4"/>
  <c r="O706" i="4"/>
  <c r="W706" i="4" s="1"/>
  <c r="N706" i="4"/>
  <c r="M706" i="4"/>
  <c r="K706" i="4"/>
  <c r="J706" i="4"/>
  <c r="L706" i="4" s="1"/>
  <c r="I706" i="4"/>
  <c r="H706" i="4"/>
  <c r="G706" i="4"/>
  <c r="I706" i="4" s="1" a="1"/>
  <c r="F706" i="4"/>
  <c r="D706" i="4"/>
  <c r="C706" i="4"/>
  <c r="B706" i="4"/>
  <c r="V705" i="4"/>
  <c r="T705" i="4"/>
  <c r="S705" i="4"/>
  <c r="R705" i="4"/>
  <c r="U705" i="4" s="1"/>
  <c r="Q705" i="4"/>
  <c r="P705" i="4"/>
  <c r="O705" i="4"/>
  <c r="N705" i="4"/>
  <c r="M705" i="4"/>
  <c r="K705" i="4"/>
  <c r="J705" i="4"/>
  <c r="L705" i="4" s="1"/>
  <c r="H705" i="4"/>
  <c r="G705" i="4"/>
  <c r="I705" i="4" s="1" a="1"/>
  <c r="I705" i="4" s="1"/>
  <c r="F705" i="4"/>
  <c r="D705" i="4"/>
  <c r="C705" i="4"/>
  <c r="B705" i="4"/>
  <c r="A705" i="4"/>
  <c r="V704" i="4"/>
  <c r="U704" i="4"/>
  <c r="T704" i="4"/>
  <c r="S704" i="4"/>
  <c r="R704" i="4"/>
  <c r="Q704" i="4"/>
  <c r="P704" i="4"/>
  <c r="O704" i="4"/>
  <c r="N704" i="4"/>
  <c r="M704" i="4"/>
  <c r="L704" i="4"/>
  <c r="K704" i="4"/>
  <c r="J704" i="4"/>
  <c r="I704" i="4" a="1"/>
  <c r="I704" i="4" s="1"/>
  <c r="H704" i="4"/>
  <c r="G704" i="4"/>
  <c r="F704" i="4"/>
  <c r="D704" i="4"/>
  <c r="C704" i="4"/>
  <c r="B704" i="4"/>
  <c r="A704" i="4"/>
  <c r="V703" i="4"/>
  <c r="T703" i="4"/>
  <c r="S703" i="4"/>
  <c r="R703" i="4"/>
  <c r="U703" i="4" s="1"/>
  <c r="Q703" i="4"/>
  <c r="P703" i="4"/>
  <c r="O703" i="4"/>
  <c r="N703" i="4"/>
  <c r="M703" i="4"/>
  <c r="K703" i="4"/>
  <c r="J703" i="4"/>
  <c r="L703" i="4" s="1"/>
  <c r="H703" i="4"/>
  <c r="G703" i="4"/>
  <c r="I703" i="4" s="1" a="1"/>
  <c r="I703" i="4" s="1"/>
  <c r="F703" i="4"/>
  <c r="C703" i="4"/>
  <c r="B703" i="4"/>
  <c r="A703" i="4" s="1"/>
  <c r="V702" i="4"/>
  <c r="T702" i="4"/>
  <c r="S702" i="4"/>
  <c r="R702" i="4"/>
  <c r="U702" i="4" s="1"/>
  <c r="Q702" i="4"/>
  <c r="P702" i="4"/>
  <c r="O702" i="4"/>
  <c r="N702" i="4"/>
  <c r="M702" i="4"/>
  <c r="W702" i="4" s="1"/>
  <c r="K702" i="4"/>
  <c r="J702" i="4"/>
  <c r="L702" i="4" s="1"/>
  <c r="I702" i="4"/>
  <c r="H702" i="4"/>
  <c r="G702" i="4"/>
  <c r="I702" i="4" s="1" a="1"/>
  <c r="F702" i="4"/>
  <c r="D702" i="4"/>
  <c r="C702" i="4"/>
  <c r="B702" i="4"/>
  <c r="W701" i="4"/>
  <c r="V701" i="4"/>
  <c r="T701" i="4"/>
  <c r="S701" i="4"/>
  <c r="R701" i="4"/>
  <c r="U701" i="4" s="1"/>
  <c r="Q701" i="4"/>
  <c r="P701" i="4"/>
  <c r="O701" i="4"/>
  <c r="N701" i="4"/>
  <c r="M701" i="4"/>
  <c r="K701" i="4"/>
  <c r="J701" i="4"/>
  <c r="L701" i="4" s="1"/>
  <c r="I701" i="4" a="1"/>
  <c r="I701" i="4" s="1"/>
  <c r="H701" i="4"/>
  <c r="G701" i="4"/>
  <c r="F701" i="4"/>
  <c r="D701" i="4"/>
  <c r="C701" i="4"/>
  <c r="B701" i="4"/>
  <c r="A701" i="4"/>
  <c r="V700" i="4"/>
  <c r="U700" i="4"/>
  <c r="T700" i="4"/>
  <c r="S700" i="4"/>
  <c r="R700" i="4"/>
  <c r="Q700" i="4"/>
  <c r="P700" i="4"/>
  <c r="O700" i="4"/>
  <c r="N700" i="4"/>
  <c r="M700" i="4"/>
  <c r="L700" i="4"/>
  <c r="K700" i="4"/>
  <c r="J700" i="4"/>
  <c r="I700" i="4"/>
  <c r="I700" i="4" a="1"/>
  <c r="H700" i="4"/>
  <c r="G700" i="4"/>
  <c r="F700" i="4"/>
  <c r="C700" i="4"/>
  <c r="B700" i="4"/>
  <c r="V699" i="4"/>
  <c r="U699" i="4"/>
  <c r="T699" i="4"/>
  <c r="S699" i="4"/>
  <c r="R699" i="4"/>
  <c r="Q699" i="4"/>
  <c r="P699" i="4"/>
  <c r="O699" i="4"/>
  <c r="N699" i="4"/>
  <c r="M699" i="4"/>
  <c r="K699" i="4"/>
  <c r="J699" i="4"/>
  <c r="L699" i="4" s="1"/>
  <c r="H699" i="4"/>
  <c r="G699" i="4"/>
  <c r="I699" i="4" s="1" a="1"/>
  <c r="I699" i="4" s="1"/>
  <c r="F699" i="4"/>
  <c r="C699" i="4"/>
  <c r="B699" i="4"/>
  <c r="A699" i="4" s="1"/>
  <c r="V698" i="4"/>
  <c r="U698" i="4"/>
  <c r="T698" i="4"/>
  <c r="S698" i="4"/>
  <c r="R698" i="4"/>
  <c r="Q698" i="4"/>
  <c r="P698" i="4"/>
  <c r="O698" i="4"/>
  <c r="N698" i="4"/>
  <c r="M698" i="4"/>
  <c r="K698" i="4"/>
  <c r="J698" i="4"/>
  <c r="L698" i="4" s="1"/>
  <c r="H698" i="4"/>
  <c r="G698" i="4"/>
  <c r="I698" i="4" s="1" a="1"/>
  <c r="I698" i="4" s="1"/>
  <c r="F698" i="4"/>
  <c r="C698" i="4"/>
  <c r="B698" i="4"/>
  <c r="W698" i="4" s="1"/>
  <c r="V697" i="4"/>
  <c r="T697" i="4"/>
  <c r="S697" i="4"/>
  <c r="R697" i="4"/>
  <c r="U697" i="4" s="1"/>
  <c r="Q697" i="4"/>
  <c r="P697" i="4"/>
  <c r="O697" i="4"/>
  <c r="N697" i="4"/>
  <c r="M697" i="4"/>
  <c r="L697" i="4"/>
  <c r="K697" i="4"/>
  <c r="J697" i="4"/>
  <c r="W697" i="4" s="1"/>
  <c r="I697" i="4" a="1"/>
  <c r="I697" i="4" s="1"/>
  <c r="H697" i="4"/>
  <c r="G697" i="4"/>
  <c r="F697" i="4"/>
  <c r="D697" i="4"/>
  <c r="C697" i="4"/>
  <c r="B697" i="4"/>
  <c r="A697" i="4"/>
  <c r="V696" i="4"/>
  <c r="U696" i="4"/>
  <c r="T696" i="4"/>
  <c r="S696" i="4"/>
  <c r="R696" i="4"/>
  <c r="Q696" i="4"/>
  <c r="P696" i="4"/>
  <c r="O696" i="4"/>
  <c r="N696" i="4"/>
  <c r="M696" i="4"/>
  <c r="L696" i="4"/>
  <c r="K696" i="4"/>
  <c r="J696" i="4"/>
  <c r="I696" i="4"/>
  <c r="I696" i="4" a="1"/>
  <c r="H696" i="4"/>
  <c r="G696" i="4"/>
  <c r="F696" i="4"/>
  <c r="C696" i="4"/>
  <c r="B696" i="4"/>
  <c r="V695" i="4"/>
  <c r="U695" i="4"/>
  <c r="T695" i="4"/>
  <c r="S695" i="4"/>
  <c r="R695" i="4"/>
  <c r="Q695" i="4"/>
  <c r="P695" i="4"/>
  <c r="O695" i="4"/>
  <c r="N695" i="4"/>
  <c r="M695" i="4"/>
  <c r="L695" i="4"/>
  <c r="K695" i="4"/>
  <c r="J695" i="4"/>
  <c r="I695" i="4"/>
  <c r="I695" i="4" a="1"/>
  <c r="H695" i="4"/>
  <c r="G695" i="4"/>
  <c r="F695" i="4"/>
  <c r="C695" i="4"/>
  <c r="B695" i="4"/>
  <c r="A695" i="4"/>
  <c r="V694" i="4"/>
  <c r="U694" i="4"/>
  <c r="T694" i="4"/>
  <c r="S694" i="4"/>
  <c r="R694" i="4"/>
  <c r="Q694" i="4"/>
  <c r="P694" i="4"/>
  <c r="O694" i="4"/>
  <c r="N694" i="4"/>
  <c r="M694" i="4"/>
  <c r="K694" i="4"/>
  <c r="J694" i="4"/>
  <c r="L694" i="4" s="1"/>
  <c r="H694" i="4"/>
  <c r="G694" i="4"/>
  <c r="I694" i="4" s="1" a="1"/>
  <c r="I694" i="4" s="1"/>
  <c r="F694" i="4"/>
  <c r="C694" i="4"/>
  <c r="B694" i="4"/>
  <c r="V693" i="4"/>
  <c r="T693" i="4"/>
  <c r="S693" i="4"/>
  <c r="R693" i="4"/>
  <c r="U693" i="4" s="1"/>
  <c r="Q693" i="4"/>
  <c r="P693" i="4"/>
  <c r="O693" i="4"/>
  <c r="N693" i="4"/>
  <c r="M693" i="4"/>
  <c r="L693" i="4"/>
  <c r="K693" i="4"/>
  <c r="J693" i="4"/>
  <c r="I693" i="4" a="1"/>
  <c r="I693" i="4" s="1"/>
  <c r="H693" i="4"/>
  <c r="G693" i="4"/>
  <c r="F693" i="4"/>
  <c r="D693" i="4"/>
  <c r="C693" i="4"/>
  <c r="B693" i="4"/>
  <c r="W693" i="4" s="1"/>
  <c r="A693" i="4"/>
  <c r="V692" i="4"/>
  <c r="U692" i="4"/>
  <c r="T692" i="4"/>
  <c r="S692" i="4"/>
  <c r="R692" i="4"/>
  <c r="Q692" i="4"/>
  <c r="P692" i="4"/>
  <c r="O692" i="4"/>
  <c r="N692" i="4"/>
  <c r="M692" i="4"/>
  <c r="L692" i="4"/>
  <c r="K692" i="4"/>
  <c r="J692" i="4"/>
  <c r="I692" i="4"/>
  <c r="I692" i="4" a="1"/>
  <c r="H692" i="4"/>
  <c r="G692" i="4"/>
  <c r="F692" i="4"/>
  <c r="C692" i="4"/>
  <c r="B692" i="4"/>
  <c r="V691" i="4"/>
  <c r="T691" i="4"/>
  <c r="S691" i="4"/>
  <c r="R691" i="4"/>
  <c r="U691" i="4" s="1"/>
  <c r="Q691" i="4"/>
  <c r="P691" i="4"/>
  <c r="O691" i="4"/>
  <c r="N691" i="4"/>
  <c r="M691" i="4"/>
  <c r="K691" i="4"/>
  <c r="J691" i="4"/>
  <c r="L691" i="4" s="1"/>
  <c r="H691" i="4"/>
  <c r="G691" i="4"/>
  <c r="I691" i="4" s="1" a="1"/>
  <c r="I691" i="4" s="1"/>
  <c r="F691" i="4"/>
  <c r="C691" i="4"/>
  <c r="B691" i="4"/>
  <c r="V690" i="4"/>
  <c r="T690" i="4"/>
  <c r="S690" i="4"/>
  <c r="R690" i="4"/>
  <c r="U690" i="4" s="1"/>
  <c r="Q690" i="4"/>
  <c r="P690" i="4"/>
  <c r="O690" i="4"/>
  <c r="W690" i="4" s="1"/>
  <c r="N690" i="4"/>
  <c r="M690" i="4"/>
  <c r="K690" i="4"/>
  <c r="J690" i="4"/>
  <c r="L690" i="4" s="1"/>
  <c r="H690" i="4"/>
  <c r="G690" i="4"/>
  <c r="F690" i="4"/>
  <c r="D690" i="4"/>
  <c r="C690" i="4"/>
  <c r="B690" i="4"/>
  <c r="A690" i="4"/>
  <c r="V689" i="4"/>
  <c r="U689" i="4"/>
  <c r="T689" i="4"/>
  <c r="S689" i="4"/>
  <c r="R689" i="4"/>
  <c r="Q689" i="4"/>
  <c r="P689" i="4"/>
  <c r="O689" i="4"/>
  <c r="W689" i="4" s="1"/>
  <c r="N689" i="4"/>
  <c r="M689" i="4"/>
  <c r="L689" i="4"/>
  <c r="K689" i="4"/>
  <c r="J689" i="4"/>
  <c r="I689" i="4" a="1"/>
  <c r="I689" i="4" s="1"/>
  <c r="H689" i="4"/>
  <c r="G689" i="4"/>
  <c r="F689" i="4"/>
  <c r="D689" i="4"/>
  <c r="C689" i="4"/>
  <c r="B689" i="4"/>
  <c r="A689" i="4"/>
  <c r="V688" i="4"/>
  <c r="U688" i="4"/>
  <c r="T688" i="4"/>
  <c r="S688" i="4"/>
  <c r="R688" i="4"/>
  <c r="Q688" i="4"/>
  <c r="P688" i="4"/>
  <c r="O688" i="4"/>
  <c r="N688" i="4"/>
  <c r="M688" i="4"/>
  <c r="L688" i="4"/>
  <c r="K688" i="4"/>
  <c r="J688" i="4"/>
  <c r="I688" i="4"/>
  <c r="I688" i="4" a="1"/>
  <c r="H688" i="4"/>
  <c r="G688" i="4"/>
  <c r="F688" i="4"/>
  <c r="C688" i="4"/>
  <c r="B688" i="4"/>
  <c r="V687" i="4"/>
  <c r="T687" i="4"/>
  <c r="S687" i="4"/>
  <c r="R687" i="4"/>
  <c r="U687" i="4" s="1"/>
  <c r="Q687" i="4"/>
  <c r="P687" i="4"/>
  <c r="O687" i="4"/>
  <c r="N687" i="4"/>
  <c r="M687" i="4"/>
  <c r="K687" i="4"/>
  <c r="J687" i="4"/>
  <c r="L687" i="4" s="1"/>
  <c r="H687" i="4"/>
  <c r="G687" i="4"/>
  <c r="I687" i="4" s="1" a="1"/>
  <c r="I687" i="4" s="1"/>
  <c r="F687" i="4"/>
  <c r="C687" i="4"/>
  <c r="B687" i="4"/>
  <c r="V686" i="4"/>
  <c r="T686" i="4"/>
  <c r="S686" i="4"/>
  <c r="R686" i="4"/>
  <c r="U686" i="4" s="1"/>
  <c r="Q686" i="4"/>
  <c r="P686" i="4"/>
  <c r="O686" i="4"/>
  <c r="W686" i="4" s="1"/>
  <c r="N686" i="4"/>
  <c r="M686" i="4"/>
  <c r="K686" i="4"/>
  <c r="J686" i="4"/>
  <c r="L686" i="4" s="1"/>
  <c r="H686" i="4"/>
  <c r="G686" i="4"/>
  <c r="F686" i="4"/>
  <c r="D686" i="4"/>
  <c r="C686" i="4"/>
  <c r="B686" i="4"/>
  <c r="A686" i="4"/>
  <c r="V685" i="4"/>
  <c r="U685" i="4"/>
  <c r="T685" i="4"/>
  <c r="S685" i="4"/>
  <c r="R685" i="4"/>
  <c r="Q685" i="4"/>
  <c r="P685" i="4"/>
  <c r="O685" i="4"/>
  <c r="W685" i="4" s="1"/>
  <c r="N685" i="4"/>
  <c r="M685" i="4"/>
  <c r="L685" i="4"/>
  <c r="K685" i="4"/>
  <c r="J685" i="4"/>
  <c r="I685" i="4" a="1"/>
  <c r="I685" i="4" s="1"/>
  <c r="H685" i="4"/>
  <c r="G685" i="4"/>
  <c r="F685" i="4"/>
  <c r="D685" i="4"/>
  <c r="C685" i="4"/>
  <c r="B685" i="4"/>
  <c r="A685" i="4"/>
  <c r="V684" i="4"/>
  <c r="U684" i="4"/>
  <c r="T684" i="4"/>
  <c r="S684" i="4"/>
  <c r="R684" i="4"/>
  <c r="Q684" i="4"/>
  <c r="P684" i="4"/>
  <c r="O684" i="4"/>
  <c r="N684" i="4"/>
  <c r="M684" i="4"/>
  <c r="L684" i="4"/>
  <c r="K684" i="4"/>
  <c r="J684" i="4"/>
  <c r="I684" i="4"/>
  <c r="I684" i="4" a="1"/>
  <c r="H684" i="4"/>
  <c r="G684" i="4"/>
  <c r="F684" i="4"/>
  <c r="C684" i="4"/>
  <c r="B684" i="4"/>
  <c r="V683" i="4"/>
  <c r="T683" i="4"/>
  <c r="S683" i="4"/>
  <c r="R683" i="4"/>
  <c r="U683" i="4" s="1"/>
  <c r="Q683" i="4"/>
  <c r="P683" i="4"/>
  <c r="O683" i="4"/>
  <c r="N683" i="4"/>
  <c r="M683" i="4"/>
  <c r="K683" i="4"/>
  <c r="J683" i="4"/>
  <c r="L683" i="4" s="1"/>
  <c r="H683" i="4"/>
  <c r="G683" i="4"/>
  <c r="I683" i="4" s="1" a="1"/>
  <c r="I683" i="4" s="1"/>
  <c r="F683" i="4"/>
  <c r="C683" i="4"/>
  <c r="B683" i="4"/>
  <c r="V682" i="4"/>
  <c r="T682" i="4"/>
  <c r="S682" i="4"/>
  <c r="R682" i="4"/>
  <c r="U682" i="4" s="1"/>
  <c r="Q682" i="4"/>
  <c r="P682" i="4"/>
  <c r="O682" i="4"/>
  <c r="W682" i="4" s="1"/>
  <c r="N682" i="4"/>
  <c r="M682" i="4"/>
  <c r="K682" i="4"/>
  <c r="J682" i="4"/>
  <c r="L682" i="4" s="1"/>
  <c r="H682" i="4"/>
  <c r="G682" i="4"/>
  <c r="F682" i="4"/>
  <c r="D682" i="4"/>
  <c r="C682" i="4"/>
  <c r="B682" i="4"/>
  <c r="A682" i="4"/>
  <c r="V681" i="4"/>
  <c r="U681" i="4"/>
  <c r="T681" i="4"/>
  <c r="S681" i="4"/>
  <c r="R681" i="4"/>
  <c r="Q681" i="4"/>
  <c r="P681" i="4"/>
  <c r="O681" i="4"/>
  <c r="W681" i="4" s="1"/>
  <c r="N681" i="4"/>
  <c r="M681" i="4"/>
  <c r="L681" i="4"/>
  <c r="K681" i="4"/>
  <c r="J681" i="4"/>
  <c r="I681" i="4" a="1"/>
  <c r="I681" i="4" s="1"/>
  <c r="H681" i="4"/>
  <c r="G681" i="4"/>
  <c r="F681" i="4"/>
  <c r="D681" i="4"/>
  <c r="C681" i="4"/>
  <c r="B681" i="4"/>
  <c r="A681" i="4"/>
  <c r="V680" i="4"/>
  <c r="U680" i="4"/>
  <c r="T680" i="4"/>
  <c r="S680" i="4"/>
  <c r="R680" i="4"/>
  <c r="Q680" i="4"/>
  <c r="P680" i="4"/>
  <c r="O680" i="4"/>
  <c r="N680" i="4"/>
  <c r="M680" i="4"/>
  <c r="L680" i="4"/>
  <c r="K680" i="4"/>
  <c r="J680" i="4"/>
  <c r="I680" i="4"/>
  <c r="I680" i="4" a="1"/>
  <c r="H680" i="4"/>
  <c r="G680" i="4"/>
  <c r="F680" i="4"/>
  <c r="C680" i="4"/>
  <c r="B680" i="4"/>
  <c r="V679" i="4"/>
  <c r="T679" i="4"/>
  <c r="S679" i="4"/>
  <c r="R679" i="4"/>
  <c r="U679" i="4" s="1"/>
  <c r="Q679" i="4"/>
  <c r="P679" i="4"/>
  <c r="O679" i="4"/>
  <c r="N679" i="4"/>
  <c r="M679" i="4"/>
  <c r="K679" i="4"/>
  <c r="J679" i="4"/>
  <c r="L679" i="4" s="1"/>
  <c r="H679" i="4"/>
  <c r="G679" i="4"/>
  <c r="I679" i="4" s="1" a="1"/>
  <c r="I679" i="4" s="1"/>
  <c r="F679" i="4"/>
  <c r="C679" i="4"/>
  <c r="B679" i="4"/>
  <c r="V678" i="4"/>
  <c r="T678" i="4"/>
  <c r="S678" i="4"/>
  <c r="R678" i="4"/>
  <c r="U678" i="4" s="1"/>
  <c r="Q678" i="4"/>
  <c r="P678" i="4"/>
  <c r="O678" i="4"/>
  <c r="W678" i="4" s="1"/>
  <c r="N678" i="4"/>
  <c r="M678" i="4"/>
  <c r="K678" i="4"/>
  <c r="J678" i="4"/>
  <c r="L678" i="4" s="1"/>
  <c r="H678" i="4"/>
  <c r="G678" i="4"/>
  <c r="F678" i="4"/>
  <c r="D678" i="4"/>
  <c r="C678" i="4"/>
  <c r="B678" i="4"/>
  <c r="A678" i="4"/>
  <c r="V677" i="4"/>
  <c r="U677" i="4"/>
  <c r="T677" i="4"/>
  <c r="S677" i="4"/>
  <c r="R677" i="4"/>
  <c r="Q677" i="4"/>
  <c r="P677" i="4"/>
  <c r="O677" i="4"/>
  <c r="W677" i="4" s="1"/>
  <c r="N677" i="4"/>
  <c r="M677" i="4"/>
  <c r="L677" i="4"/>
  <c r="K677" i="4"/>
  <c r="J677" i="4"/>
  <c r="I677" i="4" a="1"/>
  <c r="I677" i="4" s="1"/>
  <c r="H677" i="4"/>
  <c r="G677" i="4"/>
  <c r="F677" i="4"/>
  <c r="D677" i="4"/>
  <c r="C677" i="4"/>
  <c r="B677" i="4"/>
  <c r="A677" i="4"/>
  <c r="V676" i="4"/>
  <c r="U676" i="4"/>
  <c r="T676" i="4"/>
  <c r="S676" i="4"/>
  <c r="R676" i="4"/>
  <c r="Q676" i="4"/>
  <c r="P676" i="4"/>
  <c r="O676" i="4"/>
  <c r="N676" i="4"/>
  <c r="M676" i="4"/>
  <c r="L676" i="4"/>
  <c r="K676" i="4"/>
  <c r="J676" i="4"/>
  <c r="I676" i="4"/>
  <c r="I676" i="4" a="1"/>
  <c r="H676" i="4"/>
  <c r="G676" i="4"/>
  <c r="F676" i="4"/>
  <c r="C676" i="4"/>
  <c r="B676" i="4"/>
  <c r="V675" i="4"/>
  <c r="T675" i="4"/>
  <c r="S675" i="4"/>
  <c r="R675" i="4"/>
  <c r="U675" i="4" s="1"/>
  <c r="Q675" i="4"/>
  <c r="P675" i="4"/>
  <c r="O675" i="4"/>
  <c r="N675" i="4"/>
  <c r="M675" i="4"/>
  <c r="K675" i="4"/>
  <c r="J675" i="4"/>
  <c r="L675" i="4" s="1"/>
  <c r="H675" i="4"/>
  <c r="G675" i="4"/>
  <c r="I675" i="4" s="1" a="1"/>
  <c r="I675" i="4" s="1"/>
  <c r="F675" i="4"/>
  <c r="C675" i="4"/>
  <c r="B675" i="4"/>
  <c r="V674" i="4"/>
  <c r="T674" i="4"/>
  <c r="S674" i="4"/>
  <c r="R674" i="4"/>
  <c r="U674" i="4" s="1"/>
  <c r="Q674" i="4"/>
  <c r="P674" i="4"/>
  <c r="O674" i="4"/>
  <c r="W674" i="4" s="1"/>
  <c r="N674" i="4"/>
  <c r="M674" i="4"/>
  <c r="K674" i="4"/>
  <c r="J674" i="4"/>
  <c r="L674" i="4" s="1"/>
  <c r="H674" i="4"/>
  <c r="G674" i="4"/>
  <c r="F674" i="4"/>
  <c r="D674" i="4"/>
  <c r="C674" i="4"/>
  <c r="B674" i="4"/>
  <c r="A674" i="4"/>
  <c r="V673" i="4"/>
  <c r="U673" i="4"/>
  <c r="T673" i="4"/>
  <c r="S673" i="4"/>
  <c r="R673" i="4"/>
  <c r="Q673" i="4"/>
  <c r="P673" i="4"/>
  <c r="O673" i="4"/>
  <c r="W673" i="4" s="1"/>
  <c r="N673" i="4"/>
  <c r="M673" i="4"/>
  <c r="L673" i="4"/>
  <c r="K673" i="4"/>
  <c r="J673" i="4"/>
  <c r="I673" i="4" a="1"/>
  <c r="I673" i="4" s="1"/>
  <c r="H673" i="4"/>
  <c r="G673" i="4"/>
  <c r="F673" i="4"/>
  <c r="D673" i="4"/>
  <c r="C673" i="4"/>
  <c r="B673" i="4"/>
  <c r="A673" i="4"/>
  <c r="V672" i="4"/>
  <c r="U672" i="4"/>
  <c r="T672" i="4"/>
  <c r="S672" i="4"/>
  <c r="R672" i="4"/>
  <c r="Q672" i="4"/>
  <c r="P672" i="4"/>
  <c r="O672" i="4"/>
  <c r="N672" i="4"/>
  <c r="M672" i="4"/>
  <c r="L672" i="4"/>
  <c r="K672" i="4"/>
  <c r="J672" i="4"/>
  <c r="I672" i="4"/>
  <c r="I672" i="4" a="1"/>
  <c r="H672" i="4"/>
  <c r="G672" i="4"/>
  <c r="F672" i="4"/>
  <c r="C672" i="4"/>
  <c r="B672" i="4"/>
  <c r="V671" i="4"/>
  <c r="T671" i="4"/>
  <c r="S671" i="4"/>
  <c r="R671" i="4"/>
  <c r="U671" i="4" s="1"/>
  <c r="Q671" i="4"/>
  <c r="P671" i="4"/>
  <c r="O671" i="4"/>
  <c r="N671" i="4"/>
  <c r="M671" i="4"/>
  <c r="K671" i="4"/>
  <c r="J671" i="4"/>
  <c r="L671" i="4" s="1"/>
  <c r="H671" i="4"/>
  <c r="G671" i="4"/>
  <c r="I671" i="4" s="1" a="1"/>
  <c r="I671" i="4" s="1"/>
  <c r="F671" i="4"/>
  <c r="C671" i="4"/>
  <c r="B671" i="4"/>
  <c r="V670" i="4"/>
  <c r="T670" i="4"/>
  <c r="S670" i="4"/>
  <c r="R670" i="4"/>
  <c r="U670" i="4" s="1"/>
  <c r="Q670" i="4"/>
  <c r="P670" i="4"/>
  <c r="O670" i="4"/>
  <c r="W670" i="4" s="1"/>
  <c r="N670" i="4"/>
  <c r="M670" i="4"/>
  <c r="K670" i="4"/>
  <c r="J670" i="4"/>
  <c r="L670" i="4" s="1"/>
  <c r="H670" i="4"/>
  <c r="G670" i="4"/>
  <c r="F670" i="4"/>
  <c r="D670" i="4"/>
  <c r="C670" i="4"/>
  <c r="B670" i="4"/>
  <c r="A670" i="4"/>
  <c r="V669" i="4"/>
  <c r="U669" i="4"/>
  <c r="T669" i="4"/>
  <c r="S669" i="4"/>
  <c r="R669" i="4"/>
  <c r="Q669" i="4"/>
  <c r="P669" i="4"/>
  <c r="O669" i="4"/>
  <c r="W669" i="4" s="1"/>
  <c r="N669" i="4"/>
  <c r="M669" i="4"/>
  <c r="L669" i="4"/>
  <c r="K669" i="4"/>
  <c r="J669" i="4"/>
  <c r="I669" i="4" a="1"/>
  <c r="I669" i="4" s="1"/>
  <c r="H669" i="4"/>
  <c r="G669" i="4"/>
  <c r="F669" i="4"/>
  <c r="D669" i="4"/>
  <c r="C669" i="4"/>
  <c r="B669" i="4"/>
  <c r="A669" i="4"/>
  <c r="V668" i="4"/>
  <c r="U668" i="4"/>
  <c r="T668" i="4"/>
  <c r="S668" i="4"/>
  <c r="R668" i="4"/>
  <c r="Q668" i="4"/>
  <c r="P668" i="4"/>
  <c r="O668" i="4"/>
  <c r="N668" i="4"/>
  <c r="M668" i="4"/>
  <c r="L668" i="4"/>
  <c r="K668" i="4"/>
  <c r="J668" i="4"/>
  <c r="I668" i="4"/>
  <c r="I668" i="4" a="1"/>
  <c r="H668" i="4"/>
  <c r="G668" i="4"/>
  <c r="F668" i="4"/>
  <c r="C668" i="4"/>
  <c r="B668" i="4"/>
  <c r="V667" i="4"/>
  <c r="T667" i="4"/>
  <c r="S667" i="4"/>
  <c r="R667" i="4"/>
  <c r="U667" i="4" s="1"/>
  <c r="Q667" i="4"/>
  <c r="P667" i="4"/>
  <c r="O667" i="4"/>
  <c r="N667" i="4"/>
  <c r="M667" i="4"/>
  <c r="K667" i="4"/>
  <c r="J667" i="4"/>
  <c r="L667" i="4" s="1"/>
  <c r="H667" i="4"/>
  <c r="G667" i="4"/>
  <c r="I667" i="4" s="1" a="1"/>
  <c r="I667" i="4" s="1"/>
  <c r="F667" i="4"/>
  <c r="C667" i="4"/>
  <c r="B667" i="4"/>
  <c r="W666" i="4"/>
  <c r="V666" i="4"/>
  <c r="T666" i="4"/>
  <c r="S666" i="4"/>
  <c r="R666" i="4"/>
  <c r="U666" i="4" s="1"/>
  <c r="Q666" i="4"/>
  <c r="P666" i="4"/>
  <c r="O666" i="4"/>
  <c r="N666" i="4"/>
  <c r="M666" i="4"/>
  <c r="K666" i="4"/>
  <c r="J666" i="4"/>
  <c r="L666" i="4" s="1"/>
  <c r="H666" i="4"/>
  <c r="G666" i="4"/>
  <c r="F666" i="4"/>
  <c r="D666" i="4"/>
  <c r="C666" i="4"/>
  <c r="B666" i="4"/>
  <c r="A666" i="4"/>
  <c r="V665" i="4"/>
  <c r="U665" i="4"/>
  <c r="T665" i="4"/>
  <c r="S665" i="4"/>
  <c r="R665" i="4"/>
  <c r="Q665" i="4"/>
  <c r="P665" i="4"/>
  <c r="O665" i="4"/>
  <c r="N665" i="4"/>
  <c r="M665" i="4"/>
  <c r="L665" i="4"/>
  <c r="K665" i="4"/>
  <c r="J665" i="4"/>
  <c r="I665" i="4" a="1"/>
  <c r="I665" i="4" s="1"/>
  <c r="H665" i="4"/>
  <c r="G665" i="4"/>
  <c r="F665" i="4"/>
  <c r="D665" i="4"/>
  <c r="C665" i="4"/>
  <c r="B665" i="4"/>
  <c r="A665" i="4"/>
  <c r="V664" i="4"/>
  <c r="U664" i="4"/>
  <c r="T664" i="4"/>
  <c r="S664" i="4"/>
  <c r="R664" i="4"/>
  <c r="Q664" i="4"/>
  <c r="P664" i="4"/>
  <c r="O664" i="4"/>
  <c r="N664" i="4"/>
  <c r="M664" i="4"/>
  <c r="L664" i="4"/>
  <c r="K664" i="4"/>
  <c r="J664" i="4"/>
  <c r="I664" i="4"/>
  <c r="I664" i="4" a="1"/>
  <c r="H664" i="4"/>
  <c r="G664" i="4"/>
  <c r="F664" i="4"/>
  <c r="C664" i="4"/>
  <c r="B664" i="4"/>
  <c r="V663" i="4"/>
  <c r="T663" i="4"/>
  <c r="S663" i="4"/>
  <c r="R663" i="4"/>
  <c r="U663" i="4" s="1"/>
  <c r="Q663" i="4"/>
  <c r="P663" i="4"/>
  <c r="O663" i="4"/>
  <c r="N663" i="4"/>
  <c r="M663" i="4"/>
  <c r="K663" i="4"/>
  <c r="J663" i="4"/>
  <c r="L663" i="4" s="1"/>
  <c r="H663" i="4"/>
  <c r="G663" i="4"/>
  <c r="I663" i="4" s="1" a="1"/>
  <c r="I663" i="4" s="1"/>
  <c r="F663" i="4"/>
  <c r="C663" i="4"/>
  <c r="B663" i="4"/>
  <c r="V662" i="4"/>
  <c r="T662" i="4"/>
  <c r="S662" i="4"/>
  <c r="R662" i="4"/>
  <c r="U662" i="4" s="1"/>
  <c r="Q662" i="4"/>
  <c r="P662" i="4"/>
  <c r="O662" i="4"/>
  <c r="W662" i="4" s="1"/>
  <c r="N662" i="4"/>
  <c r="M662" i="4"/>
  <c r="K662" i="4"/>
  <c r="J662" i="4"/>
  <c r="L662" i="4" s="1"/>
  <c r="H662" i="4"/>
  <c r="G662" i="4"/>
  <c r="F662" i="4"/>
  <c r="D662" i="4"/>
  <c r="C662" i="4"/>
  <c r="B662" i="4"/>
  <c r="A662" i="4"/>
  <c r="V661" i="4"/>
  <c r="U661" i="4"/>
  <c r="T661" i="4"/>
  <c r="S661" i="4"/>
  <c r="R661" i="4"/>
  <c r="Q661" i="4"/>
  <c r="P661" i="4"/>
  <c r="O661" i="4"/>
  <c r="N661" i="4"/>
  <c r="M661" i="4"/>
  <c r="L661" i="4"/>
  <c r="K661" i="4"/>
  <c r="J661" i="4"/>
  <c r="I661" i="4" a="1"/>
  <c r="I661" i="4" s="1"/>
  <c r="H661" i="4"/>
  <c r="G661" i="4"/>
  <c r="F661" i="4"/>
  <c r="D661" i="4"/>
  <c r="C661" i="4"/>
  <c r="B661" i="4"/>
  <c r="A661" i="4"/>
  <c r="V660" i="4"/>
  <c r="U660" i="4"/>
  <c r="T660" i="4"/>
  <c r="S660" i="4"/>
  <c r="R660" i="4"/>
  <c r="Q660" i="4"/>
  <c r="P660" i="4"/>
  <c r="O660" i="4"/>
  <c r="N660" i="4"/>
  <c r="M660" i="4"/>
  <c r="L660" i="4"/>
  <c r="K660" i="4"/>
  <c r="J660" i="4"/>
  <c r="I660" i="4"/>
  <c r="I660" i="4" a="1"/>
  <c r="H660" i="4"/>
  <c r="G660" i="4"/>
  <c r="F660" i="4"/>
  <c r="C660" i="4"/>
  <c r="B660" i="4"/>
  <c r="V659" i="4"/>
  <c r="T659" i="4"/>
  <c r="S659" i="4"/>
  <c r="R659" i="4"/>
  <c r="U659" i="4" s="1"/>
  <c r="Q659" i="4"/>
  <c r="P659" i="4"/>
  <c r="O659" i="4"/>
  <c r="N659" i="4"/>
  <c r="M659" i="4"/>
  <c r="K659" i="4"/>
  <c r="J659" i="4"/>
  <c r="L659" i="4" s="1"/>
  <c r="H659" i="4"/>
  <c r="G659" i="4"/>
  <c r="I659" i="4" s="1" a="1"/>
  <c r="I659" i="4" s="1"/>
  <c r="F659" i="4"/>
  <c r="C659" i="4"/>
  <c r="B659" i="4"/>
  <c r="V658" i="4"/>
  <c r="T658" i="4"/>
  <c r="S658" i="4"/>
  <c r="R658" i="4"/>
  <c r="U658" i="4" s="1"/>
  <c r="Q658" i="4"/>
  <c r="P658" i="4"/>
  <c r="O658" i="4"/>
  <c r="W658" i="4" s="1"/>
  <c r="N658" i="4"/>
  <c r="M658" i="4"/>
  <c r="K658" i="4"/>
  <c r="J658" i="4"/>
  <c r="L658" i="4" s="1"/>
  <c r="H658" i="4"/>
  <c r="G658" i="4"/>
  <c r="F658" i="4"/>
  <c r="D658" i="4"/>
  <c r="C658" i="4"/>
  <c r="B658" i="4"/>
  <c r="A658" i="4"/>
  <c r="V657" i="4"/>
  <c r="U657" i="4"/>
  <c r="T657" i="4"/>
  <c r="S657" i="4"/>
  <c r="R657" i="4"/>
  <c r="Q657" i="4"/>
  <c r="P657" i="4"/>
  <c r="O657" i="4"/>
  <c r="W657" i="4" s="1"/>
  <c r="N657" i="4"/>
  <c r="M657" i="4"/>
  <c r="L657" i="4"/>
  <c r="K657" i="4"/>
  <c r="J657" i="4"/>
  <c r="I657" i="4" a="1"/>
  <c r="I657" i="4" s="1"/>
  <c r="H657" i="4"/>
  <c r="G657" i="4"/>
  <c r="F657" i="4"/>
  <c r="D657" i="4"/>
  <c r="C657" i="4"/>
  <c r="B657" i="4"/>
  <c r="A657" i="4"/>
  <c r="V656" i="4"/>
  <c r="U656" i="4"/>
  <c r="T656" i="4"/>
  <c r="S656" i="4"/>
  <c r="R656" i="4"/>
  <c r="Q656" i="4"/>
  <c r="P656" i="4"/>
  <c r="O656" i="4"/>
  <c r="N656" i="4"/>
  <c r="M656" i="4"/>
  <c r="L656" i="4"/>
  <c r="K656" i="4"/>
  <c r="J656" i="4"/>
  <c r="I656" i="4"/>
  <c r="I656" i="4" a="1"/>
  <c r="H656" i="4"/>
  <c r="G656" i="4"/>
  <c r="F656" i="4"/>
  <c r="C656" i="4"/>
  <c r="B656" i="4"/>
  <c r="V655" i="4"/>
  <c r="T655" i="4"/>
  <c r="S655" i="4"/>
  <c r="R655" i="4"/>
  <c r="U655" i="4" s="1"/>
  <c r="Q655" i="4"/>
  <c r="P655" i="4"/>
  <c r="O655" i="4"/>
  <c r="N655" i="4"/>
  <c r="M655" i="4"/>
  <c r="K655" i="4"/>
  <c r="J655" i="4"/>
  <c r="L655" i="4" s="1"/>
  <c r="H655" i="4"/>
  <c r="G655" i="4"/>
  <c r="I655" i="4" s="1" a="1"/>
  <c r="I655" i="4" s="1"/>
  <c r="F655" i="4"/>
  <c r="C655" i="4"/>
  <c r="B655" i="4"/>
  <c r="W654" i="4"/>
  <c r="V654" i="4"/>
  <c r="T654" i="4"/>
  <c r="S654" i="4"/>
  <c r="R654" i="4"/>
  <c r="U654" i="4" s="1"/>
  <c r="Q654" i="4"/>
  <c r="P654" i="4"/>
  <c r="O654" i="4"/>
  <c r="N654" i="4"/>
  <c r="M654" i="4"/>
  <c r="K654" i="4"/>
  <c r="J654" i="4"/>
  <c r="L654" i="4" s="1"/>
  <c r="H654" i="4"/>
  <c r="G654" i="4"/>
  <c r="F654" i="4"/>
  <c r="D654" i="4"/>
  <c r="C654" i="4"/>
  <c r="B654" i="4"/>
  <c r="A654" i="4"/>
  <c r="V653" i="4"/>
  <c r="U653" i="4"/>
  <c r="T653" i="4"/>
  <c r="S653" i="4"/>
  <c r="R653" i="4"/>
  <c r="Q653" i="4"/>
  <c r="P653" i="4"/>
  <c r="O653" i="4"/>
  <c r="N653" i="4"/>
  <c r="M653" i="4"/>
  <c r="L653" i="4"/>
  <c r="K653" i="4"/>
  <c r="J653" i="4"/>
  <c r="I653" i="4" a="1"/>
  <c r="I653" i="4" s="1"/>
  <c r="H653" i="4"/>
  <c r="G653" i="4"/>
  <c r="F653" i="4"/>
  <c r="D653" i="4"/>
  <c r="C653" i="4"/>
  <c r="B653" i="4"/>
  <c r="A653" i="4"/>
  <c r="V652" i="4"/>
  <c r="U652" i="4"/>
  <c r="T652" i="4"/>
  <c r="S652" i="4"/>
  <c r="R652" i="4"/>
  <c r="Q652" i="4"/>
  <c r="P652" i="4"/>
  <c r="O652" i="4"/>
  <c r="N652" i="4"/>
  <c r="M652" i="4"/>
  <c r="L652" i="4"/>
  <c r="K652" i="4"/>
  <c r="J652" i="4"/>
  <c r="I652" i="4"/>
  <c r="I652" i="4" a="1"/>
  <c r="H652" i="4"/>
  <c r="G652" i="4"/>
  <c r="F652" i="4"/>
  <c r="C652" i="4"/>
  <c r="B652" i="4"/>
  <c r="V651" i="4"/>
  <c r="T651" i="4"/>
  <c r="S651" i="4"/>
  <c r="R651" i="4"/>
  <c r="U651" i="4" s="1"/>
  <c r="Q651" i="4"/>
  <c r="P651" i="4"/>
  <c r="O651" i="4"/>
  <c r="N651" i="4"/>
  <c r="M651" i="4"/>
  <c r="K651" i="4"/>
  <c r="J651" i="4"/>
  <c r="L651" i="4" s="1"/>
  <c r="H651" i="4"/>
  <c r="G651" i="4"/>
  <c r="I651" i="4" s="1" a="1"/>
  <c r="I651" i="4" s="1"/>
  <c r="F651" i="4"/>
  <c r="C651" i="4"/>
  <c r="B651" i="4"/>
  <c r="V650" i="4"/>
  <c r="T650" i="4"/>
  <c r="S650" i="4"/>
  <c r="R650" i="4"/>
  <c r="U650" i="4" s="1"/>
  <c r="Q650" i="4"/>
  <c r="P650" i="4"/>
  <c r="O650" i="4"/>
  <c r="W650" i="4" s="1"/>
  <c r="N650" i="4"/>
  <c r="M650" i="4"/>
  <c r="K650" i="4"/>
  <c r="J650" i="4"/>
  <c r="L650" i="4" s="1"/>
  <c r="H650" i="4"/>
  <c r="G650" i="4"/>
  <c r="F650" i="4"/>
  <c r="D650" i="4"/>
  <c r="C650" i="4"/>
  <c r="B650" i="4"/>
  <c r="A650" i="4"/>
  <c r="V649" i="4"/>
  <c r="U649" i="4"/>
  <c r="T649" i="4"/>
  <c r="S649" i="4"/>
  <c r="R649" i="4"/>
  <c r="Q649" i="4"/>
  <c r="P649" i="4"/>
  <c r="O649" i="4"/>
  <c r="W649" i="4" s="1"/>
  <c r="N649" i="4"/>
  <c r="M649" i="4"/>
  <c r="L649" i="4"/>
  <c r="K649" i="4"/>
  <c r="J649" i="4"/>
  <c r="I649" i="4" a="1"/>
  <c r="I649" i="4" s="1"/>
  <c r="H649" i="4"/>
  <c r="G649" i="4"/>
  <c r="F649" i="4"/>
  <c r="D649" i="4"/>
  <c r="C649" i="4"/>
  <c r="B649" i="4"/>
  <c r="A649" i="4"/>
  <c r="V648" i="4"/>
  <c r="U648" i="4"/>
  <c r="T648" i="4"/>
  <c r="S648" i="4"/>
  <c r="R648" i="4"/>
  <c r="Q648" i="4"/>
  <c r="P648" i="4"/>
  <c r="O648" i="4"/>
  <c r="N648" i="4"/>
  <c r="M648" i="4"/>
  <c r="L648" i="4"/>
  <c r="K648" i="4"/>
  <c r="J648" i="4"/>
  <c r="I648" i="4"/>
  <c r="I648" i="4" a="1"/>
  <c r="H648" i="4"/>
  <c r="G648" i="4"/>
  <c r="F648" i="4"/>
  <c r="C648" i="4"/>
  <c r="B648" i="4"/>
  <c r="V647" i="4"/>
  <c r="T647" i="4"/>
  <c r="S647" i="4"/>
  <c r="R647" i="4"/>
  <c r="U647" i="4" s="1"/>
  <c r="Q647" i="4"/>
  <c r="P647" i="4"/>
  <c r="O647" i="4"/>
  <c r="N647" i="4"/>
  <c r="M647" i="4"/>
  <c r="K647" i="4"/>
  <c r="J647" i="4"/>
  <c r="L647" i="4" s="1"/>
  <c r="H647" i="4"/>
  <c r="G647" i="4"/>
  <c r="I647" i="4" s="1" a="1"/>
  <c r="I647" i="4" s="1"/>
  <c r="F647" i="4"/>
  <c r="C647" i="4"/>
  <c r="B647" i="4"/>
  <c r="V646" i="4"/>
  <c r="T646" i="4"/>
  <c r="S646" i="4"/>
  <c r="R646" i="4"/>
  <c r="U646" i="4" s="1"/>
  <c r="Q646" i="4"/>
  <c r="P646" i="4"/>
  <c r="O646" i="4"/>
  <c r="N646" i="4"/>
  <c r="M646" i="4"/>
  <c r="K646" i="4"/>
  <c r="J646" i="4"/>
  <c r="L646" i="4" s="1"/>
  <c r="H646" i="4"/>
  <c r="G646" i="4"/>
  <c r="F646" i="4"/>
  <c r="D646" i="4"/>
  <c r="C646" i="4"/>
  <c r="B646" i="4"/>
  <c r="A646" i="4"/>
  <c r="V645" i="4"/>
  <c r="U645" i="4"/>
  <c r="T645" i="4"/>
  <c r="S645" i="4"/>
  <c r="R645" i="4"/>
  <c r="Q645" i="4"/>
  <c r="P645" i="4"/>
  <c r="O645" i="4"/>
  <c r="N645" i="4"/>
  <c r="M645" i="4"/>
  <c r="L645" i="4"/>
  <c r="K645" i="4"/>
  <c r="J645" i="4"/>
  <c r="I645" i="4" a="1"/>
  <c r="I645" i="4" s="1"/>
  <c r="H645" i="4"/>
  <c r="G645" i="4"/>
  <c r="F645" i="4"/>
  <c r="D645" i="4"/>
  <c r="C645" i="4"/>
  <c r="B645" i="4"/>
  <c r="A645" i="4"/>
  <c r="V644" i="4"/>
  <c r="U644" i="4"/>
  <c r="T644" i="4"/>
  <c r="S644" i="4"/>
  <c r="R644" i="4"/>
  <c r="Q644" i="4"/>
  <c r="P644" i="4"/>
  <c r="O644" i="4"/>
  <c r="N644" i="4"/>
  <c r="M644" i="4"/>
  <c r="L644" i="4"/>
  <c r="K644" i="4"/>
  <c r="J644" i="4"/>
  <c r="H644" i="4"/>
  <c r="G644" i="4"/>
  <c r="I644" i="4" s="1" a="1"/>
  <c r="I644" i="4" s="1"/>
  <c r="F644" i="4"/>
  <c r="C644" i="4"/>
  <c r="B644" i="4"/>
  <c r="V643" i="4"/>
  <c r="U643" i="4"/>
  <c r="T643" i="4"/>
  <c r="S643" i="4"/>
  <c r="R643" i="4"/>
  <c r="Q643" i="4"/>
  <c r="P643" i="4"/>
  <c r="O643" i="4"/>
  <c r="N643" i="4"/>
  <c r="M643" i="4"/>
  <c r="K643" i="4"/>
  <c r="J643" i="4"/>
  <c r="L643" i="4" s="1"/>
  <c r="H643" i="4"/>
  <c r="G643" i="4"/>
  <c r="I643" i="4" s="1" a="1"/>
  <c r="I643" i="4" s="1"/>
  <c r="F643" i="4"/>
  <c r="C643" i="4"/>
  <c r="B643" i="4"/>
  <c r="V642" i="4"/>
  <c r="T642" i="4"/>
  <c r="S642" i="4"/>
  <c r="R642" i="4"/>
  <c r="U642" i="4" s="1"/>
  <c r="Q642" i="4"/>
  <c r="P642" i="4"/>
  <c r="O642" i="4"/>
  <c r="N642" i="4"/>
  <c r="M642" i="4"/>
  <c r="K642" i="4"/>
  <c r="J642" i="4"/>
  <c r="L642" i="4" s="1"/>
  <c r="H642" i="4"/>
  <c r="G642" i="4"/>
  <c r="W642" i="4" s="1"/>
  <c r="F642" i="4"/>
  <c r="D642" i="4"/>
  <c r="C642" i="4"/>
  <c r="B642" i="4"/>
  <c r="A642" i="4"/>
  <c r="V641" i="4"/>
  <c r="U641" i="4"/>
  <c r="T641" i="4"/>
  <c r="S641" i="4"/>
  <c r="R641" i="4"/>
  <c r="Q641" i="4"/>
  <c r="P641" i="4"/>
  <c r="O641" i="4"/>
  <c r="N641" i="4"/>
  <c r="M641" i="4"/>
  <c r="L641" i="4"/>
  <c r="K641" i="4"/>
  <c r="J641" i="4"/>
  <c r="I641" i="4" a="1"/>
  <c r="I641" i="4" s="1"/>
  <c r="H641" i="4"/>
  <c r="G641" i="4"/>
  <c r="F641" i="4"/>
  <c r="D641" i="4"/>
  <c r="C641" i="4"/>
  <c r="B641" i="4"/>
  <c r="A641" i="4"/>
  <c r="V640" i="4"/>
  <c r="U640" i="4"/>
  <c r="T640" i="4"/>
  <c r="S640" i="4"/>
  <c r="R640" i="4"/>
  <c r="Q640" i="4"/>
  <c r="P640" i="4"/>
  <c r="O640" i="4"/>
  <c r="N640" i="4"/>
  <c r="M640" i="4"/>
  <c r="K640" i="4"/>
  <c r="J640" i="4"/>
  <c r="L640" i="4" s="1"/>
  <c r="I640" i="4" a="1"/>
  <c r="I640" i="4" s="1"/>
  <c r="H640" i="4"/>
  <c r="G640" i="4"/>
  <c r="F640" i="4"/>
  <c r="C640" i="4"/>
  <c r="B640" i="4"/>
  <c r="A640" i="4"/>
  <c r="V639" i="4"/>
  <c r="T639" i="4"/>
  <c r="S639" i="4"/>
  <c r="R639" i="4"/>
  <c r="U639" i="4" s="1"/>
  <c r="Q639" i="4"/>
  <c r="P639" i="4"/>
  <c r="O639" i="4"/>
  <c r="N639" i="4"/>
  <c r="M639" i="4"/>
  <c r="K639" i="4"/>
  <c r="J639" i="4"/>
  <c r="L639" i="4" s="1"/>
  <c r="H639" i="4"/>
  <c r="G639" i="4"/>
  <c r="I639" i="4" s="1" a="1"/>
  <c r="I639" i="4" s="1"/>
  <c r="F639" i="4"/>
  <c r="C639" i="4"/>
  <c r="B639" i="4"/>
  <c r="W638" i="4"/>
  <c r="V638" i="4"/>
  <c r="T638" i="4"/>
  <c r="S638" i="4"/>
  <c r="R638" i="4"/>
  <c r="U638" i="4" s="1"/>
  <c r="Q638" i="4"/>
  <c r="P638" i="4"/>
  <c r="O638" i="4"/>
  <c r="N638" i="4"/>
  <c r="M638" i="4"/>
  <c r="K638" i="4"/>
  <c r="J638" i="4"/>
  <c r="L638" i="4" s="1"/>
  <c r="H638" i="4"/>
  <c r="G638" i="4"/>
  <c r="F638" i="4"/>
  <c r="D638" i="4"/>
  <c r="C638" i="4"/>
  <c r="B638" i="4"/>
  <c r="A638" i="4"/>
  <c r="V637" i="4"/>
  <c r="U637" i="4"/>
  <c r="T637" i="4"/>
  <c r="S637" i="4"/>
  <c r="R637" i="4"/>
  <c r="Q637" i="4"/>
  <c r="P637" i="4"/>
  <c r="O637" i="4"/>
  <c r="N637" i="4"/>
  <c r="M637" i="4"/>
  <c r="L637" i="4"/>
  <c r="K637" i="4"/>
  <c r="J637" i="4"/>
  <c r="I637" i="4"/>
  <c r="I637" i="4" a="1"/>
  <c r="H637" i="4"/>
  <c r="G637" i="4"/>
  <c r="F637" i="4"/>
  <c r="D637" i="4"/>
  <c r="C637" i="4"/>
  <c r="B637" i="4"/>
  <c r="V636" i="4"/>
  <c r="T636" i="4"/>
  <c r="S636" i="4"/>
  <c r="R636" i="4"/>
  <c r="U636" i="4" s="1"/>
  <c r="Q636" i="4"/>
  <c r="P636" i="4"/>
  <c r="O636" i="4"/>
  <c r="N636" i="4"/>
  <c r="M636" i="4"/>
  <c r="K636" i="4"/>
  <c r="J636" i="4"/>
  <c r="L636" i="4" s="1"/>
  <c r="H636" i="4"/>
  <c r="G636" i="4"/>
  <c r="I636" i="4" s="1" a="1"/>
  <c r="I636" i="4" s="1"/>
  <c r="F636" i="4"/>
  <c r="C636" i="4"/>
  <c r="B636" i="4"/>
  <c r="A636" i="4"/>
  <c r="V635" i="4"/>
  <c r="T635" i="4"/>
  <c r="S635" i="4"/>
  <c r="R635" i="4"/>
  <c r="U635" i="4" s="1"/>
  <c r="Q635" i="4"/>
  <c r="P635" i="4"/>
  <c r="O635" i="4"/>
  <c r="N635" i="4"/>
  <c r="M635" i="4"/>
  <c r="K635" i="4"/>
  <c r="J635" i="4"/>
  <c r="L635" i="4" s="1"/>
  <c r="I635" i="4"/>
  <c r="H635" i="4"/>
  <c r="G635" i="4"/>
  <c r="I635" i="4" s="1" a="1"/>
  <c r="F635" i="4"/>
  <c r="D635" i="4"/>
  <c r="C635" i="4"/>
  <c r="B635" i="4"/>
  <c r="W634" i="4"/>
  <c r="V634" i="4"/>
  <c r="T634" i="4"/>
  <c r="S634" i="4"/>
  <c r="R634" i="4"/>
  <c r="U634" i="4" s="1"/>
  <c r="Q634" i="4"/>
  <c r="P634" i="4"/>
  <c r="O634" i="4"/>
  <c r="N634" i="4"/>
  <c r="M634" i="4"/>
  <c r="K634" i="4"/>
  <c r="J634" i="4"/>
  <c r="L634" i="4" s="1"/>
  <c r="I634" i="4" a="1"/>
  <c r="I634" i="4" s="1"/>
  <c r="H634" i="4"/>
  <c r="G634" i="4"/>
  <c r="F634" i="4"/>
  <c r="D634" i="4"/>
  <c r="C634" i="4"/>
  <c r="B634" i="4"/>
  <c r="A634" i="4"/>
  <c r="V633" i="4"/>
  <c r="U633" i="4"/>
  <c r="T633" i="4"/>
  <c r="S633" i="4"/>
  <c r="R633" i="4"/>
  <c r="Q633" i="4"/>
  <c r="P633" i="4"/>
  <c r="O633" i="4"/>
  <c r="N633" i="4"/>
  <c r="M633" i="4"/>
  <c r="L633" i="4"/>
  <c r="K633" i="4"/>
  <c r="J633" i="4"/>
  <c r="I633" i="4"/>
  <c r="I633" i="4" a="1"/>
  <c r="H633" i="4"/>
  <c r="G633" i="4"/>
  <c r="F633" i="4"/>
  <c r="C633" i="4"/>
  <c r="B633" i="4"/>
  <c r="V632" i="4"/>
  <c r="T632" i="4"/>
  <c r="S632" i="4"/>
  <c r="R632" i="4"/>
  <c r="U632" i="4" s="1"/>
  <c r="Q632" i="4"/>
  <c r="P632" i="4"/>
  <c r="O632" i="4"/>
  <c r="N632" i="4"/>
  <c r="M632" i="4"/>
  <c r="K632" i="4"/>
  <c r="J632" i="4"/>
  <c r="L632" i="4" s="1"/>
  <c r="H632" i="4"/>
  <c r="G632" i="4"/>
  <c r="I632" i="4" s="1" a="1"/>
  <c r="I632" i="4" s="1"/>
  <c r="F632" i="4"/>
  <c r="C632" i="4"/>
  <c r="B632" i="4"/>
  <c r="A632" i="4"/>
  <c r="V631" i="4"/>
  <c r="U631" i="4"/>
  <c r="T631" i="4"/>
  <c r="S631" i="4"/>
  <c r="R631" i="4"/>
  <c r="Q631" i="4"/>
  <c r="P631" i="4"/>
  <c r="O631" i="4"/>
  <c r="N631" i="4"/>
  <c r="M631" i="4"/>
  <c r="K631" i="4"/>
  <c r="J631" i="4"/>
  <c r="L631" i="4" s="1"/>
  <c r="H631" i="4"/>
  <c r="G631" i="4"/>
  <c r="I631" i="4" s="1" a="1"/>
  <c r="I631" i="4" s="1"/>
  <c r="F631" i="4"/>
  <c r="C631" i="4"/>
  <c r="B631" i="4"/>
  <c r="W631" i="4" s="1"/>
  <c r="V630" i="4"/>
  <c r="T630" i="4"/>
  <c r="S630" i="4"/>
  <c r="R630" i="4"/>
  <c r="U630" i="4" s="1"/>
  <c r="Q630" i="4"/>
  <c r="P630" i="4"/>
  <c r="O630" i="4"/>
  <c r="N630" i="4"/>
  <c r="M630" i="4"/>
  <c r="L630" i="4"/>
  <c r="K630" i="4"/>
  <c r="J630" i="4"/>
  <c r="I630" i="4" a="1"/>
  <c r="I630" i="4" s="1"/>
  <c r="H630" i="4"/>
  <c r="G630" i="4"/>
  <c r="F630" i="4"/>
  <c r="D630" i="4"/>
  <c r="C630" i="4"/>
  <c r="B630" i="4"/>
  <c r="A630" i="4"/>
  <c r="V629" i="4"/>
  <c r="U629" i="4"/>
  <c r="T629" i="4"/>
  <c r="S629" i="4"/>
  <c r="R629" i="4"/>
  <c r="Q629" i="4"/>
  <c r="P629" i="4"/>
  <c r="O629" i="4"/>
  <c r="N629" i="4"/>
  <c r="M629" i="4"/>
  <c r="L629" i="4"/>
  <c r="K629" i="4"/>
  <c r="J629" i="4"/>
  <c r="I629" i="4"/>
  <c r="I629" i="4" a="1"/>
  <c r="H629" i="4"/>
  <c r="G629" i="4"/>
  <c r="F629" i="4"/>
  <c r="C629" i="4"/>
  <c r="B629" i="4"/>
  <c r="V628" i="4"/>
  <c r="U628" i="4"/>
  <c r="T628" i="4"/>
  <c r="S628" i="4"/>
  <c r="R628" i="4"/>
  <c r="Q628" i="4"/>
  <c r="P628" i="4"/>
  <c r="O628" i="4"/>
  <c r="N628" i="4"/>
  <c r="M628" i="4"/>
  <c r="L628" i="4"/>
  <c r="K628" i="4"/>
  <c r="J628" i="4"/>
  <c r="I628" i="4"/>
  <c r="I628" i="4" a="1"/>
  <c r="H628" i="4"/>
  <c r="G628" i="4"/>
  <c r="F628" i="4"/>
  <c r="C628" i="4"/>
  <c r="B628" i="4"/>
  <c r="A628" i="4"/>
  <c r="V627" i="4"/>
  <c r="T627" i="4"/>
  <c r="S627" i="4"/>
  <c r="R627" i="4"/>
  <c r="U627" i="4" s="1"/>
  <c r="Q627" i="4"/>
  <c r="P627" i="4"/>
  <c r="O627" i="4"/>
  <c r="N627" i="4"/>
  <c r="M627" i="4"/>
  <c r="K627" i="4"/>
  <c r="J627" i="4"/>
  <c r="L627" i="4" s="1"/>
  <c r="H627" i="4"/>
  <c r="G627" i="4"/>
  <c r="I627" i="4" s="1" a="1"/>
  <c r="I627" i="4" s="1"/>
  <c r="F627" i="4"/>
  <c r="C627" i="4"/>
  <c r="B627" i="4"/>
  <c r="V626" i="4"/>
  <c r="T626" i="4"/>
  <c r="S626" i="4"/>
  <c r="R626" i="4"/>
  <c r="U626" i="4" s="1"/>
  <c r="Q626" i="4"/>
  <c r="P626" i="4"/>
  <c r="O626" i="4"/>
  <c r="N626" i="4"/>
  <c r="M626" i="4"/>
  <c r="L626" i="4"/>
  <c r="K626" i="4"/>
  <c r="J626" i="4"/>
  <c r="H626" i="4"/>
  <c r="G626" i="4"/>
  <c r="I626" i="4" s="1" a="1"/>
  <c r="I626" i="4" s="1"/>
  <c r="F626" i="4"/>
  <c r="D626" i="4"/>
  <c r="C626" i="4"/>
  <c r="B626" i="4"/>
  <c r="A626" i="4"/>
  <c r="V625" i="4"/>
  <c r="U625" i="4"/>
  <c r="T625" i="4"/>
  <c r="S625" i="4"/>
  <c r="R625" i="4"/>
  <c r="Q625" i="4"/>
  <c r="P625" i="4"/>
  <c r="O625" i="4"/>
  <c r="N625" i="4"/>
  <c r="M625" i="4"/>
  <c r="L625" i="4"/>
  <c r="K625" i="4"/>
  <c r="J625" i="4"/>
  <c r="I625" i="4" a="1"/>
  <c r="I625" i="4" s="1"/>
  <c r="H625" i="4"/>
  <c r="G625" i="4"/>
  <c r="F625" i="4"/>
  <c r="D625" i="4"/>
  <c r="C625" i="4"/>
  <c r="B625" i="4"/>
  <c r="A625" i="4"/>
  <c r="V624" i="4"/>
  <c r="T624" i="4"/>
  <c r="S624" i="4"/>
  <c r="R624" i="4"/>
  <c r="U624" i="4" s="1"/>
  <c r="Q624" i="4"/>
  <c r="P624" i="4"/>
  <c r="O624" i="4"/>
  <c r="N624" i="4"/>
  <c r="M624" i="4"/>
  <c r="L624" i="4"/>
  <c r="K624" i="4"/>
  <c r="J624" i="4"/>
  <c r="I624" i="4" a="1"/>
  <c r="I624" i="4" s="1"/>
  <c r="H624" i="4"/>
  <c r="G624" i="4"/>
  <c r="F624" i="4"/>
  <c r="C624" i="4"/>
  <c r="B624" i="4"/>
  <c r="A624" i="4" s="1"/>
  <c r="V623" i="4"/>
  <c r="T623" i="4"/>
  <c r="S623" i="4"/>
  <c r="R623" i="4"/>
  <c r="U623" i="4" s="1"/>
  <c r="Q623" i="4"/>
  <c r="P623" i="4"/>
  <c r="O623" i="4"/>
  <c r="N623" i="4"/>
  <c r="M623" i="4"/>
  <c r="K623" i="4"/>
  <c r="J623" i="4"/>
  <c r="L623" i="4" s="1"/>
  <c r="I623" i="4"/>
  <c r="H623" i="4"/>
  <c r="G623" i="4"/>
  <c r="I623" i="4" s="1" a="1"/>
  <c r="F623" i="4"/>
  <c r="D623" i="4"/>
  <c r="C623" i="4"/>
  <c r="B623" i="4"/>
  <c r="V622" i="4"/>
  <c r="T622" i="4"/>
  <c r="S622" i="4"/>
  <c r="R622" i="4"/>
  <c r="U622" i="4" s="1"/>
  <c r="Q622" i="4"/>
  <c r="P622" i="4"/>
  <c r="O622" i="4"/>
  <c r="N622" i="4"/>
  <c r="M622" i="4"/>
  <c r="K622" i="4"/>
  <c r="J622" i="4"/>
  <c r="L622" i="4" s="1"/>
  <c r="H622" i="4"/>
  <c r="G622" i="4"/>
  <c r="F622" i="4"/>
  <c r="D622" i="4"/>
  <c r="C622" i="4"/>
  <c r="B622" i="4"/>
  <c r="A622" i="4"/>
  <c r="V621" i="4"/>
  <c r="U621" i="4"/>
  <c r="T621" i="4"/>
  <c r="S621" i="4"/>
  <c r="R621" i="4"/>
  <c r="Q621" i="4"/>
  <c r="P621" i="4"/>
  <c r="O621" i="4"/>
  <c r="W621" i="4" s="1"/>
  <c r="N621" i="4"/>
  <c r="M621" i="4"/>
  <c r="L621" i="4"/>
  <c r="K621" i="4"/>
  <c r="J621" i="4"/>
  <c r="I621" i="4" a="1"/>
  <c r="I621" i="4" s="1"/>
  <c r="H621" i="4"/>
  <c r="G621" i="4"/>
  <c r="F621" i="4"/>
  <c r="D621" i="4"/>
  <c r="C621" i="4"/>
  <c r="B621" i="4"/>
  <c r="A621" i="4"/>
  <c r="V620" i="4"/>
  <c r="T620" i="4"/>
  <c r="S620" i="4"/>
  <c r="R620" i="4"/>
  <c r="U620" i="4" s="1"/>
  <c r="Q620" i="4"/>
  <c r="P620" i="4"/>
  <c r="O620" i="4"/>
  <c r="N620" i="4"/>
  <c r="M620" i="4"/>
  <c r="K620" i="4"/>
  <c r="J620" i="4"/>
  <c r="L620" i="4" s="1"/>
  <c r="I620" i="4" a="1"/>
  <c r="I620" i="4" s="1"/>
  <c r="H620" i="4"/>
  <c r="G620" i="4"/>
  <c r="F620" i="4"/>
  <c r="C620" i="4"/>
  <c r="B620" i="4"/>
  <c r="A620" i="4" s="1"/>
  <c r="V619" i="4"/>
  <c r="T619" i="4"/>
  <c r="S619" i="4"/>
  <c r="R619" i="4"/>
  <c r="U619" i="4" s="1"/>
  <c r="Q619" i="4"/>
  <c r="P619" i="4"/>
  <c r="O619" i="4"/>
  <c r="N619" i="4"/>
  <c r="M619" i="4"/>
  <c r="K619" i="4"/>
  <c r="J619" i="4"/>
  <c r="L619" i="4" s="1"/>
  <c r="I619" i="4"/>
  <c r="H619" i="4"/>
  <c r="G619" i="4"/>
  <c r="I619" i="4" s="1" a="1"/>
  <c r="F619" i="4"/>
  <c r="D619" i="4"/>
  <c r="C619" i="4"/>
  <c r="B619" i="4"/>
  <c r="W619" i="4" s="1"/>
  <c r="V618" i="4"/>
  <c r="T618" i="4"/>
  <c r="S618" i="4"/>
  <c r="R618" i="4"/>
  <c r="U618" i="4" s="1"/>
  <c r="Q618" i="4"/>
  <c r="P618" i="4"/>
  <c r="O618" i="4"/>
  <c r="N618" i="4"/>
  <c r="M618" i="4"/>
  <c r="K618" i="4"/>
  <c r="J618" i="4"/>
  <c r="W618" i="4" s="1"/>
  <c r="H618" i="4"/>
  <c r="G618" i="4"/>
  <c r="I618" i="4" s="1" a="1"/>
  <c r="I618" i="4" s="1"/>
  <c r="F618" i="4"/>
  <c r="D618" i="4"/>
  <c r="C618" i="4"/>
  <c r="B618" i="4"/>
  <c r="A618" i="4"/>
  <c r="V617" i="4"/>
  <c r="U617" i="4"/>
  <c r="T617" i="4"/>
  <c r="S617" i="4"/>
  <c r="R617" i="4"/>
  <c r="Q617" i="4"/>
  <c r="P617" i="4"/>
  <c r="O617" i="4"/>
  <c r="N617" i="4"/>
  <c r="M617" i="4"/>
  <c r="L617" i="4"/>
  <c r="K617" i="4"/>
  <c r="J617" i="4"/>
  <c r="I617" i="4" a="1"/>
  <c r="I617" i="4" s="1"/>
  <c r="H617" i="4"/>
  <c r="G617" i="4"/>
  <c r="F617" i="4"/>
  <c r="D617" i="4"/>
  <c r="C617" i="4"/>
  <c r="B617" i="4"/>
  <c r="W617" i="4" s="1"/>
  <c r="A617" i="4"/>
  <c r="V616" i="4"/>
  <c r="T616" i="4"/>
  <c r="S616" i="4"/>
  <c r="R616" i="4"/>
  <c r="U616" i="4" s="1"/>
  <c r="Q616" i="4"/>
  <c r="P616" i="4"/>
  <c r="O616" i="4"/>
  <c r="N616" i="4"/>
  <c r="M616" i="4"/>
  <c r="K616" i="4"/>
  <c r="J616" i="4"/>
  <c r="L616" i="4" s="1"/>
  <c r="I616" i="4" a="1"/>
  <c r="I616" i="4" s="1"/>
  <c r="H616" i="4"/>
  <c r="G616" i="4"/>
  <c r="F616" i="4"/>
  <c r="C616" i="4"/>
  <c r="B616" i="4"/>
  <c r="A616" i="4" s="1"/>
  <c r="V615" i="4"/>
  <c r="U615" i="4"/>
  <c r="T615" i="4"/>
  <c r="S615" i="4"/>
  <c r="R615" i="4"/>
  <c r="Q615" i="4"/>
  <c r="P615" i="4"/>
  <c r="O615" i="4"/>
  <c r="N615" i="4"/>
  <c r="M615" i="4"/>
  <c r="K615" i="4"/>
  <c r="J615" i="4"/>
  <c r="L615" i="4" s="1"/>
  <c r="I615" i="4"/>
  <c r="H615" i="4"/>
  <c r="G615" i="4"/>
  <c r="I615" i="4" s="1" a="1"/>
  <c r="F615" i="4"/>
  <c r="C615" i="4"/>
  <c r="B615" i="4"/>
  <c r="V614" i="4"/>
  <c r="T614" i="4"/>
  <c r="S614" i="4"/>
  <c r="R614" i="4"/>
  <c r="U614" i="4" s="1"/>
  <c r="Q614" i="4"/>
  <c r="P614" i="4"/>
  <c r="W614" i="4" s="1"/>
  <c r="O614" i="4"/>
  <c r="N614" i="4"/>
  <c r="M614" i="4"/>
  <c r="K614" i="4"/>
  <c r="J614" i="4"/>
  <c r="L614" i="4" s="1"/>
  <c r="I614" i="4" a="1"/>
  <c r="I614" i="4" s="1"/>
  <c r="H614" i="4"/>
  <c r="G614" i="4"/>
  <c r="F614" i="4"/>
  <c r="D614" i="4"/>
  <c r="C614" i="4"/>
  <c r="B614" i="4"/>
  <c r="A614" i="4"/>
  <c r="V613" i="4"/>
  <c r="U613" i="4"/>
  <c r="T613" i="4"/>
  <c r="S613" i="4"/>
  <c r="R613" i="4"/>
  <c r="Q613" i="4"/>
  <c r="P613" i="4"/>
  <c r="O613" i="4"/>
  <c r="N613" i="4"/>
  <c r="M613" i="4"/>
  <c r="L613" i="4"/>
  <c r="K613" i="4"/>
  <c r="J613" i="4"/>
  <c r="I613" i="4" a="1"/>
  <c r="I613" i="4" s="1"/>
  <c r="H613" i="4"/>
  <c r="G613" i="4"/>
  <c r="F613" i="4"/>
  <c r="D613" i="4"/>
  <c r="C613" i="4"/>
  <c r="B613" i="4"/>
  <c r="A613" i="4"/>
  <c r="V612" i="4"/>
  <c r="U612" i="4"/>
  <c r="T612" i="4"/>
  <c r="S612" i="4"/>
  <c r="R612" i="4"/>
  <c r="Q612" i="4"/>
  <c r="P612" i="4"/>
  <c r="O612" i="4"/>
  <c r="N612" i="4"/>
  <c r="M612" i="4"/>
  <c r="K612" i="4"/>
  <c r="J612" i="4"/>
  <c r="L612" i="4" s="1"/>
  <c r="I612" i="4" a="1"/>
  <c r="I612" i="4" s="1"/>
  <c r="H612" i="4"/>
  <c r="G612" i="4"/>
  <c r="F612" i="4"/>
  <c r="C612" i="4"/>
  <c r="B612" i="4"/>
  <c r="A612" i="4"/>
  <c r="V611" i="4"/>
  <c r="T611" i="4"/>
  <c r="S611" i="4"/>
  <c r="R611" i="4"/>
  <c r="U611" i="4" s="1"/>
  <c r="Q611" i="4"/>
  <c r="P611" i="4"/>
  <c r="O611" i="4"/>
  <c r="N611" i="4"/>
  <c r="M611" i="4"/>
  <c r="K611" i="4"/>
  <c r="J611" i="4"/>
  <c r="L611" i="4" s="1"/>
  <c r="H611" i="4"/>
  <c r="G611" i="4"/>
  <c r="I611" i="4" s="1" a="1"/>
  <c r="I611" i="4" s="1"/>
  <c r="F611" i="4"/>
  <c r="C611" i="4"/>
  <c r="B611" i="4"/>
  <c r="W611" i="4" s="1"/>
  <c r="V610" i="4"/>
  <c r="T610" i="4"/>
  <c r="S610" i="4"/>
  <c r="R610" i="4"/>
  <c r="U610" i="4" s="1"/>
  <c r="Q610" i="4"/>
  <c r="P610" i="4"/>
  <c r="W610" i="4" s="1"/>
  <c r="O610" i="4"/>
  <c r="N610" i="4"/>
  <c r="M610" i="4"/>
  <c r="L610" i="4"/>
  <c r="K610" i="4"/>
  <c r="J610" i="4"/>
  <c r="H610" i="4"/>
  <c r="G610" i="4"/>
  <c r="I610" i="4" s="1" a="1"/>
  <c r="I610" i="4" s="1"/>
  <c r="F610" i="4"/>
  <c r="D610" i="4"/>
  <c r="C610" i="4"/>
  <c r="B610" i="4"/>
  <c r="A610" i="4"/>
  <c r="V609" i="4"/>
  <c r="U609" i="4"/>
  <c r="T609" i="4"/>
  <c r="S609" i="4"/>
  <c r="R609" i="4"/>
  <c r="Q609" i="4"/>
  <c r="P609" i="4"/>
  <c r="O609" i="4"/>
  <c r="N609" i="4"/>
  <c r="M609" i="4"/>
  <c r="L609" i="4"/>
  <c r="K609" i="4"/>
  <c r="J609" i="4"/>
  <c r="I609" i="4" a="1"/>
  <c r="I609" i="4" s="1"/>
  <c r="H609" i="4"/>
  <c r="G609" i="4"/>
  <c r="F609" i="4"/>
  <c r="D609" i="4"/>
  <c r="C609" i="4"/>
  <c r="B609" i="4"/>
  <c r="W609" i="4" s="1"/>
  <c r="A609" i="4"/>
  <c r="V608" i="4"/>
  <c r="U608" i="4"/>
  <c r="T608" i="4"/>
  <c r="S608" i="4"/>
  <c r="R608" i="4"/>
  <c r="Q608" i="4"/>
  <c r="P608" i="4"/>
  <c r="O608" i="4"/>
  <c r="N608" i="4"/>
  <c r="M608" i="4"/>
  <c r="W608" i="4" s="1"/>
  <c r="L608" i="4"/>
  <c r="K608" i="4"/>
  <c r="J608" i="4"/>
  <c r="H608" i="4"/>
  <c r="G608" i="4"/>
  <c r="I608" i="4" s="1" a="1"/>
  <c r="I608" i="4" s="1"/>
  <c r="F608" i="4"/>
  <c r="C608" i="4"/>
  <c r="B608" i="4"/>
  <c r="D608" i="4" s="1"/>
  <c r="A608" i="4"/>
  <c r="V607" i="4"/>
  <c r="U607" i="4"/>
  <c r="T607" i="4"/>
  <c r="S607" i="4"/>
  <c r="R607" i="4"/>
  <c r="Q607" i="4"/>
  <c r="P607" i="4"/>
  <c r="O607" i="4"/>
  <c r="N607" i="4"/>
  <c r="M607" i="4"/>
  <c r="K607" i="4"/>
  <c r="J607" i="4"/>
  <c r="L607" i="4" s="1"/>
  <c r="I607" i="4" a="1"/>
  <c r="I607" i="4" s="1"/>
  <c r="H607" i="4"/>
  <c r="G607" i="4"/>
  <c r="W607" i="4" s="1"/>
  <c r="F607" i="4"/>
  <c r="D607" i="4"/>
  <c r="C607" i="4"/>
  <c r="B607" i="4"/>
  <c r="A607" i="4"/>
  <c r="V606" i="4"/>
  <c r="T606" i="4"/>
  <c r="S606" i="4"/>
  <c r="R606" i="4"/>
  <c r="U606" i="4" s="1"/>
  <c r="Q606" i="4"/>
  <c r="P606" i="4"/>
  <c r="O606" i="4"/>
  <c r="N606" i="4"/>
  <c r="M606" i="4"/>
  <c r="K606" i="4"/>
  <c r="J606" i="4"/>
  <c r="L606" i="4" s="1"/>
  <c r="I606" i="4" a="1"/>
  <c r="I606" i="4" s="1"/>
  <c r="H606" i="4"/>
  <c r="G606" i="4"/>
  <c r="W606" i="4" s="1"/>
  <c r="F606" i="4"/>
  <c r="D606" i="4"/>
  <c r="C606" i="4"/>
  <c r="B606" i="4"/>
  <c r="A606" i="4"/>
  <c r="V605" i="4"/>
  <c r="U605" i="4"/>
  <c r="T605" i="4"/>
  <c r="S605" i="4"/>
  <c r="R605" i="4"/>
  <c r="Q605" i="4"/>
  <c r="P605" i="4"/>
  <c r="O605" i="4"/>
  <c r="N605" i="4"/>
  <c r="M605" i="4"/>
  <c r="L605" i="4"/>
  <c r="K605" i="4"/>
  <c r="J605" i="4"/>
  <c r="I605" i="4" a="1"/>
  <c r="I605" i="4" s="1"/>
  <c r="H605" i="4"/>
  <c r="G605" i="4"/>
  <c r="F605" i="4"/>
  <c r="D605" i="4"/>
  <c r="C605" i="4"/>
  <c r="B605" i="4"/>
  <c r="W605" i="4" s="1"/>
  <c r="A605" i="4"/>
  <c r="V604" i="4"/>
  <c r="U604" i="4"/>
  <c r="T604" i="4"/>
  <c r="S604" i="4"/>
  <c r="R604" i="4"/>
  <c r="Q604" i="4"/>
  <c r="P604" i="4"/>
  <c r="O604" i="4"/>
  <c r="N604" i="4"/>
  <c r="M604" i="4"/>
  <c r="L604" i="4"/>
  <c r="K604" i="4"/>
  <c r="J604" i="4"/>
  <c r="I604" i="4" a="1"/>
  <c r="I604" i="4" s="1"/>
  <c r="H604" i="4"/>
  <c r="G604" i="4"/>
  <c r="F604" i="4"/>
  <c r="D604" i="4"/>
  <c r="C604" i="4"/>
  <c r="B604" i="4"/>
  <c r="A604" i="4"/>
  <c r="V603" i="4"/>
  <c r="U603" i="4"/>
  <c r="T603" i="4"/>
  <c r="S603" i="4"/>
  <c r="R603" i="4"/>
  <c r="Q603" i="4"/>
  <c r="P603" i="4"/>
  <c r="O603" i="4"/>
  <c r="N603" i="4"/>
  <c r="M603" i="4"/>
  <c r="L603" i="4"/>
  <c r="K603" i="4"/>
  <c r="J603" i="4"/>
  <c r="H603" i="4"/>
  <c r="G603" i="4"/>
  <c r="I603" i="4" s="1" a="1"/>
  <c r="I603" i="4" s="1"/>
  <c r="F603" i="4"/>
  <c r="C603" i="4"/>
  <c r="B603" i="4"/>
  <c r="V602" i="4"/>
  <c r="T602" i="4"/>
  <c r="S602" i="4"/>
  <c r="R602" i="4"/>
  <c r="U602" i="4" s="1"/>
  <c r="Q602" i="4"/>
  <c r="P602" i="4"/>
  <c r="O602" i="4"/>
  <c r="N602" i="4"/>
  <c r="M602" i="4"/>
  <c r="K602" i="4"/>
  <c r="J602" i="4"/>
  <c r="L602" i="4" s="1"/>
  <c r="H602" i="4"/>
  <c r="G602" i="4"/>
  <c r="I602" i="4" s="1" a="1"/>
  <c r="I602" i="4" s="1"/>
  <c r="F602" i="4"/>
  <c r="D602" i="4"/>
  <c r="C602" i="4"/>
  <c r="B602" i="4"/>
  <c r="A602" i="4"/>
  <c r="V601" i="4"/>
  <c r="U601" i="4"/>
  <c r="T601" i="4"/>
  <c r="S601" i="4"/>
  <c r="R601" i="4"/>
  <c r="Q601" i="4"/>
  <c r="P601" i="4"/>
  <c r="O601" i="4"/>
  <c r="N601" i="4"/>
  <c r="M601" i="4"/>
  <c r="L601" i="4"/>
  <c r="K601" i="4"/>
  <c r="J601" i="4"/>
  <c r="H601" i="4"/>
  <c r="G601" i="4"/>
  <c r="I601" i="4" s="1" a="1"/>
  <c r="I601" i="4" s="1"/>
  <c r="F601" i="4"/>
  <c r="D601" i="4"/>
  <c r="C601" i="4"/>
  <c r="B601" i="4"/>
  <c r="V600" i="4"/>
  <c r="T600" i="4"/>
  <c r="S600" i="4"/>
  <c r="R600" i="4"/>
  <c r="U600" i="4" s="1"/>
  <c r="Q600" i="4"/>
  <c r="P600" i="4"/>
  <c r="O600" i="4"/>
  <c r="N600" i="4"/>
  <c r="M600" i="4"/>
  <c r="L600" i="4"/>
  <c r="K600" i="4"/>
  <c r="J600" i="4"/>
  <c r="I600" i="4" a="1"/>
  <c r="I600" i="4" s="1"/>
  <c r="H600" i="4"/>
  <c r="G600" i="4"/>
  <c r="F600" i="4"/>
  <c r="C600" i="4"/>
  <c r="B600" i="4"/>
  <c r="D600" i="4" s="1"/>
  <c r="A600" i="4"/>
  <c r="V599" i="4"/>
  <c r="U599" i="4"/>
  <c r="T599" i="4"/>
  <c r="S599" i="4"/>
  <c r="R599" i="4"/>
  <c r="Q599" i="4"/>
  <c r="P599" i="4"/>
  <c r="O599" i="4"/>
  <c r="N599" i="4"/>
  <c r="M599" i="4"/>
  <c r="K599" i="4"/>
  <c r="J599" i="4"/>
  <c r="L599" i="4" s="1"/>
  <c r="I599" i="4" a="1"/>
  <c r="I599" i="4" s="1"/>
  <c r="H599" i="4"/>
  <c r="G599" i="4"/>
  <c r="F599" i="4"/>
  <c r="C599" i="4"/>
  <c r="B599" i="4"/>
  <c r="A599" i="4"/>
  <c r="V598" i="4"/>
  <c r="T598" i="4"/>
  <c r="S598" i="4"/>
  <c r="R598" i="4"/>
  <c r="U598" i="4" s="1"/>
  <c r="Q598" i="4"/>
  <c r="P598" i="4"/>
  <c r="O598" i="4"/>
  <c r="N598" i="4"/>
  <c r="M598" i="4"/>
  <c r="K598" i="4"/>
  <c r="J598" i="4"/>
  <c r="L598" i="4" s="1"/>
  <c r="H598" i="4"/>
  <c r="G598" i="4"/>
  <c r="I598" i="4" s="1" a="1"/>
  <c r="I598" i="4" s="1"/>
  <c r="F598" i="4"/>
  <c r="C598" i="4"/>
  <c r="B598" i="4"/>
  <c r="V597" i="4"/>
  <c r="T597" i="4"/>
  <c r="S597" i="4"/>
  <c r="R597" i="4"/>
  <c r="U597" i="4" s="1"/>
  <c r="Q597" i="4"/>
  <c r="P597" i="4"/>
  <c r="O597" i="4"/>
  <c r="W597" i="4" s="1"/>
  <c r="N597" i="4"/>
  <c r="M597" i="4"/>
  <c r="K597" i="4"/>
  <c r="J597" i="4"/>
  <c r="L597" i="4" s="1"/>
  <c r="I597" i="4" a="1"/>
  <c r="I597" i="4" s="1"/>
  <c r="H597" i="4"/>
  <c r="G597" i="4"/>
  <c r="F597" i="4"/>
  <c r="D597" i="4"/>
  <c r="C597" i="4"/>
  <c r="B597" i="4"/>
  <c r="A597" i="4"/>
  <c r="V596" i="4"/>
  <c r="U596" i="4"/>
  <c r="T596" i="4"/>
  <c r="S596" i="4"/>
  <c r="R596" i="4"/>
  <c r="Q596" i="4"/>
  <c r="P596" i="4"/>
  <c r="O596" i="4"/>
  <c r="N596" i="4"/>
  <c r="M596" i="4"/>
  <c r="L596" i="4"/>
  <c r="K596" i="4"/>
  <c r="J596" i="4"/>
  <c r="I596" i="4" a="1"/>
  <c r="I596" i="4" s="1"/>
  <c r="H596" i="4"/>
  <c r="G596" i="4"/>
  <c r="F596" i="4"/>
  <c r="D596" i="4"/>
  <c r="C596" i="4"/>
  <c r="B596" i="4"/>
  <c r="W596" i="4" s="1"/>
  <c r="A596" i="4"/>
  <c r="V595" i="4"/>
  <c r="U595" i="4"/>
  <c r="T595" i="4"/>
  <c r="S595" i="4"/>
  <c r="R595" i="4"/>
  <c r="Q595" i="4"/>
  <c r="P595" i="4"/>
  <c r="O595" i="4"/>
  <c r="N595" i="4"/>
  <c r="M595" i="4"/>
  <c r="L595" i="4"/>
  <c r="K595" i="4"/>
  <c r="J595" i="4"/>
  <c r="H595" i="4"/>
  <c r="G595" i="4"/>
  <c r="I595" i="4" s="1" a="1"/>
  <c r="I595" i="4" s="1"/>
  <c r="F595" i="4"/>
  <c r="C595" i="4"/>
  <c r="B595" i="4"/>
  <c r="V594" i="4"/>
  <c r="T594" i="4"/>
  <c r="S594" i="4"/>
  <c r="R594" i="4"/>
  <c r="U594" i="4" s="1"/>
  <c r="Q594" i="4"/>
  <c r="P594" i="4"/>
  <c r="O594" i="4"/>
  <c r="N594" i="4"/>
  <c r="M594" i="4"/>
  <c r="K594" i="4"/>
  <c r="J594" i="4"/>
  <c r="L594" i="4" s="1"/>
  <c r="H594" i="4"/>
  <c r="G594" i="4"/>
  <c r="I594" i="4" s="1" a="1"/>
  <c r="I594" i="4" s="1"/>
  <c r="F594" i="4"/>
  <c r="D594" i="4"/>
  <c r="C594" i="4"/>
  <c r="B594" i="4"/>
  <c r="A594" i="4"/>
  <c r="V593" i="4"/>
  <c r="U593" i="4"/>
  <c r="T593" i="4"/>
  <c r="S593" i="4"/>
  <c r="R593" i="4"/>
  <c r="Q593" i="4"/>
  <c r="P593" i="4"/>
  <c r="O593" i="4"/>
  <c r="N593" i="4"/>
  <c r="M593" i="4"/>
  <c r="L593" i="4"/>
  <c r="K593" i="4"/>
  <c r="J593" i="4"/>
  <c r="H593" i="4"/>
  <c r="G593" i="4"/>
  <c r="I593" i="4" s="1" a="1"/>
  <c r="I593" i="4" s="1"/>
  <c r="F593" i="4"/>
  <c r="D593" i="4"/>
  <c r="C593" i="4"/>
  <c r="B593" i="4"/>
  <c r="V592" i="4"/>
  <c r="T592" i="4"/>
  <c r="S592" i="4"/>
  <c r="R592" i="4"/>
  <c r="U592" i="4" s="1"/>
  <c r="Q592" i="4"/>
  <c r="P592" i="4"/>
  <c r="O592" i="4"/>
  <c r="N592" i="4"/>
  <c r="M592" i="4"/>
  <c r="L592" i="4"/>
  <c r="K592" i="4"/>
  <c r="J592" i="4"/>
  <c r="I592" i="4" a="1"/>
  <c r="I592" i="4" s="1"/>
  <c r="H592" i="4"/>
  <c r="G592" i="4"/>
  <c r="F592" i="4"/>
  <c r="C592" i="4"/>
  <c r="B592" i="4"/>
  <c r="D592" i="4" s="1"/>
  <c r="A592" i="4"/>
  <c r="V591" i="4"/>
  <c r="U591" i="4"/>
  <c r="T591" i="4"/>
  <c r="S591" i="4"/>
  <c r="R591" i="4"/>
  <c r="Q591" i="4"/>
  <c r="P591" i="4"/>
  <c r="O591" i="4"/>
  <c r="N591" i="4"/>
  <c r="M591" i="4"/>
  <c r="K591" i="4"/>
  <c r="J591" i="4"/>
  <c r="L591" i="4" s="1"/>
  <c r="I591" i="4" a="1"/>
  <c r="I591" i="4" s="1"/>
  <c r="H591" i="4"/>
  <c r="G591" i="4"/>
  <c r="F591" i="4"/>
  <c r="C591" i="4"/>
  <c r="B591" i="4"/>
  <c r="A591" i="4"/>
  <c r="V590" i="4"/>
  <c r="T590" i="4"/>
  <c r="S590" i="4"/>
  <c r="R590" i="4"/>
  <c r="U590" i="4" s="1"/>
  <c r="Q590" i="4"/>
  <c r="P590" i="4"/>
  <c r="O590" i="4"/>
  <c r="N590" i="4"/>
  <c r="M590" i="4"/>
  <c r="K590" i="4"/>
  <c r="J590" i="4"/>
  <c r="L590" i="4" s="1"/>
  <c r="H590" i="4"/>
  <c r="G590" i="4"/>
  <c r="I590" i="4" s="1" a="1"/>
  <c r="I590" i="4" s="1"/>
  <c r="F590" i="4"/>
  <c r="C590" i="4"/>
  <c r="B590" i="4"/>
  <c r="V589" i="4"/>
  <c r="T589" i="4"/>
  <c r="S589" i="4"/>
  <c r="R589" i="4"/>
  <c r="U589" i="4" s="1"/>
  <c r="Q589" i="4"/>
  <c r="P589" i="4"/>
  <c r="O589" i="4"/>
  <c r="W589" i="4" s="1"/>
  <c r="N589" i="4"/>
  <c r="M589" i="4"/>
  <c r="K589" i="4"/>
  <c r="J589" i="4"/>
  <c r="L589" i="4" s="1"/>
  <c r="I589" i="4" a="1"/>
  <c r="I589" i="4" s="1"/>
  <c r="H589" i="4"/>
  <c r="G589" i="4"/>
  <c r="F589" i="4"/>
  <c r="D589" i="4"/>
  <c r="C589" i="4"/>
  <c r="B589" i="4"/>
  <c r="A589" i="4"/>
  <c r="V588" i="4"/>
  <c r="T588" i="4"/>
  <c r="S588" i="4"/>
  <c r="R588" i="4"/>
  <c r="U588" i="4" s="1"/>
  <c r="Q588" i="4"/>
  <c r="P588" i="4"/>
  <c r="O588" i="4"/>
  <c r="N588" i="4"/>
  <c r="M588" i="4"/>
  <c r="L588" i="4"/>
  <c r="K588" i="4"/>
  <c r="J588" i="4"/>
  <c r="I588" i="4" a="1"/>
  <c r="I588" i="4" s="1"/>
  <c r="H588" i="4"/>
  <c r="G588" i="4"/>
  <c r="F588" i="4"/>
  <c r="D588" i="4"/>
  <c r="C588" i="4"/>
  <c r="B588" i="4"/>
  <c r="W588" i="4" s="1"/>
  <c r="A588" i="4"/>
  <c r="V587" i="4"/>
  <c r="U587" i="4"/>
  <c r="T587" i="4"/>
  <c r="S587" i="4"/>
  <c r="R587" i="4"/>
  <c r="Q587" i="4"/>
  <c r="P587" i="4"/>
  <c r="O587" i="4"/>
  <c r="N587" i="4"/>
  <c r="M587" i="4"/>
  <c r="L587" i="4"/>
  <c r="K587" i="4"/>
  <c r="J587" i="4"/>
  <c r="H587" i="4"/>
  <c r="G587" i="4"/>
  <c r="I587" i="4" s="1" a="1"/>
  <c r="I587" i="4" s="1"/>
  <c r="F587" i="4"/>
  <c r="C587" i="4"/>
  <c r="B587" i="4"/>
  <c r="V586" i="4"/>
  <c r="T586" i="4"/>
  <c r="S586" i="4"/>
  <c r="R586" i="4"/>
  <c r="U586" i="4" s="1"/>
  <c r="Q586" i="4"/>
  <c r="P586" i="4"/>
  <c r="O586" i="4"/>
  <c r="N586" i="4"/>
  <c r="M586" i="4"/>
  <c r="K586" i="4"/>
  <c r="J586" i="4"/>
  <c r="L586" i="4" s="1"/>
  <c r="H586" i="4"/>
  <c r="G586" i="4"/>
  <c r="I586" i="4" s="1" a="1"/>
  <c r="I586" i="4" s="1"/>
  <c r="F586" i="4"/>
  <c r="D586" i="4"/>
  <c r="C586" i="4"/>
  <c r="B586" i="4"/>
  <c r="A586" i="4"/>
  <c r="V585" i="4"/>
  <c r="U585" i="4"/>
  <c r="T585" i="4"/>
  <c r="S585" i="4"/>
  <c r="R585" i="4"/>
  <c r="Q585" i="4"/>
  <c r="P585" i="4"/>
  <c r="O585" i="4"/>
  <c r="N585" i="4"/>
  <c r="M585" i="4"/>
  <c r="L585" i="4"/>
  <c r="K585" i="4"/>
  <c r="J585" i="4"/>
  <c r="H585" i="4"/>
  <c r="G585" i="4"/>
  <c r="I585" i="4" s="1" a="1"/>
  <c r="I585" i="4" s="1"/>
  <c r="F585" i="4"/>
  <c r="D585" i="4"/>
  <c r="C585" i="4"/>
  <c r="B585" i="4"/>
  <c r="V584" i="4"/>
  <c r="T584" i="4"/>
  <c r="S584" i="4"/>
  <c r="R584" i="4"/>
  <c r="U584" i="4" s="1"/>
  <c r="Q584" i="4"/>
  <c r="P584" i="4"/>
  <c r="O584" i="4"/>
  <c r="N584" i="4"/>
  <c r="M584" i="4"/>
  <c r="L584" i="4"/>
  <c r="K584" i="4"/>
  <c r="J584" i="4"/>
  <c r="I584" i="4" a="1"/>
  <c r="I584" i="4" s="1"/>
  <c r="H584" i="4"/>
  <c r="G584" i="4"/>
  <c r="F584" i="4"/>
  <c r="C584" i="4"/>
  <c r="B584" i="4"/>
  <c r="D584" i="4" s="1"/>
  <c r="A584" i="4"/>
  <c r="V583" i="4"/>
  <c r="U583" i="4"/>
  <c r="T583" i="4"/>
  <c r="S583" i="4"/>
  <c r="R583" i="4"/>
  <c r="Q583" i="4"/>
  <c r="P583" i="4"/>
  <c r="O583" i="4"/>
  <c r="N583" i="4"/>
  <c r="M583" i="4"/>
  <c r="K583" i="4"/>
  <c r="J583" i="4"/>
  <c r="L583" i="4" s="1"/>
  <c r="I583" i="4" a="1"/>
  <c r="I583" i="4" s="1"/>
  <c r="H583" i="4"/>
  <c r="G583" i="4"/>
  <c r="F583" i="4"/>
  <c r="C583" i="4"/>
  <c r="B583" i="4"/>
  <c r="A583" i="4"/>
  <c r="V582" i="4"/>
  <c r="T582" i="4"/>
  <c r="S582" i="4"/>
  <c r="R582" i="4"/>
  <c r="U582" i="4" s="1"/>
  <c r="Q582" i="4"/>
  <c r="P582" i="4"/>
  <c r="O582" i="4"/>
  <c r="N582" i="4"/>
  <c r="M582" i="4"/>
  <c r="K582" i="4"/>
  <c r="J582" i="4"/>
  <c r="L582" i="4" s="1"/>
  <c r="H582" i="4"/>
  <c r="G582" i="4"/>
  <c r="I582" i="4" s="1" a="1"/>
  <c r="I582" i="4" s="1"/>
  <c r="F582" i="4"/>
  <c r="C582" i="4"/>
  <c r="B582" i="4"/>
  <c r="V581" i="4"/>
  <c r="T581" i="4"/>
  <c r="S581" i="4"/>
  <c r="R581" i="4"/>
  <c r="U581" i="4" s="1"/>
  <c r="Q581" i="4"/>
  <c r="P581" i="4"/>
  <c r="O581" i="4"/>
  <c r="W581" i="4" s="1"/>
  <c r="N581" i="4"/>
  <c r="M581" i="4"/>
  <c r="K581" i="4"/>
  <c r="J581" i="4"/>
  <c r="L581" i="4" s="1"/>
  <c r="I581" i="4" a="1"/>
  <c r="I581" i="4" s="1"/>
  <c r="H581" i="4"/>
  <c r="G581" i="4"/>
  <c r="F581" i="4"/>
  <c r="D581" i="4"/>
  <c r="C581" i="4"/>
  <c r="B581" i="4"/>
  <c r="A581" i="4"/>
  <c r="V580" i="4"/>
  <c r="T580" i="4"/>
  <c r="S580" i="4"/>
  <c r="R580" i="4"/>
  <c r="U580" i="4" s="1"/>
  <c r="Q580" i="4"/>
  <c r="P580" i="4"/>
  <c r="O580" i="4"/>
  <c r="N580" i="4"/>
  <c r="M580" i="4"/>
  <c r="L580" i="4"/>
  <c r="K580" i="4"/>
  <c r="J580" i="4"/>
  <c r="I580" i="4" a="1"/>
  <c r="I580" i="4" s="1"/>
  <c r="H580" i="4"/>
  <c r="G580" i="4"/>
  <c r="F580" i="4"/>
  <c r="D580" i="4"/>
  <c r="C580" i="4"/>
  <c r="B580" i="4"/>
  <c r="W580" i="4" s="1"/>
  <c r="A580" i="4"/>
  <c r="V579" i="4"/>
  <c r="U579" i="4"/>
  <c r="T579" i="4"/>
  <c r="S579" i="4"/>
  <c r="R579" i="4"/>
  <c r="Q579" i="4"/>
  <c r="P579" i="4"/>
  <c r="O579" i="4"/>
  <c r="N579" i="4"/>
  <c r="M579" i="4"/>
  <c r="L579" i="4"/>
  <c r="K579" i="4"/>
  <c r="J579" i="4"/>
  <c r="H579" i="4"/>
  <c r="G579" i="4"/>
  <c r="I579" i="4" s="1" a="1"/>
  <c r="I579" i="4" s="1"/>
  <c r="F579" i="4"/>
  <c r="C579" i="4"/>
  <c r="B579" i="4"/>
  <c r="V578" i="4"/>
  <c r="T578" i="4"/>
  <c r="S578" i="4"/>
  <c r="R578" i="4"/>
  <c r="U578" i="4" s="1"/>
  <c r="Q578" i="4"/>
  <c r="P578" i="4"/>
  <c r="O578" i="4"/>
  <c r="N578" i="4"/>
  <c r="M578" i="4"/>
  <c r="K578" i="4"/>
  <c r="J578" i="4"/>
  <c r="L578" i="4" s="1"/>
  <c r="H578" i="4"/>
  <c r="G578" i="4"/>
  <c r="I578" i="4" s="1" a="1"/>
  <c r="I578" i="4" s="1"/>
  <c r="F578" i="4"/>
  <c r="D578" i="4"/>
  <c r="C578" i="4"/>
  <c r="B578" i="4"/>
  <c r="A578" i="4"/>
  <c r="V577" i="4"/>
  <c r="U577" i="4"/>
  <c r="T577" i="4"/>
  <c r="S577" i="4"/>
  <c r="R577" i="4"/>
  <c r="Q577" i="4"/>
  <c r="P577" i="4"/>
  <c r="O577" i="4"/>
  <c r="N577" i="4"/>
  <c r="M577" i="4"/>
  <c r="L577" i="4"/>
  <c r="K577" i="4"/>
  <c r="J577" i="4"/>
  <c r="H577" i="4"/>
  <c r="G577" i="4"/>
  <c r="I577" i="4" s="1" a="1"/>
  <c r="I577" i="4" s="1"/>
  <c r="F577" i="4"/>
  <c r="D577" i="4"/>
  <c r="C577" i="4"/>
  <c r="B577" i="4"/>
  <c r="V576" i="4"/>
  <c r="T576" i="4"/>
  <c r="S576" i="4"/>
  <c r="R576" i="4"/>
  <c r="U576" i="4" s="1"/>
  <c r="Q576" i="4"/>
  <c r="P576" i="4"/>
  <c r="O576" i="4"/>
  <c r="N576" i="4"/>
  <c r="M576" i="4"/>
  <c r="L576" i="4"/>
  <c r="K576" i="4"/>
  <c r="J576" i="4"/>
  <c r="I576" i="4" a="1"/>
  <c r="I576" i="4" s="1"/>
  <c r="H576" i="4"/>
  <c r="G576" i="4"/>
  <c r="F576" i="4"/>
  <c r="C576" i="4"/>
  <c r="B576" i="4"/>
  <c r="D576" i="4" s="1"/>
  <c r="A576" i="4"/>
  <c r="V575" i="4"/>
  <c r="U575" i="4"/>
  <c r="T575" i="4"/>
  <c r="S575" i="4"/>
  <c r="R575" i="4"/>
  <c r="Q575" i="4"/>
  <c r="P575" i="4"/>
  <c r="O575" i="4"/>
  <c r="N575" i="4"/>
  <c r="M575" i="4"/>
  <c r="K575" i="4"/>
  <c r="J575" i="4"/>
  <c r="L575" i="4" s="1"/>
  <c r="I575" i="4" a="1"/>
  <c r="I575" i="4" s="1"/>
  <c r="H575" i="4"/>
  <c r="G575" i="4"/>
  <c r="F575" i="4"/>
  <c r="C575" i="4"/>
  <c r="B575" i="4"/>
  <c r="A575" i="4"/>
  <c r="V574" i="4"/>
  <c r="T574" i="4"/>
  <c r="S574" i="4"/>
  <c r="R574" i="4"/>
  <c r="U574" i="4" s="1"/>
  <c r="Q574" i="4"/>
  <c r="P574" i="4"/>
  <c r="O574" i="4"/>
  <c r="N574" i="4"/>
  <c r="M574" i="4"/>
  <c r="K574" i="4"/>
  <c r="J574" i="4"/>
  <c r="L574" i="4" s="1"/>
  <c r="H574" i="4"/>
  <c r="G574" i="4"/>
  <c r="I574" i="4" s="1" a="1"/>
  <c r="I574" i="4" s="1"/>
  <c r="F574" i="4"/>
  <c r="C574" i="4"/>
  <c r="B574" i="4"/>
  <c r="V573" i="4"/>
  <c r="T573" i="4"/>
  <c r="S573" i="4"/>
  <c r="R573" i="4"/>
  <c r="U573" i="4" s="1"/>
  <c r="Q573" i="4"/>
  <c r="P573" i="4"/>
  <c r="O573" i="4"/>
  <c r="W573" i="4" s="1"/>
  <c r="N573" i="4"/>
  <c r="M573" i="4"/>
  <c r="K573" i="4"/>
  <c r="J573" i="4"/>
  <c r="L573" i="4" s="1"/>
  <c r="I573" i="4"/>
  <c r="I573" i="4" a="1"/>
  <c r="H573" i="4"/>
  <c r="G573" i="4"/>
  <c r="F573" i="4"/>
  <c r="D573" i="4"/>
  <c r="C573" i="4"/>
  <c r="B573" i="4"/>
  <c r="V572" i="4"/>
  <c r="T572" i="4"/>
  <c r="S572" i="4"/>
  <c r="R572" i="4"/>
  <c r="U572" i="4" s="1"/>
  <c r="Q572" i="4"/>
  <c r="P572" i="4"/>
  <c r="O572" i="4"/>
  <c r="N572" i="4"/>
  <c r="M572" i="4"/>
  <c r="L572" i="4"/>
  <c r="K572" i="4"/>
  <c r="J572" i="4"/>
  <c r="I572" i="4" a="1"/>
  <c r="I572" i="4" s="1"/>
  <c r="H572" i="4"/>
  <c r="G572" i="4"/>
  <c r="F572" i="4"/>
  <c r="D572" i="4"/>
  <c r="C572" i="4"/>
  <c r="B572" i="4"/>
  <c r="W572" i="4" s="1"/>
  <c r="A572" i="4"/>
  <c r="V571" i="4"/>
  <c r="U571" i="4"/>
  <c r="T571" i="4"/>
  <c r="S571" i="4"/>
  <c r="R571" i="4"/>
  <c r="Q571" i="4"/>
  <c r="P571" i="4"/>
  <c r="O571" i="4"/>
  <c r="N571" i="4"/>
  <c r="M571" i="4"/>
  <c r="L571" i="4"/>
  <c r="K571" i="4"/>
  <c r="J571" i="4"/>
  <c r="H571" i="4"/>
  <c r="G571" i="4"/>
  <c r="I571" i="4" s="1" a="1"/>
  <c r="I571" i="4" s="1"/>
  <c r="F571" i="4"/>
  <c r="C571" i="4"/>
  <c r="B571" i="4"/>
  <c r="V570" i="4"/>
  <c r="T570" i="4"/>
  <c r="S570" i="4"/>
  <c r="R570" i="4"/>
  <c r="U570" i="4" s="1"/>
  <c r="Q570" i="4"/>
  <c r="P570" i="4"/>
  <c r="O570" i="4"/>
  <c r="N570" i="4"/>
  <c r="M570" i="4"/>
  <c r="K570" i="4"/>
  <c r="J570" i="4"/>
  <c r="L570" i="4" s="1"/>
  <c r="H570" i="4"/>
  <c r="G570" i="4"/>
  <c r="I570" i="4" s="1" a="1"/>
  <c r="I570" i="4" s="1"/>
  <c r="F570" i="4"/>
  <c r="D570" i="4"/>
  <c r="C570" i="4"/>
  <c r="B570" i="4"/>
  <c r="A570" i="4"/>
  <c r="V569" i="4"/>
  <c r="U569" i="4"/>
  <c r="T569" i="4"/>
  <c r="S569" i="4"/>
  <c r="R569" i="4"/>
  <c r="Q569" i="4"/>
  <c r="P569" i="4"/>
  <c r="O569" i="4"/>
  <c r="W569" i="4" s="1"/>
  <c r="N569" i="4"/>
  <c r="M569" i="4"/>
  <c r="L569" i="4"/>
  <c r="K569" i="4"/>
  <c r="J569" i="4"/>
  <c r="H569" i="4"/>
  <c r="G569" i="4"/>
  <c r="I569" i="4" s="1" a="1"/>
  <c r="I569" i="4" s="1"/>
  <c r="F569" i="4"/>
  <c r="D569" i="4"/>
  <c r="C569" i="4"/>
  <c r="B569" i="4"/>
  <c r="V568" i="4"/>
  <c r="T568" i="4"/>
  <c r="S568" i="4"/>
  <c r="R568" i="4"/>
  <c r="U568" i="4" s="1"/>
  <c r="Q568" i="4"/>
  <c r="P568" i="4"/>
  <c r="O568" i="4"/>
  <c r="N568" i="4"/>
  <c r="M568" i="4"/>
  <c r="L568" i="4"/>
  <c r="K568" i="4"/>
  <c r="J568" i="4"/>
  <c r="I568" i="4" a="1"/>
  <c r="I568" i="4" s="1"/>
  <c r="H568" i="4"/>
  <c r="G568" i="4"/>
  <c r="F568" i="4"/>
  <c r="C568" i="4"/>
  <c r="B568" i="4"/>
  <c r="D568" i="4" s="1"/>
  <c r="A568" i="4"/>
  <c r="V567" i="4"/>
  <c r="U567" i="4"/>
  <c r="T567" i="4"/>
  <c r="S567" i="4"/>
  <c r="R567" i="4"/>
  <c r="Q567" i="4"/>
  <c r="P567" i="4"/>
  <c r="O567" i="4"/>
  <c r="K567" i="4"/>
  <c r="J567" i="4"/>
  <c r="L567" i="4" s="1"/>
  <c r="I567" i="4"/>
  <c r="I567" i="4" a="1"/>
  <c r="H567" i="4"/>
  <c r="G567" i="4"/>
  <c r="F567" i="4"/>
  <c r="C567" i="4"/>
  <c r="B567" i="4"/>
  <c r="V566" i="4"/>
  <c r="T566" i="4"/>
  <c r="S566" i="4"/>
  <c r="R566" i="4"/>
  <c r="U566" i="4" s="1"/>
  <c r="Q566" i="4"/>
  <c r="P566" i="4"/>
  <c r="O566" i="4"/>
  <c r="K566" i="4"/>
  <c r="J566" i="4"/>
  <c r="L566" i="4" s="1"/>
  <c r="H566" i="4"/>
  <c r="G566" i="4"/>
  <c r="I566" i="4" s="1" a="1"/>
  <c r="I566" i="4" s="1"/>
  <c r="F566" i="4"/>
  <c r="C566" i="4"/>
  <c r="B566" i="4"/>
  <c r="V565" i="4"/>
  <c r="T565" i="4"/>
  <c r="S565" i="4"/>
  <c r="R565" i="4"/>
  <c r="U565" i="4" s="1"/>
  <c r="Q565" i="4"/>
  <c r="P565" i="4"/>
  <c r="O565" i="4"/>
  <c r="K565" i="4"/>
  <c r="J565" i="4"/>
  <c r="L565" i="4" s="1"/>
  <c r="I565" i="4"/>
  <c r="I565" i="4" a="1"/>
  <c r="H565" i="4"/>
  <c r="G565" i="4"/>
  <c r="F565" i="4"/>
  <c r="D565" i="4"/>
  <c r="C565" i="4"/>
  <c r="B565" i="4"/>
  <c r="V564" i="4"/>
  <c r="T564" i="4"/>
  <c r="S564" i="4"/>
  <c r="R564" i="4"/>
  <c r="U564" i="4" s="1"/>
  <c r="Q564" i="4"/>
  <c r="P564" i="4"/>
  <c r="O564" i="4"/>
  <c r="L564" i="4"/>
  <c r="N564" i="4" s="1"/>
  <c r="K564" i="4"/>
  <c r="J564" i="4"/>
  <c r="I564" i="4" a="1"/>
  <c r="I564" i="4" s="1"/>
  <c r="H564" i="4"/>
  <c r="G564" i="4"/>
  <c r="F564" i="4"/>
  <c r="D564" i="4"/>
  <c r="C564" i="4"/>
  <c r="B564" i="4"/>
  <c r="A564" i="4"/>
  <c r="V563" i="4"/>
  <c r="U563" i="4"/>
  <c r="T563" i="4"/>
  <c r="S563" i="4"/>
  <c r="R563" i="4"/>
  <c r="Q563" i="4"/>
  <c r="P563" i="4"/>
  <c r="O563" i="4"/>
  <c r="M563" i="4"/>
  <c r="L563" i="4"/>
  <c r="N563" i="4" s="1"/>
  <c r="K563" i="4"/>
  <c r="J563" i="4"/>
  <c r="H563" i="4"/>
  <c r="G563" i="4"/>
  <c r="I563" i="4" s="1" a="1"/>
  <c r="I563" i="4" s="1"/>
  <c r="F563" i="4"/>
  <c r="C563" i="4"/>
  <c r="B563" i="4"/>
  <c r="V562" i="4"/>
  <c r="T562" i="4"/>
  <c r="S562" i="4"/>
  <c r="R562" i="4"/>
  <c r="U562" i="4" s="1"/>
  <c r="Q562" i="4"/>
  <c r="P562" i="4"/>
  <c r="O562" i="4"/>
  <c r="K562" i="4"/>
  <c r="J562" i="4"/>
  <c r="L562" i="4" s="1"/>
  <c r="H562" i="4"/>
  <c r="G562" i="4"/>
  <c r="I562" i="4" s="1" a="1"/>
  <c r="I562" i="4" s="1"/>
  <c r="F562" i="4"/>
  <c r="D562" i="4"/>
  <c r="C562" i="4"/>
  <c r="B562" i="4"/>
  <c r="A562" i="4"/>
  <c r="V561" i="4"/>
  <c r="U561" i="4"/>
  <c r="T561" i="4"/>
  <c r="S561" i="4"/>
  <c r="R561" i="4"/>
  <c r="Q561" i="4"/>
  <c r="P561" i="4"/>
  <c r="O561" i="4"/>
  <c r="W561" i="4" s="1"/>
  <c r="N561" i="4"/>
  <c r="M561" i="4"/>
  <c r="L561" i="4"/>
  <c r="K561" i="4"/>
  <c r="J561" i="4"/>
  <c r="H561" i="4"/>
  <c r="G561" i="4"/>
  <c r="I561" i="4" s="1" a="1"/>
  <c r="I561" i="4" s="1"/>
  <c r="F561" i="4"/>
  <c r="D561" i="4"/>
  <c r="C561" i="4"/>
  <c r="B561" i="4"/>
  <c r="V560" i="4"/>
  <c r="T560" i="4"/>
  <c r="S560" i="4"/>
  <c r="R560" i="4"/>
  <c r="U560" i="4" s="1"/>
  <c r="Q560" i="4"/>
  <c r="P560" i="4"/>
  <c r="O560" i="4"/>
  <c r="L560" i="4"/>
  <c r="N560" i="4" s="1"/>
  <c r="K560" i="4"/>
  <c r="J560" i="4"/>
  <c r="I560" i="4" a="1"/>
  <c r="I560" i="4" s="1"/>
  <c r="H560" i="4"/>
  <c r="G560" i="4"/>
  <c r="F560" i="4"/>
  <c r="C560" i="4"/>
  <c r="B560" i="4"/>
  <c r="D560" i="4" s="1"/>
  <c r="A560" i="4"/>
  <c r="V559" i="4"/>
  <c r="U559" i="4"/>
  <c r="T559" i="4"/>
  <c r="S559" i="4"/>
  <c r="R559" i="4"/>
  <c r="Q559" i="4"/>
  <c r="P559" i="4"/>
  <c r="O559" i="4"/>
  <c r="K559" i="4"/>
  <c r="J559" i="4"/>
  <c r="L559" i="4" s="1"/>
  <c r="I559" i="4"/>
  <c r="I559" i="4" a="1"/>
  <c r="H559" i="4"/>
  <c r="G559" i="4"/>
  <c r="F559" i="4"/>
  <c r="C559" i="4"/>
  <c r="B559" i="4"/>
  <c r="V558" i="4"/>
  <c r="T558" i="4"/>
  <c r="S558" i="4"/>
  <c r="R558" i="4"/>
  <c r="U558" i="4" s="1"/>
  <c r="Q558" i="4"/>
  <c r="P558" i="4"/>
  <c r="O558" i="4"/>
  <c r="K558" i="4"/>
  <c r="J558" i="4"/>
  <c r="L558" i="4" s="1"/>
  <c r="H558" i="4"/>
  <c r="G558" i="4"/>
  <c r="I558" i="4" s="1" a="1"/>
  <c r="I558" i="4" s="1"/>
  <c r="F558" i="4"/>
  <c r="C558" i="4"/>
  <c r="B558" i="4"/>
  <c r="V557" i="4"/>
  <c r="T557" i="4"/>
  <c r="S557" i="4"/>
  <c r="R557" i="4"/>
  <c r="U557" i="4" s="1"/>
  <c r="Q557" i="4"/>
  <c r="P557" i="4"/>
  <c r="O557" i="4"/>
  <c r="K557" i="4"/>
  <c r="J557" i="4"/>
  <c r="L557" i="4" s="1"/>
  <c r="I557" i="4"/>
  <c r="I557" i="4" a="1"/>
  <c r="H557" i="4"/>
  <c r="G557" i="4"/>
  <c r="F557" i="4"/>
  <c r="D557" i="4"/>
  <c r="C557" i="4"/>
  <c r="B557" i="4"/>
  <c r="V556" i="4"/>
  <c r="T556" i="4"/>
  <c r="S556" i="4"/>
  <c r="R556" i="4"/>
  <c r="U556" i="4" s="1"/>
  <c r="Q556" i="4"/>
  <c r="P556" i="4"/>
  <c r="O556" i="4"/>
  <c r="L556" i="4"/>
  <c r="N556" i="4" s="1"/>
  <c r="K556" i="4"/>
  <c r="J556" i="4"/>
  <c r="I556" i="4" a="1"/>
  <c r="I556" i="4" s="1"/>
  <c r="H556" i="4"/>
  <c r="G556" i="4"/>
  <c r="F556" i="4"/>
  <c r="D556" i="4"/>
  <c r="C556" i="4"/>
  <c r="B556" i="4"/>
  <c r="A556" i="4"/>
  <c r="V555" i="4"/>
  <c r="U555" i="4"/>
  <c r="T555" i="4"/>
  <c r="S555" i="4"/>
  <c r="R555" i="4"/>
  <c r="Q555" i="4"/>
  <c r="P555" i="4"/>
  <c r="O555" i="4"/>
  <c r="M555" i="4"/>
  <c r="L555" i="4"/>
  <c r="N555" i="4" s="1"/>
  <c r="K555" i="4"/>
  <c r="J555" i="4"/>
  <c r="H555" i="4"/>
  <c r="G555" i="4"/>
  <c r="I555" i="4" s="1" a="1"/>
  <c r="I555" i="4" s="1"/>
  <c r="F555" i="4"/>
  <c r="C555" i="4"/>
  <c r="B555" i="4"/>
  <c r="V554" i="4"/>
  <c r="T554" i="4"/>
  <c r="S554" i="4"/>
  <c r="R554" i="4"/>
  <c r="U554" i="4" s="1"/>
  <c r="Q554" i="4"/>
  <c r="P554" i="4"/>
  <c r="O554" i="4"/>
  <c r="K554" i="4"/>
  <c r="J554" i="4"/>
  <c r="L554" i="4" s="1"/>
  <c r="H554" i="4"/>
  <c r="G554" i="4"/>
  <c r="I554" i="4" s="1" a="1"/>
  <c r="I554" i="4" s="1"/>
  <c r="F554" i="4"/>
  <c r="D554" i="4"/>
  <c r="C554" i="4"/>
  <c r="B554" i="4"/>
  <c r="A554" i="4"/>
  <c r="V553" i="4"/>
  <c r="U553" i="4"/>
  <c r="T553" i="4"/>
  <c r="S553" i="4"/>
  <c r="R553" i="4"/>
  <c r="Q553" i="4"/>
  <c r="P553" i="4"/>
  <c r="O553" i="4"/>
  <c r="W553" i="4" s="1"/>
  <c r="N553" i="4"/>
  <c r="M553" i="4"/>
  <c r="L553" i="4"/>
  <c r="K553" i="4"/>
  <c r="J553" i="4"/>
  <c r="H553" i="4"/>
  <c r="G553" i="4"/>
  <c r="I553" i="4" s="1" a="1"/>
  <c r="I553" i="4" s="1"/>
  <c r="F553" i="4"/>
  <c r="D553" i="4"/>
  <c r="C553" i="4"/>
  <c r="B553" i="4"/>
  <c r="V552" i="4"/>
  <c r="T552" i="4"/>
  <c r="S552" i="4"/>
  <c r="R552" i="4"/>
  <c r="U552" i="4" s="1"/>
  <c r="Q552" i="4"/>
  <c r="P552" i="4"/>
  <c r="O552" i="4"/>
  <c r="L552" i="4"/>
  <c r="K552" i="4"/>
  <c r="J552" i="4"/>
  <c r="I552" i="4" a="1"/>
  <c r="I552" i="4" s="1"/>
  <c r="H552" i="4"/>
  <c r="G552" i="4"/>
  <c r="F552" i="4"/>
  <c r="C552" i="4"/>
  <c r="B552" i="4"/>
  <c r="D552" i="4" s="1"/>
  <c r="A552" i="4"/>
  <c r="V551" i="4"/>
  <c r="U551" i="4"/>
  <c r="T551" i="4"/>
  <c r="S551" i="4"/>
  <c r="R551" i="4"/>
  <c r="Q551" i="4"/>
  <c r="P551" i="4"/>
  <c r="O551" i="4"/>
  <c r="M551" i="4"/>
  <c r="K551" i="4"/>
  <c r="J551" i="4"/>
  <c r="L551" i="4" s="1"/>
  <c r="N551" i="4" s="1"/>
  <c r="I551" i="4"/>
  <c r="I551" i="4" a="1"/>
  <c r="H551" i="4"/>
  <c r="G551" i="4"/>
  <c r="F551" i="4"/>
  <c r="C551" i="4"/>
  <c r="B551" i="4"/>
  <c r="V550" i="4"/>
  <c r="T550" i="4"/>
  <c r="S550" i="4"/>
  <c r="R550" i="4"/>
  <c r="U550" i="4" s="1"/>
  <c r="Q550" i="4"/>
  <c r="P550" i="4"/>
  <c r="O550" i="4"/>
  <c r="N550" i="4"/>
  <c r="K550" i="4"/>
  <c r="J550" i="4"/>
  <c r="L550" i="4" s="1"/>
  <c r="M550" i="4" s="1"/>
  <c r="H550" i="4"/>
  <c r="G550" i="4"/>
  <c r="I550" i="4" s="1" a="1"/>
  <c r="I550" i="4" s="1"/>
  <c r="F550" i="4"/>
  <c r="C550" i="4"/>
  <c r="B550" i="4"/>
  <c r="W549" i="4"/>
  <c r="V549" i="4"/>
  <c r="T549" i="4"/>
  <c r="S549" i="4"/>
  <c r="R549" i="4"/>
  <c r="U549" i="4" s="1"/>
  <c r="Q549" i="4"/>
  <c r="P549" i="4"/>
  <c r="O549" i="4"/>
  <c r="N549" i="4"/>
  <c r="M549" i="4"/>
  <c r="K549" i="4"/>
  <c r="J549" i="4"/>
  <c r="L549" i="4" s="1"/>
  <c r="I549" i="4"/>
  <c r="I549" i="4" a="1"/>
  <c r="H549" i="4"/>
  <c r="G549" i="4"/>
  <c r="F549" i="4"/>
  <c r="D549" i="4"/>
  <c r="C549" i="4"/>
  <c r="B549" i="4"/>
  <c r="V548" i="4"/>
  <c r="T548" i="4"/>
  <c r="S548" i="4"/>
  <c r="R548" i="4"/>
  <c r="U548" i="4" s="1"/>
  <c r="Q548" i="4"/>
  <c r="P548" i="4"/>
  <c r="O548" i="4"/>
  <c r="N548" i="4"/>
  <c r="M548" i="4"/>
  <c r="L548" i="4"/>
  <c r="K548" i="4"/>
  <c r="J548" i="4"/>
  <c r="I548" i="4" a="1"/>
  <c r="I548" i="4" s="1"/>
  <c r="H548" i="4"/>
  <c r="G548" i="4"/>
  <c r="F548" i="4"/>
  <c r="D548" i="4"/>
  <c r="C548" i="4"/>
  <c r="B548" i="4"/>
  <c r="W548" i="4" s="1"/>
  <c r="A548" i="4"/>
  <c r="V547" i="4"/>
  <c r="U547" i="4"/>
  <c r="T547" i="4"/>
  <c r="S547" i="4"/>
  <c r="R547" i="4"/>
  <c r="Q547" i="4"/>
  <c r="P547" i="4"/>
  <c r="O547" i="4"/>
  <c r="N547" i="4"/>
  <c r="M547" i="4"/>
  <c r="L547" i="4"/>
  <c r="K547" i="4"/>
  <c r="J547" i="4"/>
  <c r="H547" i="4"/>
  <c r="G547" i="4"/>
  <c r="I547" i="4" s="1" a="1"/>
  <c r="I547" i="4" s="1"/>
  <c r="F547" i="4"/>
  <c r="C547" i="4"/>
  <c r="B547" i="4"/>
  <c r="V546" i="4"/>
  <c r="T546" i="4"/>
  <c r="S546" i="4"/>
  <c r="R546" i="4"/>
  <c r="U546" i="4" s="1"/>
  <c r="Q546" i="4"/>
  <c r="P546" i="4"/>
  <c r="O546" i="4"/>
  <c r="N546" i="4"/>
  <c r="M546" i="4"/>
  <c r="K546" i="4"/>
  <c r="J546" i="4"/>
  <c r="L546" i="4" s="1"/>
  <c r="H546" i="4"/>
  <c r="G546" i="4"/>
  <c r="I546" i="4" s="1" a="1"/>
  <c r="I546" i="4" s="1"/>
  <c r="F546" i="4"/>
  <c r="D546" i="4"/>
  <c r="C546" i="4"/>
  <c r="B546" i="4"/>
  <c r="W546" i="4" s="1"/>
  <c r="A546" i="4"/>
  <c r="V545" i="4"/>
  <c r="U545" i="4"/>
  <c r="T545" i="4"/>
  <c r="S545" i="4"/>
  <c r="R545" i="4"/>
  <c r="Q545" i="4"/>
  <c r="P545" i="4"/>
  <c r="O545" i="4"/>
  <c r="W545" i="4" s="1"/>
  <c r="N545" i="4"/>
  <c r="M545" i="4"/>
  <c r="L545" i="4"/>
  <c r="K545" i="4"/>
  <c r="J545" i="4"/>
  <c r="H545" i="4"/>
  <c r="G545" i="4"/>
  <c r="I545" i="4" s="1" a="1"/>
  <c r="I545" i="4" s="1"/>
  <c r="F545" i="4"/>
  <c r="D545" i="4"/>
  <c r="C545" i="4"/>
  <c r="B545" i="4"/>
  <c r="V544" i="4"/>
  <c r="T544" i="4"/>
  <c r="S544" i="4"/>
  <c r="R544" i="4"/>
  <c r="U544" i="4" s="1"/>
  <c r="Q544" i="4"/>
  <c r="P544" i="4"/>
  <c r="O544" i="4"/>
  <c r="W544" i="4" s="1"/>
  <c r="N544" i="4"/>
  <c r="M544" i="4"/>
  <c r="L544" i="4"/>
  <c r="K544" i="4"/>
  <c r="J544" i="4"/>
  <c r="I544" i="4" a="1"/>
  <c r="I544" i="4" s="1"/>
  <c r="H544" i="4"/>
  <c r="G544" i="4"/>
  <c r="F544" i="4"/>
  <c r="D544" i="4"/>
  <c r="C544" i="4"/>
  <c r="B544" i="4"/>
  <c r="A544" i="4"/>
  <c r="V543" i="4"/>
  <c r="U543" i="4"/>
  <c r="T543" i="4"/>
  <c r="S543" i="4"/>
  <c r="R543" i="4"/>
  <c r="Q543" i="4"/>
  <c r="P543" i="4"/>
  <c r="O543" i="4"/>
  <c r="N543" i="4"/>
  <c r="M543" i="4"/>
  <c r="K543" i="4"/>
  <c r="J543" i="4"/>
  <c r="L543" i="4" s="1"/>
  <c r="I543" i="4"/>
  <c r="I543" i="4" a="1"/>
  <c r="H543" i="4"/>
  <c r="G543" i="4"/>
  <c r="F543" i="4"/>
  <c r="C543" i="4"/>
  <c r="B543" i="4"/>
  <c r="V542" i="4"/>
  <c r="T542" i="4"/>
  <c r="S542" i="4"/>
  <c r="R542" i="4"/>
  <c r="U542" i="4" s="1"/>
  <c r="Q542" i="4"/>
  <c r="P542" i="4"/>
  <c r="O542" i="4"/>
  <c r="N542" i="4"/>
  <c r="M542" i="4"/>
  <c r="K542" i="4"/>
  <c r="J542" i="4"/>
  <c r="L542" i="4" s="1"/>
  <c r="H542" i="4"/>
  <c r="G542" i="4"/>
  <c r="I542" i="4" s="1" a="1"/>
  <c r="I542" i="4" s="1"/>
  <c r="F542" i="4"/>
  <c r="C542" i="4"/>
  <c r="B542" i="4"/>
  <c r="V541" i="4"/>
  <c r="T541" i="4"/>
  <c r="S541" i="4"/>
  <c r="R541" i="4"/>
  <c r="U541" i="4" s="1"/>
  <c r="Q541" i="4"/>
  <c r="P541" i="4"/>
  <c r="O541" i="4"/>
  <c r="W541" i="4" s="1"/>
  <c r="N541" i="4"/>
  <c r="M541" i="4"/>
  <c r="K541" i="4"/>
  <c r="J541" i="4"/>
  <c r="L541" i="4" s="1"/>
  <c r="I541" i="4"/>
  <c r="I541" i="4" a="1"/>
  <c r="H541" i="4"/>
  <c r="G541" i="4"/>
  <c r="F541" i="4"/>
  <c r="D541" i="4"/>
  <c r="C541" i="4"/>
  <c r="B541" i="4"/>
  <c r="V540" i="4"/>
  <c r="T540" i="4"/>
  <c r="S540" i="4"/>
  <c r="R540" i="4"/>
  <c r="U540" i="4" s="1"/>
  <c r="Q540" i="4"/>
  <c r="P540" i="4"/>
  <c r="O540" i="4"/>
  <c r="N540" i="4"/>
  <c r="M540" i="4"/>
  <c r="L540" i="4"/>
  <c r="K540" i="4"/>
  <c r="J540" i="4"/>
  <c r="I540" i="4" a="1"/>
  <c r="I540" i="4" s="1"/>
  <c r="H540" i="4"/>
  <c r="G540" i="4"/>
  <c r="F540" i="4"/>
  <c r="D540" i="4"/>
  <c r="C540" i="4"/>
  <c r="B540" i="4"/>
  <c r="A540" i="4"/>
  <c r="V539" i="4"/>
  <c r="U539" i="4"/>
  <c r="T539" i="4"/>
  <c r="S539" i="4"/>
  <c r="R539" i="4"/>
  <c r="Q539" i="4"/>
  <c r="P539" i="4"/>
  <c r="O539" i="4"/>
  <c r="N539" i="4"/>
  <c r="M539" i="4"/>
  <c r="L539" i="4"/>
  <c r="K539" i="4"/>
  <c r="J539" i="4"/>
  <c r="I539" i="4"/>
  <c r="H539" i="4"/>
  <c r="G539" i="4"/>
  <c r="I539" i="4" s="1" a="1"/>
  <c r="F539" i="4"/>
  <c r="C539" i="4"/>
  <c r="B539" i="4"/>
  <c r="V538" i="4"/>
  <c r="T538" i="4"/>
  <c r="S538" i="4"/>
  <c r="R538" i="4"/>
  <c r="U538" i="4" s="1"/>
  <c r="Q538" i="4"/>
  <c r="P538" i="4"/>
  <c r="O538" i="4"/>
  <c r="N538" i="4"/>
  <c r="M538" i="4"/>
  <c r="K538" i="4"/>
  <c r="J538" i="4"/>
  <c r="L538" i="4" s="1"/>
  <c r="H538" i="4"/>
  <c r="G538" i="4"/>
  <c r="I538" i="4" s="1" a="1"/>
  <c r="I538" i="4" s="1"/>
  <c r="F538" i="4"/>
  <c r="D538" i="4"/>
  <c r="C538" i="4"/>
  <c r="B538" i="4"/>
  <c r="A538" i="4"/>
  <c r="V537" i="4"/>
  <c r="U537" i="4"/>
  <c r="T537" i="4"/>
  <c r="S537" i="4"/>
  <c r="R537" i="4"/>
  <c r="Q537" i="4"/>
  <c r="P537" i="4"/>
  <c r="O537" i="4"/>
  <c r="W537" i="4" s="1"/>
  <c r="N537" i="4"/>
  <c r="M537" i="4"/>
  <c r="L537" i="4"/>
  <c r="K537" i="4"/>
  <c r="J537" i="4"/>
  <c r="H537" i="4"/>
  <c r="G537" i="4"/>
  <c r="I537" i="4" s="1" a="1"/>
  <c r="I537" i="4" s="1"/>
  <c r="F537" i="4"/>
  <c r="D537" i="4"/>
  <c r="C537" i="4"/>
  <c r="B537" i="4"/>
  <c r="V536" i="4"/>
  <c r="T536" i="4"/>
  <c r="S536" i="4"/>
  <c r="R536" i="4"/>
  <c r="U536" i="4" s="1"/>
  <c r="Q536" i="4"/>
  <c r="P536" i="4"/>
  <c r="O536" i="4"/>
  <c r="W536" i="4" s="1"/>
  <c r="N536" i="4"/>
  <c r="M536" i="4"/>
  <c r="L536" i="4"/>
  <c r="K536" i="4"/>
  <c r="J536" i="4"/>
  <c r="I536" i="4" a="1"/>
  <c r="I536" i="4" s="1"/>
  <c r="H536" i="4"/>
  <c r="G536" i="4"/>
  <c r="F536" i="4"/>
  <c r="D536" i="4"/>
  <c r="C536" i="4"/>
  <c r="B536" i="4"/>
  <c r="A536" i="4"/>
  <c r="V535" i="4"/>
  <c r="U535" i="4"/>
  <c r="T535" i="4"/>
  <c r="S535" i="4"/>
  <c r="R535" i="4"/>
  <c r="Q535" i="4"/>
  <c r="P535" i="4"/>
  <c r="O535" i="4"/>
  <c r="N535" i="4"/>
  <c r="M535" i="4"/>
  <c r="K535" i="4"/>
  <c r="J535" i="4"/>
  <c r="L535" i="4" s="1"/>
  <c r="I535" i="4" a="1"/>
  <c r="I535" i="4" s="1"/>
  <c r="H535" i="4"/>
  <c r="G535" i="4"/>
  <c r="F535" i="4"/>
  <c r="C535" i="4"/>
  <c r="B535" i="4"/>
  <c r="A535" i="4" s="1"/>
  <c r="V534" i="4"/>
  <c r="T534" i="4"/>
  <c r="S534" i="4"/>
  <c r="R534" i="4"/>
  <c r="U534" i="4" s="1"/>
  <c r="Q534" i="4"/>
  <c r="P534" i="4"/>
  <c r="O534" i="4"/>
  <c r="N534" i="4"/>
  <c r="M534" i="4"/>
  <c r="K534" i="4"/>
  <c r="J534" i="4"/>
  <c r="L534" i="4" s="1"/>
  <c r="H534" i="4"/>
  <c r="G534" i="4"/>
  <c r="I534" i="4" s="1" a="1"/>
  <c r="I534" i="4" s="1"/>
  <c r="F534" i="4"/>
  <c r="C534" i="4"/>
  <c r="B534" i="4"/>
  <c r="V533" i="4"/>
  <c r="T533" i="4"/>
  <c r="S533" i="4"/>
  <c r="R533" i="4"/>
  <c r="U533" i="4" s="1"/>
  <c r="Q533" i="4"/>
  <c r="P533" i="4"/>
  <c r="O533" i="4"/>
  <c r="N533" i="4"/>
  <c r="M533" i="4"/>
  <c r="K533" i="4"/>
  <c r="J533" i="4"/>
  <c r="L533" i="4" s="1"/>
  <c r="I533" i="4"/>
  <c r="I533" i="4" a="1"/>
  <c r="H533" i="4"/>
  <c r="G533" i="4"/>
  <c r="F533" i="4"/>
  <c r="D533" i="4"/>
  <c r="C533" i="4"/>
  <c r="B533" i="4"/>
  <c r="V532" i="4"/>
  <c r="T532" i="4"/>
  <c r="S532" i="4"/>
  <c r="R532" i="4"/>
  <c r="U532" i="4" s="1"/>
  <c r="Q532" i="4"/>
  <c r="P532" i="4"/>
  <c r="O532" i="4"/>
  <c r="N532" i="4"/>
  <c r="M532" i="4"/>
  <c r="L532" i="4"/>
  <c r="K532" i="4"/>
  <c r="J532" i="4"/>
  <c r="I532" i="4" a="1"/>
  <c r="I532" i="4" s="1"/>
  <c r="H532" i="4"/>
  <c r="G532" i="4"/>
  <c r="F532" i="4"/>
  <c r="D532" i="4"/>
  <c r="C532" i="4"/>
  <c r="B532" i="4"/>
  <c r="W532" i="4" s="1"/>
  <c r="A532" i="4"/>
  <c r="V531" i="4"/>
  <c r="U531" i="4"/>
  <c r="T531" i="4"/>
  <c r="S531" i="4"/>
  <c r="R531" i="4"/>
  <c r="Q531" i="4"/>
  <c r="P531" i="4"/>
  <c r="O531" i="4"/>
  <c r="N531" i="4"/>
  <c r="M531" i="4"/>
  <c r="L531" i="4"/>
  <c r="K531" i="4"/>
  <c r="J531" i="4"/>
  <c r="H531" i="4"/>
  <c r="G531" i="4"/>
  <c r="I531" i="4" s="1" a="1"/>
  <c r="I531" i="4" s="1"/>
  <c r="F531" i="4"/>
  <c r="C531" i="4"/>
  <c r="B531" i="4"/>
  <c r="V530" i="4"/>
  <c r="T530" i="4"/>
  <c r="S530" i="4"/>
  <c r="R530" i="4"/>
  <c r="U530" i="4" s="1"/>
  <c r="Q530" i="4"/>
  <c r="P530" i="4"/>
  <c r="O530" i="4"/>
  <c r="N530" i="4"/>
  <c r="M530" i="4"/>
  <c r="K530" i="4"/>
  <c r="J530" i="4"/>
  <c r="L530" i="4" s="1"/>
  <c r="H530" i="4"/>
  <c r="G530" i="4"/>
  <c r="I530" i="4" s="1" a="1"/>
  <c r="I530" i="4" s="1"/>
  <c r="F530" i="4"/>
  <c r="D530" i="4"/>
  <c r="C530" i="4"/>
  <c r="B530" i="4"/>
  <c r="A530" i="4"/>
  <c r="V529" i="4"/>
  <c r="U529" i="4"/>
  <c r="T529" i="4"/>
  <c r="S529" i="4"/>
  <c r="R529" i="4"/>
  <c r="Q529" i="4"/>
  <c r="P529" i="4"/>
  <c r="O529" i="4"/>
  <c r="W529" i="4" s="1"/>
  <c r="N529" i="4"/>
  <c r="M529" i="4"/>
  <c r="L529" i="4"/>
  <c r="K529" i="4"/>
  <c r="J529" i="4"/>
  <c r="H529" i="4"/>
  <c r="G529" i="4"/>
  <c r="I529" i="4" s="1" a="1"/>
  <c r="I529" i="4" s="1"/>
  <c r="F529" i="4"/>
  <c r="D529" i="4"/>
  <c r="C529" i="4"/>
  <c r="B529" i="4"/>
  <c r="V528" i="4"/>
  <c r="T528" i="4"/>
  <c r="S528" i="4"/>
  <c r="R528" i="4"/>
  <c r="U528" i="4" s="1"/>
  <c r="Q528" i="4"/>
  <c r="P528" i="4"/>
  <c r="O528" i="4"/>
  <c r="N528" i="4"/>
  <c r="M528" i="4"/>
  <c r="L528" i="4"/>
  <c r="K528" i="4"/>
  <c r="J528" i="4"/>
  <c r="I528" i="4" a="1"/>
  <c r="I528" i="4" s="1"/>
  <c r="H528" i="4"/>
  <c r="G528" i="4"/>
  <c r="F528" i="4"/>
  <c r="D528" i="4"/>
  <c r="C528" i="4"/>
  <c r="B528" i="4"/>
  <c r="A528" i="4"/>
  <c r="V527" i="4"/>
  <c r="U527" i="4"/>
  <c r="T527" i="4"/>
  <c r="S527" i="4"/>
  <c r="R527" i="4"/>
  <c r="Q527" i="4"/>
  <c r="P527" i="4"/>
  <c r="O527" i="4"/>
  <c r="N527" i="4"/>
  <c r="M527" i="4"/>
  <c r="K527" i="4"/>
  <c r="J527" i="4"/>
  <c r="L527" i="4" s="1"/>
  <c r="I527" i="4"/>
  <c r="I527" i="4" a="1"/>
  <c r="H527" i="4"/>
  <c r="G527" i="4"/>
  <c r="F527" i="4"/>
  <c r="C527" i="4"/>
  <c r="B527" i="4"/>
  <c r="A527" i="4"/>
  <c r="V526" i="4"/>
  <c r="T526" i="4"/>
  <c r="S526" i="4"/>
  <c r="R526" i="4"/>
  <c r="U526" i="4" s="1"/>
  <c r="Q526" i="4"/>
  <c r="P526" i="4"/>
  <c r="O526" i="4"/>
  <c r="N526" i="4"/>
  <c r="M526" i="4"/>
  <c r="K526" i="4"/>
  <c r="J526" i="4"/>
  <c r="L526" i="4" s="1"/>
  <c r="I526" i="4"/>
  <c r="H526" i="4"/>
  <c r="G526" i="4"/>
  <c r="I526" i="4" s="1" a="1"/>
  <c r="F526" i="4"/>
  <c r="C526" i="4"/>
  <c r="B526" i="4"/>
  <c r="V525" i="4"/>
  <c r="T525" i="4"/>
  <c r="S525" i="4"/>
  <c r="R525" i="4"/>
  <c r="U525" i="4" s="1"/>
  <c r="Q525" i="4"/>
  <c r="P525" i="4"/>
  <c r="O525" i="4"/>
  <c r="N525" i="4"/>
  <c r="M525" i="4"/>
  <c r="K525" i="4"/>
  <c r="J525" i="4"/>
  <c r="L525" i="4" s="1"/>
  <c r="I525" i="4"/>
  <c r="I525" i="4" a="1"/>
  <c r="H525" i="4"/>
  <c r="G525" i="4"/>
  <c r="F525" i="4"/>
  <c r="D525" i="4"/>
  <c r="C525" i="4"/>
  <c r="B525" i="4"/>
  <c r="V524" i="4"/>
  <c r="T524" i="4"/>
  <c r="S524" i="4"/>
  <c r="R524" i="4"/>
  <c r="U524" i="4" s="1"/>
  <c r="Q524" i="4"/>
  <c r="P524" i="4"/>
  <c r="O524" i="4"/>
  <c r="N524" i="4"/>
  <c r="M524" i="4"/>
  <c r="L524" i="4"/>
  <c r="K524" i="4"/>
  <c r="J524" i="4"/>
  <c r="I524" i="4" a="1"/>
  <c r="I524" i="4" s="1"/>
  <c r="H524" i="4"/>
  <c r="G524" i="4"/>
  <c r="F524" i="4"/>
  <c r="D524" i="4"/>
  <c r="C524" i="4"/>
  <c r="B524" i="4"/>
  <c r="A524" i="4"/>
  <c r="V523" i="4"/>
  <c r="U523" i="4"/>
  <c r="T523" i="4"/>
  <c r="S523" i="4"/>
  <c r="R523" i="4"/>
  <c r="Q523" i="4"/>
  <c r="P523" i="4"/>
  <c r="O523" i="4"/>
  <c r="N523" i="4"/>
  <c r="M523" i="4"/>
  <c r="L523" i="4"/>
  <c r="K523" i="4"/>
  <c r="J523" i="4"/>
  <c r="I523" i="4"/>
  <c r="H523" i="4"/>
  <c r="G523" i="4"/>
  <c r="I523" i="4" s="1" a="1"/>
  <c r="F523" i="4"/>
  <c r="C523" i="4"/>
  <c r="B523" i="4"/>
  <c r="V522" i="4"/>
  <c r="U522" i="4"/>
  <c r="T522" i="4"/>
  <c r="S522" i="4"/>
  <c r="R522" i="4"/>
  <c r="Q522" i="4"/>
  <c r="P522" i="4"/>
  <c r="O522" i="4"/>
  <c r="N522" i="4"/>
  <c r="M522" i="4"/>
  <c r="K522" i="4"/>
  <c r="J522" i="4"/>
  <c r="L522" i="4" s="1"/>
  <c r="H522" i="4"/>
  <c r="G522" i="4"/>
  <c r="I522" i="4" s="1" a="1"/>
  <c r="I522" i="4" s="1"/>
  <c r="F522" i="4"/>
  <c r="D522" i="4"/>
  <c r="C522" i="4"/>
  <c r="B522" i="4"/>
  <c r="W522" i="4" s="1"/>
  <c r="A522" i="4"/>
  <c r="V521" i="4"/>
  <c r="U521" i="4"/>
  <c r="T521" i="4"/>
  <c r="S521" i="4"/>
  <c r="R521" i="4"/>
  <c r="Q521" i="4"/>
  <c r="P521" i="4"/>
  <c r="O521" i="4"/>
  <c r="N521" i="4"/>
  <c r="M521" i="4"/>
  <c r="L521" i="4"/>
  <c r="K521" i="4"/>
  <c r="J521" i="4"/>
  <c r="H521" i="4"/>
  <c r="G521" i="4"/>
  <c r="I521" i="4" s="1" a="1"/>
  <c r="I521" i="4" s="1"/>
  <c r="F521" i="4"/>
  <c r="D521" i="4"/>
  <c r="C521" i="4"/>
  <c r="B521" i="4"/>
  <c r="W520" i="4"/>
  <c r="V520" i="4"/>
  <c r="T520" i="4"/>
  <c r="S520" i="4"/>
  <c r="R520" i="4"/>
  <c r="U520" i="4" s="1"/>
  <c r="Q520" i="4"/>
  <c r="P520" i="4"/>
  <c r="O520" i="4"/>
  <c r="N520" i="4"/>
  <c r="M520" i="4"/>
  <c r="L520" i="4"/>
  <c r="K520" i="4"/>
  <c r="J520" i="4"/>
  <c r="I520" i="4" a="1"/>
  <c r="I520" i="4" s="1"/>
  <c r="H520" i="4"/>
  <c r="G520" i="4"/>
  <c r="F520" i="4"/>
  <c r="D520" i="4"/>
  <c r="C520" i="4"/>
  <c r="B520" i="4"/>
  <c r="A520" i="4"/>
  <c r="V519" i="4"/>
  <c r="U519" i="4"/>
  <c r="T519" i="4"/>
  <c r="S519" i="4"/>
  <c r="R519" i="4"/>
  <c r="Q519" i="4"/>
  <c r="P519" i="4"/>
  <c r="O519" i="4"/>
  <c r="N519" i="4"/>
  <c r="M519" i="4"/>
  <c r="K519" i="4"/>
  <c r="J519" i="4"/>
  <c r="L519" i="4" s="1"/>
  <c r="I519" i="4" a="1"/>
  <c r="I519" i="4" s="1"/>
  <c r="H519" i="4"/>
  <c r="G519" i="4"/>
  <c r="F519" i="4"/>
  <c r="C519" i="4"/>
  <c r="B519" i="4"/>
  <c r="A519" i="4" s="1"/>
  <c r="V518" i="4"/>
  <c r="T518" i="4"/>
  <c r="S518" i="4"/>
  <c r="R518" i="4"/>
  <c r="U518" i="4" s="1"/>
  <c r="Q518" i="4"/>
  <c r="P518" i="4"/>
  <c r="O518" i="4"/>
  <c r="N518" i="4"/>
  <c r="M518" i="4"/>
  <c r="K518" i="4"/>
  <c r="J518" i="4"/>
  <c r="L518" i="4" s="1"/>
  <c r="H518" i="4"/>
  <c r="G518" i="4"/>
  <c r="I518" i="4" s="1" a="1"/>
  <c r="I518" i="4" s="1"/>
  <c r="F518" i="4"/>
  <c r="C518" i="4"/>
  <c r="B518" i="4"/>
  <c r="W517" i="4"/>
  <c r="V517" i="4"/>
  <c r="T517" i="4"/>
  <c r="S517" i="4"/>
  <c r="R517" i="4"/>
  <c r="U517" i="4" s="1"/>
  <c r="Q517" i="4"/>
  <c r="P517" i="4"/>
  <c r="O517" i="4"/>
  <c r="N517" i="4"/>
  <c r="M517" i="4"/>
  <c r="K517" i="4"/>
  <c r="J517" i="4"/>
  <c r="L517" i="4" s="1"/>
  <c r="I517" i="4"/>
  <c r="I517" i="4" a="1"/>
  <c r="H517" i="4"/>
  <c r="G517" i="4"/>
  <c r="F517" i="4"/>
  <c r="D517" i="4"/>
  <c r="C517" i="4"/>
  <c r="B517" i="4"/>
  <c r="V516" i="4"/>
  <c r="T516" i="4"/>
  <c r="S516" i="4"/>
  <c r="R516" i="4"/>
  <c r="U516" i="4" s="1"/>
  <c r="Q516" i="4"/>
  <c r="P516" i="4"/>
  <c r="O516" i="4"/>
  <c r="N516" i="4"/>
  <c r="M516" i="4"/>
  <c r="L516" i="4"/>
  <c r="K516" i="4"/>
  <c r="J516" i="4"/>
  <c r="I516" i="4" a="1"/>
  <c r="I516" i="4" s="1"/>
  <c r="H516" i="4"/>
  <c r="G516" i="4"/>
  <c r="F516" i="4"/>
  <c r="D516" i="4"/>
  <c r="C516" i="4"/>
  <c r="B516" i="4"/>
  <c r="W516" i="4" s="1"/>
  <c r="A516" i="4"/>
  <c r="V515" i="4"/>
  <c r="U515" i="4"/>
  <c r="T515" i="4"/>
  <c r="S515" i="4"/>
  <c r="R515" i="4"/>
  <c r="Q515" i="4"/>
  <c r="P515" i="4"/>
  <c r="O515" i="4"/>
  <c r="N515" i="4"/>
  <c r="M515" i="4"/>
  <c r="L515" i="4"/>
  <c r="K515" i="4"/>
  <c r="J515" i="4"/>
  <c r="H515" i="4"/>
  <c r="G515" i="4"/>
  <c r="I515" i="4" s="1" a="1"/>
  <c r="I515" i="4" s="1"/>
  <c r="F515" i="4"/>
  <c r="C515" i="4"/>
  <c r="B515" i="4"/>
  <c r="V514" i="4"/>
  <c r="U514" i="4"/>
  <c r="T514" i="4"/>
  <c r="S514" i="4"/>
  <c r="R514" i="4"/>
  <c r="Q514" i="4"/>
  <c r="P514" i="4"/>
  <c r="O514" i="4"/>
  <c r="N514" i="4"/>
  <c r="M514" i="4"/>
  <c r="K514" i="4"/>
  <c r="J514" i="4"/>
  <c r="L514" i="4" s="1"/>
  <c r="H514" i="4"/>
  <c r="G514" i="4"/>
  <c r="I514" i="4" s="1" a="1"/>
  <c r="I514" i="4" s="1"/>
  <c r="F514" i="4"/>
  <c r="D514" i="4"/>
  <c r="C514" i="4"/>
  <c r="B514" i="4"/>
  <c r="A514" i="4"/>
  <c r="V513" i="4"/>
  <c r="U513" i="4"/>
  <c r="T513" i="4"/>
  <c r="S513" i="4"/>
  <c r="R513" i="4"/>
  <c r="Q513" i="4"/>
  <c r="P513" i="4"/>
  <c r="O513" i="4"/>
  <c r="W513" i="4" s="1"/>
  <c r="N513" i="4"/>
  <c r="M513" i="4"/>
  <c r="L513" i="4"/>
  <c r="K513" i="4"/>
  <c r="J513" i="4"/>
  <c r="H513" i="4"/>
  <c r="G513" i="4"/>
  <c r="I513" i="4" s="1" a="1"/>
  <c r="I513" i="4" s="1"/>
  <c r="F513" i="4"/>
  <c r="D513" i="4"/>
  <c r="C513" i="4"/>
  <c r="B513" i="4"/>
  <c r="V512" i="4"/>
  <c r="T512" i="4"/>
  <c r="S512" i="4"/>
  <c r="R512" i="4"/>
  <c r="U512" i="4" s="1"/>
  <c r="Q512" i="4"/>
  <c r="P512" i="4"/>
  <c r="O512" i="4"/>
  <c r="N512" i="4"/>
  <c r="M512" i="4"/>
  <c r="L512" i="4"/>
  <c r="K512" i="4"/>
  <c r="J512" i="4"/>
  <c r="I512" i="4" a="1"/>
  <c r="I512" i="4" s="1"/>
  <c r="H512" i="4"/>
  <c r="G512" i="4"/>
  <c r="F512" i="4"/>
  <c r="D512" i="4"/>
  <c r="C512" i="4"/>
  <c r="B512" i="4"/>
  <c r="A512" i="4"/>
  <c r="V511" i="4"/>
  <c r="U511" i="4"/>
  <c r="T511" i="4"/>
  <c r="S511" i="4"/>
  <c r="R511" i="4"/>
  <c r="Q511" i="4"/>
  <c r="P511" i="4"/>
  <c r="O511" i="4"/>
  <c r="N511" i="4"/>
  <c r="M511" i="4"/>
  <c r="K511" i="4"/>
  <c r="J511" i="4"/>
  <c r="L511" i="4" s="1"/>
  <c r="I511" i="4"/>
  <c r="I511" i="4" a="1"/>
  <c r="H511" i="4"/>
  <c r="G511" i="4"/>
  <c r="F511" i="4"/>
  <c r="C511" i="4"/>
  <c r="B511" i="4"/>
  <c r="A511" i="4"/>
  <c r="V510" i="4"/>
  <c r="T510" i="4"/>
  <c r="S510" i="4"/>
  <c r="R510" i="4"/>
  <c r="U510" i="4" s="1"/>
  <c r="Q510" i="4"/>
  <c r="P510" i="4"/>
  <c r="O510" i="4"/>
  <c r="N510" i="4"/>
  <c r="M510" i="4"/>
  <c r="K510" i="4"/>
  <c r="J510" i="4"/>
  <c r="L510" i="4" s="1"/>
  <c r="I510" i="4"/>
  <c r="H510" i="4"/>
  <c r="G510" i="4"/>
  <c r="I510" i="4" s="1" a="1"/>
  <c r="F510" i="4"/>
  <c r="C510" i="4"/>
  <c r="B510" i="4"/>
  <c r="V509" i="4"/>
  <c r="T509" i="4"/>
  <c r="S509" i="4"/>
  <c r="R509" i="4"/>
  <c r="U509" i="4" s="1"/>
  <c r="Q509" i="4"/>
  <c r="P509" i="4"/>
  <c r="O509" i="4"/>
  <c r="N509" i="4"/>
  <c r="M509" i="4"/>
  <c r="K509" i="4"/>
  <c r="J509" i="4"/>
  <c r="L509" i="4" s="1"/>
  <c r="I509" i="4"/>
  <c r="I509" i="4" a="1"/>
  <c r="H509" i="4"/>
  <c r="G509" i="4"/>
  <c r="F509" i="4"/>
  <c r="D509" i="4"/>
  <c r="C509" i="4"/>
  <c r="B509" i="4"/>
  <c r="V508" i="4"/>
  <c r="T508" i="4"/>
  <c r="S508" i="4"/>
  <c r="R508" i="4"/>
  <c r="U508" i="4" s="1"/>
  <c r="Q508" i="4"/>
  <c r="P508" i="4"/>
  <c r="O508" i="4"/>
  <c r="N508" i="4"/>
  <c r="M508" i="4"/>
  <c r="L508" i="4"/>
  <c r="K508" i="4"/>
  <c r="J508" i="4"/>
  <c r="I508" i="4" a="1"/>
  <c r="I508" i="4" s="1"/>
  <c r="H508" i="4"/>
  <c r="G508" i="4"/>
  <c r="F508" i="4"/>
  <c r="D508" i="4"/>
  <c r="C508" i="4"/>
  <c r="B508" i="4"/>
  <c r="A508" i="4"/>
  <c r="V507" i="4"/>
  <c r="U507" i="4"/>
  <c r="T507" i="4"/>
  <c r="S507" i="4"/>
  <c r="R507" i="4"/>
  <c r="Q507" i="4"/>
  <c r="P507" i="4"/>
  <c r="O507" i="4"/>
  <c r="N507" i="4"/>
  <c r="M507" i="4"/>
  <c r="L507" i="4"/>
  <c r="K507" i="4"/>
  <c r="J507" i="4"/>
  <c r="I507" i="4"/>
  <c r="H507" i="4"/>
  <c r="G507" i="4"/>
  <c r="I507" i="4" s="1" a="1"/>
  <c r="F507" i="4"/>
  <c r="C507" i="4"/>
  <c r="B507" i="4"/>
  <c r="V506" i="4"/>
  <c r="T506" i="4"/>
  <c r="S506" i="4"/>
  <c r="R506" i="4"/>
  <c r="U506" i="4" s="1"/>
  <c r="Q506" i="4"/>
  <c r="P506" i="4"/>
  <c r="O506" i="4"/>
  <c r="N506" i="4"/>
  <c r="M506" i="4"/>
  <c r="K506" i="4"/>
  <c r="J506" i="4"/>
  <c r="L506" i="4" s="1"/>
  <c r="H506" i="4"/>
  <c r="G506" i="4"/>
  <c r="I506" i="4" s="1" a="1"/>
  <c r="I506" i="4" s="1"/>
  <c r="F506" i="4"/>
  <c r="D506" i="4"/>
  <c r="C506" i="4"/>
  <c r="B506" i="4"/>
  <c r="A506" i="4"/>
  <c r="V505" i="4"/>
  <c r="U505" i="4"/>
  <c r="T505" i="4"/>
  <c r="S505" i="4"/>
  <c r="R505" i="4"/>
  <c r="Q505" i="4"/>
  <c r="P505" i="4"/>
  <c r="O505" i="4"/>
  <c r="N505" i="4"/>
  <c r="M505" i="4"/>
  <c r="L505" i="4"/>
  <c r="K505" i="4"/>
  <c r="J505" i="4"/>
  <c r="I505" i="4"/>
  <c r="H505" i="4"/>
  <c r="G505" i="4"/>
  <c r="I505" i="4" s="1" a="1"/>
  <c r="F505" i="4"/>
  <c r="D505" i="4"/>
  <c r="C505" i="4"/>
  <c r="B505" i="4"/>
  <c r="V504" i="4"/>
  <c r="U504" i="4"/>
  <c r="T504" i="4"/>
  <c r="S504" i="4"/>
  <c r="R504" i="4"/>
  <c r="Q504" i="4"/>
  <c r="P504" i="4"/>
  <c r="O504" i="4"/>
  <c r="N504" i="4"/>
  <c r="M504" i="4"/>
  <c r="L504" i="4"/>
  <c r="K504" i="4"/>
  <c r="J504" i="4"/>
  <c r="H504" i="4"/>
  <c r="G504" i="4"/>
  <c r="F504" i="4"/>
  <c r="D504" i="4"/>
  <c r="C504" i="4"/>
  <c r="B504" i="4"/>
  <c r="A504" i="4"/>
  <c r="V503" i="4"/>
  <c r="U503" i="4"/>
  <c r="T503" i="4"/>
  <c r="S503" i="4"/>
  <c r="R503" i="4"/>
  <c r="Q503" i="4"/>
  <c r="P503" i="4"/>
  <c r="O503" i="4"/>
  <c r="N503" i="4"/>
  <c r="M503" i="4"/>
  <c r="K503" i="4"/>
  <c r="J503" i="4"/>
  <c r="L503" i="4" s="1"/>
  <c r="H503" i="4"/>
  <c r="G503" i="4"/>
  <c r="W503" i="4" s="1"/>
  <c r="F503" i="4"/>
  <c r="C503" i="4"/>
  <c r="B503" i="4"/>
  <c r="A503" i="4" s="1"/>
  <c r="V502" i="4"/>
  <c r="T502" i="4"/>
  <c r="S502" i="4"/>
  <c r="R502" i="4"/>
  <c r="U502" i="4" s="1"/>
  <c r="Q502" i="4"/>
  <c r="P502" i="4"/>
  <c r="O502" i="4"/>
  <c r="N502" i="4"/>
  <c r="M502" i="4"/>
  <c r="K502" i="4"/>
  <c r="J502" i="4"/>
  <c r="L502" i="4" s="1"/>
  <c r="H502" i="4"/>
  <c r="G502" i="4"/>
  <c r="I502" i="4" s="1" a="1"/>
  <c r="I502" i="4" s="1"/>
  <c r="F502" i="4"/>
  <c r="C502" i="4"/>
  <c r="B502" i="4"/>
  <c r="D502" i="4" s="1"/>
  <c r="A502" i="4"/>
  <c r="V501" i="4"/>
  <c r="U501" i="4"/>
  <c r="T501" i="4"/>
  <c r="S501" i="4"/>
  <c r="R501" i="4"/>
  <c r="Q501" i="4"/>
  <c r="P501" i="4"/>
  <c r="O501" i="4"/>
  <c r="N501" i="4"/>
  <c r="M501" i="4"/>
  <c r="K501" i="4"/>
  <c r="J501" i="4"/>
  <c r="L501" i="4" s="1"/>
  <c r="I501" i="4" a="1"/>
  <c r="I501" i="4" s="1"/>
  <c r="H501" i="4"/>
  <c r="G501" i="4"/>
  <c r="F501" i="4"/>
  <c r="D501" i="4"/>
  <c r="C501" i="4"/>
  <c r="B501" i="4"/>
  <c r="A501" i="4"/>
  <c r="V500" i="4"/>
  <c r="T500" i="4"/>
  <c r="S500" i="4"/>
  <c r="R500" i="4"/>
  <c r="U500" i="4" s="1"/>
  <c r="Q500" i="4"/>
  <c r="P500" i="4"/>
  <c r="O500" i="4"/>
  <c r="N500" i="4"/>
  <c r="M500" i="4"/>
  <c r="K500" i="4"/>
  <c r="J500" i="4"/>
  <c r="L500" i="4" s="1"/>
  <c r="H500" i="4"/>
  <c r="G500" i="4"/>
  <c r="I500" i="4" s="1" a="1"/>
  <c r="I500" i="4" s="1"/>
  <c r="F500" i="4"/>
  <c r="D500" i="4"/>
  <c r="C500" i="4"/>
  <c r="B500" i="4"/>
  <c r="A500" i="4"/>
  <c r="V499" i="4"/>
  <c r="T499" i="4"/>
  <c r="S499" i="4"/>
  <c r="R499" i="4"/>
  <c r="U499" i="4" s="1"/>
  <c r="Q499" i="4"/>
  <c r="P499" i="4"/>
  <c r="O499" i="4"/>
  <c r="N499" i="4"/>
  <c r="M499" i="4"/>
  <c r="K499" i="4"/>
  <c r="J499" i="4"/>
  <c r="L499" i="4" s="1"/>
  <c r="H499" i="4"/>
  <c r="G499" i="4"/>
  <c r="I499" i="4" s="1" a="1"/>
  <c r="I499" i="4" s="1"/>
  <c r="F499" i="4"/>
  <c r="C499" i="4"/>
  <c r="B499" i="4"/>
  <c r="W499" i="4" s="1"/>
  <c r="V498" i="4"/>
  <c r="U498" i="4"/>
  <c r="T498" i="4"/>
  <c r="S498" i="4"/>
  <c r="R498" i="4"/>
  <c r="Q498" i="4"/>
  <c r="P498" i="4"/>
  <c r="O498" i="4"/>
  <c r="N498" i="4"/>
  <c r="M498" i="4"/>
  <c r="L498" i="4"/>
  <c r="K498" i="4"/>
  <c r="J498" i="4"/>
  <c r="I498" i="4" a="1"/>
  <c r="I498" i="4" s="1"/>
  <c r="H498" i="4"/>
  <c r="G498" i="4"/>
  <c r="F498" i="4"/>
  <c r="D498" i="4"/>
  <c r="C498" i="4"/>
  <c r="B498" i="4"/>
  <c r="A498" i="4"/>
  <c r="V497" i="4"/>
  <c r="U497" i="4"/>
  <c r="T497" i="4"/>
  <c r="S497" i="4"/>
  <c r="R497" i="4"/>
  <c r="Q497" i="4"/>
  <c r="P497" i="4"/>
  <c r="O497" i="4"/>
  <c r="N497" i="4"/>
  <c r="M497" i="4"/>
  <c r="L497" i="4"/>
  <c r="K497" i="4"/>
  <c r="J497" i="4"/>
  <c r="H497" i="4"/>
  <c r="G497" i="4"/>
  <c r="I497" i="4" s="1" a="1"/>
  <c r="I497" i="4" s="1"/>
  <c r="F497" i="4"/>
  <c r="D497" i="4"/>
  <c r="C497" i="4"/>
  <c r="B497" i="4"/>
  <c r="V496" i="4"/>
  <c r="T496" i="4"/>
  <c r="S496" i="4"/>
  <c r="R496" i="4"/>
  <c r="U496" i="4" s="1"/>
  <c r="Q496" i="4"/>
  <c r="P496" i="4"/>
  <c r="O496" i="4"/>
  <c r="N496" i="4"/>
  <c r="M496" i="4"/>
  <c r="K496" i="4"/>
  <c r="J496" i="4"/>
  <c r="L496" i="4" s="1"/>
  <c r="H496" i="4"/>
  <c r="G496" i="4"/>
  <c r="W496" i="4" s="1"/>
  <c r="F496" i="4"/>
  <c r="D496" i="4"/>
  <c r="C496" i="4"/>
  <c r="B496" i="4"/>
  <c r="A496" i="4"/>
  <c r="V495" i="4"/>
  <c r="U495" i="4"/>
  <c r="T495" i="4"/>
  <c r="S495" i="4"/>
  <c r="R495" i="4"/>
  <c r="Q495" i="4"/>
  <c r="P495" i="4"/>
  <c r="O495" i="4"/>
  <c r="N495" i="4"/>
  <c r="M495" i="4"/>
  <c r="K495" i="4"/>
  <c r="J495" i="4"/>
  <c r="L495" i="4" s="1"/>
  <c r="H495" i="4"/>
  <c r="G495" i="4"/>
  <c r="I495" i="4" s="1" a="1"/>
  <c r="I495" i="4" s="1"/>
  <c r="F495" i="4"/>
  <c r="C495" i="4"/>
  <c r="B495" i="4"/>
  <c r="A495" i="4"/>
  <c r="V494" i="4"/>
  <c r="T494" i="4"/>
  <c r="S494" i="4"/>
  <c r="R494" i="4"/>
  <c r="U494" i="4" s="1"/>
  <c r="Q494" i="4"/>
  <c r="P494" i="4"/>
  <c r="O494" i="4"/>
  <c r="N494" i="4"/>
  <c r="M494" i="4"/>
  <c r="L494" i="4"/>
  <c r="K494" i="4"/>
  <c r="J494" i="4"/>
  <c r="I494" i="4" a="1"/>
  <c r="I494" i="4" s="1"/>
  <c r="H494" i="4"/>
  <c r="G494" i="4"/>
  <c r="F494" i="4"/>
  <c r="C494" i="4"/>
  <c r="B494" i="4"/>
  <c r="D494" i="4" s="1"/>
  <c r="A494" i="4"/>
  <c r="V493" i="4"/>
  <c r="T493" i="4"/>
  <c r="S493" i="4"/>
  <c r="R493" i="4"/>
  <c r="U493" i="4" s="1"/>
  <c r="Q493" i="4"/>
  <c r="P493" i="4"/>
  <c r="O493" i="4"/>
  <c r="N493" i="4"/>
  <c r="M493" i="4"/>
  <c r="K493" i="4"/>
  <c r="J493" i="4"/>
  <c r="L493" i="4" s="1"/>
  <c r="I493" i="4" a="1"/>
  <c r="I493" i="4" s="1"/>
  <c r="H493" i="4"/>
  <c r="G493" i="4"/>
  <c r="F493" i="4"/>
  <c r="D493" i="4"/>
  <c r="C493" i="4"/>
  <c r="B493" i="4"/>
  <c r="W493" i="4" s="1"/>
  <c r="A493" i="4"/>
  <c r="V492" i="4"/>
  <c r="T492" i="4"/>
  <c r="S492" i="4"/>
  <c r="R492" i="4"/>
  <c r="U492" i="4" s="1"/>
  <c r="Q492" i="4"/>
  <c r="P492" i="4"/>
  <c r="O492" i="4"/>
  <c r="N492" i="4"/>
  <c r="M492" i="4"/>
  <c r="K492" i="4"/>
  <c r="J492" i="4"/>
  <c r="L492" i="4" s="1"/>
  <c r="H492" i="4"/>
  <c r="G492" i="4"/>
  <c r="I492" i="4" s="1" a="1"/>
  <c r="I492" i="4" s="1"/>
  <c r="F492" i="4"/>
  <c r="C492" i="4"/>
  <c r="B492" i="4"/>
  <c r="W492" i="4" s="1"/>
  <c r="V491" i="4"/>
  <c r="U491" i="4"/>
  <c r="T491" i="4"/>
  <c r="S491" i="4"/>
  <c r="R491" i="4"/>
  <c r="Q491" i="4"/>
  <c r="P491" i="4"/>
  <c r="O491" i="4"/>
  <c r="N491" i="4"/>
  <c r="M491" i="4"/>
  <c r="K491" i="4"/>
  <c r="J491" i="4"/>
  <c r="L491" i="4" s="1"/>
  <c r="I491" i="4"/>
  <c r="H491" i="4"/>
  <c r="G491" i="4"/>
  <c r="I491" i="4" s="1" a="1"/>
  <c r="F491" i="4"/>
  <c r="C491" i="4"/>
  <c r="B491" i="4"/>
  <c r="W491" i="4" s="1"/>
  <c r="V490" i="4"/>
  <c r="U490" i="4"/>
  <c r="T490" i="4"/>
  <c r="S490" i="4"/>
  <c r="R490" i="4"/>
  <c r="Q490" i="4"/>
  <c r="P490" i="4"/>
  <c r="O490" i="4"/>
  <c r="N490" i="4"/>
  <c r="M490" i="4"/>
  <c r="L490" i="4"/>
  <c r="K490" i="4"/>
  <c r="J490" i="4"/>
  <c r="H490" i="4"/>
  <c r="G490" i="4"/>
  <c r="F490" i="4"/>
  <c r="D490" i="4"/>
  <c r="C490" i="4"/>
  <c r="B490" i="4"/>
  <c r="A490" i="4"/>
  <c r="V489" i="4"/>
  <c r="U489" i="4"/>
  <c r="T489" i="4"/>
  <c r="S489" i="4"/>
  <c r="R489" i="4"/>
  <c r="Q489" i="4"/>
  <c r="P489" i="4"/>
  <c r="O489" i="4"/>
  <c r="N489" i="4"/>
  <c r="M489" i="4"/>
  <c r="L489" i="4"/>
  <c r="K489" i="4"/>
  <c r="J489" i="4"/>
  <c r="H489" i="4"/>
  <c r="G489" i="4"/>
  <c r="I489" i="4" s="1" a="1"/>
  <c r="I489" i="4" s="1"/>
  <c r="F489" i="4"/>
  <c r="C489" i="4"/>
  <c r="B489" i="4"/>
  <c r="V488" i="4"/>
  <c r="U488" i="4"/>
  <c r="T488" i="4"/>
  <c r="S488" i="4"/>
  <c r="R488" i="4"/>
  <c r="Q488" i="4"/>
  <c r="P488" i="4"/>
  <c r="O488" i="4"/>
  <c r="N488" i="4"/>
  <c r="M488" i="4"/>
  <c r="K488" i="4"/>
  <c r="J488" i="4"/>
  <c r="L488" i="4" s="1"/>
  <c r="I488" i="4" a="1"/>
  <c r="I488" i="4" s="1"/>
  <c r="H488" i="4"/>
  <c r="G488" i="4"/>
  <c r="W488" i="4" s="1"/>
  <c r="F488" i="4"/>
  <c r="D488" i="4"/>
  <c r="C488" i="4"/>
  <c r="B488" i="4"/>
  <c r="A488" i="4"/>
  <c r="V487" i="4"/>
  <c r="U487" i="4"/>
  <c r="T487" i="4"/>
  <c r="S487" i="4"/>
  <c r="R487" i="4"/>
  <c r="Q487" i="4"/>
  <c r="P487" i="4"/>
  <c r="O487" i="4"/>
  <c r="N487" i="4"/>
  <c r="M487" i="4"/>
  <c r="K487" i="4"/>
  <c r="J487" i="4"/>
  <c r="L487" i="4" s="1"/>
  <c r="I487" i="4" a="1"/>
  <c r="I487" i="4" s="1"/>
  <c r="H487" i="4"/>
  <c r="G487" i="4"/>
  <c r="F487" i="4"/>
  <c r="D487" i="4"/>
  <c r="C487" i="4"/>
  <c r="B487" i="4"/>
  <c r="A487" i="4"/>
  <c r="V486" i="4"/>
  <c r="T486" i="4"/>
  <c r="S486" i="4"/>
  <c r="R486" i="4"/>
  <c r="U486" i="4" s="1"/>
  <c r="Q486" i="4"/>
  <c r="P486" i="4"/>
  <c r="O486" i="4"/>
  <c r="N486" i="4"/>
  <c r="M486" i="4"/>
  <c r="L486" i="4"/>
  <c r="K486" i="4"/>
  <c r="J486" i="4"/>
  <c r="I486" i="4" a="1"/>
  <c r="I486" i="4" s="1"/>
  <c r="H486" i="4"/>
  <c r="G486" i="4"/>
  <c r="F486" i="4"/>
  <c r="C486" i="4"/>
  <c r="B486" i="4"/>
  <c r="D486" i="4" s="1"/>
  <c r="A486" i="4"/>
  <c r="V485" i="4"/>
  <c r="T485" i="4"/>
  <c r="S485" i="4"/>
  <c r="R485" i="4"/>
  <c r="U485" i="4" s="1"/>
  <c r="Q485" i="4"/>
  <c r="P485" i="4"/>
  <c r="O485" i="4"/>
  <c r="N485" i="4"/>
  <c r="M485" i="4"/>
  <c r="K485" i="4"/>
  <c r="J485" i="4"/>
  <c r="L485" i="4" s="1"/>
  <c r="I485" i="4" a="1"/>
  <c r="I485" i="4" s="1"/>
  <c r="H485" i="4"/>
  <c r="G485" i="4"/>
  <c r="F485" i="4"/>
  <c r="C485" i="4"/>
  <c r="B485" i="4"/>
  <c r="A485" i="4" s="1"/>
  <c r="V484" i="4"/>
  <c r="U484" i="4"/>
  <c r="T484" i="4"/>
  <c r="S484" i="4"/>
  <c r="R484" i="4"/>
  <c r="Q484" i="4"/>
  <c r="P484" i="4"/>
  <c r="O484" i="4"/>
  <c r="N484" i="4"/>
  <c r="M484" i="4"/>
  <c r="K484" i="4"/>
  <c r="J484" i="4"/>
  <c r="L484" i="4" s="1"/>
  <c r="H484" i="4"/>
  <c r="G484" i="4"/>
  <c r="I484" i="4" s="1" a="1"/>
  <c r="I484" i="4" s="1"/>
  <c r="F484" i="4"/>
  <c r="C484" i="4"/>
  <c r="B484" i="4"/>
  <c r="W484" i="4" s="1"/>
  <c r="V483" i="4"/>
  <c r="T483" i="4"/>
  <c r="S483" i="4"/>
  <c r="R483" i="4"/>
  <c r="U483" i="4" s="1"/>
  <c r="Q483" i="4"/>
  <c r="P483" i="4"/>
  <c r="O483" i="4"/>
  <c r="N483" i="4"/>
  <c r="M483" i="4"/>
  <c r="K483" i="4"/>
  <c r="J483" i="4"/>
  <c r="L483" i="4" s="1"/>
  <c r="H483" i="4"/>
  <c r="G483" i="4"/>
  <c r="F483" i="4"/>
  <c r="D483" i="4"/>
  <c r="C483" i="4"/>
  <c r="B483" i="4"/>
  <c r="A483" i="4"/>
  <c r="V482" i="4"/>
  <c r="T482" i="4"/>
  <c r="S482" i="4"/>
  <c r="R482" i="4"/>
  <c r="U482" i="4" s="1"/>
  <c r="Q482" i="4"/>
  <c r="P482" i="4"/>
  <c r="O482" i="4"/>
  <c r="N482" i="4"/>
  <c r="M482" i="4"/>
  <c r="L482" i="4"/>
  <c r="K482" i="4"/>
  <c r="J482" i="4"/>
  <c r="I482" i="4" a="1"/>
  <c r="I482" i="4" s="1"/>
  <c r="H482" i="4"/>
  <c r="G482" i="4"/>
  <c r="F482" i="4"/>
  <c r="D482" i="4"/>
  <c r="C482" i="4"/>
  <c r="B482" i="4"/>
  <c r="A482" i="4"/>
  <c r="V481" i="4"/>
  <c r="T481" i="4"/>
  <c r="S481" i="4"/>
  <c r="R481" i="4"/>
  <c r="U481" i="4" s="1"/>
  <c r="Q481" i="4"/>
  <c r="P481" i="4"/>
  <c r="O481" i="4"/>
  <c r="N481" i="4"/>
  <c r="M481" i="4"/>
  <c r="L481" i="4"/>
  <c r="K481" i="4"/>
  <c r="J481" i="4"/>
  <c r="I481" i="4" a="1"/>
  <c r="I481" i="4" s="1"/>
  <c r="H481" i="4"/>
  <c r="G481" i="4"/>
  <c r="F481" i="4"/>
  <c r="C481" i="4"/>
  <c r="B481" i="4"/>
  <c r="D481" i="4" s="1"/>
  <c r="A481" i="4"/>
  <c r="V480" i="4"/>
  <c r="U480" i="4"/>
  <c r="T480" i="4"/>
  <c r="S480" i="4"/>
  <c r="R480" i="4"/>
  <c r="Q480" i="4"/>
  <c r="P480" i="4"/>
  <c r="O480" i="4"/>
  <c r="N480" i="4"/>
  <c r="M480" i="4"/>
  <c r="K480" i="4"/>
  <c r="J480" i="4"/>
  <c r="L480" i="4" s="1"/>
  <c r="H480" i="4"/>
  <c r="G480" i="4"/>
  <c r="I480" i="4" s="1" a="1"/>
  <c r="I480" i="4" s="1"/>
  <c r="F480" i="4"/>
  <c r="C480" i="4"/>
  <c r="B480" i="4"/>
  <c r="V479" i="4"/>
  <c r="T479" i="4"/>
  <c r="S479" i="4"/>
  <c r="R479" i="4"/>
  <c r="U479" i="4" s="1"/>
  <c r="Q479" i="4"/>
  <c r="P479" i="4"/>
  <c r="O479" i="4"/>
  <c r="N479" i="4"/>
  <c r="M479" i="4"/>
  <c r="K479" i="4"/>
  <c r="J479" i="4"/>
  <c r="L479" i="4" s="1"/>
  <c r="H479" i="4"/>
  <c r="G479" i="4"/>
  <c r="W479" i="4" s="1"/>
  <c r="F479" i="4"/>
  <c r="D479" i="4"/>
  <c r="C479" i="4"/>
  <c r="B479" i="4"/>
  <c r="A479" i="4"/>
  <c r="V478" i="4"/>
  <c r="U478" i="4"/>
  <c r="T478" i="4"/>
  <c r="S478" i="4"/>
  <c r="R478" i="4"/>
  <c r="Q478" i="4"/>
  <c r="P478" i="4"/>
  <c r="O478" i="4"/>
  <c r="W478" i="4" s="1"/>
  <c r="N478" i="4"/>
  <c r="M478" i="4"/>
  <c r="L478" i="4"/>
  <c r="K478" i="4"/>
  <c r="J478" i="4"/>
  <c r="I478" i="4" a="1"/>
  <c r="I478" i="4" s="1"/>
  <c r="H478" i="4"/>
  <c r="G478" i="4"/>
  <c r="F478" i="4"/>
  <c r="D478" i="4"/>
  <c r="C478" i="4"/>
  <c r="B478" i="4"/>
  <c r="A478" i="4"/>
  <c r="V477" i="4"/>
  <c r="U477" i="4"/>
  <c r="T477" i="4"/>
  <c r="S477" i="4"/>
  <c r="R477" i="4"/>
  <c r="Q477" i="4"/>
  <c r="P477" i="4"/>
  <c r="O477" i="4"/>
  <c r="N477" i="4"/>
  <c r="M477" i="4"/>
  <c r="L477" i="4"/>
  <c r="K477" i="4"/>
  <c r="J477" i="4"/>
  <c r="I477" i="4" a="1"/>
  <c r="I477" i="4" s="1"/>
  <c r="H477" i="4"/>
  <c r="G477" i="4"/>
  <c r="F477" i="4"/>
  <c r="C477" i="4"/>
  <c r="B477" i="4"/>
  <c r="W477" i="4" s="1"/>
  <c r="A477" i="4"/>
  <c r="V476" i="4"/>
  <c r="U476" i="4"/>
  <c r="T476" i="4"/>
  <c r="S476" i="4"/>
  <c r="R476" i="4"/>
  <c r="Q476" i="4"/>
  <c r="P476" i="4"/>
  <c r="O476" i="4"/>
  <c r="N476" i="4"/>
  <c r="M476" i="4"/>
  <c r="K476" i="4"/>
  <c r="J476" i="4"/>
  <c r="L476" i="4" s="1"/>
  <c r="H476" i="4"/>
  <c r="G476" i="4"/>
  <c r="I476" i="4" s="1" a="1"/>
  <c r="I476" i="4" s="1"/>
  <c r="F476" i="4"/>
  <c r="C476" i="4"/>
  <c r="B476" i="4"/>
  <c r="V475" i="4"/>
  <c r="T475" i="4"/>
  <c r="S475" i="4"/>
  <c r="R475" i="4"/>
  <c r="U475" i="4" s="1"/>
  <c r="Q475" i="4"/>
  <c r="P475" i="4"/>
  <c r="O475" i="4"/>
  <c r="N475" i="4"/>
  <c r="M475" i="4"/>
  <c r="K475" i="4"/>
  <c r="J475" i="4"/>
  <c r="L475" i="4" s="1"/>
  <c r="H475" i="4"/>
  <c r="G475" i="4"/>
  <c r="F475" i="4"/>
  <c r="D475" i="4"/>
  <c r="C475" i="4"/>
  <c r="B475" i="4"/>
  <c r="A475" i="4"/>
  <c r="V474" i="4"/>
  <c r="T474" i="4"/>
  <c r="S474" i="4"/>
  <c r="R474" i="4"/>
  <c r="U474" i="4" s="1"/>
  <c r="Q474" i="4"/>
  <c r="P474" i="4"/>
  <c r="O474" i="4"/>
  <c r="N474" i="4"/>
  <c r="M474" i="4"/>
  <c r="L474" i="4"/>
  <c r="K474" i="4"/>
  <c r="J474" i="4"/>
  <c r="I474" i="4" a="1"/>
  <c r="I474" i="4" s="1"/>
  <c r="H474" i="4"/>
  <c r="G474" i="4"/>
  <c r="F474" i="4"/>
  <c r="D474" i="4"/>
  <c r="C474" i="4"/>
  <c r="B474" i="4"/>
  <c r="A474" i="4"/>
  <c r="V473" i="4"/>
  <c r="T473" i="4"/>
  <c r="S473" i="4"/>
  <c r="R473" i="4"/>
  <c r="U473" i="4" s="1"/>
  <c r="Q473" i="4"/>
  <c r="P473" i="4"/>
  <c r="O473" i="4"/>
  <c r="N473" i="4"/>
  <c r="M473" i="4"/>
  <c r="L473" i="4"/>
  <c r="K473" i="4"/>
  <c r="J473" i="4"/>
  <c r="I473" i="4" a="1"/>
  <c r="I473" i="4" s="1"/>
  <c r="H473" i="4"/>
  <c r="G473" i="4"/>
  <c r="F473" i="4"/>
  <c r="C473" i="4"/>
  <c r="B473" i="4"/>
  <c r="D473" i="4" s="1"/>
  <c r="A473" i="4"/>
  <c r="V472" i="4"/>
  <c r="U472" i="4"/>
  <c r="T472" i="4"/>
  <c r="S472" i="4"/>
  <c r="R472" i="4"/>
  <c r="Q472" i="4"/>
  <c r="P472" i="4"/>
  <c r="O472" i="4"/>
  <c r="N472" i="4"/>
  <c r="M472" i="4"/>
  <c r="K472" i="4"/>
  <c r="J472" i="4"/>
  <c r="L472" i="4" s="1"/>
  <c r="H472" i="4"/>
  <c r="G472" i="4"/>
  <c r="I472" i="4" s="1" a="1"/>
  <c r="I472" i="4" s="1"/>
  <c r="F472" i="4"/>
  <c r="C472" i="4"/>
  <c r="B472" i="4"/>
  <c r="V471" i="4"/>
  <c r="T471" i="4"/>
  <c r="S471" i="4"/>
  <c r="R471" i="4"/>
  <c r="U471" i="4" s="1"/>
  <c r="Q471" i="4"/>
  <c r="P471" i="4"/>
  <c r="O471" i="4"/>
  <c r="N471" i="4"/>
  <c r="M471" i="4"/>
  <c r="K471" i="4"/>
  <c r="J471" i="4"/>
  <c r="L471" i="4" s="1"/>
  <c r="H471" i="4"/>
  <c r="G471" i="4"/>
  <c r="W471" i="4" s="1"/>
  <c r="F471" i="4"/>
  <c r="D471" i="4"/>
  <c r="C471" i="4"/>
  <c r="B471" i="4"/>
  <c r="A471" i="4"/>
  <c r="V470" i="4"/>
  <c r="U470" i="4"/>
  <c r="T470" i="4"/>
  <c r="S470" i="4"/>
  <c r="R470" i="4"/>
  <c r="Q470" i="4"/>
  <c r="P470" i="4"/>
  <c r="O470" i="4"/>
  <c r="W470" i="4" s="1"/>
  <c r="N470" i="4"/>
  <c r="M470" i="4"/>
  <c r="L470" i="4"/>
  <c r="K470" i="4"/>
  <c r="J470" i="4"/>
  <c r="I470" i="4" a="1"/>
  <c r="I470" i="4" s="1"/>
  <c r="H470" i="4"/>
  <c r="G470" i="4"/>
  <c r="F470" i="4"/>
  <c r="D470" i="4"/>
  <c r="C470" i="4"/>
  <c r="B470" i="4"/>
  <c r="A470" i="4"/>
  <c r="V469" i="4"/>
  <c r="U469" i="4"/>
  <c r="T469" i="4"/>
  <c r="S469" i="4"/>
  <c r="R469" i="4"/>
  <c r="Q469" i="4"/>
  <c r="P469" i="4"/>
  <c r="O469" i="4"/>
  <c r="N469" i="4"/>
  <c r="M469" i="4"/>
  <c r="L469" i="4"/>
  <c r="K469" i="4"/>
  <c r="J469" i="4"/>
  <c r="I469" i="4" a="1"/>
  <c r="I469" i="4" s="1"/>
  <c r="H469" i="4"/>
  <c r="G469" i="4"/>
  <c r="F469" i="4"/>
  <c r="C469" i="4"/>
  <c r="B469" i="4"/>
  <c r="W469" i="4" s="1"/>
  <c r="A469" i="4"/>
  <c r="V468" i="4"/>
  <c r="U468" i="4"/>
  <c r="T468" i="4"/>
  <c r="S468" i="4"/>
  <c r="R468" i="4"/>
  <c r="Q468" i="4"/>
  <c r="P468" i="4"/>
  <c r="O468" i="4"/>
  <c r="N468" i="4"/>
  <c r="M468" i="4"/>
  <c r="K468" i="4"/>
  <c r="J468" i="4"/>
  <c r="L468" i="4" s="1"/>
  <c r="H468" i="4"/>
  <c r="G468" i="4"/>
  <c r="I468" i="4" s="1" a="1"/>
  <c r="I468" i="4" s="1"/>
  <c r="F468" i="4"/>
  <c r="C468" i="4"/>
  <c r="B468" i="4"/>
  <c r="V467" i="4"/>
  <c r="T467" i="4"/>
  <c r="S467" i="4"/>
  <c r="R467" i="4"/>
  <c r="U467" i="4" s="1"/>
  <c r="Q467" i="4"/>
  <c r="P467" i="4"/>
  <c r="O467" i="4"/>
  <c r="N467" i="4"/>
  <c r="M467" i="4"/>
  <c r="K467" i="4"/>
  <c r="J467" i="4"/>
  <c r="L467" i="4" s="1"/>
  <c r="H467" i="4"/>
  <c r="G467" i="4"/>
  <c r="F467" i="4"/>
  <c r="D467" i="4"/>
  <c r="C467" i="4"/>
  <c r="B467" i="4"/>
  <c r="A467" i="4"/>
  <c r="V466" i="4"/>
  <c r="T466" i="4"/>
  <c r="S466" i="4"/>
  <c r="R466" i="4"/>
  <c r="U466" i="4" s="1"/>
  <c r="Q466" i="4"/>
  <c r="P466" i="4"/>
  <c r="O466" i="4"/>
  <c r="N466" i="4"/>
  <c r="M466" i="4"/>
  <c r="L466" i="4"/>
  <c r="K466" i="4"/>
  <c r="J466" i="4"/>
  <c r="I466" i="4" a="1"/>
  <c r="I466" i="4" s="1"/>
  <c r="H466" i="4"/>
  <c r="G466" i="4"/>
  <c r="F466" i="4"/>
  <c r="D466" i="4"/>
  <c r="C466" i="4"/>
  <c r="B466" i="4"/>
  <c r="A466" i="4"/>
  <c r="V465" i="4"/>
  <c r="T465" i="4"/>
  <c r="S465" i="4"/>
  <c r="R465" i="4"/>
  <c r="U465" i="4" s="1"/>
  <c r="Q465" i="4"/>
  <c r="P465" i="4"/>
  <c r="O465" i="4"/>
  <c r="N465" i="4"/>
  <c r="M465" i="4"/>
  <c r="L465" i="4"/>
  <c r="K465" i="4"/>
  <c r="J465" i="4"/>
  <c r="I465" i="4" a="1"/>
  <c r="I465" i="4" s="1"/>
  <c r="H465" i="4"/>
  <c r="G465" i="4"/>
  <c r="F465" i="4"/>
  <c r="C465" i="4"/>
  <c r="B465" i="4"/>
  <c r="D465" i="4" s="1"/>
  <c r="A465" i="4"/>
  <c r="V464" i="4"/>
  <c r="U464" i="4"/>
  <c r="T464" i="4"/>
  <c r="S464" i="4"/>
  <c r="R464" i="4"/>
  <c r="Q464" i="4"/>
  <c r="P464" i="4"/>
  <c r="O464" i="4"/>
  <c r="N464" i="4"/>
  <c r="M464" i="4"/>
  <c r="K464" i="4"/>
  <c r="J464" i="4"/>
  <c r="L464" i="4" s="1"/>
  <c r="H464" i="4"/>
  <c r="G464" i="4"/>
  <c r="I464" i="4" s="1" a="1"/>
  <c r="I464" i="4" s="1"/>
  <c r="F464" i="4"/>
  <c r="C464" i="4"/>
  <c r="B464" i="4"/>
  <c r="V463" i="4"/>
  <c r="T463" i="4"/>
  <c r="S463" i="4"/>
  <c r="R463" i="4"/>
  <c r="U463" i="4" s="1"/>
  <c r="Q463" i="4"/>
  <c r="P463" i="4"/>
  <c r="O463" i="4"/>
  <c r="N463" i="4"/>
  <c r="M463" i="4"/>
  <c r="K463" i="4"/>
  <c r="J463" i="4"/>
  <c r="L463" i="4" s="1"/>
  <c r="H463" i="4"/>
  <c r="G463" i="4"/>
  <c r="W463" i="4" s="1"/>
  <c r="F463" i="4"/>
  <c r="D463" i="4"/>
  <c r="C463" i="4"/>
  <c r="B463" i="4"/>
  <c r="A463" i="4"/>
  <c r="V462" i="4"/>
  <c r="U462" i="4"/>
  <c r="T462" i="4"/>
  <c r="S462" i="4"/>
  <c r="R462" i="4"/>
  <c r="Q462" i="4"/>
  <c r="P462" i="4"/>
  <c r="O462" i="4"/>
  <c r="W462" i="4" s="1"/>
  <c r="N462" i="4"/>
  <c r="M462" i="4"/>
  <c r="L462" i="4"/>
  <c r="K462" i="4"/>
  <c r="J462" i="4"/>
  <c r="I462" i="4" a="1"/>
  <c r="I462" i="4" s="1"/>
  <c r="H462" i="4"/>
  <c r="G462" i="4"/>
  <c r="F462" i="4"/>
  <c r="D462" i="4"/>
  <c r="C462" i="4"/>
  <c r="B462" i="4"/>
  <c r="A462" i="4"/>
  <c r="V461" i="4"/>
  <c r="U461" i="4"/>
  <c r="T461" i="4"/>
  <c r="S461" i="4"/>
  <c r="R461" i="4"/>
  <c r="Q461" i="4"/>
  <c r="P461" i="4"/>
  <c r="O461" i="4"/>
  <c r="N461" i="4"/>
  <c r="M461" i="4"/>
  <c r="L461" i="4"/>
  <c r="K461" i="4"/>
  <c r="J461" i="4"/>
  <c r="I461" i="4" a="1"/>
  <c r="I461" i="4" s="1"/>
  <c r="H461" i="4"/>
  <c r="G461" i="4"/>
  <c r="F461" i="4"/>
  <c r="C461" i="4"/>
  <c r="B461" i="4"/>
  <c r="W461" i="4" s="1"/>
  <c r="A461" i="4"/>
  <c r="V460" i="4"/>
  <c r="U460" i="4"/>
  <c r="T460" i="4"/>
  <c r="S460" i="4"/>
  <c r="R460" i="4"/>
  <c r="Q460" i="4"/>
  <c r="P460" i="4"/>
  <c r="O460" i="4"/>
  <c r="N460" i="4"/>
  <c r="M460" i="4"/>
  <c r="K460" i="4"/>
  <c r="J460" i="4"/>
  <c r="L460" i="4" s="1"/>
  <c r="H460" i="4"/>
  <c r="G460" i="4"/>
  <c r="I460" i="4" s="1" a="1"/>
  <c r="I460" i="4" s="1"/>
  <c r="F460" i="4"/>
  <c r="C460" i="4"/>
  <c r="B460" i="4"/>
  <c r="V459" i="4"/>
  <c r="T459" i="4"/>
  <c r="S459" i="4"/>
  <c r="R459" i="4"/>
  <c r="U459" i="4" s="1"/>
  <c r="Q459" i="4"/>
  <c r="P459" i="4"/>
  <c r="O459" i="4"/>
  <c r="N459" i="4"/>
  <c r="M459" i="4"/>
  <c r="K459" i="4"/>
  <c r="J459" i="4"/>
  <c r="L459" i="4" s="1"/>
  <c r="H459" i="4"/>
  <c r="G459" i="4"/>
  <c r="F459" i="4"/>
  <c r="D459" i="4"/>
  <c r="C459" i="4"/>
  <c r="B459" i="4"/>
  <c r="A459" i="4"/>
  <c r="V458" i="4"/>
  <c r="T458" i="4"/>
  <c r="S458" i="4"/>
  <c r="R458" i="4"/>
  <c r="U458" i="4" s="1"/>
  <c r="Q458" i="4"/>
  <c r="P458" i="4"/>
  <c r="O458" i="4"/>
  <c r="N458" i="4"/>
  <c r="M458" i="4"/>
  <c r="L458" i="4"/>
  <c r="K458" i="4"/>
  <c r="J458" i="4"/>
  <c r="I458" i="4" a="1"/>
  <c r="I458" i="4" s="1"/>
  <c r="H458" i="4"/>
  <c r="G458" i="4"/>
  <c r="F458" i="4"/>
  <c r="D458" i="4"/>
  <c r="C458" i="4"/>
  <c r="B458" i="4"/>
  <c r="A458" i="4"/>
  <c r="V457" i="4"/>
  <c r="T457" i="4"/>
  <c r="S457" i="4"/>
  <c r="R457" i="4"/>
  <c r="U457" i="4" s="1"/>
  <c r="Q457" i="4"/>
  <c r="P457" i="4"/>
  <c r="O457" i="4"/>
  <c r="N457" i="4"/>
  <c r="M457" i="4"/>
  <c r="L457" i="4"/>
  <c r="K457" i="4"/>
  <c r="J457" i="4"/>
  <c r="I457" i="4" a="1"/>
  <c r="I457" i="4" s="1"/>
  <c r="H457" i="4"/>
  <c r="G457" i="4"/>
  <c r="F457" i="4"/>
  <c r="C457" i="4"/>
  <c r="B457" i="4"/>
  <c r="D457" i="4" s="1"/>
  <c r="A457" i="4"/>
  <c r="V456" i="4"/>
  <c r="U456" i="4"/>
  <c r="T456" i="4"/>
  <c r="S456" i="4"/>
  <c r="R456" i="4"/>
  <c r="Q456" i="4"/>
  <c r="P456" i="4"/>
  <c r="O456" i="4"/>
  <c r="N456" i="4"/>
  <c r="M456" i="4"/>
  <c r="K456" i="4"/>
  <c r="J456" i="4"/>
  <c r="L456" i="4" s="1"/>
  <c r="H456" i="4"/>
  <c r="G456" i="4"/>
  <c r="I456" i="4" s="1" a="1"/>
  <c r="I456" i="4" s="1"/>
  <c r="F456" i="4"/>
  <c r="C456" i="4"/>
  <c r="B456" i="4"/>
  <c r="V455" i="4"/>
  <c r="T455" i="4"/>
  <c r="S455" i="4"/>
  <c r="R455" i="4"/>
  <c r="U455" i="4" s="1"/>
  <c r="Q455" i="4"/>
  <c r="P455" i="4"/>
  <c r="O455" i="4"/>
  <c r="N455" i="4"/>
  <c r="M455" i="4"/>
  <c r="K455" i="4"/>
  <c r="J455" i="4"/>
  <c r="L455" i="4" s="1"/>
  <c r="H455" i="4"/>
  <c r="G455" i="4"/>
  <c r="W455" i="4" s="1"/>
  <c r="F455" i="4"/>
  <c r="D455" i="4"/>
  <c r="C455" i="4"/>
  <c r="B455" i="4"/>
  <c r="A455" i="4"/>
  <c r="V454" i="4"/>
  <c r="U454" i="4"/>
  <c r="T454" i="4"/>
  <c r="S454" i="4"/>
  <c r="R454" i="4"/>
  <c r="Q454" i="4"/>
  <c r="P454" i="4"/>
  <c r="O454" i="4"/>
  <c r="W454" i="4" s="1"/>
  <c r="N454" i="4"/>
  <c r="M454" i="4"/>
  <c r="L454" i="4"/>
  <c r="K454" i="4"/>
  <c r="J454" i="4"/>
  <c r="I454" i="4" a="1"/>
  <c r="I454" i="4" s="1"/>
  <c r="H454" i="4"/>
  <c r="G454" i="4"/>
  <c r="F454" i="4"/>
  <c r="D454" i="4"/>
  <c r="C454" i="4"/>
  <c r="B454" i="4"/>
  <c r="A454" i="4"/>
  <c r="V453" i="4"/>
  <c r="U453" i="4"/>
  <c r="T453" i="4"/>
  <c r="S453" i="4"/>
  <c r="R453" i="4"/>
  <c r="Q453" i="4"/>
  <c r="P453" i="4"/>
  <c r="O453" i="4"/>
  <c r="N453" i="4"/>
  <c r="M453" i="4"/>
  <c r="L453" i="4"/>
  <c r="K453" i="4"/>
  <c r="J453" i="4"/>
  <c r="I453" i="4" a="1"/>
  <c r="I453" i="4" s="1"/>
  <c r="H453" i="4"/>
  <c r="G453" i="4"/>
  <c r="F453" i="4"/>
  <c r="C453" i="4"/>
  <c r="B453" i="4"/>
  <c r="W453" i="4" s="1"/>
  <c r="A453" i="4"/>
  <c r="V452" i="4"/>
  <c r="U452" i="4"/>
  <c r="T452" i="4"/>
  <c r="S452" i="4"/>
  <c r="R452" i="4"/>
  <c r="Q452" i="4"/>
  <c r="P452" i="4"/>
  <c r="O452" i="4"/>
  <c r="N452" i="4"/>
  <c r="M452" i="4"/>
  <c r="K452" i="4"/>
  <c r="J452" i="4"/>
  <c r="L452" i="4" s="1"/>
  <c r="H452" i="4"/>
  <c r="G452" i="4"/>
  <c r="I452" i="4" s="1" a="1"/>
  <c r="I452" i="4" s="1"/>
  <c r="F452" i="4"/>
  <c r="C452" i="4"/>
  <c r="B452" i="4"/>
  <c r="V451" i="4"/>
  <c r="T451" i="4"/>
  <c r="S451" i="4"/>
  <c r="R451" i="4"/>
  <c r="U451" i="4" s="1"/>
  <c r="Q451" i="4"/>
  <c r="P451" i="4"/>
  <c r="O451" i="4"/>
  <c r="N451" i="4"/>
  <c r="M451" i="4"/>
  <c r="K451" i="4"/>
  <c r="J451" i="4"/>
  <c r="L451" i="4" s="1"/>
  <c r="H451" i="4"/>
  <c r="G451" i="4"/>
  <c r="F451" i="4"/>
  <c r="D451" i="4"/>
  <c r="C451" i="4"/>
  <c r="B451" i="4"/>
  <c r="A451" i="4"/>
  <c r="V450" i="4"/>
  <c r="T450" i="4"/>
  <c r="S450" i="4"/>
  <c r="R450" i="4"/>
  <c r="U450" i="4" s="1"/>
  <c r="Q450" i="4"/>
  <c r="P450" i="4"/>
  <c r="O450" i="4"/>
  <c r="N450" i="4"/>
  <c r="M450" i="4"/>
  <c r="L450" i="4"/>
  <c r="K450" i="4"/>
  <c r="J450" i="4"/>
  <c r="I450" i="4" a="1"/>
  <c r="I450" i="4" s="1"/>
  <c r="H450" i="4"/>
  <c r="G450" i="4"/>
  <c r="F450" i="4"/>
  <c r="D450" i="4"/>
  <c r="C450" i="4"/>
  <c r="B450" i="4"/>
  <c r="A450" i="4"/>
  <c r="V449" i="4"/>
  <c r="T449" i="4"/>
  <c r="S449" i="4"/>
  <c r="R449" i="4"/>
  <c r="U449" i="4" s="1"/>
  <c r="Q449" i="4"/>
  <c r="P449" i="4"/>
  <c r="O449" i="4"/>
  <c r="N449" i="4"/>
  <c r="M449" i="4"/>
  <c r="L449" i="4"/>
  <c r="K449" i="4"/>
  <c r="J449" i="4"/>
  <c r="I449" i="4" a="1"/>
  <c r="I449" i="4" s="1"/>
  <c r="H449" i="4"/>
  <c r="G449" i="4"/>
  <c r="F449" i="4"/>
  <c r="C449" i="4"/>
  <c r="B449" i="4"/>
  <c r="D449" i="4" s="1"/>
  <c r="A449" i="4"/>
  <c r="V448" i="4"/>
  <c r="U448" i="4"/>
  <c r="T448" i="4"/>
  <c r="S448" i="4"/>
  <c r="R448" i="4"/>
  <c r="Q448" i="4"/>
  <c r="P448" i="4"/>
  <c r="O448" i="4"/>
  <c r="N448" i="4"/>
  <c r="M448" i="4"/>
  <c r="K448" i="4"/>
  <c r="J448" i="4"/>
  <c r="L448" i="4" s="1"/>
  <c r="H448" i="4"/>
  <c r="G448" i="4"/>
  <c r="I448" i="4" s="1" a="1"/>
  <c r="I448" i="4" s="1"/>
  <c r="F448" i="4"/>
  <c r="C448" i="4"/>
  <c r="B448" i="4"/>
  <c r="V447" i="4"/>
  <c r="T447" i="4"/>
  <c r="S447" i="4"/>
  <c r="R447" i="4"/>
  <c r="U447" i="4" s="1"/>
  <c r="Q447" i="4"/>
  <c r="P447" i="4"/>
  <c r="O447" i="4"/>
  <c r="N447" i="4"/>
  <c r="M447" i="4"/>
  <c r="K447" i="4"/>
  <c r="J447" i="4"/>
  <c r="L447" i="4" s="1"/>
  <c r="H447" i="4"/>
  <c r="G447" i="4"/>
  <c r="W447" i="4" s="1"/>
  <c r="F447" i="4"/>
  <c r="D447" i="4"/>
  <c r="C447" i="4"/>
  <c r="B447" i="4"/>
  <c r="A447" i="4"/>
  <c r="V446" i="4"/>
  <c r="U446" i="4"/>
  <c r="T446" i="4"/>
  <c r="S446" i="4"/>
  <c r="R446" i="4"/>
  <c r="Q446" i="4"/>
  <c r="P446" i="4"/>
  <c r="O446" i="4"/>
  <c r="W446" i="4" s="1"/>
  <c r="N446" i="4"/>
  <c r="M446" i="4"/>
  <c r="L446" i="4"/>
  <c r="K446" i="4"/>
  <c r="J446" i="4"/>
  <c r="I446" i="4" a="1"/>
  <c r="I446" i="4" s="1"/>
  <c r="H446" i="4"/>
  <c r="G446" i="4"/>
  <c r="F446" i="4"/>
  <c r="D446" i="4"/>
  <c r="C446" i="4"/>
  <c r="B446" i="4"/>
  <c r="A446" i="4"/>
  <c r="V445" i="4"/>
  <c r="U445" i="4"/>
  <c r="T445" i="4"/>
  <c r="S445" i="4"/>
  <c r="R445" i="4"/>
  <c r="Q445" i="4"/>
  <c r="P445" i="4"/>
  <c r="O445" i="4"/>
  <c r="N445" i="4"/>
  <c r="M445" i="4"/>
  <c r="L445" i="4"/>
  <c r="K445" i="4"/>
  <c r="J445" i="4"/>
  <c r="I445" i="4" a="1"/>
  <c r="I445" i="4" s="1"/>
  <c r="H445" i="4"/>
  <c r="G445" i="4"/>
  <c r="F445" i="4"/>
  <c r="C445" i="4"/>
  <c r="B445" i="4"/>
  <c r="W445" i="4" s="1"/>
  <c r="A445" i="4"/>
  <c r="V444" i="4"/>
  <c r="U444" i="4"/>
  <c r="T444" i="4"/>
  <c r="S444" i="4"/>
  <c r="R444" i="4"/>
  <c r="Q444" i="4"/>
  <c r="P444" i="4"/>
  <c r="O444" i="4"/>
  <c r="N444" i="4"/>
  <c r="M444" i="4"/>
  <c r="K444" i="4"/>
  <c r="J444" i="4"/>
  <c r="L444" i="4" s="1"/>
  <c r="H444" i="4"/>
  <c r="G444" i="4"/>
  <c r="I444" i="4" s="1" a="1"/>
  <c r="I444" i="4" s="1"/>
  <c r="F444" i="4"/>
  <c r="C444" i="4"/>
  <c r="B444" i="4"/>
  <c r="V443" i="4"/>
  <c r="T443" i="4"/>
  <c r="S443" i="4"/>
  <c r="R443" i="4"/>
  <c r="U443" i="4" s="1"/>
  <c r="Q443" i="4"/>
  <c r="P443" i="4"/>
  <c r="O443" i="4"/>
  <c r="N443" i="4"/>
  <c r="M443" i="4"/>
  <c r="K443" i="4"/>
  <c r="J443" i="4"/>
  <c r="L443" i="4" s="1"/>
  <c r="H443" i="4"/>
  <c r="G443" i="4"/>
  <c r="F443" i="4"/>
  <c r="D443" i="4"/>
  <c r="C443" i="4"/>
  <c r="B443" i="4"/>
  <c r="A443" i="4"/>
  <c r="V442" i="4"/>
  <c r="T442" i="4"/>
  <c r="S442" i="4"/>
  <c r="R442" i="4"/>
  <c r="U442" i="4" s="1"/>
  <c r="Q442" i="4"/>
  <c r="P442" i="4"/>
  <c r="O442" i="4"/>
  <c r="N442" i="4"/>
  <c r="M442" i="4"/>
  <c r="L442" i="4"/>
  <c r="K442" i="4"/>
  <c r="J442" i="4"/>
  <c r="I442" i="4" a="1"/>
  <c r="I442" i="4" s="1"/>
  <c r="H442" i="4"/>
  <c r="G442" i="4"/>
  <c r="F442" i="4"/>
  <c r="D442" i="4"/>
  <c r="C442" i="4"/>
  <c r="B442" i="4"/>
  <c r="A442" i="4"/>
  <c r="V441" i="4"/>
  <c r="T441" i="4"/>
  <c r="S441" i="4"/>
  <c r="R441" i="4"/>
  <c r="U441" i="4" s="1"/>
  <c r="Q441" i="4"/>
  <c r="P441" i="4"/>
  <c r="O441" i="4"/>
  <c r="N441" i="4"/>
  <c r="M441" i="4"/>
  <c r="L441" i="4"/>
  <c r="K441" i="4"/>
  <c r="J441" i="4"/>
  <c r="I441" i="4" a="1"/>
  <c r="I441" i="4" s="1"/>
  <c r="H441" i="4"/>
  <c r="G441" i="4"/>
  <c r="F441" i="4"/>
  <c r="C441" i="4"/>
  <c r="B441" i="4"/>
  <c r="D441" i="4" s="1"/>
  <c r="A441" i="4"/>
  <c r="V440" i="4"/>
  <c r="U440" i="4"/>
  <c r="T440" i="4"/>
  <c r="S440" i="4"/>
  <c r="R440" i="4"/>
  <c r="Q440" i="4"/>
  <c r="P440" i="4"/>
  <c r="O440" i="4"/>
  <c r="N440" i="4"/>
  <c r="M440" i="4"/>
  <c r="K440" i="4"/>
  <c r="J440" i="4"/>
  <c r="L440" i="4" s="1"/>
  <c r="H440" i="4"/>
  <c r="G440" i="4"/>
  <c r="I440" i="4" s="1" a="1"/>
  <c r="I440" i="4" s="1"/>
  <c r="F440" i="4"/>
  <c r="C440" i="4"/>
  <c r="B440" i="4"/>
  <c r="V439" i="4"/>
  <c r="T439" i="4"/>
  <c r="S439" i="4"/>
  <c r="R439" i="4"/>
  <c r="U439" i="4" s="1"/>
  <c r="Q439" i="4"/>
  <c r="P439" i="4"/>
  <c r="O439" i="4"/>
  <c r="N439" i="4"/>
  <c r="M439" i="4"/>
  <c r="K439" i="4"/>
  <c r="J439" i="4"/>
  <c r="L439" i="4" s="1"/>
  <c r="H439" i="4"/>
  <c r="G439" i="4"/>
  <c r="F439" i="4"/>
  <c r="D439" i="4"/>
  <c r="C439" i="4"/>
  <c r="B439" i="4"/>
  <c r="A439" i="4"/>
  <c r="V438" i="4"/>
  <c r="U438" i="4"/>
  <c r="T438" i="4"/>
  <c r="S438" i="4"/>
  <c r="R438" i="4"/>
  <c r="Q438" i="4"/>
  <c r="P438" i="4"/>
  <c r="O438" i="4"/>
  <c r="W438" i="4" s="1"/>
  <c r="N438" i="4"/>
  <c r="M438" i="4"/>
  <c r="L438" i="4"/>
  <c r="K438" i="4"/>
  <c r="J438" i="4"/>
  <c r="I438" i="4" a="1"/>
  <c r="I438" i="4" s="1"/>
  <c r="H438" i="4"/>
  <c r="G438" i="4"/>
  <c r="F438" i="4"/>
  <c r="D438" i="4"/>
  <c r="C438" i="4"/>
  <c r="B438" i="4"/>
  <c r="A438" i="4"/>
  <c r="V437" i="4"/>
  <c r="U437" i="4"/>
  <c r="T437" i="4"/>
  <c r="S437" i="4"/>
  <c r="R437" i="4"/>
  <c r="Q437" i="4"/>
  <c r="P437" i="4"/>
  <c r="O437" i="4"/>
  <c r="N437" i="4"/>
  <c r="M437" i="4"/>
  <c r="L437" i="4"/>
  <c r="K437" i="4"/>
  <c r="J437" i="4"/>
  <c r="I437" i="4" a="1"/>
  <c r="I437" i="4" s="1"/>
  <c r="H437" i="4"/>
  <c r="G437" i="4"/>
  <c r="F437" i="4"/>
  <c r="C437" i="4"/>
  <c r="B437" i="4"/>
  <c r="W437" i="4" s="1"/>
  <c r="A437" i="4"/>
  <c r="V436" i="4"/>
  <c r="U436" i="4"/>
  <c r="T436" i="4"/>
  <c r="S436" i="4"/>
  <c r="R436" i="4"/>
  <c r="Q436" i="4"/>
  <c r="P436" i="4"/>
  <c r="O436" i="4"/>
  <c r="N436" i="4"/>
  <c r="M436" i="4"/>
  <c r="K436" i="4"/>
  <c r="J436" i="4"/>
  <c r="L436" i="4" s="1"/>
  <c r="H436" i="4"/>
  <c r="G436" i="4"/>
  <c r="I436" i="4" s="1" a="1"/>
  <c r="I436" i="4" s="1"/>
  <c r="F436" i="4"/>
  <c r="C436" i="4"/>
  <c r="B436" i="4"/>
  <c r="V435" i="4"/>
  <c r="T435" i="4"/>
  <c r="S435" i="4"/>
  <c r="R435" i="4"/>
  <c r="U435" i="4" s="1"/>
  <c r="Q435" i="4"/>
  <c r="P435" i="4"/>
  <c r="O435" i="4"/>
  <c r="N435" i="4"/>
  <c r="M435" i="4"/>
  <c r="K435" i="4"/>
  <c r="J435" i="4"/>
  <c r="L435" i="4" s="1"/>
  <c r="H435" i="4"/>
  <c r="G435" i="4"/>
  <c r="F435" i="4"/>
  <c r="D435" i="4"/>
  <c r="C435" i="4"/>
  <c r="B435" i="4"/>
  <c r="A435" i="4"/>
  <c r="W434" i="4"/>
  <c r="V434" i="4"/>
  <c r="T434" i="4"/>
  <c r="S434" i="4"/>
  <c r="R434" i="4"/>
  <c r="U434" i="4" s="1"/>
  <c r="Q434" i="4"/>
  <c r="P434" i="4"/>
  <c r="O434" i="4"/>
  <c r="N434" i="4"/>
  <c r="M434" i="4"/>
  <c r="L434" i="4"/>
  <c r="K434" i="4"/>
  <c r="J434" i="4"/>
  <c r="I434" i="4" a="1"/>
  <c r="I434" i="4" s="1"/>
  <c r="H434" i="4"/>
  <c r="G434" i="4"/>
  <c r="F434" i="4"/>
  <c r="D434" i="4"/>
  <c r="C434" i="4"/>
  <c r="B434" i="4"/>
  <c r="A434" i="4"/>
  <c r="V433" i="4"/>
  <c r="T433" i="4"/>
  <c r="S433" i="4"/>
  <c r="R433" i="4"/>
  <c r="U433" i="4" s="1"/>
  <c r="Q433" i="4"/>
  <c r="P433" i="4"/>
  <c r="O433" i="4"/>
  <c r="N433" i="4"/>
  <c r="M433" i="4"/>
  <c r="L433" i="4"/>
  <c r="K433" i="4"/>
  <c r="J433" i="4"/>
  <c r="I433" i="4" a="1"/>
  <c r="I433" i="4" s="1"/>
  <c r="H433" i="4"/>
  <c r="G433" i="4"/>
  <c r="F433" i="4"/>
  <c r="C433" i="4"/>
  <c r="B433" i="4"/>
  <c r="D433" i="4" s="1"/>
  <c r="A433" i="4"/>
  <c r="V432" i="4"/>
  <c r="U432" i="4"/>
  <c r="T432" i="4"/>
  <c r="S432" i="4"/>
  <c r="R432" i="4"/>
  <c r="Q432" i="4"/>
  <c r="P432" i="4"/>
  <c r="O432" i="4"/>
  <c r="N432" i="4"/>
  <c r="M432" i="4"/>
  <c r="K432" i="4"/>
  <c r="J432" i="4"/>
  <c r="L432" i="4" s="1"/>
  <c r="H432" i="4"/>
  <c r="G432" i="4"/>
  <c r="I432" i="4" s="1" a="1"/>
  <c r="I432" i="4" s="1"/>
  <c r="F432" i="4"/>
  <c r="C432" i="4"/>
  <c r="B432" i="4"/>
  <c r="V431" i="4"/>
  <c r="T431" i="4"/>
  <c r="S431" i="4"/>
  <c r="R431" i="4"/>
  <c r="U431" i="4" s="1"/>
  <c r="Q431" i="4"/>
  <c r="P431" i="4"/>
  <c r="O431" i="4"/>
  <c r="N431" i="4"/>
  <c r="M431" i="4"/>
  <c r="K431" i="4"/>
  <c r="J431" i="4"/>
  <c r="L431" i="4" s="1"/>
  <c r="H431" i="4"/>
  <c r="G431" i="4"/>
  <c r="F431" i="4"/>
  <c r="D431" i="4"/>
  <c r="C431" i="4"/>
  <c r="B431" i="4"/>
  <c r="A431" i="4"/>
  <c r="V430" i="4"/>
  <c r="U430" i="4"/>
  <c r="T430" i="4"/>
  <c r="S430" i="4"/>
  <c r="R430" i="4"/>
  <c r="Q430" i="4"/>
  <c r="P430" i="4"/>
  <c r="O430" i="4"/>
  <c r="W430" i="4" s="1"/>
  <c r="N430" i="4"/>
  <c r="M430" i="4"/>
  <c r="L430" i="4"/>
  <c r="K430" i="4"/>
  <c r="J430" i="4"/>
  <c r="I430" i="4" a="1"/>
  <c r="I430" i="4" s="1"/>
  <c r="H430" i="4"/>
  <c r="G430" i="4"/>
  <c r="F430" i="4"/>
  <c r="D430" i="4"/>
  <c r="C430" i="4"/>
  <c r="B430" i="4"/>
  <c r="A430" i="4"/>
  <c r="V429" i="4"/>
  <c r="U429" i="4"/>
  <c r="T429" i="4"/>
  <c r="S429" i="4"/>
  <c r="R429" i="4"/>
  <c r="Q429" i="4"/>
  <c r="P429" i="4"/>
  <c r="O429" i="4"/>
  <c r="N429" i="4"/>
  <c r="M429" i="4"/>
  <c r="L429" i="4"/>
  <c r="K429" i="4"/>
  <c r="J429" i="4"/>
  <c r="I429" i="4" a="1"/>
  <c r="I429" i="4" s="1"/>
  <c r="H429" i="4"/>
  <c r="G429" i="4"/>
  <c r="F429" i="4"/>
  <c r="C429" i="4"/>
  <c r="B429" i="4"/>
  <c r="A429" i="4"/>
  <c r="V428" i="4"/>
  <c r="U428" i="4"/>
  <c r="T428" i="4"/>
  <c r="S428" i="4"/>
  <c r="R428" i="4"/>
  <c r="Q428" i="4"/>
  <c r="P428" i="4"/>
  <c r="O428" i="4"/>
  <c r="N428" i="4"/>
  <c r="M428" i="4"/>
  <c r="K428" i="4"/>
  <c r="J428" i="4"/>
  <c r="L428" i="4" s="1"/>
  <c r="H428" i="4"/>
  <c r="G428" i="4"/>
  <c r="I428" i="4" s="1" a="1"/>
  <c r="I428" i="4" s="1"/>
  <c r="F428" i="4"/>
  <c r="C428" i="4"/>
  <c r="B428" i="4"/>
  <c r="V427" i="4"/>
  <c r="T427" i="4"/>
  <c r="S427" i="4"/>
  <c r="R427" i="4"/>
  <c r="U427" i="4" s="1"/>
  <c r="Q427" i="4"/>
  <c r="P427" i="4"/>
  <c r="O427" i="4"/>
  <c r="N427" i="4"/>
  <c r="M427" i="4"/>
  <c r="K427" i="4"/>
  <c r="J427" i="4"/>
  <c r="L427" i="4" s="1"/>
  <c r="H427" i="4"/>
  <c r="G427" i="4"/>
  <c r="W427" i="4" s="1"/>
  <c r="F427" i="4"/>
  <c r="D427" i="4"/>
  <c r="C427" i="4"/>
  <c r="B427" i="4"/>
  <c r="A427" i="4"/>
  <c r="V426" i="4"/>
  <c r="T426" i="4"/>
  <c r="S426" i="4"/>
  <c r="R426" i="4"/>
  <c r="U426" i="4" s="1"/>
  <c r="Q426" i="4"/>
  <c r="P426" i="4"/>
  <c r="O426" i="4"/>
  <c r="N426" i="4"/>
  <c r="M426" i="4"/>
  <c r="L426" i="4"/>
  <c r="K426" i="4"/>
  <c r="J426" i="4"/>
  <c r="I426" i="4" a="1"/>
  <c r="I426" i="4" s="1"/>
  <c r="H426" i="4"/>
  <c r="G426" i="4"/>
  <c r="F426" i="4"/>
  <c r="D426" i="4"/>
  <c r="C426" i="4"/>
  <c r="B426" i="4"/>
  <c r="A426" i="4"/>
  <c r="V425" i="4"/>
  <c r="T425" i="4"/>
  <c r="S425" i="4"/>
  <c r="R425" i="4"/>
  <c r="U425" i="4" s="1"/>
  <c r="Q425" i="4"/>
  <c r="P425" i="4"/>
  <c r="O425" i="4"/>
  <c r="N425" i="4"/>
  <c r="M425" i="4"/>
  <c r="L425" i="4"/>
  <c r="K425" i="4"/>
  <c r="J425" i="4"/>
  <c r="I425" i="4" a="1"/>
  <c r="I425" i="4" s="1"/>
  <c r="H425" i="4"/>
  <c r="G425" i="4"/>
  <c r="F425" i="4"/>
  <c r="C425" i="4"/>
  <c r="B425" i="4"/>
  <c r="A425" i="4" s="1"/>
  <c r="V424" i="4"/>
  <c r="T424" i="4"/>
  <c r="S424" i="4"/>
  <c r="R424" i="4"/>
  <c r="U424" i="4" s="1"/>
  <c r="Q424" i="4"/>
  <c r="P424" i="4"/>
  <c r="O424" i="4"/>
  <c r="N424" i="4"/>
  <c r="M424" i="4"/>
  <c r="K424" i="4"/>
  <c r="J424" i="4"/>
  <c r="L424" i="4" s="1"/>
  <c r="I424" i="4"/>
  <c r="H424" i="4"/>
  <c r="G424" i="4"/>
  <c r="I424" i="4" s="1" a="1"/>
  <c r="F424" i="4"/>
  <c r="C424" i="4"/>
  <c r="B424" i="4"/>
  <c r="V423" i="4"/>
  <c r="T423" i="4"/>
  <c r="S423" i="4"/>
  <c r="R423" i="4"/>
  <c r="U423" i="4" s="1"/>
  <c r="Q423" i="4"/>
  <c r="P423" i="4"/>
  <c r="O423" i="4"/>
  <c r="N423" i="4"/>
  <c r="M423" i="4"/>
  <c r="K423" i="4"/>
  <c r="J423" i="4"/>
  <c r="L423" i="4" s="1"/>
  <c r="H423" i="4"/>
  <c r="G423" i="4"/>
  <c r="F423" i="4"/>
  <c r="D423" i="4"/>
  <c r="C423" i="4"/>
  <c r="B423" i="4"/>
  <c r="A423" i="4"/>
  <c r="V422" i="4"/>
  <c r="U422" i="4"/>
  <c r="T422" i="4"/>
  <c r="S422" i="4"/>
  <c r="R422" i="4"/>
  <c r="Q422" i="4"/>
  <c r="P422" i="4"/>
  <c r="O422" i="4"/>
  <c r="W422" i="4" s="1"/>
  <c r="N422" i="4"/>
  <c r="M422" i="4"/>
  <c r="L422" i="4"/>
  <c r="K422" i="4"/>
  <c r="J422" i="4"/>
  <c r="I422" i="4" a="1"/>
  <c r="I422" i="4" s="1"/>
  <c r="H422" i="4"/>
  <c r="G422" i="4"/>
  <c r="F422" i="4"/>
  <c r="D422" i="4"/>
  <c r="C422" i="4"/>
  <c r="B422" i="4"/>
  <c r="A422" i="4"/>
  <c r="V421" i="4"/>
  <c r="U421" i="4"/>
  <c r="T421" i="4"/>
  <c r="S421" i="4"/>
  <c r="R421" i="4"/>
  <c r="Q421" i="4"/>
  <c r="P421" i="4"/>
  <c r="O421" i="4"/>
  <c r="N421" i="4"/>
  <c r="M421" i="4"/>
  <c r="L421" i="4"/>
  <c r="K421" i="4"/>
  <c r="J421" i="4"/>
  <c r="I421" i="4" a="1"/>
  <c r="I421" i="4" s="1"/>
  <c r="H421" i="4"/>
  <c r="G421" i="4"/>
  <c r="F421" i="4"/>
  <c r="C421" i="4"/>
  <c r="B421" i="4"/>
  <c r="A421" i="4"/>
  <c r="V420" i="4"/>
  <c r="U420" i="4"/>
  <c r="T420" i="4"/>
  <c r="S420" i="4"/>
  <c r="R420" i="4"/>
  <c r="Q420" i="4"/>
  <c r="P420" i="4"/>
  <c r="O420" i="4"/>
  <c r="N420" i="4"/>
  <c r="M420" i="4"/>
  <c r="K420" i="4"/>
  <c r="J420" i="4"/>
  <c r="L420" i="4" s="1"/>
  <c r="I420" i="4"/>
  <c r="H420" i="4"/>
  <c r="G420" i="4"/>
  <c r="I420" i="4" s="1" a="1"/>
  <c r="F420" i="4"/>
  <c r="C420" i="4"/>
  <c r="B420" i="4"/>
  <c r="V419" i="4"/>
  <c r="T419" i="4"/>
  <c r="S419" i="4"/>
  <c r="R419" i="4"/>
  <c r="U419" i="4" s="1"/>
  <c r="Q419" i="4"/>
  <c r="P419" i="4"/>
  <c r="O419" i="4"/>
  <c r="N419" i="4"/>
  <c r="M419" i="4"/>
  <c r="K419" i="4"/>
  <c r="J419" i="4"/>
  <c r="L419" i="4" s="1"/>
  <c r="H419" i="4"/>
  <c r="G419" i="4"/>
  <c r="W419" i="4" s="1"/>
  <c r="F419" i="4"/>
  <c r="D419" i="4"/>
  <c r="C419" i="4"/>
  <c r="B419" i="4"/>
  <c r="A419" i="4"/>
  <c r="V418" i="4"/>
  <c r="T418" i="4"/>
  <c r="S418" i="4"/>
  <c r="R418" i="4"/>
  <c r="U418" i="4" s="1"/>
  <c r="Q418" i="4"/>
  <c r="P418" i="4"/>
  <c r="O418" i="4"/>
  <c r="N418" i="4"/>
  <c r="M418" i="4"/>
  <c r="L418" i="4"/>
  <c r="K418" i="4"/>
  <c r="J418" i="4"/>
  <c r="I418" i="4" a="1"/>
  <c r="I418" i="4" s="1"/>
  <c r="H418" i="4"/>
  <c r="G418" i="4"/>
  <c r="F418" i="4"/>
  <c r="D418" i="4"/>
  <c r="C418" i="4"/>
  <c r="B418" i="4"/>
  <c r="A418" i="4"/>
  <c r="V417" i="4"/>
  <c r="T417" i="4"/>
  <c r="S417" i="4"/>
  <c r="R417" i="4"/>
  <c r="U417" i="4" s="1"/>
  <c r="Q417" i="4"/>
  <c r="P417" i="4"/>
  <c r="O417" i="4"/>
  <c r="N417" i="4"/>
  <c r="M417" i="4"/>
  <c r="L417" i="4"/>
  <c r="K417" i="4"/>
  <c r="J417" i="4"/>
  <c r="I417" i="4"/>
  <c r="I417" i="4" a="1"/>
  <c r="H417" i="4"/>
  <c r="G417" i="4"/>
  <c r="F417" i="4"/>
  <c r="C417" i="4"/>
  <c r="B417" i="4"/>
  <c r="A417" i="4" s="1"/>
  <c r="V416" i="4"/>
  <c r="T416" i="4"/>
  <c r="S416" i="4"/>
  <c r="R416" i="4"/>
  <c r="U416" i="4" s="1"/>
  <c r="Q416" i="4"/>
  <c r="P416" i="4"/>
  <c r="O416" i="4"/>
  <c r="N416" i="4"/>
  <c r="M416" i="4"/>
  <c r="K416" i="4"/>
  <c r="J416" i="4"/>
  <c r="L416" i="4" s="1"/>
  <c r="I416" i="4"/>
  <c r="H416" i="4"/>
  <c r="G416" i="4"/>
  <c r="I416" i="4" s="1" a="1"/>
  <c r="F416" i="4"/>
  <c r="C416" i="4"/>
  <c r="B416" i="4"/>
  <c r="D416" i="4" s="1"/>
  <c r="V415" i="4"/>
  <c r="T415" i="4"/>
  <c r="S415" i="4"/>
  <c r="R415" i="4"/>
  <c r="U415" i="4" s="1"/>
  <c r="Q415" i="4"/>
  <c r="P415" i="4"/>
  <c r="O415" i="4"/>
  <c r="N415" i="4"/>
  <c r="M415" i="4"/>
  <c r="L415" i="4"/>
  <c r="K415" i="4"/>
  <c r="J415" i="4"/>
  <c r="H415" i="4"/>
  <c r="G415" i="4"/>
  <c r="F415" i="4"/>
  <c r="D415" i="4"/>
  <c r="C415" i="4"/>
  <c r="B415" i="4"/>
  <c r="A415" i="4"/>
  <c r="V414" i="4"/>
  <c r="U414" i="4"/>
  <c r="T414" i="4"/>
  <c r="S414" i="4"/>
  <c r="R414" i="4"/>
  <c r="Q414" i="4"/>
  <c r="P414" i="4"/>
  <c r="O414" i="4"/>
  <c r="W414" i="4" s="1"/>
  <c r="N414" i="4"/>
  <c r="M414" i="4"/>
  <c r="L414" i="4"/>
  <c r="K414" i="4"/>
  <c r="J414" i="4"/>
  <c r="I414" i="4" a="1"/>
  <c r="I414" i="4" s="1"/>
  <c r="H414" i="4"/>
  <c r="G414" i="4"/>
  <c r="F414" i="4"/>
  <c r="D414" i="4"/>
  <c r="C414" i="4"/>
  <c r="B414" i="4"/>
  <c r="A414" i="4"/>
  <c r="V413" i="4"/>
  <c r="U413" i="4"/>
  <c r="T413" i="4"/>
  <c r="S413" i="4"/>
  <c r="R413" i="4"/>
  <c r="Q413" i="4"/>
  <c r="P413" i="4"/>
  <c r="O413" i="4"/>
  <c r="N413" i="4"/>
  <c r="M413" i="4"/>
  <c r="L413" i="4"/>
  <c r="K413" i="4"/>
  <c r="J413" i="4"/>
  <c r="I413" i="4" a="1"/>
  <c r="I413" i="4" s="1"/>
  <c r="H413" i="4"/>
  <c r="G413" i="4"/>
  <c r="F413" i="4"/>
  <c r="C413" i="4"/>
  <c r="B413" i="4"/>
  <c r="W413" i="4" s="1"/>
  <c r="A413" i="4"/>
  <c r="V412" i="4"/>
  <c r="U412" i="4"/>
  <c r="T412" i="4"/>
  <c r="S412" i="4"/>
  <c r="R412" i="4"/>
  <c r="Q412" i="4"/>
  <c r="P412" i="4"/>
  <c r="O412" i="4"/>
  <c r="W412" i="4" s="1"/>
  <c r="N412" i="4"/>
  <c r="M412" i="4"/>
  <c r="K412" i="4"/>
  <c r="J412" i="4"/>
  <c r="L412" i="4" s="1"/>
  <c r="H412" i="4"/>
  <c r="G412" i="4"/>
  <c r="I412" i="4" s="1" a="1"/>
  <c r="I412" i="4" s="1"/>
  <c r="F412" i="4"/>
  <c r="C412" i="4"/>
  <c r="B412" i="4"/>
  <c r="V411" i="4"/>
  <c r="T411" i="4"/>
  <c r="S411" i="4"/>
  <c r="R411" i="4"/>
  <c r="U411" i="4" s="1"/>
  <c r="Q411" i="4"/>
  <c r="P411" i="4"/>
  <c r="O411" i="4"/>
  <c r="N411" i="4"/>
  <c r="M411" i="4"/>
  <c r="K411" i="4"/>
  <c r="J411" i="4"/>
  <c r="L411" i="4" s="1"/>
  <c r="I411" i="4" a="1"/>
  <c r="I411" i="4" s="1"/>
  <c r="H411" i="4"/>
  <c r="G411" i="4"/>
  <c r="F411" i="4"/>
  <c r="D411" i="4"/>
  <c r="C411" i="4"/>
  <c r="B411" i="4"/>
  <c r="A411" i="4"/>
  <c r="V410" i="4"/>
  <c r="U410" i="4"/>
  <c r="T410" i="4"/>
  <c r="S410" i="4"/>
  <c r="R410" i="4"/>
  <c r="Q410" i="4"/>
  <c r="P410" i="4"/>
  <c r="O410" i="4"/>
  <c r="N410" i="4"/>
  <c r="M410" i="4"/>
  <c r="L410" i="4"/>
  <c r="K410" i="4"/>
  <c r="J410" i="4"/>
  <c r="I410" i="4" a="1"/>
  <c r="I410" i="4" s="1"/>
  <c r="H410" i="4"/>
  <c r="G410" i="4"/>
  <c r="F410" i="4"/>
  <c r="C410" i="4"/>
  <c r="B410" i="4"/>
  <c r="A410" i="4" s="1"/>
  <c r="V409" i="4"/>
  <c r="T409" i="4"/>
  <c r="S409" i="4"/>
  <c r="R409" i="4"/>
  <c r="U409" i="4" s="1"/>
  <c r="Q409" i="4"/>
  <c r="P409" i="4"/>
  <c r="O409" i="4"/>
  <c r="N409" i="4"/>
  <c r="M409" i="4"/>
  <c r="L409" i="4"/>
  <c r="K409" i="4"/>
  <c r="J409" i="4"/>
  <c r="I409" i="4" a="1"/>
  <c r="I409" i="4" s="1"/>
  <c r="H409" i="4"/>
  <c r="G409" i="4"/>
  <c r="F409" i="4"/>
  <c r="C409" i="4"/>
  <c r="B409" i="4"/>
  <c r="A409" i="4" s="1"/>
  <c r="V408" i="4"/>
  <c r="T408" i="4"/>
  <c r="S408" i="4"/>
  <c r="R408" i="4"/>
  <c r="U408" i="4" s="1"/>
  <c r="Q408" i="4"/>
  <c r="P408" i="4"/>
  <c r="O408" i="4"/>
  <c r="N408" i="4"/>
  <c r="M408" i="4"/>
  <c r="K408" i="4"/>
  <c r="J408" i="4"/>
  <c r="L408" i="4" s="1"/>
  <c r="I408" i="4"/>
  <c r="H408" i="4"/>
  <c r="G408" i="4"/>
  <c r="I408" i="4" s="1" a="1"/>
  <c r="F408" i="4"/>
  <c r="D408" i="4"/>
  <c r="C408" i="4"/>
  <c r="B408" i="4"/>
  <c r="V407" i="4"/>
  <c r="T407" i="4"/>
  <c r="S407" i="4"/>
  <c r="R407" i="4"/>
  <c r="U407" i="4" s="1"/>
  <c r="Q407" i="4"/>
  <c r="P407" i="4"/>
  <c r="O407" i="4"/>
  <c r="N407" i="4"/>
  <c r="M407" i="4"/>
  <c r="L407" i="4"/>
  <c r="K407" i="4"/>
  <c r="J407" i="4"/>
  <c r="H407" i="4"/>
  <c r="G407" i="4"/>
  <c r="W407" i="4" s="1"/>
  <c r="F407" i="4"/>
  <c r="D407" i="4"/>
  <c r="C407" i="4"/>
  <c r="B407" i="4"/>
  <c r="A407" i="4"/>
  <c r="V406" i="4"/>
  <c r="U406" i="4"/>
  <c r="T406" i="4"/>
  <c r="S406" i="4"/>
  <c r="R406" i="4"/>
  <c r="Q406" i="4"/>
  <c r="P406" i="4"/>
  <c r="O406" i="4"/>
  <c r="W406" i="4" s="1"/>
  <c r="N406" i="4"/>
  <c r="M406" i="4"/>
  <c r="L406" i="4"/>
  <c r="K406" i="4"/>
  <c r="J406" i="4"/>
  <c r="I406" i="4" a="1"/>
  <c r="I406" i="4" s="1"/>
  <c r="H406" i="4"/>
  <c r="G406" i="4"/>
  <c r="F406" i="4"/>
  <c r="D406" i="4"/>
  <c r="C406" i="4"/>
  <c r="B406" i="4"/>
  <c r="A406" i="4"/>
  <c r="V405" i="4"/>
  <c r="U405" i="4"/>
  <c r="T405" i="4"/>
  <c r="S405" i="4"/>
  <c r="R405" i="4"/>
  <c r="Q405" i="4"/>
  <c r="P405" i="4"/>
  <c r="O405" i="4"/>
  <c r="N405" i="4"/>
  <c r="M405" i="4"/>
  <c r="L405" i="4"/>
  <c r="K405" i="4"/>
  <c r="J405" i="4"/>
  <c r="H405" i="4"/>
  <c r="G405" i="4"/>
  <c r="I405" i="4" s="1" a="1"/>
  <c r="I405" i="4" s="1"/>
  <c r="F405" i="4"/>
  <c r="C405" i="4"/>
  <c r="B405" i="4"/>
  <c r="A405" i="4"/>
  <c r="V404" i="4"/>
  <c r="T404" i="4"/>
  <c r="S404" i="4"/>
  <c r="R404" i="4"/>
  <c r="U404" i="4" s="1"/>
  <c r="Q404" i="4"/>
  <c r="P404" i="4"/>
  <c r="O404" i="4"/>
  <c r="N404" i="4"/>
  <c r="M404" i="4"/>
  <c r="K404" i="4"/>
  <c r="J404" i="4"/>
  <c r="L404" i="4" s="1"/>
  <c r="I404" i="4"/>
  <c r="H404" i="4"/>
  <c r="G404" i="4"/>
  <c r="I404" i="4" s="1" a="1"/>
  <c r="F404" i="4"/>
  <c r="C404" i="4"/>
  <c r="B404" i="4"/>
  <c r="W404" i="4" s="1"/>
  <c r="V403" i="4"/>
  <c r="T403" i="4"/>
  <c r="S403" i="4"/>
  <c r="R403" i="4"/>
  <c r="U403" i="4" s="1"/>
  <c r="Q403" i="4"/>
  <c r="P403" i="4"/>
  <c r="O403" i="4"/>
  <c r="N403" i="4"/>
  <c r="M403" i="4"/>
  <c r="K403" i="4"/>
  <c r="J403" i="4"/>
  <c r="L403" i="4" s="1"/>
  <c r="H403" i="4"/>
  <c r="G403" i="4"/>
  <c r="W403" i="4" s="1"/>
  <c r="F403" i="4"/>
  <c r="D403" i="4"/>
  <c r="C403" i="4"/>
  <c r="B403" i="4"/>
  <c r="A403" i="4"/>
  <c r="V402" i="4"/>
  <c r="U402" i="4"/>
  <c r="T402" i="4"/>
  <c r="S402" i="4"/>
  <c r="R402" i="4"/>
  <c r="Q402" i="4"/>
  <c r="P402" i="4"/>
  <c r="O402" i="4"/>
  <c r="W402" i="4" s="1"/>
  <c r="N402" i="4"/>
  <c r="M402" i="4"/>
  <c r="L402" i="4"/>
  <c r="K402" i="4"/>
  <c r="J402" i="4"/>
  <c r="I402" i="4"/>
  <c r="I402" i="4" a="1"/>
  <c r="H402" i="4"/>
  <c r="G402" i="4"/>
  <c r="F402" i="4"/>
  <c r="D402" i="4"/>
  <c r="C402" i="4"/>
  <c r="B402" i="4"/>
  <c r="V401" i="4"/>
  <c r="U401" i="4"/>
  <c r="T401" i="4"/>
  <c r="S401" i="4"/>
  <c r="R401" i="4"/>
  <c r="Q401" i="4"/>
  <c r="P401" i="4"/>
  <c r="O401" i="4"/>
  <c r="N401" i="4"/>
  <c r="M401" i="4"/>
  <c r="K401" i="4"/>
  <c r="J401" i="4"/>
  <c r="L401" i="4" s="1"/>
  <c r="I401" i="4"/>
  <c r="I401" i="4" a="1"/>
  <c r="H401" i="4"/>
  <c r="G401" i="4"/>
  <c r="F401" i="4"/>
  <c r="C401" i="4"/>
  <c r="B401" i="4"/>
  <c r="A401" i="4"/>
  <c r="V400" i="4"/>
  <c r="U400" i="4"/>
  <c r="T400" i="4"/>
  <c r="S400" i="4"/>
  <c r="R400" i="4"/>
  <c r="Q400" i="4"/>
  <c r="P400" i="4"/>
  <c r="O400" i="4"/>
  <c r="N400" i="4"/>
  <c r="M400" i="4"/>
  <c r="K400" i="4"/>
  <c r="J400" i="4"/>
  <c r="L400" i="4" s="1"/>
  <c r="H400" i="4"/>
  <c r="G400" i="4"/>
  <c r="I400" i="4" s="1" a="1"/>
  <c r="I400" i="4" s="1"/>
  <c r="F400" i="4"/>
  <c r="C400" i="4"/>
  <c r="B400" i="4"/>
  <c r="D400" i="4" s="1"/>
  <c r="V399" i="4"/>
  <c r="T399" i="4"/>
  <c r="S399" i="4"/>
  <c r="R399" i="4"/>
  <c r="U399" i="4" s="1"/>
  <c r="Q399" i="4"/>
  <c r="P399" i="4"/>
  <c r="O399" i="4"/>
  <c r="N399" i="4"/>
  <c r="M399" i="4"/>
  <c r="L399" i="4"/>
  <c r="K399" i="4"/>
  <c r="J399" i="4"/>
  <c r="H399" i="4"/>
  <c r="G399" i="4"/>
  <c r="W399" i="4" s="1"/>
  <c r="F399" i="4"/>
  <c r="D399" i="4"/>
  <c r="C399" i="4"/>
  <c r="B399" i="4"/>
  <c r="A399" i="4"/>
  <c r="V398" i="4"/>
  <c r="U398" i="4"/>
  <c r="T398" i="4"/>
  <c r="S398" i="4"/>
  <c r="R398" i="4"/>
  <c r="Q398" i="4"/>
  <c r="P398" i="4"/>
  <c r="O398" i="4"/>
  <c r="N398" i="4"/>
  <c r="M398" i="4"/>
  <c r="W398" i="4" s="1"/>
  <c r="L398" i="4"/>
  <c r="K398" i="4"/>
  <c r="J398" i="4"/>
  <c r="I398" i="4" a="1"/>
  <c r="I398" i="4" s="1"/>
  <c r="H398" i="4"/>
  <c r="G398" i="4"/>
  <c r="F398" i="4"/>
  <c r="D398" i="4"/>
  <c r="C398" i="4"/>
  <c r="B398" i="4"/>
  <c r="A398" i="4"/>
  <c r="V397" i="4"/>
  <c r="U397" i="4"/>
  <c r="T397" i="4"/>
  <c r="S397" i="4"/>
  <c r="R397" i="4"/>
  <c r="Q397" i="4"/>
  <c r="P397" i="4"/>
  <c r="O397" i="4"/>
  <c r="N397" i="4"/>
  <c r="M397" i="4"/>
  <c r="L397" i="4"/>
  <c r="K397" i="4"/>
  <c r="J397" i="4"/>
  <c r="H397" i="4"/>
  <c r="G397" i="4"/>
  <c r="I397" i="4" s="1" a="1"/>
  <c r="I397" i="4" s="1"/>
  <c r="F397" i="4"/>
  <c r="C397" i="4"/>
  <c r="B397" i="4"/>
  <c r="A397" i="4" s="1"/>
  <c r="V396" i="4"/>
  <c r="U396" i="4"/>
  <c r="T396" i="4"/>
  <c r="S396" i="4"/>
  <c r="R396" i="4"/>
  <c r="Q396" i="4"/>
  <c r="P396" i="4"/>
  <c r="O396" i="4"/>
  <c r="N396" i="4"/>
  <c r="M396" i="4"/>
  <c r="K396" i="4"/>
  <c r="J396" i="4"/>
  <c r="L396" i="4" s="1"/>
  <c r="H396" i="4"/>
  <c r="G396" i="4"/>
  <c r="I396" i="4" s="1" a="1"/>
  <c r="I396" i="4" s="1"/>
  <c r="F396" i="4"/>
  <c r="C396" i="4"/>
  <c r="B396" i="4"/>
  <c r="W396" i="4" s="1"/>
  <c r="W395" i="4"/>
  <c r="V395" i="4"/>
  <c r="T395" i="4"/>
  <c r="S395" i="4"/>
  <c r="R395" i="4"/>
  <c r="U395" i="4" s="1"/>
  <c r="Q395" i="4"/>
  <c r="P395" i="4"/>
  <c r="O395" i="4"/>
  <c r="N395" i="4"/>
  <c r="M395" i="4"/>
  <c r="K395" i="4"/>
  <c r="J395" i="4"/>
  <c r="L395" i="4" s="1"/>
  <c r="H395" i="4"/>
  <c r="G395" i="4"/>
  <c r="F395" i="4"/>
  <c r="D395" i="4"/>
  <c r="C395" i="4"/>
  <c r="B395" i="4"/>
  <c r="A395" i="4"/>
  <c r="V394" i="4"/>
  <c r="U394" i="4"/>
  <c r="T394" i="4"/>
  <c r="S394" i="4"/>
  <c r="R394" i="4"/>
  <c r="Q394" i="4"/>
  <c r="P394" i="4"/>
  <c r="O394" i="4"/>
  <c r="N394" i="4"/>
  <c r="M394" i="4"/>
  <c r="L394" i="4"/>
  <c r="K394" i="4"/>
  <c r="J394" i="4"/>
  <c r="I394" i="4" a="1"/>
  <c r="I394" i="4" s="1"/>
  <c r="H394" i="4"/>
  <c r="G394" i="4"/>
  <c r="F394" i="4"/>
  <c r="C394" i="4"/>
  <c r="B394" i="4"/>
  <c r="D394" i="4" s="1"/>
  <c r="A394" i="4"/>
  <c r="V393" i="4"/>
  <c r="T393" i="4"/>
  <c r="S393" i="4"/>
  <c r="R393" i="4"/>
  <c r="U393" i="4" s="1"/>
  <c r="Q393" i="4"/>
  <c r="P393" i="4"/>
  <c r="O393" i="4"/>
  <c r="N393" i="4"/>
  <c r="M393" i="4"/>
  <c r="L393" i="4"/>
  <c r="K393" i="4"/>
  <c r="J393" i="4"/>
  <c r="I393" i="4" a="1"/>
  <c r="I393" i="4" s="1"/>
  <c r="H393" i="4"/>
  <c r="G393" i="4"/>
  <c r="F393" i="4"/>
  <c r="C393" i="4"/>
  <c r="B393" i="4"/>
  <c r="A393" i="4" s="1"/>
  <c r="V392" i="4"/>
  <c r="T392" i="4"/>
  <c r="S392" i="4"/>
  <c r="R392" i="4"/>
  <c r="U392" i="4" s="1"/>
  <c r="Q392" i="4"/>
  <c r="P392" i="4"/>
  <c r="O392" i="4"/>
  <c r="N392" i="4"/>
  <c r="M392" i="4"/>
  <c r="K392" i="4"/>
  <c r="J392" i="4"/>
  <c r="L392" i="4" s="1"/>
  <c r="I392" i="4"/>
  <c r="H392" i="4"/>
  <c r="G392" i="4"/>
  <c r="I392" i="4" s="1" a="1"/>
  <c r="F392" i="4"/>
  <c r="C392" i="4"/>
  <c r="B392" i="4"/>
  <c r="D392" i="4" s="1"/>
  <c r="V391" i="4"/>
  <c r="T391" i="4"/>
  <c r="S391" i="4"/>
  <c r="R391" i="4"/>
  <c r="U391" i="4" s="1"/>
  <c r="Q391" i="4"/>
  <c r="P391" i="4"/>
  <c r="O391" i="4"/>
  <c r="N391" i="4"/>
  <c r="M391" i="4"/>
  <c r="K391" i="4"/>
  <c r="J391" i="4"/>
  <c r="W391" i="4" s="1"/>
  <c r="H391" i="4"/>
  <c r="G391" i="4"/>
  <c r="F391" i="4"/>
  <c r="D391" i="4"/>
  <c r="C391" i="4"/>
  <c r="B391" i="4"/>
  <c r="A391" i="4"/>
  <c r="V390" i="4"/>
  <c r="U390" i="4"/>
  <c r="T390" i="4"/>
  <c r="S390" i="4"/>
  <c r="R390" i="4"/>
  <c r="Q390" i="4"/>
  <c r="P390" i="4"/>
  <c r="O390" i="4"/>
  <c r="N390" i="4"/>
  <c r="M390" i="4"/>
  <c r="W390" i="4" s="1"/>
  <c r="L390" i="4"/>
  <c r="K390" i="4"/>
  <c r="J390" i="4"/>
  <c r="I390" i="4" a="1"/>
  <c r="I390" i="4" s="1"/>
  <c r="H390" i="4"/>
  <c r="G390" i="4"/>
  <c r="F390" i="4"/>
  <c r="D390" i="4"/>
  <c r="C390" i="4"/>
  <c r="B390" i="4"/>
  <c r="A390" i="4"/>
  <c r="V389" i="4"/>
  <c r="U389" i="4"/>
  <c r="T389" i="4"/>
  <c r="S389" i="4"/>
  <c r="R389" i="4"/>
  <c r="Q389" i="4"/>
  <c r="P389" i="4"/>
  <c r="O389" i="4"/>
  <c r="N389" i="4"/>
  <c r="M389" i="4"/>
  <c r="L389" i="4"/>
  <c r="K389" i="4"/>
  <c r="J389" i="4"/>
  <c r="I389" i="4"/>
  <c r="I389" i="4" a="1"/>
  <c r="H389" i="4"/>
  <c r="G389" i="4"/>
  <c r="F389" i="4"/>
  <c r="C389" i="4"/>
  <c r="B389" i="4"/>
  <c r="A389" i="4"/>
  <c r="V388" i="4"/>
  <c r="T388" i="4"/>
  <c r="S388" i="4"/>
  <c r="R388" i="4"/>
  <c r="U388" i="4" s="1"/>
  <c r="Q388" i="4"/>
  <c r="P388" i="4"/>
  <c r="O388" i="4"/>
  <c r="N388" i="4"/>
  <c r="M388" i="4"/>
  <c r="K388" i="4"/>
  <c r="J388" i="4"/>
  <c r="L388" i="4" s="1"/>
  <c r="I388" i="4"/>
  <c r="H388" i="4"/>
  <c r="G388" i="4"/>
  <c r="I388" i="4" s="1" a="1"/>
  <c r="F388" i="4"/>
  <c r="C388" i="4"/>
  <c r="B388" i="4"/>
  <c r="W388" i="4" s="1"/>
  <c r="W387" i="4"/>
  <c r="V387" i="4"/>
  <c r="T387" i="4"/>
  <c r="S387" i="4"/>
  <c r="R387" i="4"/>
  <c r="U387" i="4" s="1"/>
  <c r="Q387" i="4"/>
  <c r="P387" i="4"/>
  <c r="O387" i="4"/>
  <c r="N387" i="4"/>
  <c r="M387" i="4"/>
  <c r="L387" i="4"/>
  <c r="K387" i="4"/>
  <c r="J387" i="4"/>
  <c r="H387" i="4"/>
  <c r="G387" i="4"/>
  <c r="F387" i="4"/>
  <c r="D387" i="4"/>
  <c r="C387" i="4"/>
  <c r="B387" i="4"/>
  <c r="A387" i="4"/>
  <c r="V386" i="4"/>
  <c r="U386" i="4"/>
  <c r="T386" i="4"/>
  <c r="S386" i="4"/>
  <c r="R386" i="4"/>
  <c r="Q386" i="4"/>
  <c r="P386" i="4"/>
  <c r="O386" i="4"/>
  <c r="W386" i="4" s="1"/>
  <c r="N386" i="4"/>
  <c r="M386" i="4"/>
  <c r="L386" i="4"/>
  <c r="K386" i="4"/>
  <c r="J386" i="4"/>
  <c r="I386" i="4" a="1"/>
  <c r="I386" i="4" s="1"/>
  <c r="H386" i="4"/>
  <c r="G386" i="4"/>
  <c r="F386" i="4"/>
  <c r="D386" i="4"/>
  <c r="C386" i="4"/>
  <c r="B386" i="4"/>
  <c r="A386" i="4"/>
  <c r="V385" i="4"/>
  <c r="T385" i="4"/>
  <c r="S385" i="4"/>
  <c r="R385" i="4"/>
  <c r="U385" i="4" s="1"/>
  <c r="Q385" i="4"/>
  <c r="P385" i="4"/>
  <c r="O385" i="4"/>
  <c r="N385" i="4"/>
  <c r="M385" i="4"/>
  <c r="L385" i="4"/>
  <c r="K385" i="4"/>
  <c r="J385" i="4"/>
  <c r="H385" i="4"/>
  <c r="G385" i="4"/>
  <c r="I385" i="4" s="1" a="1"/>
  <c r="I385" i="4" s="1"/>
  <c r="F385" i="4"/>
  <c r="C385" i="4"/>
  <c r="B385" i="4"/>
  <c r="A385" i="4" s="1"/>
  <c r="V384" i="4"/>
  <c r="U384" i="4"/>
  <c r="T384" i="4"/>
  <c r="S384" i="4"/>
  <c r="R384" i="4"/>
  <c r="Q384" i="4"/>
  <c r="P384" i="4"/>
  <c r="O384" i="4"/>
  <c r="N384" i="4"/>
  <c r="M384" i="4"/>
  <c r="W384" i="4" s="1"/>
  <c r="K384" i="4"/>
  <c r="J384" i="4"/>
  <c r="L384" i="4" s="1"/>
  <c r="I384" i="4"/>
  <c r="H384" i="4"/>
  <c r="G384" i="4"/>
  <c r="I384" i="4" s="1" a="1"/>
  <c r="F384" i="4"/>
  <c r="D384" i="4"/>
  <c r="C384" i="4"/>
  <c r="B384" i="4"/>
  <c r="V383" i="4"/>
  <c r="T383" i="4"/>
  <c r="S383" i="4"/>
  <c r="R383" i="4"/>
  <c r="U383" i="4" s="1"/>
  <c r="Q383" i="4"/>
  <c r="P383" i="4"/>
  <c r="O383" i="4"/>
  <c r="N383" i="4"/>
  <c r="M383" i="4"/>
  <c r="K383" i="4"/>
  <c r="J383" i="4"/>
  <c r="L383" i="4" s="1"/>
  <c r="I383" i="4" a="1"/>
  <c r="I383" i="4" s="1"/>
  <c r="H383" i="4"/>
  <c r="G383" i="4"/>
  <c r="F383" i="4"/>
  <c r="D383" i="4"/>
  <c r="C383" i="4"/>
  <c r="B383" i="4"/>
  <c r="A383" i="4"/>
  <c r="V382" i="4"/>
  <c r="U382" i="4"/>
  <c r="T382" i="4"/>
  <c r="S382" i="4"/>
  <c r="R382" i="4"/>
  <c r="Q382" i="4"/>
  <c r="P382" i="4"/>
  <c r="O382" i="4"/>
  <c r="N382" i="4"/>
  <c r="M382" i="4"/>
  <c r="L382" i="4"/>
  <c r="K382" i="4"/>
  <c r="J382" i="4"/>
  <c r="I382" i="4"/>
  <c r="I382" i="4" a="1"/>
  <c r="H382" i="4"/>
  <c r="G382" i="4"/>
  <c r="F382" i="4"/>
  <c r="C382" i="4"/>
  <c r="B382" i="4"/>
  <c r="D382" i="4" s="1"/>
  <c r="V381" i="4"/>
  <c r="T381" i="4"/>
  <c r="S381" i="4"/>
  <c r="R381" i="4"/>
  <c r="U381" i="4" s="1"/>
  <c r="Q381" i="4"/>
  <c r="P381" i="4"/>
  <c r="O381" i="4"/>
  <c r="N381" i="4"/>
  <c r="M381" i="4"/>
  <c r="K381" i="4"/>
  <c r="J381" i="4"/>
  <c r="L381" i="4" s="1"/>
  <c r="H381" i="4"/>
  <c r="G381" i="4"/>
  <c r="I381" i="4" s="1" a="1"/>
  <c r="I381" i="4" s="1"/>
  <c r="F381" i="4"/>
  <c r="C381" i="4"/>
  <c r="B381" i="4"/>
  <c r="A381" i="4"/>
  <c r="V380" i="4"/>
  <c r="T380" i="4"/>
  <c r="S380" i="4"/>
  <c r="R380" i="4"/>
  <c r="U380" i="4" s="1"/>
  <c r="Q380" i="4"/>
  <c r="P380" i="4"/>
  <c r="O380" i="4"/>
  <c r="N380" i="4"/>
  <c r="M380" i="4"/>
  <c r="K380" i="4"/>
  <c r="J380" i="4"/>
  <c r="L380" i="4" s="1"/>
  <c r="H380" i="4"/>
  <c r="G380" i="4"/>
  <c r="I380" i="4" s="1" a="1"/>
  <c r="I380" i="4" s="1"/>
  <c r="F380" i="4"/>
  <c r="D380" i="4"/>
  <c r="C380" i="4"/>
  <c r="B380" i="4"/>
  <c r="V379" i="4"/>
  <c r="T379" i="4"/>
  <c r="S379" i="4"/>
  <c r="R379" i="4"/>
  <c r="U379" i="4" s="1"/>
  <c r="Q379" i="4"/>
  <c r="P379" i="4"/>
  <c r="O379" i="4"/>
  <c r="N379" i="4"/>
  <c r="M379" i="4"/>
  <c r="L379" i="4"/>
  <c r="K379" i="4"/>
  <c r="J379" i="4"/>
  <c r="W379" i="4" s="1"/>
  <c r="I379" i="4" a="1"/>
  <c r="I379" i="4" s="1"/>
  <c r="H379" i="4"/>
  <c r="G379" i="4"/>
  <c r="F379" i="4"/>
  <c r="D379" i="4"/>
  <c r="C379" i="4"/>
  <c r="B379" i="4"/>
  <c r="A379" i="4"/>
  <c r="V378" i="4"/>
  <c r="U378" i="4"/>
  <c r="T378" i="4"/>
  <c r="S378" i="4"/>
  <c r="R378" i="4"/>
  <c r="Q378" i="4"/>
  <c r="P378" i="4"/>
  <c r="O378" i="4"/>
  <c r="N378" i="4"/>
  <c r="M378" i="4"/>
  <c r="L378" i="4"/>
  <c r="K378" i="4"/>
  <c r="J378" i="4"/>
  <c r="I378" i="4" a="1"/>
  <c r="I378" i="4" s="1"/>
  <c r="H378" i="4"/>
  <c r="G378" i="4"/>
  <c r="F378" i="4"/>
  <c r="C378" i="4"/>
  <c r="B378" i="4"/>
  <c r="D378" i="4" s="1"/>
  <c r="A378" i="4"/>
  <c r="V377" i="4"/>
  <c r="U377" i="4"/>
  <c r="T377" i="4"/>
  <c r="S377" i="4"/>
  <c r="R377" i="4"/>
  <c r="Q377" i="4"/>
  <c r="P377" i="4"/>
  <c r="O377" i="4"/>
  <c r="N377" i="4"/>
  <c r="M377" i="4"/>
  <c r="L377" i="4"/>
  <c r="K377" i="4"/>
  <c r="J377" i="4"/>
  <c r="H377" i="4"/>
  <c r="G377" i="4"/>
  <c r="I377" i="4" s="1" a="1"/>
  <c r="I377" i="4" s="1"/>
  <c r="F377" i="4"/>
  <c r="C377" i="4"/>
  <c r="B377" i="4"/>
  <c r="A377" i="4" s="1"/>
  <c r="V376" i="4"/>
  <c r="U376" i="4"/>
  <c r="T376" i="4"/>
  <c r="S376" i="4"/>
  <c r="R376" i="4"/>
  <c r="Q376" i="4"/>
  <c r="P376" i="4"/>
  <c r="O376" i="4"/>
  <c r="N376" i="4"/>
  <c r="M376" i="4"/>
  <c r="K376" i="4"/>
  <c r="J376" i="4"/>
  <c r="L376" i="4" s="1"/>
  <c r="H376" i="4"/>
  <c r="G376" i="4"/>
  <c r="I376" i="4" s="1" a="1"/>
  <c r="I376" i="4" s="1"/>
  <c r="F376" i="4"/>
  <c r="C376" i="4"/>
  <c r="B376" i="4"/>
  <c r="W376" i="4" s="1"/>
  <c r="V375" i="4"/>
  <c r="T375" i="4"/>
  <c r="S375" i="4"/>
  <c r="R375" i="4"/>
  <c r="U375" i="4" s="1"/>
  <c r="Q375" i="4"/>
  <c r="P375" i="4"/>
  <c r="O375" i="4"/>
  <c r="N375" i="4"/>
  <c r="M375" i="4"/>
  <c r="L375" i="4"/>
  <c r="K375" i="4"/>
  <c r="J375" i="4"/>
  <c r="H375" i="4"/>
  <c r="G375" i="4"/>
  <c r="I375" i="4" s="1" a="1"/>
  <c r="I375" i="4" s="1"/>
  <c r="F375" i="4"/>
  <c r="D375" i="4"/>
  <c r="C375" i="4"/>
  <c r="B375" i="4"/>
  <c r="A375" i="4"/>
  <c r="V374" i="4"/>
  <c r="U374" i="4"/>
  <c r="T374" i="4"/>
  <c r="S374" i="4"/>
  <c r="R374" i="4"/>
  <c r="Q374" i="4"/>
  <c r="P374" i="4"/>
  <c r="O374" i="4"/>
  <c r="W374" i="4" s="1"/>
  <c r="N374" i="4"/>
  <c r="M374" i="4"/>
  <c r="L374" i="4"/>
  <c r="K374" i="4"/>
  <c r="J374" i="4"/>
  <c r="I374" i="4" a="1"/>
  <c r="I374" i="4" s="1"/>
  <c r="H374" i="4"/>
  <c r="G374" i="4"/>
  <c r="F374" i="4"/>
  <c r="C374" i="4"/>
  <c r="B374" i="4"/>
  <c r="A374" i="4"/>
  <c r="V373" i="4"/>
  <c r="T373" i="4"/>
  <c r="S373" i="4"/>
  <c r="R373" i="4"/>
  <c r="U373" i="4" s="1"/>
  <c r="Q373" i="4"/>
  <c r="P373" i="4"/>
  <c r="O373" i="4"/>
  <c r="N373" i="4"/>
  <c r="M373" i="4"/>
  <c r="K373" i="4"/>
  <c r="J373" i="4"/>
  <c r="L373" i="4" s="1"/>
  <c r="I373" i="4" a="1"/>
  <c r="I373" i="4" s="1"/>
  <c r="H373" i="4"/>
  <c r="G373" i="4"/>
  <c r="F373" i="4"/>
  <c r="C373" i="4"/>
  <c r="B373" i="4"/>
  <c r="D373" i="4" s="1"/>
  <c r="A373" i="4"/>
  <c r="V372" i="4"/>
  <c r="T372" i="4"/>
  <c r="S372" i="4"/>
  <c r="R372" i="4"/>
  <c r="U372" i="4" s="1"/>
  <c r="Q372" i="4"/>
  <c r="P372" i="4"/>
  <c r="O372" i="4"/>
  <c r="N372" i="4"/>
  <c r="M372" i="4"/>
  <c r="K372" i="4"/>
  <c r="J372" i="4"/>
  <c r="L372" i="4" s="1"/>
  <c r="I372" i="4" a="1"/>
  <c r="I372" i="4" s="1"/>
  <c r="H372" i="4"/>
  <c r="G372" i="4"/>
  <c r="F372" i="4"/>
  <c r="D372" i="4"/>
  <c r="C372" i="4"/>
  <c r="B372" i="4"/>
  <c r="A372" i="4"/>
  <c r="V371" i="4"/>
  <c r="T371" i="4"/>
  <c r="S371" i="4"/>
  <c r="R371" i="4"/>
  <c r="U371" i="4" s="1"/>
  <c r="Q371" i="4"/>
  <c r="P371" i="4"/>
  <c r="O371" i="4"/>
  <c r="N371" i="4"/>
  <c r="M371" i="4"/>
  <c r="L371" i="4"/>
  <c r="K371" i="4"/>
  <c r="J371" i="4"/>
  <c r="H371" i="4"/>
  <c r="G371" i="4"/>
  <c r="I371" i="4" s="1" a="1"/>
  <c r="I371" i="4" s="1"/>
  <c r="F371" i="4"/>
  <c r="D371" i="4"/>
  <c r="C371" i="4"/>
  <c r="B371" i="4"/>
  <c r="A371" i="4"/>
  <c r="V370" i="4"/>
  <c r="U370" i="4"/>
  <c r="T370" i="4"/>
  <c r="S370" i="4"/>
  <c r="R370" i="4"/>
  <c r="Q370" i="4"/>
  <c r="P370" i="4"/>
  <c r="O370" i="4"/>
  <c r="W370" i="4" s="1"/>
  <c r="N370" i="4"/>
  <c r="M370" i="4"/>
  <c r="L370" i="4"/>
  <c r="K370" i="4"/>
  <c r="J370" i="4"/>
  <c r="I370" i="4" a="1"/>
  <c r="I370" i="4" s="1"/>
  <c r="H370" i="4"/>
  <c r="G370" i="4"/>
  <c r="F370" i="4"/>
  <c r="C370" i="4"/>
  <c r="B370" i="4"/>
  <c r="A370" i="4"/>
  <c r="V369" i="4"/>
  <c r="T369" i="4"/>
  <c r="S369" i="4"/>
  <c r="R369" i="4"/>
  <c r="U369" i="4" s="1"/>
  <c r="Q369" i="4"/>
  <c r="P369" i="4"/>
  <c r="O369" i="4"/>
  <c r="N369" i="4"/>
  <c r="M369" i="4"/>
  <c r="K369" i="4"/>
  <c r="J369" i="4"/>
  <c r="L369" i="4" s="1"/>
  <c r="I369" i="4" a="1"/>
  <c r="I369" i="4" s="1"/>
  <c r="H369" i="4"/>
  <c r="G369" i="4"/>
  <c r="F369" i="4"/>
  <c r="C369" i="4"/>
  <c r="B369" i="4"/>
  <c r="W369" i="4" s="1"/>
  <c r="A369" i="4"/>
  <c r="V368" i="4"/>
  <c r="T368" i="4"/>
  <c r="S368" i="4"/>
  <c r="R368" i="4"/>
  <c r="U368" i="4" s="1"/>
  <c r="Q368" i="4"/>
  <c r="P368" i="4"/>
  <c r="O368" i="4"/>
  <c r="N368" i="4"/>
  <c r="M368" i="4"/>
  <c r="K368" i="4"/>
  <c r="J368" i="4"/>
  <c r="L368" i="4" s="1"/>
  <c r="H368" i="4"/>
  <c r="G368" i="4"/>
  <c r="I368" i="4" s="1" a="1"/>
  <c r="I368" i="4" s="1"/>
  <c r="F368" i="4"/>
  <c r="C368" i="4"/>
  <c r="B368" i="4"/>
  <c r="D368" i="4" s="1"/>
  <c r="V367" i="4"/>
  <c r="T367" i="4"/>
  <c r="S367" i="4"/>
  <c r="R367" i="4"/>
  <c r="U367" i="4" s="1"/>
  <c r="Q367" i="4"/>
  <c r="P367" i="4"/>
  <c r="O367" i="4"/>
  <c r="N367" i="4"/>
  <c r="M367" i="4"/>
  <c r="K367" i="4"/>
  <c r="J367" i="4"/>
  <c r="L367" i="4" s="1"/>
  <c r="I367" i="4" a="1"/>
  <c r="I367" i="4" s="1"/>
  <c r="H367" i="4"/>
  <c r="G367" i="4"/>
  <c r="W367" i="4" s="1"/>
  <c r="F367" i="4"/>
  <c r="D367" i="4"/>
  <c r="C367" i="4"/>
  <c r="B367" i="4"/>
  <c r="A367" i="4"/>
  <c r="V366" i="4"/>
  <c r="U366" i="4"/>
  <c r="T366" i="4"/>
  <c r="S366" i="4"/>
  <c r="R366" i="4"/>
  <c r="Q366" i="4"/>
  <c r="P366" i="4"/>
  <c r="O366" i="4"/>
  <c r="N366" i="4"/>
  <c r="M366" i="4"/>
  <c r="L366" i="4"/>
  <c r="K366" i="4"/>
  <c r="J366" i="4"/>
  <c r="I366" i="4"/>
  <c r="I366" i="4" a="1"/>
  <c r="H366" i="4"/>
  <c r="G366" i="4"/>
  <c r="F366" i="4"/>
  <c r="D366" i="4"/>
  <c r="C366" i="4"/>
  <c r="B366" i="4"/>
  <c r="V365" i="4"/>
  <c r="T365" i="4"/>
  <c r="S365" i="4"/>
  <c r="R365" i="4"/>
  <c r="U365" i="4" s="1"/>
  <c r="Q365" i="4"/>
  <c r="P365" i="4"/>
  <c r="O365" i="4"/>
  <c r="N365" i="4"/>
  <c r="M365" i="4"/>
  <c r="L365" i="4"/>
  <c r="K365" i="4"/>
  <c r="J365" i="4"/>
  <c r="H365" i="4"/>
  <c r="G365" i="4"/>
  <c r="I365" i="4" s="1" a="1"/>
  <c r="I365" i="4" s="1"/>
  <c r="F365" i="4"/>
  <c r="C365" i="4"/>
  <c r="B365" i="4"/>
  <c r="D365" i="4" s="1"/>
  <c r="A365" i="4"/>
  <c r="V364" i="4"/>
  <c r="U364" i="4"/>
  <c r="T364" i="4"/>
  <c r="S364" i="4"/>
  <c r="R364" i="4"/>
  <c r="Q364" i="4"/>
  <c r="P364" i="4"/>
  <c r="O364" i="4"/>
  <c r="N364" i="4"/>
  <c r="M364" i="4"/>
  <c r="K364" i="4"/>
  <c r="J364" i="4"/>
  <c r="L364" i="4" s="1"/>
  <c r="H364" i="4"/>
  <c r="G364" i="4"/>
  <c r="W364" i="4" s="1"/>
  <c r="F364" i="4"/>
  <c r="D364" i="4"/>
  <c r="C364" i="4"/>
  <c r="B364" i="4"/>
  <c r="V363" i="4"/>
  <c r="T363" i="4"/>
  <c r="S363" i="4"/>
  <c r="R363" i="4"/>
  <c r="U363" i="4" s="1"/>
  <c r="Q363" i="4"/>
  <c r="P363" i="4"/>
  <c r="O363" i="4"/>
  <c r="N363" i="4"/>
  <c r="M363" i="4"/>
  <c r="L363" i="4"/>
  <c r="K363" i="4"/>
  <c r="J363" i="4"/>
  <c r="H363" i="4"/>
  <c r="G363" i="4"/>
  <c r="F363" i="4"/>
  <c r="D363" i="4"/>
  <c r="C363" i="4"/>
  <c r="B363" i="4"/>
  <c r="A363" i="4"/>
  <c r="V362" i="4"/>
  <c r="U362" i="4"/>
  <c r="T362" i="4"/>
  <c r="S362" i="4"/>
  <c r="R362" i="4"/>
  <c r="Q362" i="4"/>
  <c r="P362" i="4"/>
  <c r="O362" i="4"/>
  <c r="W362" i="4" s="1"/>
  <c r="N362" i="4"/>
  <c r="M362" i="4"/>
  <c r="L362" i="4"/>
  <c r="K362" i="4"/>
  <c r="J362" i="4"/>
  <c r="I362" i="4" a="1"/>
  <c r="I362" i="4" s="1"/>
  <c r="H362" i="4"/>
  <c r="G362" i="4"/>
  <c r="F362" i="4"/>
  <c r="C362" i="4"/>
  <c r="B362" i="4"/>
  <c r="A362" i="4"/>
  <c r="V361" i="4"/>
  <c r="T361" i="4"/>
  <c r="S361" i="4"/>
  <c r="R361" i="4"/>
  <c r="U361" i="4" s="1"/>
  <c r="Q361" i="4"/>
  <c r="P361" i="4"/>
  <c r="O361" i="4"/>
  <c r="N361" i="4"/>
  <c r="M361" i="4"/>
  <c r="K361" i="4"/>
  <c r="J361" i="4"/>
  <c r="L361" i="4" s="1"/>
  <c r="I361" i="4" a="1"/>
  <c r="I361" i="4" s="1"/>
  <c r="H361" i="4"/>
  <c r="G361" i="4"/>
  <c r="F361" i="4"/>
  <c r="C361" i="4"/>
  <c r="B361" i="4"/>
  <c r="W361" i="4" s="1"/>
  <c r="A361" i="4"/>
  <c r="V360" i="4"/>
  <c r="T360" i="4"/>
  <c r="S360" i="4"/>
  <c r="R360" i="4"/>
  <c r="U360" i="4" s="1"/>
  <c r="Q360" i="4"/>
  <c r="P360" i="4"/>
  <c r="O360" i="4"/>
  <c r="N360" i="4"/>
  <c r="M360" i="4"/>
  <c r="K360" i="4"/>
  <c r="J360" i="4"/>
  <c r="L360" i="4" s="1"/>
  <c r="H360" i="4"/>
  <c r="G360" i="4"/>
  <c r="I360" i="4" s="1" a="1"/>
  <c r="I360" i="4" s="1"/>
  <c r="F360" i="4"/>
  <c r="C360" i="4"/>
  <c r="B360" i="4"/>
  <c r="D360" i="4" s="1"/>
  <c r="V359" i="4"/>
  <c r="T359" i="4"/>
  <c r="S359" i="4"/>
  <c r="R359" i="4"/>
  <c r="U359" i="4" s="1"/>
  <c r="Q359" i="4"/>
  <c r="P359" i="4"/>
  <c r="O359" i="4"/>
  <c r="N359" i="4"/>
  <c r="M359" i="4"/>
  <c r="K359" i="4"/>
  <c r="J359" i="4"/>
  <c r="L359" i="4" s="1"/>
  <c r="I359" i="4" a="1"/>
  <c r="I359" i="4" s="1"/>
  <c r="H359" i="4"/>
  <c r="G359" i="4"/>
  <c r="W359" i="4" s="1"/>
  <c r="F359" i="4"/>
  <c r="D359" i="4"/>
  <c r="C359" i="4"/>
  <c r="B359" i="4"/>
  <c r="A359" i="4"/>
  <c r="V358" i="4"/>
  <c r="U358" i="4"/>
  <c r="T358" i="4"/>
  <c r="S358" i="4"/>
  <c r="R358" i="4"/>
  <c r="Q358" i="4"/>
  <c r="P358" i="4"/>
  <c r="O358" i="4"/>
  <c r="N358" i="4"/>
  <c r="M358" i="4"/>
  <c r="L358" i="4"/>
  <c r="K358" i="4"/>
  <c r="J358" i="4"/>
  <c r="I358" i="4"/>
  <c r="I358" i="4" a="1"/>
  <c r="H358" i="4"/>
  <c r="G358" i="4"/>
  <c r="F358" i="4"/>
  <c r="D358" i="4"/>
  <c r="C358" i="4"/>
  <c r="B358" i="4"/>
  <c r="V357" i="4"/>
  <c r="T357" i="4"/>
  <c r="S357" i="4"/>
  <c r="R357" i="4"/>
  <c r="U357" i="4" s="1"/>
  <c r="Q357" i="4"/>
  <c r="P357" i="4"/>
  <c r="O357" i="4"/>
  <c r="N357" i="4"/>
  <c r="M357" i="4"/>
  <c r="L357" i="4"/>
  <c r="K357" i="4"/>
  <c r="J357" i="4"/>
  <c r="H357" i="4"/>
  <c r="G357" i="4"/>
  <c r="I357" i="4" s="1" a="1"/>
  <c r="I357" i="4" s="1"/>
  <c r="F357" i="4"/>
  <c r="C357" i="4"/>
  <c r="B357" i="4"/>
  <c r="D357" i="4" s="1"/>
  <c r="A357" i="4"/>
  <c r="V356" i="4"/>
  <c r="U356" i="4"/>
  <c r="T356" i="4"/>
  <c r="S356" i="4"/>
  <c r="R356" i="4"/>
  <c r="Q356" i="4"/>
  <c r="P356" i="4"/>
  <c r="O356" i="4"/>
  <c r="N356" i="4"/>
  <c r="M356" i="4"/>
  <c r="K356" i="4"/>
  <c r="J356" i="4"/>
  <c r="L356" i="4" s="1"/>
  <c r="H356" i="4"/>
  <c r="G356" i="4"/>
  <c r="W356" i="4" s="1"/>
  <c r="F356" i="4"/>
  <c r="D356" i="4"/>
  <c r="C356" i="4"/>
  <c r="B356" i="4"/>
  <c r="V355" i="4"/>
  <c r="T355" i="4"/>
  <c r="S355" i="4"/>
  <c r="R355" i="4"/>
  <c r="U355" i="4" s="1"/>
  <c r="Q355" i="4"/>
  <c r="P355" i="4"/>
  <c r="O355" i="4"/>
  <c r="N355" i="4"/>
  <c r="M355" i="4"/>
  <c r="L355" i="4"/>
  <c r="K355" i="4"/>
  <c r="J355" i="4"/>
  <c r="H355" i="4"/>
  <c r="G355" i="4"/>
  <c r="F355" i="4"/>
  <c r="D355" i="4"/>
  <c r="C355" i="4"/>
  <c r="B355" i="4"/>
  <c r="A355" i="4"/>
  <c r="V354" i="4"/>
  <c r="U354" i="4"/>
  <c r="T354" i="4"/>
  <c r="S354" i="4"/>
  <c r="R354" i="4"/>
  <c r="Q354" i="4"/>
  <c r="P354" i="4"/>
  <c r="O354" i="4"/>
  <c r="W354" i="4" s="1"/>
  <c r="N354" i="4"/>
  <c r="M354" i="4"/>
  <c r="L354" i="4"/>
  <c r="K354" i="4"/>
  <c r="J354" i="4"/>
  <c r="I354" i="4" a="1"/>
  <c r="I354" i="4" s="1"/>
  <c r="H354" i="4"/>
  <c r="G354" i="4"/>
  <c r="F354" i="4"/>
  <c r="C354" i="4"/>
  <c r="B354" i="4"/>
  <c r="A354" i="4"/>
  <c r="V353" i="4"/>
  <c r="T353" i="4"/>
  <c r="S353" i="4"/>
  <c r="R353" i="4"/>
  <c r="U353" i="4" s="1"/>
  <c r="Q353" i="4"/>
  <c r="P353" i="4"/>
  <c r="O353" i="4"/>
  <c r="N353" i="4"/>
  <c r="M353" i="4"/>
  <c r="K353" i="4"/>
  <c r="J353" i="4"/>
  <c r="L353" i="4" s="1"/>
  <c r="I353" i="4" a="1"/>
  <c r="I353" i="4" s="1"/>
  <c r="H353" i="4"/>
  <c r="G353" i="4"/>
  <c r="F353" i="4"/>
  <c r="C353" i="4"/>
  <c r="B353" i="4"/>
  <c r="W353" i="4" s="1"/>
  <c r="A353" i="4"/>
  <c r="V352" i="4"/>
  <c r="T352" i="4"/>
  <c r="S352" i="4"/>
  <c r="R352" i="4"/>
  <c r="U352" i="4" s="1"/>
  <c r="Q352" i="4"/>
  <c r="P352" i="4"/>
  <c r="O352" i="4"/>
  <c r="N352" i="4"/>
  <c r="M352" i="4"/>
  <c r="K352" i="4"/>
  <c r="J352" i="4"/>
  <c r="L352" i="4" s="1"/>
  <c r="H352" i="4"/>
  <c r="G352" i="4"/>
  <c r="I352" i="4" s="1" a="1"/>
  <c r="I352" i="4" s="1"/>
  <c r="F352" i="4"/>
  <c r="C352" i="4"/>
  <c r="B352" i="4"/>
  <c r="D352" i="4" s="1"/>
  <c r="V351" i="4"/>
  <c r="T351" i="4"/>
  <c r="S351" i="4"/>
  <c r="R351" i="4"/>
  <c r="U351" i="4" s="1"/>
  <c r="Q351" i="4"/>
  <c r="P351" i="4"/>
  <c r="O351" i="4"/>
  <c r="N351" i="4"/>
  <c r="M351" i="4"/>
  <c r="K351" i="4"/>
  <c r="J351" i="4"/>
  <c r="L351" i="4" s="1"/>
  <c r="I351" i="4" a="1"/>
  <c r="I351" i="4" s="1"/>
  <c r="H351" i="4"/>
  <c r="G351" i="4"/>
  <c r="W351" i="4" s="1"/>
  <c r="F351" i="4"/>
  <c r="D351" i="4"/>
  <c r="C351" i="4"/>
  <c r="B351" i="4"/>
  <c r="A351" i="4"/>
  <c r="V350" i="4"/>
  <c r="U350" i="4"/>
  <c r="T350" i="4"/>
  <c r="S350" i="4"/>
  <c r="R350" i="4"/>
  <c r="Q350" i="4"/>
  <c r="P350" i="4"/>
  <c r="O350" i="4"/>
  <c r="N350" i="4"/>
  <c r="M350" i="4"/>
  <c r="L350" i="4"/>
  <c r="K350" i="4"/>
  <c r="J350" i="4"/>
  <c r="I350" i="4"/>
  <c r="I350" i="4" a="1"/>
  <c r="H350" i="4"/>
  <c r="G350" i="4"/>
  <c r="F350" i="4"/>
  <c r="D350" i="4"/>
  <c r="C350" i="4"/>
  <c r="B350" i="4"/>
  <c r="V349" i="4"/>
  <c r="T349" i="4"/>
  <c r="S349" i="4"/>
  <c r="R349" i="4"/>
  <c r="U349" i="4" s="1"/>
  <c r="Q349" i="4"/>
  <c r="P349" i="4"/>
  <c r="O349" i="4"/>
  <c r="N349" i="4"/>
  <c r="M349" i="4"/>
  <c r="L349" i="4"/>
  <c r="K349" i="4"/>
  <c r="J349" i="4"/>
  <c r="H349" i="4"/>
  <c r="G349" i="4"/>
  <c r="I349" i="4" s="1" a="1"/>
  <c r="I349" i="4" s="1"/>
  <c r="F349" i="4"/>
  <c r="C349" i="4"/>
  <c r="B349" i="4"/>
  <c r="D349" i="4" s="1"/>
  <c r="A349" i="4"/>
  <c r="V348" i="4"/>
  <c r="U348" i="4"/>
  <c r="T348" i="4"/>
  <c r="S348" i="4"/>
  <c r="R348" i="4"/>
  <c r="Q348" i="4"/>
  <c r="P348" i="4"/>
  <c r="O348" i="4"/>
  <c r="N348" i="4"/>
  <c r="M348" i="4"/>
  <c r="K348" i="4"/>
  <c r="J348" i="4"/>
  <c r="L348" i="4" s="1"/>
  <c r="H348" i="4"/>
  <c r="G348" i="4"/>
  <c r="F348" i="4"/>
  <c r="D348" i="4"/>
  <c r="C348" i="4"/>
  <c r="B348" i="4"/>
  <c r="V347" i="4"/>
  <c r="T347" i="4"/>
  <c r="S347" i="4"/>
  <c r="R347" i="4"/>
  <c r="U347" i="4" s="1"/>
  <c r="Q347" i="4"/>
  <c r="P347" i="4"/>
  <c r="O347" i="4"/>
  <c r="N347" i="4"/>
  <c r="M347" i="4"/>
  <c r="L347" i="4"/>
  <c r="K347" i="4"/>
  <c r="J347" i="4"/>
  <c r="H347" i="4"/>
  <c r="G347" i="4"/>
  <c r="F347" i="4"/>
  <c r="D347" i="4"/>
  <c r="C347" i="4"/>
  <c r="B347" i="4"/>
  <c r="A347" i="4"/>
  <c r="V346" i="4"/>
  <c r="U346" i="4"/>
  <c r="T346" i="4"/>
  <c r="S346" i="4"/>
  <c r="R346" i="4"/>
  <c r="Q346" i="4"/>
  <c r="P346" i="4"/>
  <c r="O346" i="4"/>
  <c r="W346" i="4" s="1"/>
  <c r="N346" i="4"/>
  <c r="M346" i="4"/>
  <c r="L346" i="4"/>
  <c r="K346" i="4"/>
  <c r="J346" i="4"/>
  <c r="I346" i="4" a="1"/>
  <c r="I346" i="4" s="1"/>
  <c r="H346" i="4"/>
  <c r="G346" i="4"/>
  <c r="F346" i="4"/>
  <c r="C346" i="4"/>
  <c r="B346" i="4"/>
  <c r="A346" i="4"/>
  <c r="V345" i="4"/>
  <c r="T345" i="4"/>
  <c r="S345" i="4"/>
  <c r="R345" i="4"/>
  <c r="U345" i="4" s="1"/>
  <c r="Q345" i="4"/>
  <c r="P345" i="4"/>
  <c r="O345" i="4"/>
  <c r="N345" i="4"/>
  <c r="M345" i="4"/>
  <c r="K345" i="4"/>
  <c r="J345" i="4"/>
  <c r="L345" i="4" s="1"/>
  <c r="I345" i="4" a="1"/>
  <c r="I345" i="4" s="1"/>
  <c r="H345" i="4"/>
  <c r="G345" i="4"/>
  <c r="F345" i="4"/>
  <c r="C345" i="4"/>
  <c r="B345" i="4"/>
  <c r="A345" i="4"/>
  <c r="V344" i="4"/>
  <c r="T344" i="4"/>
  <c r="S344" i="4"/>
  <c r="R344" i="4"/>
  <c r="U344" i="4" s="1"/>
  <c r="Q344" i="4"/>
  <c r="P344" i="4"/>
  <c r="O344" i="4"/>
  <c r="N344" i="4"/>
  <c r="M344" i="4"/>
  <c r="K344" i="4"/>
  <c r="J344" i="4"/>
  <c r="L344" i="4" s="1"/>
  <c r="I344" i="4"/>
  <c r="H344" i="4"/>
  <c r="G344" i="4"/>
  <c r="I344" i="4" s="1" a="1"/>
  <c r="F344" i="4"/>
  <c r="C344" i="4"/>
  <c r="B344" i="4"/>
  <c r="V343" i="4"/>
  <c r="T343" i="4"/>
  <c r="S343" i="4"/>
  <c r="R343" i="4"/>
  <c r="U343" i="4" s="1"/>
  <c r="Q343" i="4"/>
  <c r="P343" i="4"/>
  <c r="O343" i="4"/>
  <c r="N343" i="4"/>
  <c r="M343" i="4"/>
  <c r="K343" i="4"/>
  <c r="J343" i="4"/>
  <c r="I343" i="4" a="1"/>
  <c r="I343" i="4" s="1"/>
  <c r="H343" i="4"/>
  <c r="G343" i="4"/>
  <c r="F343" i="4"/>
  <c r="D343" i="4"/>
  <c r="C343" i="4"/>
  <c r="B343" i="4"/>
  <c r="A343" i="4"/>
  <c r="V342" i="4"/>
  <c r="U342" i="4"/>
  <c r="T342" i="4"/>
  <c r="S342" i="4"/>
  <c r="R342" i="4"/>
  <c r="Q342" i="4"/>
  <c r="P342" i="4"/>
  <c r="O342" i="4"/>
  <c r="N342" i="4"/>
  <c r="M342" i="4"/>
  <c r="L342" i="4"/>
  <c r="K342" i="4"/>
  <c r="J342" i="4"/>
  <c r="I342" i="4"/>
  <c r="I342" i="4" a="1"/>
  <c r="H342" i="4"/>
  <c r="G342" i="4"/>
  <c r="F342" i="4"/>
  <c r="C342" i="4"/>
  <c r="B342" i="4"/>
  <c r="D342" i="4" s="1"/>
  <c r="V341" i="4"/>
  <c r="T341" i="4"/>
  <c r="S341" i="4"/>
  <c r="R341" i="4"/>
  <c r="U341" i="4" s="1"/>
  <c r="Q341" i="4"/>
  <c r="P341" i="4"/>
  <c r="O341" i="4"/>
  <c r="N341" i="4"/>
  <c r="M341" i="4"/>
  <c r="K341" i="4"/>
  <c r="J341" i="4"/>
  <c r="L341" i="4" s="1"/>
  <c r="H341" i="4"/>
  <c r="G341" i="4"/>
  <c r="I341" i="4" s="1" a="1"/>
  <c r="I341" i="4" s="1"/>
  <c r="F341" i="4"/>
  <c r="C341" i="4"/>
  <c r="B341" i="4"/>
  <c r="D341" i="4" s="1"/>
  <c r="A341" i="4"/>
  <c r="V340" i="4"/>
  <c r="U340" i="4"/>
  <c r="T340" i="4"/>
  <c r="S340" i="4"/>
  <c r="R340" i="4"/>
  <c r="Q340" i="4"/>
  <c r="P340" i="4"/>
  <c r="O340" i="4"/>
  <c r="N340" i="4"/>
  <c r="M340" i="4"/>
  <c r="K340" i="4"/>
  <c r="J340" i="4"/>
  <c r="L340" i="4" s="1"/>
  <c r="H340" i="4"/>
  <c r="G340" i="4"/>
  <c r="W340" i="4" s="1"/>
  <c r="F340" i="4"/>
  <c r="D340" i="4"/>
  <c r="C340" i="4"/>
  <c r="B340" i="4"/>
  <c r="V339" i="4"/>
  <c r="T339" i="4"/>
  <c r="S339" i="4"/>
  <c r="R339" i="4"/>
  <c r="U339" i="4" s="1"/>
  <c r="Q339" i="4"/>
  <c r="P339" i="4"/>
  <c r="O339" i="4"/>
  <c r="N339" i="4"/>
  <c r="M339" i="4"/>
  <c r="L339" i="4"/>
  <c r="K339" i="4"/>
  <c r="J339" i="4"/>
  <c r="H339" i="4"/>
  <c r="G339" i="4"/>
  <c r="F339" i="4"/>
  <c r="D339" i="4"/>
  <c r="C339" i="4"/>
  <c r="B339" i="4"/>
  <c r="A339" i="4"/>
  <c r="V338" i="4"/>
  <c r="U338" i="4"/>
  <c r="T338" i="4"/>
  <c r="S338" i="4"/>
  <c r="R338" i="4"/>
  <c r="Q338" i="4"/>
  <c r="P338" i="4"/>
  <c r="O338" i="4"/>
  <c r="N338" i="4"/>
  <c r="M338" i="4"/>
  <c r="W338" i="4" s="1"/>
  <c r="L338" i="4"/>
  <c r="K338" i="4"/>
  <c r="J338" i="4"/>
  <c r="I338" i="4"/>
  <c r="I338" i="4" a="1"/>
  <c r="H338" i="4"/>
  <c r="G338" i="4"/>
  <c r="F338" i="4"/>
  <c r="C338" i="4"/>
  <c r="B338" i="4"/>
  <c r="V337" i="4"/>
  <c r="T337" i="4"/>
  <c r="S337" i="4"/>
  <c r="R337" i="4"/>
  <c r="U337" i="4" s="1"/>
  <c r="Q337" i="4"/>
  <c r="P337" i="4"/>
  <c r="O337" i="4"/>
  <c r="N337" i="4"/>
  <c r="M337" i="4"/>
  <c r="K337" i="4"/>
  <c r="J337" i="4"/>
  <c r="L337" i="4" s="1"/>
  <c r="I337" i="4" a="1"/>
  <c r="I337" i="4" s="1"/>
  <c r="H337" i="4"/>
  <c r="G337" i="4"/>
  <c r="F337" i="4"/>
  <c r="C337" i="4"/>
  <c r="B337" i="4"/>
  <c r="W337" i="4" s="1"/>
  <c r="A337" i="4"/>
  <c r="V336" i="4"/>
  <c r="T336" i="4"/>
  <c r="S336" i="4"/>
  <c r="R336" i="4"/>
  <c r="U336" i="4" s="1"/>
  <c r="Q336" i="4"/>
  <c r="P336" i="4"/>
  <c r="O336" i="4"/>
  <c r="N336" i="4"/>
  <c r="M336" i="4"/>
  <c r="K336" i="4"/>
  <c r="J336" i="4"/>
  <c r="L336" i="4" s="1"/>
  <c r="H336" i="4"/>
  <c r="G336" i="4"/>
  <c r="I336" i="4" s="1" a="1"/>
  <c r="I336" i="4" s="1"/>
  <c r="F336" i="4"/>
  <c r="C336" i="4"/>
  <c r="B336" i="4"/>
  <c r="V335" i="4"/>
  <c r="T335" i="4"/>
  <c r="S335" i="4"/>
  <c r="R335" i="4"/>
  <c r="U335" i="4" s="1"/>
  <c r="Q335" i="4"/>
  <c r="P335" i="4"/>
  <c r="O335" i="4"/>
  <c r="N335" i="4"/>
  <c r="M335" i="4"/>
  <c r="K335" i="4"/>
  <c r="J335" i="4"/>
  <c r="L335" i="4" s="1"/>
  <c r="I335" i="4" a="1"/>
  <c r="I335" i="4" s="1"/>
  <c r="H335" i="4"/>
  <c r="G335" i="4"/>
  <c r="F335" i="4"/>
  <c r="D335" i="4"/>
  <c r="C335" i="4"/>
  <c r="B335" i="4"/>
  <c r="A335" i="4"/>
  <c r="V334" i="4"/>
  <c r="U334" i="4"/>
  <c r="T334" i="4"/>
  <c r="S334" i="4"/>
  <c r="R334" i="4"/>
  <c r="Q334" i="4"/>
  <c r="P334" i="4"/>
  <c r="O334" i="4"/>
  <c r="N334" i="4"/>
  <c r="M334" i="4"/>
  <c r="L334" i="4"/>
  <c r="K334" i="4"/>
  <c r="J334" i="4"/>
  <c r="I334" i="4"/>
  <c r="I334" i="4" a="1"/>
  <c r="H334" i="4"/>
  <c r="G334" i="4"/>
  <c r="F334" i="4"/>
  <c r="C334" i="4"/>
  <c r="B334" i="4"/>
  <c r="V333" i="4"/>
  <c r="T333" i="4"/>
  <c r="S333" i="4"/>
  <c r="R333" i="4"/>
  <c r="U333" i="4" s="1"/>
  <c r="Q333" i="4"/>
  <c r="P333" i="4"/>
  <c r="O333" i="4"/>
  <c r="N333" i="4"/>
  <c r="M333" i="4"/>
  <c r="K333" i="4"/>
  <c r="J333" i="4"/>
  <c r="L333" i="4" s="1"/>
  <c r="H333" i="4"/>
  <c r="G333" i="4"/>
  <c r="I333" i="4" s="1" a="1"/>
  <c r="I333" i="4" s="1"/>
  <c r="F333" i="4"/>
  <c r="C333" i="4"/>
  <c r="B333" i="4"/>
  <c r="D333" i="4" s="1"/>
  <c r="V332" i="4"/>
  <c r="U332" i="4"/>
  <c r="T332" i="4"/>
  <c r="S332" i="4"/>
  <c r="R332" i="4"/>
  <c r="Q332" i="4"/>
  <c r="P332" i="4"/>
  <c r="O332" i="4"/>
  <c r="N332" i="4"/>
  <c r="M332" i="4"/>
  <c r="W332" i="4" s="1"/>
  <c r="K332" i="4"/>
  <c r="J332" i="4"/>
  <c r="L332" i="4" s="1"/>
  <c r="H332" i="4"/>
  <c r="G332" i="4"/>
  <c r="I332" i="4" s="1" a="1"/>
  <c r="I332" i="4" s="1"/>
  <c r="F332" i="4"/>
  <c r="D332" i="4"/>
  <c r="C332" i="4"/>
  <c r="B332" i="4"/>
  <c r="V331" i="4"/>
  <c r="T331" i="4"/>
  <c r="S331" i="4"/>
  <c r="R331" i="4"/>
  <c r="U331" i="4" s="1"/>
  <c r="Q331" i="4"/>
  <c r="P331" i="4"/>
  <c r="O331" i="4"/>
  <c r="N331" i="4"/>
  <c r="M331" i="4"/>
  <c r="L331" i="4"/>
  <c r="K331" i="4"/>
  <c r="J331" i="4"/>
  <c r="H331" i="4"/>
  <c r="G331" i="4"/>
  <c r="F331" i="4"/>
  <c r="D331" i="4"/>
  <c r="C331" i="4"/>
  <c r="B331" i="4"/>
  <c r="A331" i="4"/>
  <c r="V330" i="4"/>
  <c r="U330" i="4"/>
  <c r="T330" i="4"/>
  <c r="S330" i="4"/>
  <c r="R330" i="4"/>
  <c r="Q330" i="4"/>
  <c r="P330" i="4"/>
  <c r="O330" i="4"/>
  <c r="N330" i="4"/>
  <c r="M330" i="4"/>
  <c r="W330" i="4" s="1"/>
  <c r="L330" i="4"/>
  <c r="K330" i="4"/>
  <c r="J330" i="4"/>
  <c r="I330" i="4"/>
  <c r="I330" i="4" a="1"/>
  <c r="H330" i="4"/>
  <c r="G330" i="4"/>
  <c r="F330" i="4"/>
  <c r="C330" i="4"/>
  <c r="B330" i="4"/>
  <c r="V329" i="4"/>
  <c r="T329" i="4"/>
  <c r="S329" i="4"/>
  <c r="R329" i="4"/>
  <c r="U329" i="4" s="1"/>
  <c r="Q329" i="4"/>
  <c r="P329" i="4"/>
  <c r="O329" i="4"/>
  <c r="N329" i="4"/>
  <c r="M329" i="4"/>
  <c r="K329" i="4"/>
  <c r="J329" i="4"/>
  <c r="L329" i="4" s="1"/>
  <c r="H329" i="4"/>
  <c r="G329" i="4"/>
  <c r="F329" i="4"/>
  <c r="C329" i="4"/>
  <c r="B329" i="4"/>
  <c r="A329" i="4"/>
  <c r="V328" i="4"/>
  <c r="T328" i="4"/>
  <c r="S328" i="4"/>
  <c r="R328" i="4"/>
  <c r="U328" i="4" s="1"/>
  <c r="Q328" i="4"/>
  <c r="P328" i="4"/>
  <c r="O328" i="4"/>
  <c r="W328" i="4" s="1"/>
  <c r="N328" i="4"/>
  <c r="M328" i="4"/>
  <c r="K328" i="4"/>
  <c r="J328" i="4"/>
  <c r="L328" i="4" s="1"/>
  <c r="H328" i="4"/>
  <c r="G328" i="4"/>
  <c r="I328" i="4" s="1" a="1"/>
  <c r="I328" i="4" s="1"/>
  <c r="F328" i="4"/>
  <c r="C328" i="4"/>
  <c r="B328" i="4"/>
  <c r="V327" i="4"/>
  <c r="T327" i="4"/>
  <c r="S327" i="4"/>
  <c r="R327" i="4"/>
  <c r="U327" i="4" s="1"/>
  <c r="Q327" i="4"/>
  <c r="P327" i="4"/>
  <c r="O327" i="4"/>
  <c r="N327" i="4"/>
  <c r="M327" i="4"/>
  <c r="K327" i="4"/>
  <c r="J327" i="4"/>
  <c r="I327" i="4" a="1"/>
  <c r="I327" i="4" s="1"/>
  <c r="H327" i="4"/>
  <c r="G327" i="4"/>
  <c r="F327" i="4"/>
  <c r="D327" i="4"/>
  <c r="C327" i="4"/>
  <c r="B327" i="4"/>
  <c r="A327" i="4"/>
  <c r="V326" i="4"/>
  <c r="U326" i="4"/>
  <c r="T326" i="4"/>
  <c r="S326" i="4"/>
  <c r="R326" i="4"/>
  <c r="Q326" i="4"/>
  <c r="P326" i="4"/>
  <c r="O326" i="4"/>
  <c r="N326" i="4"/>
  <c r="M326" i="4"/>
  <c r="L326" i="4"/>
  <c r="K326" i="4"/>
  <c r="J326" i="4"/>
  <c r="I326" i="4"/>
  <c r="I326" i="4" a="1"/>
  <c r="H326" i="4"/>
  <c r="G326" i="4"/>
  <c r="F326" i="4"/>
  <c r="C326" i="4"/>
  <c r="B326" i="4"/>
  <c r="D326" i="4" s="1"/>
  <c r="V325" i="4"/>
  <c r="T325" i="4"/>
  <c r="S325" i="4"/>
  <c r="R325" i="4"/>
  <c r="U325" i="4" s="1"/>
  <c r="Q325" i="4"/>
  <c r="P325" i="4"/>
  <c r="O325" i="4"/>
  <c r="N325" i="4"/>
  <c r="M325" i="4"/>
  <c r="K325" i="4"/>
  <c r="J325" i="4"/>
  <c r="L325" i="4" s="1"/>
  <c r="H325" i="4"/>
  <c r="G325" i="4"/>
  <c r="I325" i="4" s="1" a="1"/>
  <c r="I325" i="4" s="1"/>
  <c r="F325" i="4"/>
  <c r="C325" i="4"/>
  <c r="B325" i="4"/>
  <c r="D325" i="4" s="1"/>
  <c r="V324" i="4"/>
  <c r="U324" i="4"/>
  <c r="T324" i="4"/>
  <c r="S324" i="4"/>
  <c r="R324" i="4"/>
  <c r="Q324" i="4"/>
  <c r="P324" i="4"/>
  <c r="O324" i="4"/>
  <c r="N324" i="4"/>
  <c r="M324" i="4"/>
  <c r="W324" i="4" s="1"/>
  <c r="K324" i="4"/>
  <c r="J324" i="4"/>
  <c r="L324" i="4" s="1"/>
  <c r="H324" i="4"/>
  <c r="G324" i="4"/>
  <c r="I324" i="4" s="1" a="1"/>
  <c r="I324" i="4" s="1"/>
  <c r="F324" i="4"/>
  <c r="D324" i="4"/>
  <c r="C324" i="4"/>
  <c r="B324" i="4"/>
  <c r="V323" i="4"/>
  <c r="T323" i="4"/>
  <c r="S323" i="4"/>
  <c r="R323" i="4"/>
  <c r="U323" i="4" s="1"/>
  <c r="Q323" i="4"/>
  <c r="P323" i="4"/>
  <c r="O323" i="4"/>
  <c r="N323" i="4"/>
  <c r="M323" i="4"/>
  <c r="L323" i="4"/>
  <c r="K323" i="4"/>
  <c r="J323" i="4"/>
  <c r="H323" i="4"/>
  <c r="G323" i="4"/>
  <c r="F323" i="4"/>
  <c r="D323" i="4"/>
  <c r="C323" i="4"/>
  <c r="B323" i="4"/>
  <c r="A323" i="4"/>
  <c r="V322" i="4"/>
  <c r="U322" i="4"/>
  <c r="T322" i="4"/>
  <c r="S322" i="4"/>
  <c r="R322" i="4"/>
  <c r="Q322" i="4"/>
  <c r="P322" i="4"/>
  <c r="O322" i="4"/>
  <c r="W322" i="4" s="1"/>
  <c r="N322" i="4"/>
  <c r="M322" i="4"/>
  <c r="L322" i="4"/>
  <c r="K322" i="4"/>
  <c r="J322" i="4"/>
  <c r="I322" i="4"/>
  <c r="I322" i="4" a="1"/>
  <c r="H322" i="4"/>
  <c r="G322" i="4"/>
  <c r="F322" i="4"/>
  <c r="C322" i="4"/>
  <c r="B322" i="4"/>
  <c r="V321" i="4"/>
  <c r="T321" i="4"/>
  <c r="S321" i="4"/>
  <c r="R321" i="4"/>
  <c r="U321" i="4" s="1"/>
  <c r="Q321" i="4"/>
  <c r="P321" i="4"/>
  <c r="O321" i="4"/>
  <c r="N321" i="4"/>
  <c r="M321" i="4"/>
  <c r="K321" i="4"/>
  <c r="J321" i="4"/>
  <c r="L321" i="4" s="1"/>
  <c r="H321" i="4"/>
  <c r="G321" i="4"/>
  <c r="I321" i="4" s="1" a="1"/>
  <c r="I321" i="4" s="1"/>
  <c r="F321" i="4"/>
  <c r="C321" i="4"/>
  <c r="B321" i="4"/>
  <c r="A321" i="4"/>
  <c r="V320" i="4"/>
  <c r="T320" i="4"/>
  <c r="S320" i="4"/>
  <c r="R320" i="4"/>
  <c r="U320" i="4" s="1"/>
  <c r="Q320" i="4"/>
  <c r="P320" i="4"/>
  <c r="O320" i="4"/>
  <c r="W320" i="4" s="1"/>
  <c r="N320" i="4"/>
  <c r="M320" i="4"/>
  <c r="K320" i="4"/>
  <c r="J320" i="4"/>
  <c r="L320" i="4" s="1"/>
  <c r="I320" i="4"/>
  <c r="H320" i="4"/>
  <c r="G320" i="4"/>
  <c r="I320" i="4" s="1" a="1"/>
  <c r="F320" i="4"/>
  <c r="C320" i="4"/>
  <c r="B320" i="4"/>
  <c r="V319" i="4"/>
  <c r="T319" i="4"/>
  <c r="S319" i="4"/>
  <c r="R319" i="4"/>
  <c r="U319" i="4" s="1"/>
  <c r="Q319" i="4"/>
  <c r="P319" i="4"/>
  <c r="O319" i="4"/>
  <c r="N319" i="4"/>
  <c r="M319" i="4"/>
  <c r="K319" i="4"/>
  <c r="J319" i="4"/>
  <c r="I319" i="4" a="1"/>
  <c r="I319" i="4" s="1"/>
  <c r="H319" i="4"/>
  <c r="G319" i="4"/>
  <c r="F319" i="4"/>
  <c r="D319" i="4"/>
  <c r="C319" i="4"/>
  <c r="B319" i="4"/>
  <c r="A319" i="4"/>
  <c r="V318" i="4"/>
  <c r="U318" i="4"/>
  <c r="T318" i="4"/>
  <c r="S318" i="4"/>
  <c r="R318" i="4"/>
  <c r="Q318" i="4"/>
  <c r="P318" i="4"/>
  <c r="O318" i="4"/>
  <c r="N318" i="4"/>
  <c r="M318" i="4"/>
  <c r="L318" i="4"/>
  <c r="K318" i="4"/>
  <c r="J318" i="4"/>
  <c r="I318" i="4"/>
  <c r="I318" i="4" a="1"/>
  <c r="H318" i="4"/>
  <c r="G318" i="4"/>
  <c r="F318" i="4"/>
  <c r="D318" i="4"/>
  <c r="C318" i="4"/>
  <c r="B318" i="4"/>
  <c r="V317" i="4"/>
  <c r="T317" i="4"/>
  <c r="S317" i="4"/>
  <c r="R317" i="4"/>
  <c r="U317" i="4" s="1"/>
  <c r="Q317" i="4"/>
  <c r="P317" i="4"/>
  <c r="O317" i="4"/>
  <c r="N317" i="4"/>
  <c r="M317" i="4"/>
  <c r="L317" i="4"/>
  <c r="K317" i="4"/>
  <c r="J317" i="4"/>
  <c r="H317" i="4"/>
  <c r="G317" i="4"/>
  <c r="I317" i="4" s="1" a="1"/>
  <c r="I317" i="4" s="1"/>
  <c r="F317" i="4"/>
  <c r="C317" i="4"/>
  <c r="B317" i="4"/>
  <c r="D317" i="4" s="1"/>
  <c r="V316" i="4"/>
  <c r="U316" i="4"/>
  <c r="T316" i="4"/>
  <c r="S316" i="4"/>
  <c r="R316" i="4"/>
  <c r="Q316" i="4"/>
  <c r="P316" i="4"/>
  <c r="O316" i="4"/>
  <c r="N316" i="4"/>
  <c r="M316" i="4"/>
  <c r="W316" i="4" s="1"/>
  <c r="K316" i="4"/>
  <c r="J316" i="4"/>
  <c r="L316" i="4" s="1"/>
  <c r="H316" i="4"/>
  <c r="G316" i="4"/>
  <c r="I316" i="4" s="1" a="1"/>
  <c r="I316" i="4" s="1"/>
  <c r="F316" i="4"/>
  <c r="D316" i="4"/>
  <c r="C316" i="4"/>
  <c r="B316" i="4"/>
  <c r="V315" i="4"/>
  <c r="T315" i="4"/>
  <c r="S315" i="4"/>
  <c r="R315" i="4"/>
  <c r="U315" i="4" s="1"/>
  <c r="Q315" i="4"/>
  <c r="P315" i="4"/>
  <c r="O315" i="4"/>
  <c r="N315" i="4"/>
  <c r="M315" i="4"/>
  <c r="L315" i="4"/>
  <c r="K315" i="4"/>
  <c r="J315" i="4"/>
  <c r="H315" i="4"/>
  <c r="G315" i="4"/>
  <c r="W315" i="4" s="1"/>
  <c r="F315" i="4"/>
  <c r="D315" i="4"/>
  <c r="C315" i="4"/>
  <c r="B315" i="4"/>
  <c r="A315" i="4"/>
  <c r="V314" i="4"/>
  <c r="U314" i="4"/>
  <c r="T314" i="4"/>
  <c r="S314" i="4"/>
  <c r="R314" i="4"/>
  <c r="Q314" i="4"/>
  <c r="P314" i="4"/>
  <c r="O314" i="4"/>
  <c r="N314" i="4"/>
  <c r="M314" i="4"/>
  <c r="L314" i="4"/>
  <c r="K314" i="4"/>
  <c r="J314" i="4"/>
  <c r="I314" i="4"/>
  <c r="I314" i="4" a="1"/>
  <c r="H314" i="4"/>
  <c r="G314" i="4"/>
  <c r="F314" i="4"/>
  <c r="C314" i="4"/>
  <c r="B314" i="4"/>
  <c r="W314" i="4" s="1"/>
  <c r="A314" i="4"/>
  <c r="V313" i="4"/>
  <c r="T313" i="4"/>
  <c r="S313" i="4"/>
  <c r="R313" i="4"/>
  <c r="U313" i="4" s="1"/>
  <c r="Q313" i="4"/>
  <c r="P313" i="4"/>
  <c r="O313" i="4"/>
  <c r="N313" i="4"/>
  <c r="M313" i="4"/>
  <c r="K313" i="4"/>
  <c r="J313" i="4"/>
  <c r="L313" i="4" s="1"/>
  <c r="H313" i="4"/>
  <c r="G313" i="4"/>
  <c r="I313" i="4" s="1" a="1"/>
  <c r="I313" i="4" s="1"/>
  <c r="F313" i="4"/>
  <c r="C313" i="4"/>
  <c r="B313" i="4"/>
  <c r="A313" i="4"/>
  <c r="V312" i="4"/>
  <c r="T312" i="4"/>
  <c r="S312" i="4"/>
  <c r="R312" i="4"/>
  <c r="U312" i="4" s="1"/>
  <c r="Q312" i="4"/>
  <c r="P312" i="4"/>
  <c r="O312" i="4"/>
  <c r="N312" i="4"/>
  <c r="M312" i="4"/>
  <c r="K312" i="4"/>
  <c r="J312" i="4"/>
  <c r="L312" i="4" s="1"/>
  <c r="I312" i="4"/>
  <c r="H312" i="4"/>
  <c r="G312" i="4"/>
  <c r="I312" i="4" s="1" a="1"/>
  <c r="F312" i="4"/>
  <c r="D312" i="4"/>
  <c r="C312" i="4"/>
  <c r="B312" i="4"/>
  <c r="V311" i="4"/>
  <c r="T311" i="4"/>
  <c r="S311" i="4"/>
  <c r="R311" i="4"/>
  <c r="U311" i="4" s="1"/>
  <c r="Q311" i="4"/>
  <c r="P311" i="4"/>
  <c r="O311" i="4"/>
  <c r="N311" i="4"/>
  <c r="M311" i="4"/>
  <c r="K311" i="4"/>
  <c r="J311" i="4"/>
  <c r="W311" i="4" s="1"/>
  <c r="I311" i="4" a="1"/>
  <c r="I311" i="4" s="1"/>
  <c r="H311" i="4"/>
  <c r="G311" i="4"/>
  <c r="F311" i="4"/>
  <c r="D311" i="4"/>
  <c r="C311" i="4"/>
  <c r="B311" i="4"/>
  <c r="A311" i="4"/>
  <c r="V310" i="4"/>
  <c r="U310" i="4"/>
  <c r="T310" i="4"/>
  <c r="S310" i="4"/>
  <c r="R310" i="4"/>
  <c r="Q310" i="4"/>
  <c r="P310" i="4"/>
  <c r="O310" i="4"/>
  <c r="N310" i="4"/>
  <c r="M310" i="4"/>
  <c r="L310" i="4"/>
  <c r="K310" i="4"/>
  <c r="J310" i="4"/>
  <c r="I310" i="4"/>
  <c r="I310" i="4" a="1"/>
  <c r="H310" i="4"/>
  <c r="G310" i="4"/>
  <c r="F310" i="4"/>
  <c r="D310" i="4"/>
  <c r="C310" i="4"/>
  <c r="B310" i="4"/>
  <c r="V309" i="4"/>
  <c r="T309" i="4"/>
  <c r="S309" i="4"/>
  <c r="R309" i="4"/>
  <c r="U309" i="4" s="1"/>
  <c r="Q309" i="4"/>
  <c r="P309" i="4"/>
  <c r="O309" i="4"/>
  <c r="N309" i="4"/>
  <c r="M309" i="4"/>
  <c r="K309" i="4"/>
  <c r="J309" i="4"/>
  <c r="L309" i="4" s="1"/>
  <c r="H309" i="4"/>
  <c r="G309" i="4"/>
  <c r="I309" i="4" s="1" a="1"/>
  <c r="I309" i="4" s="1"/>
  <c r="F309" i="4"/>
  <c r="C309" i="4"/>
  <c r="B309" i="4"/>
  <c r="D309" i="4" s="1"/>
  <c r="V308" i="4"/>
  <c r="U308" i="4"/>
  <c r="T308" i="4"/>
  <c r="S308" i="4"/>
  <c r="R308" i="4"/>
  <c r="Q308" i="4"/>
  <c r="P308" i="4"/>
  <c r="O308" i="4"/>
  <c r="N308" i="4"/>
  <c r="M308" i="4"/>
  <c r="K308" i="4"/>
  <c r="J308" i="4"/>
  <c r="L308" i="4" s="1"/>
  <c r="H308" i="4"/>
  <c r="G308" i="4"/>
  <c r="I308" i="4" s="1" a="1"/>
  <c r="I308" i="4" s="1"/>
  <c r="F308" i="4"/>
  <c r="D308" i="4"/>
  <c r="C308" i="4"/>
  <c r="B308" i="4"/>
  <c r="V307" i="4"/>
  <c r="T307" i="4"/>
  <c r="S307" i="4"/>
  <c r="R307" i="4"/>
  <c r="U307" i="4" s="1"/>
  <c r="Q307" i="4"/>
  <c r="P307" i="4"/>
  <c r="O307" i="4"/>
  <c r="N307" i="4"/>
  <c r="M307" i="4"/>
  <c r="L307" i="4"/>
  <c r="K307" i="4"/>
  <c r="J307" i="4"/>
  <c r="I307" i="4" a="1"/>
  <c r="I307" i="4" s="1"/>
  <c r="H307" i="4"/>
  <c r="G307" i="4"/>
  <c r="F307" i="4"/>
  <c r="D307" i="4"/>
  <c r="C307" i="4"/>
  <c r="B307" i="4"/>
  <c r="A307" i="4"/>
  <c r="V306" i="4"/>
  <c r="U306" i="4"/>
  <c r="T306" i="4"/>
  <c r="S306" i="4"/>
  <c r="R306" i="4"/>
  <c r="Q306" i="4"/>
  <c r="P306" i="4"/>
  <c r="O306" i="4"/>
  <c r="N306" i="4"/>
  <c r="M306" i="4"/>
  <c r="W306" i="4" s="1"/>
  <c r="L306" i="4"/>
  <c r="K306" i="4"/>
  <c r="J306" i="4"/>
  <c r="I306" i="4"/>
  <c r="I306" i="4" a="1"/>
  <c r="H306" i="4"/>
  <c r="G306" i="4"/>
  <c r="F306" i="4"/>
  <c r="C306" i="4"/>
  <c r="B306" i="4"/>
  <c r="A306" i="4"/>
  <c r="V305" i="4"/>
  <c r="T305" i="4"/>
  <c r="S305" i="4"/>
  <c r="R305" i="4"/>
  <c r="U305" i="4" s="1"/>
  <c r="Q305" i="4"/>
  <c r="P305" i="4"/>
  <c r="O305" i="4"/>
  <c r="N305" i="4"/>
  <c r="M305" i="4"/>
  <c r="K305" i="4"/>
  <c r="J305" i="4"/>
  <c r="L305" i="4" s="1"/>
  <c r="I305" i="4"/>
  <c r="I305" i="4" a="1"/>
  <c r="H305" i="4"/>
  <c r="G305" i="4"/>
  <c r="F305" i="4"/>
  <c r="C305" i="4"/>
  <c r="B305" i="4"/>
  <c r="A305" i="4" s="1"/>
  <c r="W304" i="4"/>
  <c r="V304" i="4"/>
  <c r="T304" i="4"/>
  <c r="S304" i="4"/>
  <c r="R304" i="4"/>
  <c r="U304" i="4" s="1"/>
  <c r="Q304" i="4"/>
  <c r="P304" i="4"/>
  <c r="O304" i="4"/>
  <c r="N304" i="4"/>
  <c r="M304" i="4"/>
  <c r="K304" i="4"/>
  <c r="J304" i="4"/>
  <c r="L304" i="4" s="1"/>
  <c r="I304" i="4"/>
  <c r="H304" i="4"/>
  <c r="G304" i="4"/>
  <c r="I304" i="4" s="1" a="1"/>
  <c r="F304" i="4"/>
  <c r="D304" i="4"/>
  <c r="C304" i="4"/>
  <c r="B304" i="4"/>
  <c r="V303" i="4"/>
  <c r="T303" i="4"/>
  <c r="S303" i="4"/>
  <c r="R303" i="4"/>
  <c r="U303" i="4" s="1"/>
  <c r="Q303" i="4"/>
  <c r="P303" i="4"/>
  <c r="O303" i="4"/>
  <c r="N303" i="4"/>
  <c r="M303" i="4"/>
  <c r="L303" i="4"/>
  <c r="K303" i="4"/>
  <c r="J303" i="4"/>
  <c r="I303" i="4" a="1"/>
  <c r="I303" i="4" s="1"/>
  <c r="H303" i="4"/>
  <c r="G303" i="4"/>
  <c r="F303" i="4"/>
  <c r="D303" i="4"/>
  <c r="C303" i="4"/>
  <c r="B303" i="4"/>
  <c r="A303" i="4"/>
  <c r="V302" i="4"/>
  <c r="U302" i="4"/>
  <c r="T302" i="4"/>
  <c r="S302" i="4"/>
  <c r="R302" i="4"/>
  <c r="Q302" i="4"/>
  <c r="P302" i="4"/>
  <c r="O302" i="4"/>
  <c r="N302" i="4"/>
  <c r="M302" i="4"/>
  <c r="L302" i="4"/>
  <c r="K302" i="4"/>
  <c r="J302" i="4"/>
  <c r="I302" i="4"/>
  <c r="I302" i="4" a="1"/>
  <c r="H302" i="4"/>
  <c r="G302" i="4"/>
  <c r="F302" i="4"/>
  <c r="D302" i="4"/>
  <c r="C302" i="4"/>
  <c r="B302" i="4"/>
  <c r="V301" i="4"/>
  <c r="U301" i="4"/>
  <c r="T301" i="4"/>
  <c r="S301" i="4"/>
  <c r="R301" i="4"/>
  <c r="Q301" i="4"/>
  <c r="P301" i="4"/>
  <c r="O301" i="4"/>
  <c r="N301" i="4"/>
  <c r="M301" i="4"/>
  <c r="L301" i="4"/>
  <c r="K301" i="4"/>
  <c r="J301" i="4"/>
  <c r="H301" i="4"/>
  <c r="G301" i="4"/>
  <c r="I301" i="4" s="1" a="1"/>
  <c r="I301" i="4" s="1"/>
  <c r="F301" i="4"/>
  <c r="C301" i="4"/>
  <c r="B301" i="4"/>
  <c r="V300" i="4"/>
  <c r="U300" i="4"/>
  <c r="T300" i="4"/>
  <c r="S300" i="4"/>
  <c r="R300" i="4"/>
  <c r="Q300" i="4"/>
  <c r="P300" i="4"/>
  <c r="O300" i="4"/>
  <c r="N300" i="4"/>
  <c r="M300" i="4"/>
  <c r="K300" i="4"/>
  <c r="J300" i="4"/>
  <c r="L300" i="4" s="1"/>
  <c r="H300" i="4"/>
  <c r="G300" i="4"/>
  <c r="I300" i="4" s="1" a="1"/>
  <c r="I300" i="4" s="1"/>
  <c r="F300" i="4"/>
  <c r="D300" i="4"/>
  <c r="C300" i="4"/>
  <c r="B300" i="4"/>
  <c r="V299" i="4"/>
  <c r="T299" i="4"/>
  <c r="S299" i="4"/>
  <c r="R299" i="4"/>
  <c r="U299" i="4" s="1"/>
  <c r="Q299" i="4"/>
  <c r="P299" i="4"/>
  <c r="O299" i="4"/>
  <c r="N299" i="4"/>
  <c r="M299" i="4"/>
  <c r="L299" i="4"/>
  <c r="K299" i="4"/>
  <c r="J299" i="4"/>
  <c r="H299" i="4"/>
  <c r="G299" i="4"/>
  <c r="I299" i="4" s="1" a="1"/>
  <c r="I299" i="4" s="1"/>
  <c r="F299" i="4"/>
  <c r="D299" i="4"/>
  <c r="C299" i="4"/>
  <c r="B299" i="4"/>
  <c r="A299" i="4"/>
  <c r="V298" i="4"/>
  <c r="U298" i="4"/>
  <c r="T298" i="4"/>
  <c r="S298" i="4"/>
  <c r="R298" i="4"/>
  <c r="Q298" i="4"/>
  <c r="P298" i="4"/>
  <c r="O298" i="4"/>
  <c r="W298" i="4" s="1"/>
  <c r="N298" i="4"/>
  <c r="M298" i="4"/>
  <c r="L298" i="4"/>
  <c r="K298" i="4"/>
  <c r="J298" i="4"/>
  <c r="I298" i="4" a="1"/>
  <c r="I298" i="4" s="1"/>
  <c r="H298" i="4"/>
  <c r="G298" i="4"/>
  <c r="F298" i="4"/>
  <c r="C298" i="4"/>
  <c r="B298" i="4"/>
  <c r="D298" i="4" s="1"/>
  <c r="A298" i="4"/>
  <c r="V297" i="4"/>
  <c r="T297" i="4"/>
  <c r="S297" i="4"/>
  <c r="R297" i="4"/>
  <c r="U297" i="4" s="1"/>
  <c r="Q297" i="4"/>
  <c r="P297" i="4"/>
  <c r="O297" i="4"/>
  <c r="N297" i="4"/>
  <c r="M297" i="4"/>
  <c r="K297" i="4"/>
  <c r="J297" i="4"/>
  <c r="L297" i="4" s="1"/>
  <c r="H297" i="4"/>
  <c r="G297" i="4"/>
  <c r="I297" i="4" s="1" a="1"/>
  <c r="I297" i="4" s="1"/>
  <c r="F297" i="4"/>
  <c r="C297" i="4"/>
  <c r="B297" i="4"/>
  <c r="A297" i="4"/>
  <c r="V296" i="4"/>
  <c r="T296" i="4"/>
  <c r="S296" i="4"/>
  <c r="R296" i="4"/>
  <c r="U296" i="4" s="1"/>
  <c r="Q296" i="4"/>
  <c r="P296" i="4"/>
  <c r="O296" i="4"/>
  <c r="N296" i="4"/>
  <c r="M296" i="4"/>
  <c r="K296" i="4"/>
  <c r="J296" i="4"/>
  <c r="L296" i="4" s="1"/>
  <c r="I296" i="4"/>
  <c r="H296" i="4"/>
  <c r="G296" i="4"/>
  <c r="I296" i="4" s="1" a="1"/>
  <c r="F296" i="4"/>
  <c r="D296" i="4"/>
  <c r="C296" i="4"/>
  <c r="B296" i="4"/>
  <c r="V295" i="4"/>
  <c r="T295" i="4"/>
  <c r="S295" i="4"/>
  <c r="R295" i="4"/>
  <c r="U295" i="4" s="1"/>
  <c r="Q295" i="4"/>
  <c r="P295" i="4"/>
  <c r="O295" i="4"/>
  <c r="N295" i="4"/>
  <c r="M295" i="4"/>
  <c r="K295" i="4"/>
  <c r="J295" i="4"/>
  <c r="L295" i="4" s="1"/>
  <c r="I295" i="4" a="1"/>
  <c r="I295" i="4" s="1"/>
  <c r="H295" i="4"/>
  <c r="G295" i="4"/>
  <c r="F295" i="4"/>
  <c r="D295" i="4"/>
  <c r="C295" i="4"/>
  <c r="B295" i="4"/>
  <c r="A295" i="4"/>
  <c r="V294" i="4"/>
  <c r="U294" i="4"/>
  <c r="T294" i="4"/>
  <c r="S294" i="4"/>
  <c r="R294" i="4"/>
  <c r="Q294" i="4"/>
  <c r="P294" i="4"/>
  <c r="O294" i="4"/>
  <c r="N294" i="4"/>
  <c r="M294" i="4"/>
  <c r="L294" i="4"/>
  <c r="K294" i="4"/>
  <c r="J294" i="4"/>
  <c r="I294" i="4"/>
  <c r="I294" i="4" a="1"/>
  <c r="H294" i="4"/>
  <c r="G294" i="4"/>
  <c r="F294" i="4"/>
  <c r="C294" i="4"/>
  <c r="B294" i="4"/>
  <c r="A294" i="4" s="1"/>
  <c r="V293" i="4"/>
  <c r="T293" i="4"/>
  <c r="S293" i="4"/>
  <c r="R293" i="4"/>
  <c r="U293" i="4" s="1"/>
  <c r="Q293" i="4"/>
  <c r="P293" i="4"/>
  <c r="O293" i="4"/>
  <c r="N293" i="4"/>
  <c r="M293" i="4"/>
  <c r="K293" i="4"/>
  <c r="J293" i="4"/>
  <c r="L293" i="4" s="1"/>
  <c r="H293" i="4"/>
  <c r="G293" i="4"/>
  <c r="I293" i="4" s="1" a="1"/>
  <c r="I293" i="4" s="1"/>
  <c r="F293" i="4"/>
  <c r="C293" i="4"/>
  <c r="B293" i="4"/>
  <c r="A293" i="4" s="1"/>
  <c r="V292" i="4"/>
  <c r="U292" i="4"/>
  <c r="T292" i="4"/>
  <c r="S292" i="4"/>
  <c r="R292" i="4"/>
  <c r="Q292" i="4"/>
  <c r="P292" i="4"/>
  <c r="O292" i="4"/>
  <c r="N292" i="4"/>
  <c r="M292" i="4"/>
  <c r="K292" i="4"/>
  <c r="J292" i="4"/>
  <c r="L292" i="4" s="1"/>
  <c r="H292" i="4"/>
  <c r="G292" i="4"/>
  <c r="I292" i="4" s="1" a="1"/>
  <c r="I292" i="4" s="1"/>
  <c r="F292" i="4"/>
  <c r="C292" i="4"/>
  <c r="B292" i="4"/>
  <c r="V291" i="4"/>
  <c r="T291" i="4"/>
  <c r="S291" i="4"/>
  <c r="R291" i="4"/>
  <c r="U291" i="4" s="1"/>
  <c r="Q291" i="4"/>
  <c r="P291" i="4"/>
  <c r="O291" i="4"/>
  <c r="N291" i="4"/>
  <c r="M291" i="4"/>
  <c r="L291" i="4"/>
  <c r="K291" i="4"/>
  <c r="J291" i="4"/>
  <c r="I291" i="4" a="1"/>
  <c r="I291" i="4" s="1"/>
  <c r="H291" i="4"/>
  <c r="G291" i="4"/>
  <c r="F291" i="4"/>
  <c r="D291" i="4"/>
  <c r="C291" i="4"/>
  <c r="B291" i="4"/>
  <c r="A291" i="4"/>
  <c r="V290" i="4"/>
  <c r="U290" i="4"/>
  <c r="T290" i="4"/>
  <c r="S290" i="4"/>
  <c r="R290" i="4"/>
  <c r="Q290" i="4"/>
  <c r="P290" i="4"/>
  <c r="O290" i="4"/>
  <c r="N290" i="4"/>
  <c r="M290" i="4"/>
  <c r="L290" i="4"/>
  <c r="K290" i="4"/>
  <c r="J290" i="4"/>
  <c r="I290" i="4"/>
  <c r="I290" i="4" a="1"/>
  <c r="H290" i="4"/>
  <c r="G290" i="4"/>
  <c r="F290" i="4"/>
  <c r="C290" i="4"/>
  <c r="B290" i="4"/>
  <c r="V289" i="4"/>
  <c r="U289" i="4"/>
  <c r="T289" i="4"/>
  <c r="S289" i="4"/>
  <c r="R289" i="4"/>
  <c r="Q289" i="4"/>
  <c r="P289" i="4"/>
  <c r="O289" i="4"/>
  <c r="N289" i="4"/>
  <c r="M289" i="4"/>
  <c r="L289" i="4"/>
  <c r="K289" i="4"/>
  <c r="J289" i="4"/>
  <c r="I289" i="4"/>
  <c r="I289" i="4" a="1"/>
  <c r="H289" i="4"/>
  <c r="G289" i="4"/>
  <c r="F289" i="4"/>
  <c r="C289" i="4"/>
  <c r="B289" i="4"/>
  <c r="A289" i="4"/>
  <c r="V288" i="4"/>
  <c r="U288" i="4"/>
  <c r="T288" i="4"/>
  <c r="S288" i="4"/>
  <c r="R288" i="4"/>
  <c r="Q288" i="4"/>
  <c r="P288" i="4"/>
  <c r="O288" i="4"/>
  <c r="N288" i="4"/>
  <c r="M288" i="4"/>
  <c r="K288" i="4"/>
  <c r="J288" i="4"/>
  <c r="L288" i="4" s="1"/>
  <c r="H288" i="4"/>
  <c r="G288" i="4"/>
  <c r="I288" i="4" s="1" a="1"/>
  <c r="I288" i="4" s="1"/>
  <c r="F288" i="4"/>
  <c r="C288" i="4"/>
  <c r="B288" i="4"/>
  <c r="W288" i="4" s="1"/>
  <c r="V287" i="4"/>
  <c r="T287" i="4"/>
  <c r="S287" i="4"/>
  <c r="R287" i="4"/>
  <c r="U287" i="4" s="1"/>
  <c r="Q287" i="4"/>
  <c r="P287" i="4"/>
  <c r="O287" i="4"/>
  <c r="N287" i="4"/>
  <c r="M287" i="4"/>
  <c r="L287" i="4"/>
  <c r="K287" i="4"/>
  <c r="J287" i="4"/>
  <c r="H287" i="4"/>
  <c r="G287" i="4"/>
  <c r="F287" i="4"/>
  <c r="D287" i="4"/>
  <c r="C287" i="4"/>
  <c r="B287" i="4"/>
  <c r="A287" i="4"/>
  <c r="V286" i="4"/>
  <c r="U286" i="4"/>
  <c r="T286" i="4"/>
  <c r="S286" i="4"/>
  <c r="R286" i="4"/>
  <c r="Q286" i="4"/>
  <c r="P286" i="4"/>
  <c r="O286" i="4"/>
  <c r="W286" i="4" s="1"/>
  <c r="N286" i="4"/>
  <c r="M286" i="4"/>
  <c r="L286" i="4"/>
  <c r="K286" i="4"/>
  <c r="J286" i="4"/>
  <c r="I286" i="4" a="1"/>
  <c r="I286" i="4" s="1"/>
  <c r="H286" i="4"/>
  <c r="G286" i="4"/>
  <c r="F286" i="4"/>
  <c r="D286" i="4"/>
  <c r="C286" i="4"/>
  <c r="B286" i="4"/>
  <c r="A286" i="4"/>
  <c r="V285" i="4"/>
  <c r="U285" i="4"/>
  <c r="T285" i="4"/>
  <c r="S285" i="4"/>
  <c r="R285" i="4"/>
  <c r="Q285" i="4"/>
  <c r="P285" i="4"/>
  <c r="O285" i="4"/>
  <c r="N285" i="4"/>
  <c r="M285" i="4"/>
  <c r="L285" i="4"/>
  <c r="K285" i="4"/>
  <c r="J285" i="4"/>
  <c r="I285" i="4" a="1"/>
  <c r="I285" i="4" s="1"/>
  <c r="H285" i="4"/>
  <c r="G285" i="4"/>
  <c r="F285" i="4"/>
  <c r="C285" i="4"/>
  <c r="B285" i="4"/>
  <c r="A285" i="4" s="1"/>
  <c r="V284" i="4"/>
  <c r="T284" i="4"/>
  <c r="S284" i="4"/>
  <c r="R284" i="4"/>
  <c r="U284" i="4" s="1"/>
  <c r="Q284" i="4"/>
  <c r="P284" i="4"/>
  <c r="O284" i="4"/>
  <c r="W284" i="4" s="1"/>
  <c r="N284" i="4"/>
  <c r="M284" i="4"/>
  <c r="K284" i="4"/>
  <c r="J284" i="4"/>
  <c r="L284" i="4" s="1"/>
  <c r="I284" i="4"/>
  <c r="H284" i="4"/>
  <c r="G284" i="4"/>
  <c r="I284" i="4" s="1" a="1"/>
  <c r="F284" i="4"/>
  <c r="D284" i="4"/>
  <c r="C284" i="4"/>
  <c r="B284" i="4"/>
  <c r="V283" i="4"/>
  <c r="T283" i="4"/>
  <c r="S283" i="4"/>
  <c r="R283" i="4"/>
  <c r="U283" i="4" s="1"/>
  <c r="Q283" i="4"/>
  <c r="P283" i="4"/>
  <c r="O283" i="4"/>
  <c r="N283" i="4"/>
  <c r="M283" i="4"/>
  <c r="K283" i="4"/>
  <c r="J283" i="4"/>
  <c r="L283" i="4" s="1"/>
  <c r="H283" i="4"/>
  <c r="G283" i="4"/>
  <c r="I283" i="4" s="1" a="1"/>
  <c r="I283" i="4" s="1"/>
  <c r="F283" i="4"/>
  <c r="D283" i="4"/>
  <c r="C283" i="4"/>
  <c r="B283" i="4"/>
  <c r="A283" i="4"/>
  <c r="V282" i="4"/>
  <c r="U282" i="4"/>
  <c r="T282" i="4"/>
  <c r="S282" i="4"/>
  <c r="R282" i="4"/>
  <c r="Q282" i="4"/>
  <c r="P282" i="4"/>
  <c r="O282" i="4"/>
  <c r="W282" i="4" s="1"/>
  <c r="N282" i="4"/>
  <c r="M282" i="4"/>
  <c r="L282" i="4"/>
  <c r="K282" i="4"/>
  <c r="J282" i="4"/>
  <c r="I282" i="4" a="1"/>
  <c r="I282" i="4" s="1"/>
  <c r="H282" i="4"/>
  <c r="G282" i="4"/>
  <c r="F282" i="4"/>
  <c r="D282" i="4"/>
  <c r="C282" i="4"/>
  <c r="B282" i="4"/>
  <c r="A282" i="4"/>
  <c r="V281" i="4"/>
  <c r="T281" i="4"/>
  <c r="S281" i="4"/>
  <c r="R281" i="4"/>
  <c r="U281" i="4" s="1"/>
  <c r="Q281" i="4"/>
  <c r="P281" i="4"/>
  <c r="O281" i="4"/>
  <c r="N281" i="4"/>
  <c r="M281" i="4"/>
  <c r="K281" i="4"/>
  <c r="J281" i="4"/>
  <c r="L281" i="4" s="1"/>
  <c r="H281" i="4"/>
  <c r="G281" i="4"/>
  <c r="I281" i="4" s="1" a="1"/>
  <c r="I281" i="4" s="1"/>
  <c r="F281" i="4"/>
  <c r="C281" i="4"/>
  <c r="B281" i="4"/>
  <c r="A281" i="4" s="1"/>
  <c r="V280" i="4"/>
  <c r="T280" i="4"/>
  <c r="S280" i="4"/>
  <c r="R280" i="4"/>
  <c r="U280" i="4" s="1"/>
  <c r="Q280" i="4"/>
  <c r="P280" i="4"/>
  <c r="O280" i="4"/>
  <c r="N280" i="4"/>
  <c r="M280" i="4"/>
  <c r="W280" i="4" s="1"/>
  <c r="K280" i="4"/>
  <c r="J280" i="4"/>
  <c r="L280" i="4" s="1"/>
  <c r="I280" i="4"/>
  <c r="H280" i="4"/>
  <c r="G280" i="4"/>
  <c r="I280" i="4" s="1" a="1"/>
  <c r="F280" i="4"/>
  <c r="D280" i="4"/>
  <c r="C280" i="4"/>
  <c r="B280" i="4"/>
  <c r="V279" i="4"/>
  <c r="T279" i="4"/>
  <c r="S279" i="4"/>
  <c r="R279" i="4"/>
  <c r="U279" i="4" s="1"/>
  <c r="Q279" i="4"/>
  <c r="P279" i="4"/>
  <c r="O279" i="4"/>
  <c r="N279" i="4"/>
  <c r="M279" i="4"/>
  <c r="K279" i="4"/>
  <c r="J279" i="4"/>
  <c r="W279" i="4" s="1"/>
  <c r="I279" i="4" a="1"/>
  <c r="I279" i="4" s="1"/>
  <c r="H279" i="4"/>
  <c r="G279" i="4"/>
  <c r="F279" i="4"/>
  <c r="D279" i="4"/>
  <c r="C279" i="4"/>
  <c r="B279" i="4"/>
  <c r="A279" i="4"/>
  <c r="V278" i="4"/>
  <c r="U278" i="4"/>
  <c r="T278" i="4"/>
  <c r="S278" i="4"/>
  <c r="R278" i="4"/>
  <c r="Q278" i="4"/>
  <c r="P278" i="4"/>
  <c r="O278" i="4"/>
  <c r="N278" i="4"/>
  <c r="M278" i="4"/>
  <c r="L278" i="4"/>
  <c r="K278" i="4"/>
  <c r="J278" i="4"/>
  <c r="I278" i="4"/>
  <c r="I278" i="4" a="1"/>
  <c r="H278" i="4"/>
  <c r="G278" i="4"/>
  <c r="F278" i="4"/>
  <c r="C278" i="4"/>
  <c r="B278" i="4"/>
  <c r="V277" i="4"/>
  <c r="T277" i="4"/>
  <c r="S277" i="4"/>
  <c r="R277" i="4"/>
  <c r="U277" i="4" s="1"/>
  <c r="Q277" i="4"/>
  <c r="P277" i="4"/>
  <c r="O277" i="4"/>
  <c r="N277" i="4"/>
  <c r="M277" i="4"/>
  <c r="K277" i="4"/>
  <c r="J277" i="4"/>
  <c r="L277" i="4" s="1"/>
  <c r="H277" i="4"/>
  <c r="G277" i="4"/>
  <c r="I277" i="4" s="1" a="1"/>
  <c r="I277" i="4" s="1"/>
  <c r="F277" i="4"/>
  <c r="C277" i="4"/>
  <c r="B277" i="4"/>
  <c r="A277" i="4" s="1"/>
  <c r="V276" i="4"/>
  <c r="U276" i="4"/>
  <c r="T276" i="4"/>
  <c r="S276" i="4"/>
  <c r="R276" i="4"/>
  <c r="Q276" i="4"/>
  <c r="P276" i="4"/>
  <c r="O276" i="4"/>
  <c r="N276" i="4"/>
  <c r="M276" i="4"/>
  <c r="K276" i="4"/>
  <c r="J276" i="4"/>
  <c r="L276" i="4" s="1"/>
  <c r="H276" i="4"/>
  <c r="G276" i="4"/>
  <c r="I276" i="4" s="1" a="1"/>
  <c r="I276" i="4" s="1"/>
  <c r="F276" i="4"/>
  <c r="C276" i="4"/>
  <c r="B276" i="4"/>
  <c r="W276" i="4" s="1"/>
  <c r="V275" i="4"/>
  <c r="T275" i="4"/>
  <c r="S275" i="4"/>
  <c r="R275" i="4"/>
  <c r="U275" i="4" s="1"/>
  <c r="Q275" i="4"/>
  <c r="P275" i="4"/>
  <c r="W275" i="4" s="1"/>
  <c r="O275" i="4"/>
  <c r="N275" i="4"/>
  <c r="M275" i="4"/>
  <c r="L275" i="4"/>
  <c r="K275" i="4"/>
  <c r="J275" i="4"/>
  <c r="I275" i="4" a="1"/>
  <c r="I275" i="4" s="1"/>
  <c r="H275" i="4"/>
  <c r="G275" i="4"/>
  <c r="F275" i="4"/>
  <c r="D275" i="4"/>
  <c r="C275" i="4"/>
  <c r="B275" i="4"/>
  <c r="A275" i="4"/>
  <c r="V274" i="4"/>
  <c r="U274" i="4"/>
  <c r="T274" i="4"/>
  <c r="S274" i="4"/>
  <c r="R274" i="4"/>
  <c r="Q274" i="4"/>
  <c r="P274" i="4"/>
  <c r="O274" i="4"/>
  <c r="N274" i="4"/>
  <c r="M274" i="4"/>
  <c r="L274" i="4"/>
  <c r="K274" i="4"/>
  <c r="J274" i="4"/>
  <c r="I274" i="4"/>
  <c r="I274" i="4" a="1"/>
  <c r="H274" i="4"/>
  <c r="G274" i="4"/>
  <c r="F274" i="4"/>
  <c r="C274" i="4"/>
  <c r="B274" i="4"/>
  <c r="V273" i="4"/>
  <c r="T273" i="4"/>
  <c r="S273" i="4"/>
  <c r="R273" i="4"/>
  <c r="U273" i="4" s="1"/>
  <c r="Q273" i="4"/>
  <c r="P273" i="4"/>
  <c r="O273" i="4"/>
  <c r="N273" i="4"/>
  <c r="M273" i="4"/>
  <c r="K273" i="4"/>
  <c r="J273" i="4"/>
  <c r="L273" i="4" s="1"/>
  <c r="H273" i="4"/>
  <c r="G273" i="4"/>
  <c r="I273" i="4" s="1" a="1"/>
  <c r="I273" i="4" s="1"/>
  <c r="F273" i="4"/>
  <c r="C273" i="4"/>
  <c r="B273" i="4"/>
  <c r="V272" i="4"/>
  <c r="T272" i="4"/>
  <c r="S272" i="4"/>
  <c r="R272" i="4"/>
  <c r="U272" i="4" s="1"/>
  <c r="Q272" i="4"/>
  <c r="P272" i="4"/>
  <c r="O272" i="4"/>
  <c r="W272" i="4" s="1"/>
  <c r="N272" i="4"/>
  <c r="M272" i="4"/>
  <c r="K272" i="4"/>
  <c r="J272" i="4"/>
  <c r="L272" i="4" s="1"/>
  <c r="H272" i="4"/>
  <c r="G272" i="4"/>
  <c r="I272" i="4" s="1" a="1"/>
  <c r="I272" i="4" s="1"/>
  <c r="F272" i="4"/>
  <c r="D272" i="4"/>
  <c r="C272" i="4"/>
  <c r="B272" i="4"/>
  <c r="A272" i="4"/>
  <c r="V271" i="4"/>
  <c r="U271" i="4"/>
  <c r="T271" i="4"/>
  <c r="S271" i="4"/>
  <c r="R271" i="4"/>
  <c r="Q271" i="4"/>
  <c r="P271" i="4"/>
  <c r="O271" i="4"/>
  <c r="W271" i="4" s="1"/>
  <c r="N271" i="4"/>
  <c r="M271" i="4"/>
  <c r="L271" i="4"/>
  <c r="K271" i="4"/>
  <c r="J271" i="4"/>
  <c r="I271" i="4" a="1"/>
  <c r="I271" i="4" s="1"/>
  <c r="H271" i="4"/>
  <c r="G271" i="4"/>
  <c r="F271" i="4"/>
  <c r="D271" i="4"/>
  <c r="C271" i="4"/>
  <c r="B271" i="4"/>
  <c r="A271" i="4"/>
  <c r="V270" i="4"/>
  <c r="U270" i="4"/>
  <c r="T270" i="4"/>
  <c r="S270" i="4"/>
  <c r="R270" i="4"/>
  <c r="Q270" i="4"/>
  <c r="P270" i="4"/>
  <c r="O270" i="4"/>
  <c r="N270" i="4"/>
  <c r="M270" i="4"/>
  <c r="L270" i="4"/>
  <c r="K270" i="4"/>
  <c r="J270" i="4"/>
  <c r="I270" i="4"/>
  <c r="I270" i="4" a="1"/>
  <c r="H270" i="4"/>
  <c r="G270" i="4"/>
  <c r="F270" i="4"/>
  <c r="C270" i="4"/>
  <c r="B270" i="4"/>
  <c r="V269" i="4"/>
  <c r="T269" i="4"/>
  <c r="S269" i="4"/>
  <c r="R269" i="4"/>
  <c r="U269" i="4" s="1"/>
  <c r="Q269" i="4"/>
  <c r="P269" i="4"/>
  <c r="O269" i="4"/>
  <c r="N269" i="4"/>
  <c r="M269" i="4"/>
  <c r="K269" i="4"/>
  <c r="J269" i="4"/>
  <c r="L269" i="4" s="1"/>
  <c r="H269" i="4"/>
  <c r="G269" i="4"/>
  <c r="I269" i="4" s="1" a="1"/>
  <c r="I269" i="4" s="1"/>
  <c r="F269" i="4"/>
  <c r="C269" i="4"/>
  <c r="B269" i="4"/>
  <c r="V268" i="4"/>
  <c r="T268" i="4"/>
  <c r="S268" i="4"/>
  <c r="R268" i="4"/>
  <c r="U268" i="4" s="1"/>
  <c r="Q268" i="4"/>
  <c r="P268" i="4"/>
  <c r="O268" i="4"/>
  <c r="W268" i="4" s="1"/>
  <c r="N268" i="4"/>
  <c r="M268" i="4"/>
  <c r="K268" i="4"/>
  <c r="J268" i="4"/>
  <c r="L268" i="4" s="1"/>
  <c r="H268" i="4"/>
  <c r="G268" i="4"/>
  <c r="I268" i="4" s="1" a="1"/>
  <c r="I268" i="4" s="1"/>
  <c r="F268" i="4"/>
  <c r="D268" i="4"/>
  <c r="C268" i="4"/>
  <c r="B268" i="4"/>
  <c r="A268" i="4"/>
  <c r="V267" i="4"/>
  <c r="U267" i="4"/>
  <c r="T267" i="4"/>
  <c r="S267" i="4"/>
  <c r="R267" i="4"/>
  <c r="Q267" i="4"/>
  <c r="P267" i="4"/>
  <c r="O267" i="4"/>
  <c r="W267" i="4" s="1"/>
  <c r="N267" i="4"/>
  <c r="M267" i="4"/>
  <c r="L267" i="4"/>
  <c r="K267" i="4"/>
  <c r="J267" i="4"/>
  <c r="I267" i="4" a="1"/>
  <c r="I267" i="4" s="1"/>
  <c r="H267" i="4"/>
  <c r="G267" i="4"/>
  <c r="F267" i="4"/>
  <c r="D267" i="4"/>
  <c r="C267" i="4"/>
  <c r="B267" i="4"/>
  <c r="A267" i="4"/>
  <c r="V266" i="4"/>
  <c r="U266" i="4"/>
  <c r="T266" i="4"/>
  <c r="S266" i="4"/>
  <c r="R266" i="4"/>
  <c r="Q266" i="4"/>
  <c r="P266" i="4"/>
  <c r="O266" i="4"/>
  <c r="N266" i="4"/>
  <c r="M266" i="4"/>
  <c r="L266" i="4"/>
  <c r="K266" i="4"/>
  <c r="J266" i="4"/>
  <c r="I266" i="4"/>
  <c r="I266" i="4" a="1"/>
  <c r="H266" i="4"/>
  <c r="G266" i="4"/>
  <c r="F266" i="4"/>
  <c r="C266" i="4"/>
  <c r="B266" i="4"/>
  <c r="V265" i="4"/>
  <c r="T265" i="4"/>
  <c r="S265" i="4"/>
  <c r="R265" i="4"/>
  <c r="U265" i="4" s="1"/>
  <c r="Q265" i="4"/>
  <c r="P265" i="4"/>
  <c r="O265" i="4"/>
  <c r="N265" i="4"/>
  <c r="M265" i="4"/>
  <c r="K265" i="4"/>
  <c r="J265" i="4"/>
  <c r="L265" i="4" s="1"/>
  <c r="H265" i="4"/>
  <c r="G265" i="4"/>
  <c r="I265" i="4" s="1" a="1"/>
  <c r="I265" i="4" s="1"/>
  <c r="F265" i="4"/>
  <c r="C265" i="4"/>
  <c r="B265" i="4"/>
  <c r="V264" i="4"/>
  <c r="T264" i="4"/>
  <c r="S264" i="4"/>
  <c r="R264" i="4"/>
  <c r="U264" i="4" s="1"/>
  <c r="Q264" i="4"/>
  <c r="P264" i="4"/>
  <c r="O264" i="4"/>
  <c r="W264" i="4" s="1"/>
  <c r="N264" i="4"/>
  <c r="M264" i="4"/>
  <c r="K264" i="4"/>
  <c r="J264" i="4"/>
  <c r="L264" i="4" s="1"/>
  <c r="H264" i="4"/>
  <c r="G264" i="4"/>
  <c r="F264" i="4"/>
  <c r="D264" i="4"/>
  <c r="C264" i="4"/>
  <c r="B264" i="4"/>
  <c r="A264" i="4"/>
  <c r="V263" i="4"/>
  <c r="U263" i="4"/>
  <c r="T263" i="4"/>
  <c r="S263" i="4"/>
  <c r="R263" i="4"/>
  <c r="Q263" i="4"/>
  <c r="P263" i="4"/>
  <c r="O263" i="4"/>
  <c r="W263" i="4" s="1"/>
  <c r="N263" i="4"/>
  <c r="M263" i="4"/>
  <c r="L263" i="4"/>
  <c r="K263" i="4"/>
  <c r="J263" i="4"/>
  <c r="I263" i="4" a="1"/>
  <c r="I263" i="4" s="1"/>
  <c r="H263" i="4"/>
  <c r="G263" i="4"/>
  <c r="F263" i="4"/>
  <c r="D263" i="4"/>
  <c r="C263" i="4"/>
  <c r="B263" i="4"/>
  <c r="A263" i="4"/>
  <c r="V262" i="4"/>
  <c r="U262" i="4"/>
  <c r="T262" i="4"/>
  <c r="S262" i="4"/>
  <c r="R262" i="4"/>
  <c r="Q262" i="4"/>
  <c r="P262" i="4"/>
  <c r="O262" i="4"/>
  <c r="N262" i="4"/>
  <c r="M262" i="4"/>
  <c r="L262" i="4"/>
  <c r="K262" i="4"/>
  <c r="J262" i="4"/>
  <c r="I262" i="4"/>
  <c r="I262" i="4" a="1"/>
  <c r="H262" i="4"/>
  <c r="G262" i="4"/>
  <c r="F262" i="4"/>
  <c r="C262" i="4"/>
  <c r="B262" i="4"/>
  <c r="V261" i="4"/>
  <c r="T261" i="4"/>
  <c r="S261" i="4"/>
  <c r="R261" i="4"/>
  <c r="U261" i="4" s="1"/>
  <c r="Q261" i="4"/>
  <c r="P261" i="4"/>
  <c r="O261" i="4"/>
  <c r="N261" i="4"/>
  <c r="M261" i="4"/>
  <c r="K261" i="4"/>
  <c r="J261" i="4"/>
  <c r="L261" i="4" s="1"/>
  <c r="H261" i="4"/>
  <c r="G261" i="4"/>
  <c r="I261" i="4" s="1" a="1"/>
  <c r="I261" i="4" s="1"/>
  <c r="F261" i="4"/>
  <c r="C261" i="4"/>
  <c r="B261" i="4"/>
  <c r="V260" i="4"/>
  <c r="T260" i="4"/>
  <c r="S260" i="4"/>
  <c r="R260" i="4"/>
  <c r="U260" i="4" s="1"/>
  <c r="Q260" i="4"/>
  <c r="P260" i="4"/>
  <c r="O260" i="4"/>
  <c r="W260" i="4" s="1"/>
  <c r="N260" i="4"/>
  <c r="M260" i="4"/>
  <c r="K260" i="4"/>
  <c r="J260" i="4"/>
  <c r="L260" i="4" s="1"/>
  <c r="H260" i="4"/>
  <c r="G260" i="4"/>
  <c r="F260" i="4"/>
  <c r="D260" i="4"/>
  <c r="C260" i="4"/>
  <c r="B260" i="4"/>
  <c r="A260" i="4"/>
  <c r="V259" i="4"/>
  <c r="U259" i="4"/>
  <c r="T259" i="4"/>
  <c r="S259" i="4"/>
  <c r="R259" i="4"/>
  <c r="Q259" i="4"/>
  <c r="P259" i="4"/>
  <c r="O259" i="4"/>
  <c r="W259" i="4" s="1"/>
  <c r="N259" i="4"/>
  <c r="M259" i="4"/>
  <c r="L259" i="4"/>
  <c r="K259" i="4"/>
  <c r="J259" i="4"/>
  <c r="I259" i="4" a="1"/>
  <c r="I259" i="4" s="1"/>
  <c r="H259" i="4"/>
  <c r="G259" i="4"/>
  <c r="F259" i="4"/>
  <c r="D259" i="4"/>
  <c r="C259" i="4"/>
  <c r="B259" i="4"/>
  <c r="A259" i="4"/>
  <c r="V258" i="4"/>
  <c r="U258" i="4"/>
  <c r="T258" i="4"/>
  <c r="S258" i="4"/>
  <c r="R258" i="4"/>
  <c r="Q258" i="4"/>
  <c r="P258" i="4"/>
  <c r="O258" i="4"/>
  <c r="N258" i="4"/>
  <c r="M258" i="4"/>
  <c r="L258" i="4"/>
  <c r="K258" i="4"/>
  <c r="J258" i="4"/>
  <c r="I258" i="4"/>
  <c r="I258" i="4" a="1"/>
  <c r="H258" i="4"/>
  <c r="G258" i="4"/>
  <c r="F258" i="4"/>
  <c r="C258" i="4"/>
  <c r="B258" i="4"/>
  <c r="V257" i="4"/>
  <c r="T257" i="4"/>
  <c r="S257" i="4"/>
  <c r="R257" i="4"/>
  <c r="U257" i="4" s="1"/>
  <c r="Q257" i="4"/>
  <c r="P257" i="4"/>
  <c r="O257" i="4"/>
  <c r="N257" i="4"/>
  <c r="M257" i="4"/>
  <c r="K257" i="4"/>
  <c r="J257" i="4"/>
  <c r="L257" i="4" s="1"/>
  <c r="H257" i="4"/>
  <c r="G257" i="4"/>
  <c r="I257" i="4" s="1" a="1"/>
  <c r="I257" i="4" s="1"/>
  <c r="F257" i="4"/>
  <c r="C257" i="4"/>
  <c r="B257" i="4"/>
  <c r="V256" i="4"/>
  <c r="T256" i="4"/>
  <c r="S256" i="4"/>
  <c r="R256" i="4"/>
  <c r="U256" i="4" s="1"/>
  <c r="Q256" i="4"/>
  <c r="P256" i="4"/>
  <c r="O256" i="4"/>
  <c r="W256" i="4" s="1"/>
  <c r="N256" i="4"/>
  <c r="M256" i="4"/>
  <c r="K256" i="4"/>
  <c r="J256" i="4"/>
  <c r="L256" i="4" s="1"/>
  <c r="H256" i="4"/>
  <c r="G256" i="4"/>
  <c r="F256" i="4"/>
  <c r="D256" i="4"/>
  <c r="C256" i="4"/>
  <c r="B256" i="4"/>
  <c r="A256" i="4"/>
  <c r="V255" i="4"/>
  <c r="U255" i="4"/>
  <c r="T255" i="4"/>
  <c r="S255" i="4"/>
  <c r="R255" i="4"/>
  <c r="Q255" i="4"/>
  <c r="P255" i="4"/>
  <c r="O255" i="4"/>
  <c r="W255" i="4" s="1"/>
  <c r="N255" i="4"/>
  <c r="M255" i="4"/>
  <c r="L255" i="4"/>
  <c r="K255" i="4"/>
  <c r="J255" i="4"/>
  <c r="I255" i="4" a="1"/>
  <c r="I255" i="4" s="1"/>
  <c r="H255" i="4"/>
  <c r="G255" i="4"/>
  <c r="F255" i="4"/>
  <c r="D255" i="4"/>
  <c r="C255" i="4"/>
  <c r="B255" i="4"/>
  <c r="A255" i="4"/>
  <c r="V254" i="4"/>
  <c r="U254" i="4"/>
  <c r="T254" i="4"/>
  <c r="S254" i="4"/>
  <c r="R254" i="4"/>
  <c r="Q254" i="4"/>
  <c r="P254" i="4"/>
  <c r="O254" i="4"/>
  <c r="N254" i="4"/>
  <c r="M254" i="4"/>
  <c r="L254" i="4"/>
  <c r="K254" i="4"/>
  <c r="J254" i="4"/>
  <c r="I254" i="4"/>
  <c r="I254" i="4" a="1"/>
  <c r="H254" i="4"/>
  <c r="G254" i="4"/>
  <c r="F254" i="4"/>
  <c r="C254" i="4"/>
  <c r="B254" i="4"/>
  <c r="V253" i="4"/>
  <c r="T253" i="4"/>
  <c r="S253" i="4"/>
  <c r="R253" i="4"/>
  <c r="U253" i="4" s="1"/>
  <c r="Q253" i="4"/>
  <c r="P253" i="4"/>
  <c r="O253" i="4"/>
  <c r="N253" i="4"/>
  <c r="M253" i="4"/>
  <c r="K253" i="4"/>
  <c r="J253" i="4"/>
  <c r="L253" i="4" s="1"/>
  <c r="H253" i="4"/>
  <c r="G253" i="4"/>
  <c r="I253" i="4" s="1" a="1"/>
  <c r="I253" i="4" s="1"/>
  <c r="F253" i="4"/>
  <c r="C253" i="4"/>
  <c r="B253" i="4"/>
  <c r="V252" i="4"/>
  <c r="T252" i="4"/>
  <c r="S252" i="4"/>
  <c r="R252" i="4"/>
  <c r="U252" i="4" s="1"/>
  <c r="Q252" i="4"/>
  <c r="P252" i="4"/>
  <c r="O252" i="4"/>
  <c r="W252" i="4" s="1"/>
  <c r="N252" i="4"/>
  <c r="M252" i="4"/>
  <c r="K252" i="4"/>
  <c r="J252" i="4"/>
  <c r="L252" i="4" s="1"/>
  <c r="H252" i="4"/>
  <c r="G252" i="4"/>
  <c r="F252" i="4"/>
  <c r="D252" i="4"/>
  <c r="C252" i="4"/>
  <c r="B252" i="4"/>
  <c r="A252" i="4"/>
  <c r="V251" i="4"/>
  <c r="U251" i="4"/>
  <c r="T251" i="4"/>
  <c r="S251" i="4"/>
  <c r="R251" i="4"/>
  <c r="Q251" i="4"/>
  <c r="P251" i="4"/>
  <c r="O251" i="4"/>
  <c r="W251" i="4" s="1"/>
  <c r="N251" i="4"/>
  <c r="M251" i="4"/>
  <c r="L251" i="4"/>
  <c r="K251" i="4"/>
  <c r="J251" i="4"/>
  <c r="I251" i="4" a="1"/>
  <c r="I251" i="4" s="1"/>
  <c r="H251" i="4"/>
  <c r="G251" i="4"/>
  <c r="F251" i="4"/>
  <c r="D251" i="4"/>
  <c r="C251" i="4"/>
  <c r="B251" i="4"/>
  <c r="A251" i="4"/>
  <c r="V250" i="4"/>
  <c r="U250" i="4"/>
  <c r="T250" i="4"/>
  <c r="S250" i="4"/>
  <c r="R250" i="4"/>
  <c r="Q250" i="4"/>
  <c r="P250" i="4"/>
  <c r="O250" i="4"/>
  <c r="N250" i="4"/>
  <c r="M250" i="4"/>
  <c r="L250" i="4"/>
  <c r="K250" i="4"/>
  <c r="J250" i="4"/>
  <c r="I250" i="4"/>
  <c r="I250" i="4" a="1"/>
  <c r="H250" i="4"/>
  <c r="G250" i="4"/>
  <c r="F250" i="4"/>
  <c r="C250" i="4"/>
  <c r="B250" i="4"/>
  <c r="V249" i="4"/>
  <c r="T249" i="4"/>
  <c r="S249" i="4"/>
  <c r="R249" i="4"/>
  <c r="U249" i="4" s="1"/>
  <c r="Q249" i="4"/>
  <c r="P249" i="4"/>
  <c r="O249" i="4"/>
  <c r="N249" i="4"/>
  <c r="M249" i="4"/>
  <c r="K249" i="4"/>
  <c r="J249" i="4"/>
  <c r="L249" i="4" s="1"/>
  <c r="H249" i="4"/>
  <c r="G249" i="4"/>
  <c r="I249" i="4" s="1" a="1"/>
  <c r="I249" i="4" s="1"/>
  <c r="F249" i="4"/>
  <c r="C249" i="4"/>
  <c r="B249" i="4"/>
  <c r="V248" i="4"/>
  <c r="T248" i="4"/>
  <c r="S248" i="4"/>
  <c r="R248" i="4"/>
  <c r="U248" i="4" s="1"/>
  <c r="Q248" i="4"/>
  <c r="P248" i="4"/>
  <c r="O248" i="4"/>
  <c r="W248" i="4" s="1"/>
  <c r="N248" i="4"/>
  <c r="M248" i="4"/>
  <c r="K248" i="4"/>
  <c r="J248" i="4"/>
  <c r="L248" i="4" s="1"/>
  <c r="H248" i="4"/>
  <c r="G248" i="4"/>
  <c r="F248" i="4"/>
  <c r="D248" i="4"/>
  <c r="C248" i="4"/>
  <c r="B248" i="4"/>
  <c r="A248" i="4"/>
  <c r="V247" i="4"/>
  <c r="U247" i="4"/>
  <c r="T247" i="4"/>
  <c r="S247" i="4"/>
  <c r="R247" i="4"/>
  <c r="Q247" i="4"/>
  <c r="P247" i="4"/>
  <c r="O247" i="4"/>
  <c r="W247" i="4" s="1"/>
  <c r="N247" i="4"/>
  <c r="M247" i="4"/>
  <c r="L247" i="4"/>
  <c r="K247" i="4"/>
  <c r="J247" i="4"/>
  <c r="I247" i="4" a="1"/>
  <c r="I247" i="4" s="1"/>
  <c r="H247" i="4"/>
  <c r="G247" i="4"/>
  <c r="F247" i="4"/>
  <c r="D247" i="4"/>
  <c r="C247" i="4"/>
  <c r="B247" i="4"/>
  <c r="A247" i="4"/>
  <c r="V246" i="4"/>
  <c r="U246" i="4"/>
  <c r="T246" i="4"/>
  <c r="S246" i="4"/>
  <c r="R246" i="4"/>
  <c r="Q246" i="4"/>
  <c r="P246" i="4"/>
  <c r="O246" i="4"/>
  <c r="N246" i="4"/>
  <c r="M246" i="4"/>
  <c r="L246" i="4"/>
  <c r="K246" i="4"/>
  <c r="J246" i="4"/>
  <c r="I246" i="4"/>
  <c r="I246" i="4" a="1"/>
  <c r="H246" i="4"/>
  <c r="G246" i="4"/>
  <c r="F246" i="4"/>
  <c r="C246" i="4"/>
  <c r="B246" i="4"/>
  <c r="V245" i="4"/>
  <c r="T245" i="4"/>
  <c r="S245" i="4"/>
  <c r="R245" i="4"/>
  <c r="U245" i="4" s="1"/>
  <c r="Q245" i="4"/>
  <c r="P245" i="4"/>
  <c r="O245" i="4"/>
  <c r="N245" i="4"/>
  <c r="M245" i="4"/>
  <c r="K245" i="4"/>
  <c r="J245" i="4"/>
  <c r="L245" i="4" s="1"/>
  <c r="H245" i="4"/>
  <c r="G245" i="4"/>
  <c r="I245" i="4" s="1" a="1"/>
  <c r="I245" i="4" s="1"/>
  <c r="F245" i="4"/>
  <c r="C245" i="4"/>
  <c r="B245" i="4"/>
  <c r="V244" i="4"/>
  <c r="T244" i="4"/>
  <c r="S244" i="4"/>
  <c r="R244" i="4"/>
  <c r="U244" i="4" s="1"/>
  <c r="Q244" i="4"/>
  <c r="P244" i="4"/>
  <c r="O244" i="4"/>
  <c r="W244" i="4" s="1"/>
  <c r="N244" i="4"/>
  <c r="M244" i="4"/>
  <c r="K244" i="4"/>
  <c r="J244" i="4"/>
  <c r="L244" i="4" s="1"/>
  <c r="H244" i="4"/>
  <c r="G244" i="4"/>
  <c r="F244" i="4"/>
  <c r="D244" i="4"/>
  <c r="C244" i="4"/>
  <c r="B244" i="4"/>
  <c r="A244" i="4"/>
  <c r="V243" i="4"/>
  <c r="U243" i="4"/>
  <c r="T243" i="4"/>
  <c r="S243" i="4"/>
  <c r="R243" i="4"/>
  <c r="Q243" i="4"/>
  <c r="P243" i="4"/>
  <c r="O243" i="4"/>
  <c r="W243" i="4" s="1"/>
  <c r="N243" i="4"/>
  <c r="M243" i="4"/>
  <c r="L243" i="4"/>
  <c r="K243" i="4"/>
  <c r="J243" i="4"/>
  <c r="I243" i="4" a="1"/>
  <c r="I243" i="4" s="1"/>
  <c r="H243" i="4"/>
  <c r="G243" i="4"/>
  <c r="F243" i="4"/>
  <c r="D243" i="4"/>
  <c r="C243" i="4"/>
  <c r="B243" i="4"/>
  <c r="A243" i="4"/>
  <c r="V242" i="4"/>
  <c r="U242" i="4"/>
  <c r="T242" i="4"/>
  <c r="S242" i="4"/>
  <c r="R242" i="4"/>
  <c r="Q242" i="4"/>
  <c r="P242" i="4"/>
  <c r="O242" i="4"/>
  <c r="N242" i="4"/>
  <c r="M242" i="4"/>
  <c r="L242" i="4"/>
  <c r="K242" i="4"/>
  <c r="J242" i="4"/>
  <c r="I242" i="4"/>
  <c r="I242" i="4" a="1"/>
  <c r="H242" i="4"/>
  <c r="G242" i="4"/>
  <c r="F242" i="4"/>
  <c r="C242" i="4"/>
  <c r="B242" i="4"/>
  <c r="V241" i="4"/>
  <c r="T241" i="4"/>
  <c r="S241" i="4"/>
  <c r="R241" i="4"/>
  <c r="U241" i="4" s="1"/>
  <c r="Q241" i="4"/>
  <c r="P241" i="4"/>
  <c r="O241" i="4"/>
  <c r="N241" i="4"/>
  <c r="M241" i="4"/>
  <c r="K241" i="4"/>
  <c r="J241" i="4"/>
  <c r="L241" i="4" s="1"/>
  <c r="H241" i="4"/>
  <c r="G241" i="4"/>
  <c r="I241" i="4" s="1" a="1"/>
  <c r="I241" i="4" s="1"/>
  <c r="F241" i="4"/>
  <c r="C241" i="4"/>
  <c r="B241" i="4"/>
  <c r="V240" i="4"/>
  <c r="T240" i="4"/>
  <c r="S240" i="4"/>
  <c r="R240" i="4"/>
  <c r="U240" i="4" s="1"/>
  <c r="Q240" i="4"/>
  <c r="P240" i="4"/>
  <c r="O240" i="4"/>
  <c r="W240" i="4" s="1"/>
  <c r="N240" i="4"/>
  <c r="M240" i="4"/>
  <c r="K240" i="4"/>
  <c r="J240" i="4"/>
  <c r="L240" i="4" s="1"/>
  <c r="H240" i="4"/>
  <c r="G240" i="4"/>
  <c r="F240" i="4"/>
  <c r="D240" i="4"/>
  <c r="C240" i="4"/>
  <c r="B240" i="4"/>
  <c r="A240" i="4"/>
  <c r="V239" i="4"/>
  <c r="U239" i="4"/>
  <c r="T239" i="4"/>
  <c r="S239" i="4"/>
  <c r="R239" i="4"/>
  <c r="Q239" i="4"/>
  <c r="P239" i="4"/>
  <c r="O239" i="4"/>
  <c r="N239" i="4"/>
  <c r="M239" i="4"/>
  <c r="L239" i="4"/>
  <c r="K239" i="4"/>
  <c r="J239" i="4"/>
  <c r="I239" i="4" a="1"/>
  <c r="I239" i="4" s="1"/>
  <c r="H239" i="4"/>
  <c r="G239" i="4"/>
  <c r="F239" i="4"/>
  <c r="D239" i="4"/>
  <c r="C239" i="4"/>
  <c r="B239" i="4"/>
  <c r="A239" i="4"/>
  <c r="V238" i="4"/>
  <c r="U238" i="4"/>
  <c r="T238" i="4"/>
  <c r="S238" i="4"/>
  <c r="R238" i="4"/>
  <c r="Q238" i="4"/>
  <c r="P238" i="4"/>
  <c r="O238" i="4"/>
  <c r="N238" i="4"/>
  <c r="M238" i="4"/>
  <c r="L238" i="4"/>
  <c r="K238" i="4"/>
  <c r="J238" i="4"/>
  <c r="I238" i="4"/>
  <c r="H238" i="4"/>
  <c r="G238" i="4"/>
  <c r="I238" i="4" s="1" a="1"/>
  <c r="F238" i="4"/>
  <c r="C238" i="4"/>
  <c r="B238" i="4"/>
  <c r="V237" i="4"/>
  <c r="T237" i="4"/>
  <c r="S237" i="4"/>
  <c r="R237" i="4"/>
  <c r="U237" i="4" s="1"/>
  <c r="Q237" i="4"/>
  <c r="P237" i="4"/>
  <c r="O237" i="4"/>
  <c r="N237" i="4"/>
  <c r="M237" i="4"/>
  <c r="K237" i="4"/>
  <c r="J237" i="4"/>
  <c r="L237" i="4" s="1"/>
  <c r="H237" i="4"/>
  <c r="G237" i="4"/>
  <c r="I237" i="4" s="1" a="1"/>
  <c r="I237" i="4" s="1"/>
  <c r="F237" i="4"/>
  <c r="C237" i="4"/>
  <c r="B237" i="4"/>
  <c r="V236" i="4"/>
  <c r="T236" i="4"/>
  <c r="S236" i="4"/>
  <c r="R236" i="4"/>
  <c r="U236" i="4" s="1"/>
  <c r="Q236" i="4"/>
  <c r="P236" i="4"/>
  <c r="O236" i="4"/>
  <c r="W236" i="4" s="1"/>
  <c r="N236" i="4"/>
  <c r="M236" i="4"/>
  <c r="K236" i="4"/>
  <c r="J236" i="4"/>
  <c r="L236" i="4" s="1"/>
  <c r="I236" i="4" a="1"/>
  <c r="I236" i="4" s="1"/>
  <c r="H236" i="4"/>
  <c r="G236" i="4"/>
  <c r="F236" i="4"/>
  <c r="D236" i="4"/>
  <c r="C236" i="4"/>
  <c r="B236" i="4"/>
  <c r="A236" i="4"/>
  <c r="V235" i="4"/>
  <c r="U235" i="4"/>
  <c r="T235" i="4"/>
  <c r="S235" i="4"/>
  <c r="R235" i="4"/>
  <c r="Q235" i="4"/>
  <c r="P235" i="4"/>
  <c r="O235" i="4"/>
  <c r="N235" i="4"/>
  <c r="M235" i="4"/>
  <c r="L235" i="4"/>
  <c r="K235" i="4"/>
  <c r="J235" i="4"/>
  <c r="I235" i="4" a="1"/>
  <c r="I235" i="4" s="1"/>
  <c r="H235" i="4"/>
  <c r="G235" i="4"/>
  <c r="F235" i="4"/>
  <c r="C235" i="4"/>
  <c r="B235" i="4"/>
  <c r="W235" i="4" s="1"/>
  <c r="A235" i="4"/>
  <c r="V234" i="4"/>
  <c r="U234" i="4"/>
  <c r="T234" i="4"/>
  <c r="S234" i="4"/>
  <c r="R234" i="4"/>
  <c r="Q234" i="4"/>
  <c r="P234" i="4"/>
  <c r="O234" i="4"/>
  <c r="N234" i="4"/>
  <c r="M234" i="4"/>
  <c r="K234" i="4"/>
  <c r="J234" i="4"/>
  <c r="L234" i="4" s="1"/>
  <c r="I234" i="4"/>
  <c r="I234" i="4" a="1"/>
  <c r="H234" i="4"/>
  <c r="G234" i="4"/>
  <c r="F234" i="4"/>
  <c r="C234" i="4"/>
  <c r="B234" i="4"/>
  <c r="V233" i="4"/>
  <c r="T233" i="4"/>
  <c r="S233" i="4"/>
  <c r="R233" i="4"/>
  <c r="U233" i="4" s="1"/>
  <c r="Q233" i="4"/>
  <c r="P233" i="4"/>
  <c r="O233" i="4"/>
  <c r="N233" i="4"/>
  <c r="M233" i="4"/>
  <c r="K233" i="4"/>
  <c r="J233" i="4"/>
  <c r="L233" i="4" s="1"/>
  <c r="H233" i="4"/>
  <c r="G233" i="4"/>
  <c r="I233" i="4" s="1" a="1"/>
  <c r="I233" i="4" s="1"/>
  <c r="F233" i="4"/>
  <c r="D233" i="4"/>
  <c r="C233" i="4"/>
  <c r="B233" i="4"/>
  <c r="V232" i="4"/>
  <c r="T232" i="4"/>
  <c r="S232" i="4"/>
  <c r="R232" i="4"/>
  <c r="U232" i="4" s="1"/>
  <c r="Q232" i="4"/>
  <c r="P232" i="4"/>
  <c r="O232" i="4"/>
  <c r="W232" i="4" s="1"/>
  <c r="N232" i="4"/>
  <c r="M232" i="4"/>
  <c r="L232" i="4"/>
  <c r="K232" i="4"/>
  <c r="J232" i="4"/>
  <c r="H232" i="4"/>
  <c r="G232" i="4"/>
  <c r="F232" i="4"/>
  <c r="D232" i="4"/>
  <c r="C232" i="4"/>
  <c r="B232" i="4"/>
  <c r="A232" i="4"/>
  <c r="V231" i="4"/>
  <c r="U231" i="4"/>
  <c r="T231" i="4"/>
  <c r="S231" i="4"/>
  <c r="R231" i="4"/>
  <c r="Q231" i="4"/>
  <c r="P231" i="4"/>
  <c r="O231" i="4"/>
  <c r="N231" i="4"/>
  <c r="M231" i="4"/>
  <c r="W231" i="4" s="1"/>
  <c r="L231" i="4"/>
  <c r="K231" i="4"/>
  <c r="J231" i="4"/>
  <c r="I231" i="4" a="1"/>
  <c r="I231" i="4" s="1"/>
  <c r="H231" i="4"/>
  <c r="G231" i="4"/>
  <c r="F231" i="4"/>
  <c r="D231" i="4"/>
  <c r="C231" i="4"/>
  <c r="B231" i="4"/>
  <c r="A231" i="4"/>
  <c r="V230" i="4"/>
  <c r="U230" i="4"/>
  <c r="T230" i="4"/>
  <c r="S230" i="4"/>
  <c r="R230" i="4"/>
  <c r="Q230" i="4"/>
  <c r="P230" i="4"/>
  <c r="O230" i="4"/>
  <c r="N230" i="4"/>
  <c r="M230" i="4"/>
  <c r="L230" i="4"/>
  <c r="K230" i="4"/>
  <c r="J230" i="4"/>
  <c r="I230" i="4"/>
  <c r="H230" i="4"/>
  <c r="G230" i="4"/>
  <c r="I230" i="4" s="1" a="1"/>
  <c r="F230" i="4"/>
  <c r="C230" i="4"/>
  <c r="B230" i="4"/>
  <c r="V229" i="4"/>
  <c r="T229" i="4"/>
  <c r="S229" i="4"/>
  <c r="R229" i="4"/>
  <c r="U229" i="4" s="1"/>
  <c r="Q229" i="4"/>
  <c r="P229" i="4"/>
  <c r="O229" i="4"/>
  <c r="N229" i="4"/>
  <c r="M229" i="4"/>
  <c r="K229" i="4"/>
  <c r="J229" i="4"/>
  <c r="H229" i="4"/>
  <c r="G229" i="4"/>
  <c r="I229" i="4" s="1" a="1"/>
  <c r="I229" i="4" s="1"/>
  <c r="F229" i="4"/>
  <c r="C229" i="4"/>
  <c r="B229" i="4"/>
  <c r="V228" i="4"/>
  <c r="T228" i="4"/>
  <c r="S228" i="4"/>
  <c r="R228" i="4"/>
  <c r="U228" i="4" s="1"/>
  <c r="Q228" i="4"/>
  <c r="P228" i="4"/>
  <c r="O228" i="4"/>
  <c r="W228" i="4" s="1"/>
  <c r="N228" i="4"/>
  <c r="M228" i="4"/>
  <c r="K228" i="4"/>
  <c r="J228" i="4"/>
  <c r="L228" i="4" s="1"/>
  <c r="I228" i="4" a="1"/>
  <c r="I228" i="4" s="1"/>
  <c r="H228" i="4"/>
  <c r="G228" i="4"/>
  <c r="F228" i="4"/>
  <c r="D228" i="4"/>
  <c r="C228" i="4"/>
  <c r="B228" i="4"/>
  <c r="A228" i="4"/>
  <c r="V227" i="4"/>
  <c r="U227" i="4"/>
  <c r="T227" i="4"/>
  <c r="S227" i="4"/>
  <c r="R227" i="4"/>
  <c r="Q227" i="4"/>
  <c r="P227" i="4"/>
  <c r="O227" i="4"/>
  <c r="N227" i="4"/>
  <c r="M227" i="4"/>
  <c r="L227" i="4"/>
  <c r="K227" i="4"/>
  <c r="J227" i="4"/>
  <c r="I227" i="4"/>
  <c r="I227" i="4" a="1"/>
  <c r="H227" i="4"/>
  <c r="G227" i="4"/>
  <c r="F227" i="4"/>
  <c r="C227" i="4"/>
  <c r="B227" i="4"/>
  <c r="V226" i="4"/>
  <c r="U226" i="4"/>
  <c r="T226" i="4"/>
  <c r="S226" i="4"/>
  <c r="R226" i="4"/>
  <c r="Q226" i="4"/>
  <c r="P226" i="4"/>
  <c r="O226" i="4"/>
  <c r="N226" i="4"/>
  <c r="M226" i="4"/>
  <c r="K226" i="4"/>
  <c r="J226" i="4"/>
  <c r="L226" i="4" s="1"/>
  <c r="I226" i="4"/>
  <c r="I226" i="4" a="1"/>
  <c r="H226" i="4"/>
  <c r="G226" i="4"/>
  <c r="F226" i="4"/>
  <c r="C226" i="4"/>
  <c r="B226" i="4"/>
  <c r="V225" i="4"/>
  <c r="T225" i="4"/>
  <c r="S225" i="4"/>
  <c r="R225" i="4"/>
  <c r="U225" i="4" s="1"/>
  <c r="Q225" i="4"/>
  <c r="P225" i="4"/>
  <c r="O225" i="4"/>
  <c r="N225" i="4"/>
  <c r="M225" i="4"/>
  <c r="K225" i="4"/>
  <c r="J225" i="4"/>
  <c r="L225" i="4" s="1"/>
  <c r="H225" i="4"/>
  <c r="G225" i="4"/>
  <c r="I225" i="4" s="1" a="1"/>
  <c r="I225" i="4" s="1"/>
  <c r="F225" i="4"/>
  <c r="D225" i="4"/>
  <c r="C225" i="4"/>
  <c r="B225" i="4"/>
  <c r="V224" i="4"/>
  <c r="T224" i="4"/>
  <c r="S224" i="4"/>
  <c r="R224" i="4"/>
  <c r="U224" i="4" s="1"/>
  <c r="Q224" i="4"/>
  <c r="P224" i="4"/>
  <c r="O224" i="4"/>
  <c r="W224" i="4" s="1"/>
  <c r="N224" i="4"/>
  <c r="M224" i="4"/>
  <c r="L224" i="4"/>
  <c r="K224" i="4"/>
  <c r="J224" i="4"/>
  <c r="H224" i="4"/>
  <c r="G224" i="4"/>
  <c r="F224" i="4"/>
  <c r="D224" i="4"/>
  <c r="C224" i="4"/>
  <c r="B224" i="4"/>
  <c r="A224" i="4"/>
  <c r="V223" i="4"/>
  <c r="U223" i="4"/>
  <c r="T223" i="4"/>
  <c r="S223" i="4"/>
  <c r="R223" i="4"/>
  <c r="Q223" i="4"/>
  <c r="P223" i="4"/>
  <c r="O223" i="4"/>
  <c r="N223" i="4"/>
  <c r="M223" i="4"/>
  <c r="L223" i="4"/>
  <c r="K223" i="4"/>
  <c r="J223" i="4"/>
  <c r="I223" i="4" a="1"/>
  <c r="I223" i="4" s="1"/>
  <c r="H223" i="4"/>
  <c r="G223" i="4"/>
  <c r="F223" i="4"/>
  <c r="D223" i="4"/>
  <c r="C223" i="4"/>
  <c r="B223" i="4"/>
  <c r="W223" i="4" s="1"/>
  <c r="A223" i="4"/>
  <c r="V222" i="4"/>
  <c r="U222" i="4"/>
  <c r="T222" i="4"/>
  <c r="S222" i="4"/>
  <c r="R222" i="4"/>
  <c r="Q222" i="4"/>
  <c r="P222" i="4"/>
  <c r="O222" i="4"/>
  <c r="N222" i="4"/>
  <c r="M222" i="4"/>
  <c r="L222" i="4"/>
  <c r="K222" i="4"/>
  <c r="J222" i="4"/>
  <c r="H222" i="4"/>
  <c r="G222" i="4"/>
  <c r="I222" i="4" s="1" a="1"/>
  <c r="I222" i="4" s="1"/>
  <c r="F222" i="4"/>
  <c r="C222" i="4"/>
  <c r="B222" i="4"/>
  <c r="W221" i="4"/>
  <c r="V221" i="4"/>
  <c r="T221" i="4"/>
  <c r="S221" i="4"/>
  <c r="R221" i="4"/>
  <c r="U221" i="4" s="1"/>
  <c r="Q221" i="4"/>
  <c r="P221" i="4"/>
  <c r="O221" i="4"/>
  <c r="N221" i="4"/>
  <c r="M221" i="4"/>
  <c r="K221" i="4"/>
  <c r="J221" i="4"/>
  <c r="L221" i="4" s="1"/>
  <c r="H221" i="4"/>
  <c r="G221" i="4"/>
  <c r="I221" i="4" s="1" a="1"/>
  <c r="I221" i="4" s="1"/>
  <c r="F221" i="4"/>
  <c r="D221" i="4"/>
  <c r="C221" i="4"/>
  <c r="B221" i="4"/>
  <c r="W220" i="4"/>
  <c r="V220" i="4"/>
  <c r="T220" i="4"/>
  <c r="S220" i="4"/>
  <c r="R220" i="4"/>
  <c r="U220" i="4" s="1"/>
  <c r="Q220" i="4"/>
  <c r="P220" i="4"/>
  <c r="O220" i="4"/>
  <c r="N220" i="4"/>
  <c r="M220" i="4"/>
  <c r="L220" i="4"/>
  <c r="K220" i="4"/>
  <c r="J220" i="4"/>
  <c r="I220" i="4" a="1"/>
  <c r="I220" i="4" s="1"/>
  <c r="H220" i="4"/>
  <c r="G220" i="4"/>
  <c r="F220" i="4"/>
  <c r="D220" i="4"/>
  <c r="C220" i="4"/>
  <c r="B220" i="4"/>
  <c r="A220" i="4"/>
  <c r="V219" i="4"/>
  <c r="U219" i="4"/>
  <c r="T219" i="4"/>
  <c r="S219" i="4"/>
  <c r="R219" i="4"/>
  <c r="Q219" i="4"/>
  <c r="P219" i="4"/>
  <c r="O219" i="4"/>
  <c r="N219" i="4"/>
  <c r="M219" i="4"/>
  <c r="L219" i="4"/>
  <c r="K219" i="4"/>
  <c r="J219" i="4"/>
  <c r="I219" i="4" a="1"/>
  <c r="I219" i="4" s="1"/>
  <c r="H219" i="4"/>
  <c r="G219" i="4"/>
  <c r="F219" i="4"/>
  <c r="C219" i="4"/>
  <c r="B219" i="4"/>
  <c r="A219" i="4" s="1"/>
  <c r="V218" i="4"/>
  <c r="U218" i="4"/>
  <c r="T218" i="4"/>
  <c r="S218" i="4"/>
  <c r="R218" i="4"/>
  <c r="Q218" i="4"/>
  <c r="P218" i="4"/>
  <c r="O218" i="4"/>
  <c r="N218" i="4"/>
  <c r="M218" i="4"/>
  <c r="K218" i="4"/>
  <c r="J218" i="4"/>
  <c r="L218" i="4" s="1"/>
  <c r="I218" i="4"/>
  <c r="I218" i="4" a="1"/>
  <c r="H218" i="4"/>
  <c r="G218" i="4"/>
  <c r="F218" i="4"/>
  <c r="C218" i="4"/>
  <c r="B218" i="4"/>
  <c r="V217" i="4"/>
  <c r="T217" i="4"/>
  <c r="S217" i="4"/>
  <c r="R217" i="4"/>
  <c r="U217" i="4" s="1"/>
  <c r="Q217" i="4"/>
  <c r="P217" i="4"/>
  <c r="O217" i="4"/>
  <c r="N217" i="4"/>
  <c r="M217" i="4"/>
  <c r="K217" i="4"/>
  <c r="J217" i="4"/>
  <c r="L217" i="4" s="1"/>
  <c r="H217" i="4"/>
  <c r="G217" i="4"/>
  <c r="I217" i="4" s="1" a="1"/>
  <c r="I217" i="4" s="1"/>
  <c r="F217" i="4"/>
  <c r="D217" i="4"/>
  <c r="C217" i="4"/>
  <c r="B217" i="4"/>
  <c r="W216" i="4"/>
  <c r="V216" i="4"/>
  <c r="T216" i="4"/>
  <c r="S216" i="4"/>
  <c r="R216" i="4"/>
  <c r="U216" i="4" s="1"/>
  <c r="Q216" i="4"/>
  <c r="P216" i="4"/>
  <c r="O216" i="4"/>
  <c r="N216" i="4"/>
  <c r="M216" i="4"/>
  <c r="L216" i="4"/>
  <c r="K216" i="4"/>
  <c r="J216" i="4"/>
  <c r="I216" i="4" a="1"/>
  <c r="I216" i="4" s="1"/>
  <c r="H216" i="4"/>
  <c r="G216" i="4"/>
  <c r="F216" i="4"/>
  <c r="D216" i="4"/>
  <c r="C216" i="4"/>
  <c r="B216" i="4"/>
  <c r="A216" i="4"/>
  <c r="V215" i="4"/>
  <c r="U215" i="4"/>
  <c r="T215" i="4"/>
  <c r="S215" i="4"/>
  <c r="R215" i="4"/>
  <c r="Q215" i="4"/>
  <c r="P215" i="4"/>
  <c r="O215" i="4"/>
  <c r="N215" i="4"/>
  <c r="M215" i="4"/>
  <c r="L215" i="4"/>
  <c r="K215" i="4"/>
  <c r="J215" i="4"/>
  <c r="I215" i="4" a="1"/>
  <c r="I215" i="4" s="1"/>
  <c r="H215" i="4"/>
  <c r="G215" i="4"/>
  <c r="F215" i="4"/>
  <c r="D215" i="4"/>
  <c r="C215" i="4"/>
  <c r="B215" i="4"/>
  <c r="A215" i="4"/>
  <c r="V214" i="4"/>
  <c r="U214" i="4"/>
  <c r="T214" i="4"/>
  <c r="S214" i="4"/>
  <c r="R214" i="4"/>
  <c r="Q214" i="4"/>
  <c r="P214" i="4"/>
  <c r="O214" i="4"/>
  <c r="N214" i="4"/>
  <c r="M214" i="4"/>
  <c r="L214" i="4"/>
  <c r="K214" i="4"/>
  <c r="J214" i="4"/>
  <c r="H214" i="4"/>
  <c r="G214" i="4"/>
  <c r="I214" i="4" s="1" a="1"/>
  <c r="I214" i="4" s="1"/>
  <c r="F214" i="4"/>
  <c r="C214" i="4"/>
  <c r="B214" i="4"/>
  <c r="V213" i="4"/>
  <c r="T213" i="4"/>
  <c r="S213" i="4"/>
  <c r="R213" i="4"/>
  <c r="U213" i="4" s="1"/>
  <c r="Q213" i="4"/>
  <c r="P213" i="4"/>
  <c r="O213" i="4"/>
  <c r="N213" i="4"/>
  <c r="M213" i="4"/>
  <c r="K213" i="4"/>
  <c r="J213" i="4"/>
  <c r="L213" i="4" s="1"/>
  <c r="H213" i="4"/>
  <c r="G213" i="4"/>
  <c r="I213" i="4" s="1" a="1"/>
  <c r="I213" i="4" s="1"/>
  <c r="F213" i="4"/>
  <c r="D213" i="4"/>
  <c r="C213" i="4"/>
  <c r="B213" i="4"/>
  <c r="V212" i="4"/>
  <c r="T212" i="4"/>
  <c r="S212" i="4"/>
  <c r="R212" i="4"/>
  <c r="U212" i="4" s="1"/>
  <c r="Q212" i="4"/>
  <c r="P212" i="4"/>
  <c r="O212" i="4"/>
  <c r="N212" i="4"/>
  <c r="M212" i="4"/>
  <c r="L212" i="4"/>
  <c r="K212" i="4"/>
  <c r="J212" i="4"/>
  <c r="I212" i="4" a="1"/>
  <c r="I212" i="4" s="1"/>
  <c r="H212" i="4"/>
  <c r="G212" i="4"/>
  <c r="F212" i="4"/>
  <c r="D212" i="4"/>
  <c r="C212" i="4"/>
  <c r="B212" i="4"/>
  <c r="A212" i="4"/>
  <c r="V211" i="4"/>
  <c r="U211" i="4"/>
  <c r="T211" i="4"/>
  <c r="S211" i="4"/>
  <c r="R211" i="4"/>
  <c r="Q211" i="4"/>
  <c r="P211" i="4"/>
  <c r="O211" i="4"/>
  <c r="N211" i="4"/>
  <c r="M211" i="4"/>
  <c r="L211" i="4"/>
  <c r="K211" i="4"/>
  <c r="J211" i="4"/>
  <c r="I211" i="4" a="1"/>
  <c r="I211" i="4" s="1"/>
  <c r="H211" i="4"/>
  <c r="G211" i="4"/>
  <c r="F211" i="4"/>
  <c r="C211" i="4"/>
  <c r="B211" i="4"/>
  <c r="A211" i="4" s="1"/>
  <c r="V210" i="4"/>
  <c r="U210" i="4"/>
  <c r="T210" i="4"/>
  <c r="S210" i="4"/>
  <c r="R210" i="4"/>
  <c r="Q210" i="4"/>
  <c r="P210" i="4"/>
  <c r="O210" i="4"/>
  <c r="N210" i="4"/>
  <c r="M210" i="4"/>
  <c r="K210" i="4"/>
  <c r="J210" i="4"/>
  <c r="L210" i="4" s="1"/>
  <c r="I210" i="4"/>
  <c r="I210" i="4" a="1"/>
  <c r="H210" i="4"/>
  <c r="G210" i="4"/>
  <c r="F210" i="4"/>
  <c r="C210" i="4"/>
  <c r="B210" i="4"/>
  <c r="V209" i="4"/>
  <c r="T209" i="4"/>
  <c r="S209" i="4"/>
  <c r="R209" i="4"/>
  <c r="U209" i="4" s="1"/>
  <c r="Q209" i="4"/>
  <c r="P209" i="4"/>
  <c r="O209" i="4"/>
  <c r="N209" i="4"/>
  <c r="M209" i="4"/>
  <c r="K209" i="4"/>
  <c r="J209" i="4"/>
  <c r="L209" i="4" s="1"/>
  <c r="H209" i="4"/>
  <c r="G209" i="4"/>
  <c r="I209" i="4" s="1" a="1"/>
  <c r="I209" i="4" s="1"/>
  <c r="F209" i="4"/>
  <c r="D209" i="4"/>
  <c r="C209" i="4"/>
  <c r="B209" i="4"/>
  <c r="V208" i="4"/>
  <c r="T208" i="4"/>
  <c r="S208" i="4"/>
  <c r="R208" i="4"/>
  <c r="U208" i="4" s="1"/>
  <c r="Q208" i="4"/>
  <c r="P208" i="4"/>
  <c r="O208" i="4"/>
  <c r="W208" i="4" s="1"/>
  <c r="N208" i="4"/>
  <c r="M208" i="4"/>
  <c r="L208" i="4"/>
  <c r="K208" i="4"/>
  <c r="J208" i="4"/>
  <c r="I208" i="4" a="1"/>
  <c r="I208" i="4" s="1"/>
  <c r="H208" i="4"/>
  <c r="G208" i="4"/>
  <c r="F208" i="4"/>
  <c r="D208" i="4"/>
  <c r="C208" i="4"/>
  <c r="B208" i="4"/>
  <c r="A208" i="4"/>
  <c r="V207" i="4"/>
  <c r="U207" i="4"/>
  <c r="T207" i="4"/>
  <c r="S207" i="4"/>
  <c r="R207" i="4"/>
  <c r="Q207" i="4"/>
  <c r="P207" i="4"/>
  <c r="O207" i="4"/>
  <c r="N207" i="4"/>
  <c r="M207" i="4"/>
  <c r="L207" i="4"/>
  <c r="K207" i="4"/>
  <c r="J207" i="4"/>
  <c r="I207" i="4" a="1"/>
  <c r="I207" i="4" s="1"/>
  <c r="H207" i="4"/>
  <c r="G207" i="4"/>
  <c r="F207" i="4"/>
  <c r="D207" i="4"/>
  <c r="C207" i="4"/>
  <c r="B207" i="4"/>
  <c r="A207" i="4"/>
  <c r="V206" i="4"/>
  <c r="U206" i="4"/>
  <c r="T206" i="4"/>
  <c r="S206" i="4"/>
  <c r="R206" i="4"/>
  <c r="Q206" i="4"/>
  <c r="P206" i="4"/>
  <c r="O206" i="4"/>
  <c r="N206" i="4"/>
  <c r="M206" i="4"/>
  <c r="L206" i="4"/>
  <c r="K206" i="4"/>
  <c r="J206" i="4"/>
  <c r="I206" i="4"/>
  <c r="H206" i="4"/>
  <c r="G206" i="4"/>
  <c r="I206" i="4" s="1" a="1"/>
  <c r="F206" i="4"/>
  <c r="C206" i="4"/>
  <c r="B206" i="4"/>
  <c r="V205" i="4"/>
  <c r="T205" i="4"/>
  <c r="S205" i="4"/>
  <c r="R205" i="4"/>
  <c r="U205" i="4" s="1"/>
  <c r="Q205" i="4"/>
  <c r="P205" i="4"/>
  <c r="O205" i="4"/>
  <c r="N205" i="4"/>
  <c r="M205" i="4"/>
  <c r="K205" i="4"/>
  <c r="J205" i="4"/>
  <c r="L205" i="4" s="1"/>
  <c r="H205" i="4"/>
  <c r="G205" i="4"/>
  <c r="I205" i="4" s="1" a="1"/>
  <c r="I205" i="4" s="1"/>
  <c r="F205" i="4"/>
  <c r="D205" i="4"/>
  <c r="C205" i="4"/>
  <c r="B205" i="4"/>
  <c r="V204" i="4"/>
  <c r="T204" i="4"/>
  <c r="S204" i="4"/>
  <c r="R204" i="4"/>
  <c r="U204" i="4" s="1"/>
  <c r="Q204" i="4"/>
  <c r="P204" i="4"/>
  <c r="O204" i="4"/>
  <c r="N204" i="4"/>
  <c r="M204" i="4"/>
  <c r="L204" i="4"/>
  <c r="K204" i="4"/>
  <c r="J204" i="4"/>
  <c r="I204" i="4" a="1"/>
  <c r="I204" i="4" s="1"/>
  <c r="H204" i="4"/>
  <c r="G204" i="4"/>
  <c r="F204" i="4"/>
  <c r="D204" i="4"/>
  <c r="C204" i="4"/>
  <c r="B204" i="4"/>
  <c r="A204" i="4"/>
  <c r="V203" i="4"/>
  <c r="U203" i="4"/>
  <c r="T203" i="4"/>
  <c r="S203" i="4"/>
  <c r="R203" i="4"/>
  <c r="Q203" i="4"/>
  <c r="P203" i="4"/>
  <c r="O203" i="4"/>
  <c r="N203" i="4"/>
  <c r="M203" i="4"/>
  <c r="L203" i="4"/>
  <c r="K203" i="4"/>
  <c r="J203" i="4"/>
  <c r="I203" i="4"/>
  <c r="I203" i="4" a="1"/>
  <c r="H203" i="4"/>
  <c r="G203" i="4"/>
  <c r="F203" i="4"/>
  <c r="C203" i="4"/>
  <c r="B203" i="4"/>
  <c r="A203" i="4"/>
  <c r="V202" i="4"/>
  <c r="T202" i="4"/>
  <c r="S202" i="4"/>
  <c r="R202" i="4"/>
  <c r="U202" i="4" s="1"/>
  <c r="Q202" i="4"/>
  <c r="P202" i="4"/>
  <c r="O202" i="4"/>
  <c r="N202" i="4"/>
  <c r="M202" i="4"/>
  <c r="K202" i="4"/>
  <c r="J202" i="4"/>
  <c r="L202" i="4" s="1"/>
  <c r="H202" i="4"/>
  <c r="G202" i="4"/>
  <c r="I202" i="4" s="1" a="1"/>
  <c r="I202" i="4" s="1"/>
  <c r="F202" i="4"/>
  <c r="C202" i="4"/>
  <c r="B202" i="4"/>
  <c r="V201" i="4"/>
  <c r="T201" i="4"/>
  <c r="S201" i="4"/>
  <c r="R201" i="4"/>
  <c r="U201" i="4" s="1"/>
  <c r="Q201" i="4"/>
  <c r="P201" i="4"/>
  <c r="O201" i="4"/>
  <c r="N201" i="4"/>
  <c r="M201" i="4"/>
  <c r="K201" i="4"/>
  <c r="J201" i="4"/>
  <c r="L201" i="4" s="1"/>
  <c r="H201" i="4"/>
  <c r="G201" i="4"/>
  <c r="I201" i="4" s="1" a="1"/>
  <c r="I201" i="4" s="1"/>
  <c r="F201" i="4"/>
  <c r="D201" i="4"/>
  <c r="C201" i="4"/>
  <c r="B201" i="4"/>
  <c r="V200" i="4"/>
  <c r="T200" i="4"/>
  <c r="S200" i="4"/>
  <c r="R200" i="4"/>
  <c r="U200" i="4" s="1"/>
  <c r="Q200" i="4"/>
  <c r="P200" i="4"/>
  <c r="O200" i="4"/>
  <c r="W200" i="4" s="1"/>
  <c r="N200" i="4"/>
  <c r="M200" i="4"/>
  <c r="L200" i="4"/>
  <c r="K200" i="4"/>
  <c r="J200" i="4"/>
  <c r="I200" i="4" a="1"/>
  <c r="I200" i="4" s="1"/>
  <c r="H200" i="4"/>
  <c r="G200" i="4"/>
  <c r="F200" i="4"/>
  <c r="D200" i="4"/>
  <c r="C200" i="4"/>
  <c r="B200" i="4"/>
  <c r="A200" i="4"/>
  <c r="V199" i="4"/>
  <c r="U199" i="4"/>
  <c r="T199" i="4"/>
  <c r="S199" i="4"/>
  <c r="R199" i="4"/>
  <c r="Q199" i="4"/>
  <c r="P199" i="4"/>
  <c r="O199" i="4"/>
  <c r="N199" i="4"/>
  <c r="M199" i="4"/>
  <c r="L199" i="4"/>
  <c r="K199" i="4"/>
  <c r="J199" i="4"/>
  <c r="I199" i="4" a="1"/>
  <c r="I199" i="4" s="1"/>
  <c r="H199" i="4"/>
  <c r="G199" i="4"/>
  <c r="F199" i="4"/>
  <c r="C199" i="4"/>
  <c r="B199" i="4"/>
  <c r="D199" i="4" s="1"/>
  <c r="A199" i="4"/>
  <c r="V198" i="4"/>
  <c r="U198" i="4"/>
  <c r="T198" i="4"/>
  <c r="S198" i="4"/>
  <c r="R198" i="4"/>
  <c r="Q198" i="4"/>
  <c r="P198" i="4"/>
  <c r="O198" i="4"/>
  <c r="N198" i="4"/>
  <c r="M198" i="4"/>
  <c r="K198" i="4"/>
  <c r="J198" i="4"/>
  <c r="L198" i="4" s="1"/>
  <c r="I198" i="4"/>
  <c r="H198" i="4"/>
  <c r="G198" i="4"/>
  <c r="I198" i="4" s="1" a="1"/>
  <c r="F198" i="4"/>
  <c r="C198" i="4"/>
  <c r="B198" i="4"/>
  <c r="V197" i="4"/>
  <c r="T197" i="4"/>
  <c r="S197" i="4"/>
  <c r="R197" i="4"/>
  <c r="U197" i="4" s="1"/>
  <c r="Q197" i="4"/>
  <c r="P197" i="4"/>
  <c r="O197" i="4"/>
  <c r="N197" i="4"/>
  <c r="M197" i="4"/>
  <c r="K197" i="4"/>
  <c r="J197" i="4"/>
  <c r="L197" i="4" s="1"/>
  <c r="H197" i="4"/>
  <c r="G197" i="4"/>
  <c r="I197" i="4" s="1" a="1"/>
  <c r="I197" i="4" s="1"/>
  <c r="F197" i="4"/>
  <c r="D197" i="4"/>
  <c r="C197" i="4"/>
  <c r="B197" i="4"/>
  <c r="V196" i="4"/>
  <c r="T196" i="4"/>
  <c r="S196" i="4"/>
  <c r="R196" i="4"/>
  <c r="U196" i="4" s="1"/>
  <c r="Q196" i="4"/>
  <c r="P196" i="4"/>
  <c r="O196" i="4"/>
  <c r="N196" i="4"/>
  <c r="M196" i="4"/>
  <c r="L196" i="4"/>
  <c r="K196" i="4"/>
  <c r="J196" i="4"/>
  <c r="I196" i="4" a="1"/>
  <c r="I196" i="4" s="1"/>
  <c r="H196" i="4"/>
  <c r="G196" i="4"/>
  <c r="F196" i="4"/>
  <c r="D196" i="4"/>
  <c r="C196" i="4"/>
  <c r="B196" i="4"/>
  <c r="A196" i="4"/>
  <c r="V195" i="4"/>
  <c r="U195" i="4"/>
  <c r="T195" i="4"/>
  <c r="S195" i="4"/>
  <c r="R195" i="4"/>
  <c r="Q195" i="4"/>
  <c r="P195" i="4"/>
  <c r="O195" i="4"/>
  <c r="N195" i="4"/>
  <c r="M195" i="4"/>
  <c r="L195" i="4"/>
  <c r="K195" i="4"/>
  <c r="J195" i="4"/>
  <c r="I195" i="4"/>
  <c r="I195" i="4" a="1"/>
  <c r="H195" i="4"/>
  <c r="G195" i="4"/>
  <c r="F195" i="4"/>
  <c r="C195" i="4"/>
  <c r="B195" i="4"/>
  <c r="A195" i="4" s="1"/>
  <c r="V194" i="4"/>
  <c r="U194" i="4"/>
  <c r="T194" i="4"/>
  <c r="S194" i="4"/>
  <c r="R194" i="4"/>
  <c r="Q194" i="4"/>
  <c r="P194" i="4"/>
  <c r="O194" i="4"/>
  <c r="N194" i="4"/>
  <c r="M194" i="4"/>
  <c r="K194" i="4"/>
  <c r="J194" i="4"/>
  <c r="L194" i="4" s="1"/>
  <c r="H194" i="4"/>
  <c r="G194" i="4"/>
  <c r="I194" i="4" s="1" a="1"/>
  <c r="I194" i="4" s="1"/>
  <c r="F194" i="4"/>
  <c r="C194" i="4"/>
  <c r="B194" i="4"/>
  <c r="V193" i="4"/>
  <c r="T193" i="4"/>
  <c r="S193" i="4"/>
  <c r="R193" i="4"/>
  <c r="U193" i="4" s="1"/>
  <c r="Q193" i="4"/>
  <c r="P193" i="4"/>
  <c r="O193" i="4"/>
  <c r="W193" i="4" s="1"/>
  <c r="N193" i="4"/>
  <c r="M193" i="4"/>
  <c r="K193" i="4"/>
  <c r="J193" i="4"/>
  <c r="L193" i="4" s="1"/>
  <c r="I193" i="4"/>
  <c r="H193" i="4"/>
  <c r="G193" i="4"/>
  <c r="I193" i="4" s="1" a="1"/>
  <c r="F193" i="4"/>
  <c r="D193" i="4"/>
  <c r="C193" i="4"/>
  <c r="B193" i="4"/>
  <c r="V192" i="4"/>
  <c r="T192" i="4"/>
  <c r="S192" i="4"/>
  <c r="R192" i="4"/>
  <c r="U192" i="4" s="1"/>
  <c r="Q192" i="4"/>
  <c r="P192" i="4"/>
  <c r="O192" i="4"/>
  <c r="N192" i="4"/>
  <c r="M192" i="4"/>
  <c r="K192" i="4"/>
  <c r="J192" i="4"/>
  <c r="I192" i="4" a="1"/>
  <c r="I192" i="4" s="1"/>
  <c r="H192" i="4"/>
  <c r="G192" i="4"/>
  <c r="F192" i="4"/>
  <c r="D192" i="4"/>
  <c r="C192" i="4"/>
  <c r="B192" i="4"/>
  <c r="A192" i="4"/>
  <c r="V191" i="4"/>
  <c r="U191" i="4"/>
  <c r="T191" i="4"/>
  <c r="S191" i="4"/>
  <c r="R191" i="4"/>
  <c r="Q191" i="4"/>
  <c r="P191" i="4"/>
  <c r="O191" i="4"/>
  <c r="N191" i="4"/>
  <c r="M191" i="4"/>
  <c r="L191" i="4"/>
  <c r="K191" i="4"/>
  <c r="J191" i="4"/>
  <c r="I191" i="4"/>
  <c r="I191" i="4" a="1"/>
  <c r="H191" i="4"/>
  <c r="G191" i="4"/>
  <c r="F191" i="4"/>
  <c r="C191" i="4"/>
  <c r="B191" i="4"/>
  <c r="W191" i="4" s="1"/>
  <c r="V190" i="4"/>
  <c r="U190" i="4"/>
  <c r="T190" i="4"/>
  <c r="S190" i="4"/>
  <c r="R190" i="4"/>
  <c r="Q190" i="4"/>
  <c r="P190" i="4"/>
  <c r="O190" i="4"/>
  <c r="N190" i="4"/>
  <c r="M190" i="4"/>
  <c r="L190" i="4"/>
  <c r="K190" i="4"/>
  <c r="J190" i="4"/>
  <c r="I190" i="4"/>
  <c r="H190" i="4"/>
  <c r="G190" i="4"/>
  <c r="I190" i="4" s="1" a="1"/>
  <c r="F190" i="4"/>
  <c r="C190" i="4"/>
  <c r="B190" i="4"/>
  <c r="V189" i="4"/>
  <c r="U189" i="4"/>
  <c r="T189" i="4"/>
  <c r="S189" i="4"/>
  <c r="R189" i="4"/>
  <c r="Q189" i="4"/>
  <c r="P189" i="4"/>
  <c r="O189" i="4"/>
  <c r="N189" i="4"/>
  <c r="M189" i="4"/>
  <c r="K189" i="4"/>
  <c r="J189" i="4"/>
  <c r="L189" i="4" s="1"/>
  <c r="H189" i="4"/>
  <c r="G189" i="4"/>
  <c r="I189" i="4" s="1" a="1"/>
  <c r="I189" i="4" s="1"/>
  <c r="F189" i="4"/>
  <c r="D189" i="4"/>
  <c r="C189" i="4"/>
  <c r="B189" i="4"/>
  <c r="V188" i="4"/>
  <c r="T188" i="4"/>
  <c r="S188" i="4"/>
  <c r="R188" i="4"/>
  <c r="U188" i="4" s="1"/>
  <c r="Q188" i="4"/>
  <c r="P188" i="4"/>
  <c r="W188" i="4" s="1"/>
  <c r="O188" i="4"/>
  <c r="N188" i="4"/>
  <c r="M188" i="4"/>
  <c r="L188" i="4"/>
  <c r="K188" i="4"/>
  <c r="J188" i="4"/>
  <c r="I188" i="4" a="1"/>
  <c r="I188" i="4" s="1"/>
  <c r="H188" i="4"/>
  <c r="G188" i="4"/>
  <c r="F188" i="4"/>
  <c r="D188" i="4"/>
  <c r="C188" i="4"/>
  <c r="B188" i="4"/>
  <c r="A188" i="4"/>
  <c r="V187" i="4"/>
  <c r="U187" i="4"/>
  <c r="T187" i="4"/>
  <c r="S187" i="4"/>
  <c r="R187" i="4"/>
  <c r="Q187" i="4"/>
  <c r="P187" i="4"/>
  <c r="O187" i="4"/>
  <c r="N187" i="4"/>
  <c r="M187" i="4"/>
  <c r="W187" i="4" s="1"/>
  <c r="L187" i="4"/>
  <c r="K187" i="4"/>
  <c r="J187" i="4"/>
  <c r="I187" i="4"/>
  <c r="I187" i="4" a="1"/>
  <c r="H187" i="4"/>
  <c r="G187" i="4"/>
  <c r="F187" i="4"/>
  <c r="C187" i="4"/>
  <c r="B187" i="4"/>
  <c r="D187" i="4" s="1"/>
  <c r="A187" i="4"/>
  <c r="V186" i="4"/>
  <c r="U186" i="4"/>
  <c r="T186" i="4"/>
  <c r="S186" i="4"/>
  <c r="R186" i="4"/>
  <c r="Q186" i="4"/>
  <c r="P186" i="4"/>
  <c r="O186" i="4"/>
  <c r="N186" i="4"/>
  <c r="M186" i="4"/>
  <c r="K186" i="4"/>
  <c r="J186" i="4"/>
  <c r="L186" i="4" s="1"/>
  <c r="H186" i="4"/>
  <c r="G186" i="4"/>
  <c r="I186" i="4" s="1" a="1"/>
  <c r="I186" i="4" s="1"/>
  <c r="F186" i="4"/>
  <c r="C186" i="4"/>
  <c r="B186" i="4"/>
  <c r="A186" i="4"/>
  <c r="V185" i="4"/>
  <c r="T185" i="4"/>
  <c r="S185" i="4"/>
  <c r="R185" i="4"/>
  <c r="U185" i="4" s="1"/>
  <c r="Q185" i="4"/>
  <c r="P185" i="4"/>
  <c r="O185" i="4"/>
  <c r="N185" i="4"/>
  <c r="M185" i="4"/>
  <c r="K185" i="4"/>
  <c r="J185" i="4"/>
  <c r="L185" i="4" s="1"/>
  <c r="H185" i="4"/>
  <c r="G185" i="4"/>
  <c r="I185" i="4" s="1" a="1"/>
  <c r="I185" i="4" s="1"/>
  <c r="F185" i="4"/>
  <c r="C185" i="4"/>
  <c r="B185" i="4"/>
  <c r="V184" i="4"/>
  <c r="T184" i="4"/>
  <c r="S184" i="4"/>
  <c r="R184" i="4"/>
  <c r="U184" i="4" s="1"/>
  <c r="Q184" i="4"/>
  <c r="P184" i="4"/>
  <c r="O184" i="4"/>
  <c r="N184" i="4"/>
  <c r="M184" i="4"/>
  <c r="L184" i="4"/>
  <c r="K184" i="4"/>
  <c r="J184" i="4"/>
  <c r="I184" i="4" a="1"/>
  <c r="I184" i="4" s="1"/>
  <c r="H184" i="4"/>
  <c r="G184" i="4"/>
  <c r="F184" i="4"/>
  <c r="D184" i="4"/>
  <c r="C184" i="4"/>
  <c r="B184" i="4"/>
  <c r="A184" i="4"/>
  <c r="V183" i="4"/>
  <c r="U183" i="4"/>
  <c r="T183" i="4"/>
  <c r="S183" i="4"/>
  <c r="R183" i="4"/>
  <c r="Q183" i="4"/>
  <c r="P183" i="4"/>
  <c r="O183" i="4"/>
  <c r="N183" i="4"/>
  <c r="M183" i="4"/>
  <c r="L183" i="4"/>
  <c r="K183" i="4"/>
  <c r="J183" i="4"/>
  <c r="I183" i="4"/>
  <c r="I183" i="4" a="1"/>
  <c r="H183" i="4"/>
  <c r="G183" i="4"/>
  <c r="F183" i="4"/>
  <c r="D183" i="4"/>
  <c r="C183" i="4"/>
  <c r="B183" i="4"/>
  <c r="A183" i="4" s="1"/>
  <c r="V182" i="4"/>
  <c r="U182" i="4"/>
  <c r="T182" i="4"/>
  <c r="S182" i="4"/>
  <c r="R182" i="4"/>
  <c r="Q182" i="4"/>
  <c r="P182" i="4"/>
  <c r="O182" i="4"/>
  <c r="N182" i="4"/>
  <c r="M182" i="4"/>
  <c r="K182" i="4"/>
  <c r="J182" i="4"/>
  <c r="L182" i="4" s="1"/>
  <c r="I182" i="4"/>
  <c r="H182" i="4"/>
  <c r="G182" i="4"/>
  <c r="I182" i="4" s="1" a="1"/>
  <c r="F182" i="4"/>
  <c r="C182" i="4"/>
  <c r="B182" i="4"/>
  <c r="V181" i="4"/>
  <c r="T181" i="4"/>
  <c r="S181" i="4"/>
  <c r="R181" i="4"/>
  <c r="U181" i="4" s="1"/>
  <c r="Q181" i="4"/>
  <c r="P181" i="4"/>
  <c r="O181" i="4"/>
  <c r="K181" i="4"/>
  <c r="J181" i="4"/>
  <c r="L181" i="4" s="1"/>
  <c r="N181" i="4" s="1"/>
  <c r="H181" i="4"/>
  <c r="G181" i="4"/>
  <c r="I181" i="4" s="1" a="1"/>
  <c r="I181" i="4" s="1"/>
  <c r="F181" i="4"/>
  <c r="D181" i="4"/>
  <c r="C181" i="4"/>
  <c r="B181" i="4"/>
  <c r="W180" i="4"/>
  <c r="V180" i="4"/>
  <c r="T180" i="4"/>
  <c r="S180" i="4"/>
  <c r="R180" i="4"/>
  <c r="U180" i="4" s="1"/>
  <c r="Q180" i="4"/>
  <c r="P180" i="4"/>
  <c r="O180" i="4"/>
  <c r="N180" i="4"/>
  <c r="M180" i="4"/>
  <c r="K180" i="4"/>
  <c r="J180" i="4"/>
  <c r="L180" i="4" s="1"/>
  <c r="I180" i="4" a="1"/>
  <c r="I180" i="4" s="1"/>
  <c r="H180" i="4"/>
  <c r="G180" i="4"/>
  <c r="F180" i="4"/>
  <c r="D180" i="4"/>
  <c r="C180" i="4"/>
  <c r="B180" i="4"/>
  <c r="A180" i="4"/>
  <c r="V179" i="4"/>
  <c r="U179" i="4"/>
  <c r="T179" i="4"/>
  <c r="S179" i="4"/>
  <c r="R179" i="4"/>
  <c r="Q179" i="4"/>
  <c r="P179" i="4"/>
  <c r="O179" i="4"/>
  <c r="N179" i="4"/>
  <c r="M179" i="4"/>
  <c r="L179" i="4"/>
  <c r="K179" i="4"/>
  <c r="J179" i="4"/>
  <c r="I179" i="4"/>
  <c r="I179" i="4" a="1"/>
  <c r="H179" i="4"/>
  <c r="G179" i="4"/>
  <c r="F179" i="4"/>
  <c r="C179" i="4"/>
  <c r="B179" i="4"/>
  <c r="V178" i="4"/>
  <c r="U178" i="4"/>
  <c r="T178" i="4"/>
  <c r="S178" i="4"/>
  <c r="R178" i="4"/>
  <c r="Q178" i="4"/>
  <c r="P178" i="4"/>
  <c r="O178" i="4"/>
  <c r="N178" i="4"/>
  <c r="M178" i="4"/>
  <c r="K178" i="4"/>
  <c r="J178" i="4"/>
  <c r="L178" i="4" s="1"/>
  <c r="H178" i="4"/>
  <c r="G178" i="4"/>
  <c r="I178" i="4" s="1" a="1"/>
  <c r="I178" i="4" s="1"/>
  <c r="F178" i="4"/>
  <c r="C178" i="4"/>
  <c r="B178" i="4"/>
  <c r="A178" i="4"/>
  <c r="V177" i="4"/>
  <c r="U177" i="4"/>
  <c r="T177" i="4"/>
  <c r="S177" i="4"/>
  <c r="R177" i="4"/>
  <c r="Q177" i="4"/>
  <c r="P177" i="4"/>
  <c r="O177" i="4"/>
  <c r="N177" i="4"/>
  <c r="M177" i="4"/>
  <c r="K177" i="4"/>
  <c r="J177" i="4"/>
  <c r="L177" i="4" s="1"/>
  <c r="H177" i="4"/>
  <c r="G177" i="4"/>
  <c r="I177" i="4" s="1" a="1"/>
  <c r="I177" i="4" s="1"/>
  <c r="F177" i="4"/>
  <c r="C177" i="4"/>
  <c r="B177" i="4"/>
  <c r="V176" i="4"/>
  <c r="T176" i="4"/>
  <c r="S176" i="4"/>
  <c r="R176" i="4"/>
  <c r="U176" i="4" s="1"/>
  <c r="Q176" i="4"/>
  <c r="P176" i="4"/>
  <c r="W176" i="4" s="1"/>
  <c r="O176" i="4"/>
  <c r="N176" i="4"/>
  <c r="M176" i="4"/>
  <c r="L176" i="4"/>
  <c r="K176" i="4"/>
  <c r="J176" i="4"/>
  <c r="I176" i="4" a="1"/>
  <c r="I176" i="4" s="1"/>
  <c r="H176" i="4"/>
  <c r="G176" i="4"/>
  <c r="F176" i="4"/>
  <c r="D176" i="4"/>
  <c r="C176" i="4"/>
  <c r="B176" i="4"/>
  <c r="A176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J175" i="4"/>
  <c r="I175" i="4"/>
  <c r="I175" i="4" a="1"/>
  <c r="H175" i="4"/>
  <c r="G175" i="4"/>
  <c r="F175" i="4"/>
  <c r="C175" i="4"/>
  <c r="B175" i="4"/>
  <c r="V174" i="4"/>
  <c r="U174" i="4"/>
  <c r="T174" i="4"/>
  <c r="S174" i="4"/>
  <c r="R174" i="4"/>
  <c r="Q174" i="4"/>
  <c r="P174" i="4"/>
  <c r="O174" i="4"/>
  <c r="N174" i="4"/>
  <c r="M174" i="4"/>
  <c r="L174" i="4"/>
  <c r="K174" i="4"/>
  <c r="J174" i="4"/>
  <c r="I174" i="4"/>
  <c r="I174" i="4" a="1"/>
  <c r="H174" i="4"/>
  <c r="G174" i="4"/>
  <c r="F174" i="4"/>
  <c r="C174" i="4"/>
  <c r="B174" i="4"/>
  <c r="A174" i="4"/>
  <c r="V173" i="4"/>
  <c r="U173" i="4"/>
  <c r="T173" i="4"/>
  <c r="S173" i="4"/>
  <c r="R173" i="4"/>
  <c r="Q173" i="4"/>
  <c r="P173" i="4"/>
  <c r="O173" i="4"/>
  <c r="N173" i="4"/>
  <c r="M173" i="4"/>
  <c r="K173" i="4"/>
  <c r="J173" i="4"/>
  <c r="L173" i="4" s="1"/>
  <c r="H173" i="4"/>
  <c r="G173" i="4"/>
  <c r="I173" i="4" s="1" a="1"/>
  <c r="I173" i="4" s="1"/>
  <c r="F173" i="4"/>
  <c r="C173" i="4"/>
  <c r="B173" i="4"/>
  <c r="D173" i="4" s="1"/>
  <c r="V172" i="4"/>
  <c r="T172" i="4"/>
  <c r="S172" i="4"/>
  <c r="R172" i="4"/>
  <c r="U172" i="4" s="1"/>
  <c r="Q172" i="4"/>
  <c r="P172" i="4"/>
  <c r="O172" i="4"/>
  <c r="N172" i="4"/>
  <c r="M172" i="4"/>
  <c r="L172" i="4"/>
  <c r="K172" i="4"/>
  <c r="J172" i="4"/>
  <c r="H172" i="4"/>
  <c r="G172" i="4"/>
  <c r="F172" i="4"/>
  <c r="D172" i="4"/>
  <c r="C172" i="4"/>
  <c r="B172" i="4"/>
  <c r="A172" i="4"/>
  <c r="V171" i="4"/>
  <c r="U171" i="4"/>
  <c r="T171" i="4"/>
  <c r="S171" i="4"/>
  <c r="R171" i="4"/>
  <c r="Q171" i="4"/>
  <c r="P171" i="4"/>
  <c r="O171" i="4"/>
  <c r="N171" i="4"/>
  <c r="M171" i="4"/>
  <c r="L171" i="4"/>
  <c r="K171" i="4"/>
  <c r="J171" i="4"/>
  <c r="I171" i="4" a="1"/>
  <c r="I171" i="4" s="1"/>
  <c r="H171" i="4"/>
  <c r="G171" i="4"/>
  <c r="F171" i="4"/>
  <c r="D171" i="4"/>
  <c r="C171" i="4"/>
  <c r="B171" i="4"/>
  <c r="A171" i="4"/>
  <c r="V170" i="4"/>
  <c r="T170" i="4"/>
  <c r="S170" i="4"/>
  <c r="R170" i="4"/>
  <c r="U170" i="4" s="1"/>
  <c r="Q170" i="4"/>
  <c r="P170" i="4"/>
  <c r="O170" i="4"/>
  <c r="N170" i="4"/>
  <c r="M170" i="4"/>
  <c r="L170" i="4"/>
  <c r="K170" i="4"/>
  <c r="J170" i="4"/>
  <c r="I170" i="4" a="1"/>
  <c r="I170" i="4" s="1"/>
  <c r="H170" i="4"/>
  <c r="G170" i="4"/>
  <c r="F170" i="4"/>
  <c r="C170" i="4"/>
  <c r="B170" i="4"/>
  <c r="A170" i="4"/>
  <c r="V169" i="4"/>
  <c r="T169" i="4"/>
  <c r="S169" i="4"/>
  <c r="R169" i="4"/>
  <c r="U169" i="4" s="1"/>
  <c r="Q169" i="4"/>
  <c r="P169" i="4"/>
  <c r="O169" i="4"/>
  <c r="N169" i="4"/>
  <c r="M169" i="4"/>
  <c r="K169" i="4"/>
  <c r="J169" i="4"/>
  <c r="L169" i="4" s="1"/>
  <c r="I169" i="4"/>
  <c r="H169" i="4"/>
  <c r="G169" i="4"/>
  <c r="I169" i="4" s="1" a="1"/>
  <c r="F169" i="4"/>
  <c r="D169" i="4"/>
  <c r="C169" i="4"/>
  <c r="B169" i="4"/>
  <c r="V168" i="4"/>
  <c r="T168" i="4"/>
  <c r="S168" i="4"/>
  <c r="R168" i="4"/>
  <c r="U168" i="4" s="1"/>
  <c r="Q168" i="4"/>
  <c r="P168" i="4"/>
  <c r="O168" i="4"/>
  <c r="N168" i="4"/>
  <c r="M168" i="4"/>
  <c r="K168" i="4"/>
  <c r="J168" i="4"/>
  <c r="L168" i="4" s="1"/>
  <c r="H168" i="4"/>
  <c r="G168" i="4"/>
  <c r="I168" i="4" s="1" a="1"/>
  <c r="I168" i="4" s="1"/>
  <c r="F168" i="4"/>
  <c r="D168" i="4"/>
  <c r="C168" i="4"/>
  <c r="B168" i="4"/>
  <c r="A168" i="4"/>
  <c r="V167" i="4"/>
  <c r="U167" i="4"/>
  <c r="T167" i="4"/>
  <c r="S167" i="4"/>
  <c r="R167" i="4"/>
  <c r="Q167" i="4"/>
  <c r="P167" i="4"/>
  <c r="O167" i="4"/>
  <c r="W167" i="4" s="1"/>
  <c r="N167" i="4"/>
  <c r="M167" i="4"/>
  <c r="L167" i="4"/>
  <c r="K167" i="4"/>
  <c r="J167" i="4"/>
  <c r="I167" i="4" a="1"/>
  <c r="I167" i="4" s="1"/>
  <c r="H167" i="4"/>
  <c r="G167" i="4"/>
  <c r="F167" i="4"/>
  <c r="D167" i="4"/>
  <c r="C167" i="4"/>
  <c r="B167" i="4"/>
  <c r="A167" i="4"/>
  <c r="V166" i="4"/>
  <c r="T166" i="4"/>
  <c r="S166" i="4"/>
  <c r="R166" i="4"/>
  <c r="U166" i="4" s="1"/>
  <c r="Q166" i="4"/>
  <c r="P166" i="4"/>
  <c r="O166" i="4"/>
  <c r="N166" i="4"/>
  <c r="M166" i="4"/>
  <c r="K166" i="4"/>
  <c r="J166" i="4"/>
  <c r="L166" i="4" s="1"/>
  <c r="H166" i="4"/>
  <c r="G166" i="4"/>
  <c r="I166" i="4" s="1" a="1"/>
  <c r="I166" i="4" s="1"/>
  <c r="F166" i="4"/>
  <c r="C166" i="4"/>
  <c r="B166" i="4"/>
  <c r="A166" i="4" s="1"/>
  <c r="V165" i="4"/>
  <c r="U165" i="4"/>
  <c r="T165" i="4"/>
  <c r="S165" i="4"/>
  <c r="R165" i="4"/>
  <c r="Q165" i="4"/>
  <c r="P165" i="4"/>
  <c r="O165" i="4"/>
  <c r="N165" i="4"/>
  <c r="M165" i="4"/>
  <c r="K165" i="4"/>
  <c r="J165" i="4"/>
  <c r="L165" i="4" s="1"/>
  <c r="I165" i="4"/>
  <c r="H165" i="4"/>
  <c r="G165" i="4"/>
  <c r="I165" i="4" s="1" a="1"/>
  <c r="F165" i="4"/>
  <c r="D165" i="4"/>
  <c r="C165" i="4"/>
  <c r="B165" i="4"/>
  <c r="V164" i="4"/>
  <c r="T164" i="4"/>
  <c r="S164" i="4"/>
  <c r="R164" i="4"/>
  <c r="U164" i="4" s="1"/>
  <c r="Q164" i="4"/>
  <c r="P164" i="4"/>
  <c r="O164" i="4"/>
  <c r="N164" i="4"/>
  <c r="M164" i="4"/>
  <c r="K164" i="4"/>
  <c r="J164" i="4"/>
  <c r="L164" i="4" s="1"/>
  <c r="I164" i="4" a="1"/>
  <c r="I164" i="4" s="1"/>
  <c r="H164" i="4"/>
  <c r="G164" i="4"/>
  <c r="W164" i="4" s="1"/>
  <c r="F164" i="4"/>
  <c r="D164" i="4"/>
  <c r="C164" i="4"/>
  <c r="B164" i="4"/>
  <c r="A164" i="4"/>
  <c r="V163" i="4"/>
  <c r="U163" i="4"/>
  <c r="T163" i="4"/>
  <c r="S163" i="4"/>
  <c r="R163" i="4"/>
  <c r="Q163" i="4"/>
  <c r="P163" i="4"/>
  <c r="O163" i="4"/>
  <c r="N163" i="4"/>
  <c r="M163" i="4"/>
  <c r="L163" i="4"/>
  <c r="K163" i="4"/>
  <c r="J163" i="4"/>
  <c r="I163" i="4"/>
  <c r="I163" i="4" a="1"/>
  <c r="H163" i="4"/>
  <c r="G163" i="4"/>
  <c r="F163" i="4"/>
  <c r="C163" i="4"/>
  <c r="B163" i="4"/>
  <c r="V162" i="4"/>
  <c r="T162" i="4"/>
  <c r="S162" i="4"/>
  <c r="R162" i="4"/>
  <c r="U162" i="4" s="1"/>
  <c r="Q162" i="4"/>
  <c r="P162" i="4"/>
  <c r="O162" i="4"/>
  <c r="N162" i="4"/>
  <c r="M162" i="4"/>
  <c r="K162" i="4"/>
  <c r="J162" i="4"/>
  <c r="L162" i="4" s="1"/>
  <c r="H162" i="4"/>
  <c r="G162" i="4"/>
  <c r="I162" i="4" s="1" a="1"/>
  <c r="I162" i="4" s="1"/>
  <c r="F162" i="4"/>
  <c r="C162" i="4"/>
  <c r="B162" i="4"/>
  <c r="A162" i="4" s="1"/>
  <c r="V161" i="4"/>
  <c r="U161" i="4"/>
  <c r="T161" i="4"/>
  <c r="S161" i="4"/>
  <c r="R161" i="4"/>
  <c r="Q161" i="4"/>
  <c r="P161" i="4"/>
  <c r="O161" i="4"/>
  <c r="N161" i="4"/>
  <c r="M161" i="4"/>
  <c r="K161" i="4"/>
  <c r="J161" i="4"/>
  <c r="L161" i="4" s="1"/>
  <c r="H161" i="4"/>
  <c r="G161" i="4"/>
  <c r="I161" i="4" s="1" a="1"/>
  <c r="I161" i="4" s="1"/>
  <c r="F161" i="4"/>
  <c r="C161" i="4"/>
  <c r="B161" i="4"/>
  <c r="W161" i="4" s="1"/>
  <c r="V160" i="4"/>
  <c r="T160" i="4"/>
  <c r="S160" i="4"/>
  <c r="R160" i="4"/>
  <c r="U160" i="4" s="1"/>
  <c r="Q160" i="4"/>
  <c r="P160" i="4"/>
  <c r="O160" i="4"/>
  <c r="N160" i="4"/>
  <c r="M160" i="4"/>
  <c r="L160" i="4"/>
  <c r="K160" i="4"/>
  <c r="J160" i="4"/>
  <c r="I160" i="4" a="1"/>
  <c r="I160" i="4" s="1"/>
  <c r="H160" i="4"/>
  <c r="G160" i="4"/>
  <c r="F160" i="4"/>
  <c r="D160" i="4"/>
  <c r="C160" i="4"/>
  <c r="B160" i="4"/>
  <c r="A160" i="4"/>
  <c r="V159" i="4"/>
  <c r="U159" i="4"/>
  <c r="T159" i="4"/>
  <c r="S159" i="4"/>
  <c r="R159" i="4"/>
  <c r="Q159" i="4"/>
  <c r="P159" i="4"/>
  <c r="O159" i="4"/>
  <c r="N159" i="4"/>
  <c r="M159" i="4"/>
  <c r="L159" i="4"/>
  <c r="K159" i="4"/>
  <c r="J159" i="4"/>
  <c r="I159" i="4" a="1"/>
  <c r="I159" i="4" s="1"/>
  <c r="H159" i="4"/>
  <c r="G159" i="4"/>
  <c r="F159" i="4"/>
  <c r="C159" i="4"/>
  <c r="B159" i="4"/>
  <c r="W159" i="4" s="1"/>
  <c r="A159" i="4"/>
  <c r="V158" i="4"/>
  <c r="U158" i="4"/>
  <c r="T158" i="4"/>
  <c r="S158" i="4"/>
  <c r="R158" i="4"/>
  <c r="Q158" i="4"/>
  <c r="P158" i="4"/>
  <c r="O158" i="4"/>
  <c r="N158" i="4"/>
  <c r="M158" i="4"/>
  <c r="L158" i="4"/>
  <c r="K158" i="4"/>
  <c r="J158" i="4"/>
  <c r="I158" i="4" a="1"/>
  <c r="I158" i="4" s="1"/>
  <c r="H158" i="4"/>
  <c r="G158" i="4"/>
  <c r="F158" i="4"/>
  <c r="C158" i="4"/>
  <c r="B158" i="4"/>
  <c r="V157" i="4"/>
  <c r="T157" i="4"/>
  <c r="S157" i="4"/>
  <c r="R157" i="4"/>
  <c r="U157" i="4" s="1"/>
  <c r="Q157" i="4"/>
  <c r="P157" i="4"/>
  <c r="O157" i="4"/>
  <c r="N157" i="4"/>
  <c r="M157" i="4"/>
  <c r="K157" i="4"/>
  <c r="J157" i="4"/>
  <c r="L157" i="4" s="1"/>
  <c r="H157" i="4"/>
  <c r="G157" i="4"/>
  <c r="I157" i="4" s="1" a="1"/>
  <c r="I157" i="4" s="1"/>
  <c r="F157" i="4"/>
  <c r="C157" i="4"/>
  <c r="B157" i="4"/>
  <c r="V156" i="4"/>
  <c r="T156" i="4"/>
  <c r="S156" i="4"/>
  <c r="R156" i="4"/>
  <c r="U156" i="4" s="1"/>
  <c r="Q156" i="4"/>
  <c r="P156" i="4"/>
  <c r="O156" i="4"/>
  <c r="N156" i="4"/>
  <c r="M156" i="4"/>
  <c r="L156" i="4"/>
  <c r="K156" i="4"/>
  <c r="J156" i="4"/>
  <c r="H156" i="4"/>
  <c r="G156" i="4"/>
  <c r="I156" i="4" s="1" a="1"/>
  <c r="I156" i="4" s="1"/>
  <c r="F156" i="4"/>
  <c r="D156" i="4"/>
  <c r="C156" i="4"/>
  <c r="B156" i="4"/>
  <c r="A156" i="4"/>
  <c r="V155" i="4"/>
  <c r="U155" i="4"/>
  <c r="T155" i="4"/>
  <c r="S155" i="4"/>
  <c r="R155" i="4"/>
  <c r="Q155" i="4"/>
  <c r="P155" i="4"/>
  <c r="O155" i="4"/>
  <c r="W155" i="4" s="1"/>
  <c r="N155" i="4"/>
  <c r="M155" i="4"/>
  <c r="L155" i="4"/>
  <c r="K155" i="4"/>
  <c r="J155" i="4"/>
  <c r="I155" i="4" a="1"/>
  <c r="I155" i="4" s="1"/>
  <c r="H155" i="4"/>
  <c r="G155" i="4"/>
  <c r="F155" i="4"/>
  <c r="D155" i="4"/>
  <c r="C155" i="4"/>
  <c r="B155" i="4"/>
  <c r="A155" i="4"/>
  <c r="V154" i="4"/>
  <c r="U154" i="4"/>
  <c r="T154" i="4"/>
  <c r="S154" i="4"/>
  <c r="R154" i="4"/>
  <c r="Q154" i="4"/>
  <c r="P154" i="4"/>
  <c r="O154" i="4"/>
  <c r="N154" i="4"/>
  <c r="M154" i="4"/>
  <c r="L154" i="4"/>
  <c r="K154" i="4"/>
  <c r="J154" i="4"/>
  <c r="I154" i="4" a="1"/>
  <c r="I154" i="4" s="1"/>
  <c r="H154" i="4"/>
  <c r="G154" i="4"/>
  <c r="F154" i="4"/>
  <c r="D154" i="4"/>
  <c r="C154" i="4"/>
  <c r="B154" i="4"/>
  <c r="A154" i="4"/>
  <c r="V153" i="4"/>
  <c r="U153" i="4"/>
  <c r="T153" i="4"/>
  <c r="S153" i="4"/>
  <c r="R153" i="4"/>
  <c r="Q153" i="4"/>
  <c r="P153" i="4"/>
  <c r="O153" i="4"/>
  <c r="N153" i="4"/>
  <c r="M153" i="4"/>
  <c r="L153" i="4"/>
  <c r="K153" i="4"/>
  <c r="J153" i="4"/>
  <c r="H153" i="4"/>
  <c r="G153" i="4"/>
  <c r="I153" i="4" s="1" a="1"/>
  <c r="I153" i="4" s="1"/>
  <c r="F153" i="4"/>
  <c r="D153" i="4"/>
  <c r="C153" i="4"/>
  <c r="B153" i="4"/>
  <c r="A153" i="4" s="1"/>
  <c r="V152" i="4"/>
  <c r="U152" i="4"/>
  <c r="T152" i="4"/>
  <c r="S152" i="4"/>
  <c r="R152" i="4"/>
  <c r="Q152" i="4"/>
  <c r="P152" i="4"/>
  <c r="O152" i="4"/>
  <c r="W152" i="4" s="1"/>
  <c r="N152" i="4"/>
  <c r="M152" i="4"/>
  <c r="L152" i="4"/>
  <c r="K152" i="4"/>
  <c r="J152" i="4"/>
  <c r="I152" i="4" a="1"/>
  <c r="I152" i="4" s="1"/>
  <c r="H152" i="4"/>
  <c r="G152" i="4"/>
  <c r="F152" i="4"/>
  <c r="D152" i="4"/>
  <c r="C152" i="4"/>
  <c r="B152" i="4"/>
  <c r="A152" i="4"/>
  <c r="V151" i="4"/>
  <c r="U151" i="4"/>
  <c r="T151" i="4"/>
  <c r="S151" i="4"/>
  <c r="R151" i="4"/>
  <c r="Q151" i="4"/>
  <c r="P151" i="4"/>
  <c r="O151" i="4"/>
  <c r="N151" i="4"/>
  <c r="M151" i="4"/>
  <c r="L151" i="4"/>
  <c r="K151" i="4"/>
  <c r="J151" i="4"/>
  <c r="I151" i="4"/>
  <c r="I151" i="4" a="1"/>
  <c r="H151" i="4"/>
  <c r="G151" i="4"/>
  <c r="F151" i="4"/>
  <c r="C151" i="4"/>
  <c r="B151" i="4"/>
  <c r="V150" i="4"/>
  <c r="T150" i="4"/>
  <c r="S150" i="4"/>
  <c r="R150" i="4"/>
  <c r="U150" i="4" s="1"/>
  <c r="Q150" i="4"/>
  <c r="P150" i="4"/>
  <c r="O150" i="4"/>
  <c r="N150" i="4"/>
  <c r="M150" i="4"/>
  <c r="K150" i="4"/>
  <c r="J150" i="4"/>
  <c r="L150" i="4" s="1"/>
  <c r="H150" i="4"/>
  <c r="G150" i="4"/>
  <c r="I150" i="4" s="1" a="1"/>
  <c r="I150" i="4" s="1"/>
  <c r="F150" i="4"/>
  <c r="C150" i="4"/>
  <c r="B150" i="4"/>
  <c r="V149" i="4"/>
  <c r="T149" i="4"/>
  <c r="S149" i="4"/>
  <c r="R149" i="4"/>
  <c r="U149" i="4" s="1"/>
  <c r="Q149" i="4"/>
  <c r="P149" i="4"/>
  <c r="O149" i="4"/>
  <c r="N149" i="4"/>
  <c r="M149" i="4"/>
  <c r="K149" i="4"/>
  <c r="J149" i="4"/>
  <c r="L149" i="4" s="1"/>
  <c r="H149" i="4"/>
  <c r="G149" i="4"/>
  <c r="W149" i="4" s="1"/>
  <c r="F149" i="4"/>
  <c r="D149" i="4"/>
  <c r="C149" i="4"/>
  <c r="B149" i="4"/>
  <c r="A149" i="4"/>
  <c r="V148" i="4"/>
  <c r="T148" i="4"/>
  <c r="S148" i="4"/>
  <c r="R148" i="4"/>
  <c r="U148" i="4" s="1"/>
  <c r="Q148" i="4"/>
  <c r="P148" i="4"/>
  <c r="O148" i="4"/>
  <c r="W148" i="4" s="1"/>
  <c r="N148" i="4"/>
  <c r="M148" i="4"/>
  <c r="L148" i="4"/>
  <c r="K148" i="4"/>
  <c r="J148" i="4"/>
  <c r="I148" i="4"/>
  <c r="I148" i="4" a="1"/>
  <c r="H148" i="4"/>
  <c r="G148" i="4"/>
  <c r="F148" i="4"/>
  <c r="D148" i="4"/>
  <c r="C148" i="4"/>
  <c r="B148" i="4"/>
  <c r="V147" i="4"/>
  <c r="U147" i="4"/>
  <c r="T147" i="4"/>
  <c r="S147" i="4"/>
  <c r="R147" i="4"/>
  <c r="Q147" i="4"/>
  <c r="P147" i="4"/>
  <c r="O147" i="4"/>
  <c r="N147" i="4"/>
  <c r="M147" i="4"/>
  <c r="L147" i="4"/>
  <c r="K147" i="4"/>
  <c r="J147" i="4"/>
  <c r="I147" i="4" a="1"/>
  <c r="I147" i="4" s="1"/>
  <c r="H147" i="4"/>
  <c r="G147" i="4"/>
  <c r="F147" i="4"/>
  <c r="C147" i="4"/>
  <c r="B147" i="4"/>
  <c r="W147" i="4" s="1"/>
  <c r="A147" i="4"/>
  <c r="V146" i="4"/>
  <c r="U146" i="4"/>
  <c r="T146" i="4"/>
  <c r="S146" i="4"/>
  <c r="R146" i="4"/>
  <c r="Q146" i="4"/>
  <c r="P146" i="4"/>
  <c r="O146" i="4"/>
  <c r="N146" i="4"/>
  <c r="M146" i="4"/>
  <c r="K146" i="4"/>
  <c r="J146" i="4"/>
  <c r="L146" i="4" s="1"/>
  <c r="H146" i="4"/>
  <c r="G146" i="4"/>
  <c r="I146" i="4" s="1" a="1"/>
  <c r="I146" i="4" s="1"/>
  <c r="F146" i="4"/>
  <c r="C146" i="4"/>
  <c r="B146" i="4"/>
  <c r="V145" i="4"/>
  <c r="T145" i="4"/>
  <c r="S145" i="4"/>
  <c r="R145" i="4"/>
  <c r="U145" i="4" s="1"/>
  <c r="Q145" i="4"/>
  <c r="P145" i="4"/>
  <c r="O145" i="4"/>
  <c r="W145" i="4" s="1"/>
  <c r="N145" i="4"/>
  <c r="M145" i="4"/>
  <c r="K145" i="4"/>
  <c r="J145" i="4"/>
  <c r="L145" i="4" s="1"/>
  <c r="H145" i="4"/>
  <c r="G145" i="4"/>
  <c r="I145" i="4" s="1" a="1"/>
  <c r="I145" i="4" s="1"/>
  <c r="F145" i="4"/>
  <c r="D145" i="4"/>
  <c r="C145" i="4"/>
  <c r="B145" i="4"/>
  <c r="V144" i="4"/>
  <c r="U144" i="4"/>
  <c r="T144" i="4"/>
  <c r="S144" i="4"/>
  <c r="R144" i="4"/>
  <c r="Q144" i="4"/>
  <c r="P144" i="4"/>
  <c r="O144" i="4"/>
  <c r="W144" i="4" s="1"/>
  <c r="N144" i="4"/>
  <c r="M144" i="4"/>
  <c r="L144" i="4"/>
  <c r="K144" i="4"/>
  <c r="J144" i="4"/>
  <c r="I144" i="4" a="1"/>
  <c r="I144" i="4" s="1"/>
  <c r="H144" i="4"/>
  <c r="G144" i="4"/>
  <c r="F144" i="4"/>
  <c r="D144" i="4"/>
  <c r="C144" i="4"/>
  <c r="B144" i="4"/>
  <c r="A144" i="4"/>
  <c r="V143" i="4"/>
  <c r="U143" i="4"/>
  <c r="T143" i="4"/>
  <c r="S143" i="4"/>
  <c r="R143" i="4"/>
  <c r="Q143" i="4"/>
  <c r="P143" i="4"/>
  <c r="O143" i="4"/>
  <c r="N143" i="4"/>
  <c r="M143" i="4"/>
  <c r="L143" i="4"/>
  <c r="K143" i="4"/>
  <c r="J143" i="4"/>
  <c r="I143" i="4"/>
  <c r="I143" i="4" a="1"/>
  <c r="H143" i="4"/>
  <c r="G143" i="4"/>
  <c r="F143" i="4"/>
  <c r="C143" i="4"/>
  <c r="B143" i="4"/>
  <c r="V142" i="4"/>
  <c r="T142" i="4"/>
  <c r="S142" i="4"/>
  <c r="R142" i="4"/>
  <c r="U142" i="4" s="1"/>
  <c r="Q142" i="4"/>
  <c r="P142" i="4"/>
  <c r="O142" i="4"/>
  <c r="N142" i="4"/>
  <c r="M142" i="4"/>
  <c r="K142" i="4"/>
  <c r="J142" i="4"/>
  <c r="L142" i="4" s="1"/>
  <c r="H142" i="4"/>
  <c r="G142" i="4"/>
  <c r="I142" i="4" s="1" a="1"/>
  <c r="I142" i="4" s="1"/>
  <c r="F142" i="4"/>
  <c r="C142" i="4"/>
  <c r="B142" i="4"/>
  <c r="V141" i="4"/>
  <c r="T141" i="4"/>
  <c r="S141" i="4"/>
  <c r="R141" i="4"/>
  <c r="U141" i="4" s="1"/>
  <c r="Q141" i="4"/>
  <c r="P141" i="4"/>
  <c r="O141" i="4"/>
  <c r="N141" i="4"/>
  <c r="M141" i="4"/>
  <c r="K141" i="4"/>
  <c r="J141" i="4"/>
  <c r="L141" i="4" s="1"/>
  <c r="H141" i="4"/>
  <c r="G141" i="4"/>
  <c r="W141" i="4" s="1"/>
  <c r="F141" i="4"/>
  <c r="D141" i="4"/>
  <c r="C141" i="4"/>
  <c r="B141" i="4"/>
  <c r="A141" i="4"/>
  <c r="V140" i="4"/>
  <c r="T140" i="4"/>
  <c r="S140" i="4"/>
  <c r="R140" i="4"/>
  <c r="U140" i="4" s="1"/>
  <c r="Q140" i="4"/>
  <c r="P140" i="4"/>
  <c r="O140" i="4"/>
  <c r="W140" i="4" s="1"/>
  <c r="N140" i="4"/>
  <c r="M140" i="4"/>
  <c r="L140" i="4"/>
  <c r="K140" i="4"/>
  <c r="J140" i="4"/>
  <c r="I140" i="4"/>
  <c r="I140" i="4" a="1"/>
  <c r="H140" i="4"/>
  <c r="G140" i="4"/>
  <c r="F140" i="4"/>
  <c r="D140" i="4"/>
  <c r="C140" i="4"/>
  <c r="B140" i="4"/>
  <c r="V139" i="4"/>
  <c r="U139" i="4"/>
  <c r="T139" i="4"/>
  <c r="S139" i="4"/>
  <c r="R139" i="4"/>
  <c r="Q139" i="4"/>
  <c r="P139" i="4"/>
  <c r="O139" i="4"/>
  <c r="N139" i="4"/>
  <c r="M139" i="4"/>
  <c r="L139" i="4"/>
  <c r="K139" i="4"/>
  <c r="J139" i="4"/>
  <c r="I139" i="4" a="1"/>
  <c r="I139" i="4" s="1"/>
  <c r="H139" i="4"/>
  <c r="G139" i="4"/>
  <c r="F139" i="4"/>
  <c r="C139" i="4"/>
  <c r="B139" i="4"/>
  <c r="W139" i="4" s="1"/>
  <c r="A139" i="4"/>
  <c r="V138" i="4"/>
  <c r="U138" i="4"/>
  <c r="T138" i="4"/>
  <c r="S138" i="4"/>
  <c r="R138" i="4"/>
  <c r="Q138" i="4"/>
  <c r="P138" i="4"/>
  <c r="O138" i="4"/>
  <c r="N138" i="4"/>
  <c r="M138" i="4"/>
  <c r="K138" i="4"/>
  <c r="J138" i="4"/>
  <c r="L138" i="4" s="1"/>
  <c r="H138" i="4"/>
  <c r="G138" i="4"/>
  <c r="I138" i="4" s="1" a="1"/>
  <c r="I138" i="4" s="1"/>
  <c r="F138" i="4"/>
  <c r="C138" i="4"/>
  <c r="B138" i="4"/>
  <c r="V137" i="4"/>
  <c r="T137" i="4"/>
  <c r="S137" i="4"/>
  <c r="R137" i="4"/>
  <c r="U137" i="4" s="1"/>
  <c r="Q137" i="4"/>
  <c r="P137" i="4"/>
  <c r="O137" i="4"/>
  <c r="W137" i="4" s="1"/>
  <c r="N137" i="4"/>
  <c r="M137" i="4"/>
  <c r="K137" i="4"/>
  <c r="J137" i="4"/>
  <c r="L137" i="4" s="1"/>
  <c r="H137" i="4"/>
  <c r="G137" i="4"/>
  <c r="I137" i="4" s="1" a="1"/>
  <c r="I137" i="4" s="1"/>
  <c r="F137" i="4"/>
  <c r="D137" i="4"/>
  <c r="C137" i="4"/>
  <c r="B137" i="4"/>
  <c r="V136" i="4"/>
  <c r="U136" i="4"/>
  <c r="T136" i="4"/>
  <c r="S136" i="4"/>
  <c r="R136" i="4"/>
  <c r="Q136" i="4"/>
  <c r="P136" i="4"/>
  <c r="O136" i="4"/>
  <c r="W136" i="4" s="1"/>
  <c r="N136" i="4"/>
  <c r="M136" i="4"/>
  <c r="L136" i="4"/>
  <c r="K136" i="4"/>
  <c r="J136" i="4"/>
  <c r="I136" i="4" a="1"/>
  <c r="I136" i="4" s="1"/>
  <c r="H136" i="4"/>
  <c r="G136" i="4"/>
  <c r="F136" i="4"/>
  <c r="D136" i="4"/>
  <c r="C136" i="4"/>
  <c r="B136" i="4"/>
  <c r="A136" i="4"/>
  <c r="V135" i="4"/>
  <c r="U135" i="4"/>
  <c r="T135" i="4"/>
  <c r="S135" i="4"/>
  <c r="R135" i="4"/>
  <c r="Q135" i="4"/>
  <c r="P135" i="4"/>
  <c r="O135" i="4"/>
  <c r="N135" i="4"/>
  <c r="M135" i="4"/>
  <c r="L135" i="4"/>
  <c r="K135" i="4"/>
  <c r="J135" i="4"/>
  <c r="I135" i="4"/>
  <c r="I135" i="4" a="1"/>
  <c r="H135" i="4"/>
  <c r="G135" i="4"/>
  <c r="F135" i="4"/>
  <c r="C135" i="4"/>
  <c r="B135" i="4"/>
  <c r="V134" i="4"/>
  <c r="T134" i="4"/>
  <c r="S134" i="4"/>
  <c r="R134" i="4"/>
  <c r="U134" i="4" s="1"/>
  <c r="Q134" i="4"/>
  <c r="P134" i="4"/>
  <c r="O134" i="4"/>
  <c r="N134" i="4"/>
  <c r="M134" i="4"/>
  <c r="K134" i="4"/>
  <c r="J134" i="4"/>
  <c r="L134" i="4" s="1"/>
  <c r="H134" i="4"/>
  <c r="G134" i="4"/>
  <c r="I134" i="4" s="1" a="1"/>
  <c r="I134" i="4" s="1"/>
  <c r="F134" i="4"/>
  <c r="C134" i="4"/>
  <c r="B134" i="4"/>
  <c r="V133" i="4"/>
  <c r="T133" i="4"/>
  <c r="S133" i="4"/>
  <c r="R133" i="4"/>
  <c r="U133" i="4" s="1"/>
  <c r="Q133" i="4"/>
  <c r="P133" i="4"/>
  <c r="O133" i="4"/>
  <c r="N133" i="4"/>
  <c r="M133" i="4"/>
  <c r="K133" i="4"/>
  <c r="J133" i="4"/>
  <c r="L133" i="4" s="1"/>
  <c r="H133" i="4"/>
  <c r="G133" i="4"/>
  <c r="W133" i="4" s="1"/>
  <c r="F133" i="4"/>
  <c r="D133" i="4"/>
  <c r="C133" i="4"/>
  <c r="B133" i="4"/>
  <c r="A133" i="4"/>
  <c r="V132" i="4"/>
  <c r="T132" i="4"/>
  <c r="S132" i="4"/>
  <c r="R132" i="4"/>
  <c r="U132" i="4" s="1"/>
  <c r="Q132" i="4"/>
  <c r="P132" i="4"/>
  <c r="O132" i="4"/>
  <c r="W132" i="4" s="1"/>
  <c r="N132" i="4"/>
  <c r="M132" i="4"/>
  <c r="L132" i="4"/>
  <c r="K132" i="4"/>
  <c r="J132" i="4"/>
  <c r="I132" i="4"/>
  <c r="I132" i="4" a="1"/>
  <c r="H132" i="4"/>
  <c r="G132" i="4"/>
  <c r="F132" i="4"/>
  <c r="D132" i="4"/>
  <c r="C132" i="4"/>
  <c r="B132" i="4"/>
  <c r="V131" i="4"/>
  <c r="U131" i="4"/>
  <c r="T131" i="4"/>
  <c r="S131" i="4"/>
  <c r="R131" i="4"/>
  <c r="Q131" i="4"/>
  <c r="P131" i="4"/>
  <c r="O131" i="4"/>
  <c r="N131" i="4"/>
  <c r="M131" i="4"/>
  <c r="L131" i="4"/>
  <c r="K131" i="4"/>
  <c r="J131" i="4"/>
  <c r="I131" i="4" a="1"/>
  <c r="I131" i="4" s="1"/>
  <c r="H131" i="4"/>
  <c r="G131" i="4"/>
  <c r="F131" i="4"/>
  <c r="C131" i="4"/>
  <c r="B131" i="4"/>
  <c r="W131" i="4" s="1"/>
  <c r="A131" i="4"/>
  <c r="V130" i="4"/>
  <c r="U130" i="4"/>
  <c r="T130" i="4"/>
  <c r="S130" i="4"/>
  <c r="R130" i="4"/>
  <c r="Q130" i="4"/>
  <c r="P130" i="4"/>
  <c r="O130" i="4"/>
  <c r="N130" i="4"/>
  <c r="M130" i="4"/>
  <c r="K130" i="4"/>
  <c r="J130" i="4"/>
  <c r="L130" i="4" s="1"/>
  <c r="H130" i="4"/>
  <c r="G130" i="4"/>
  <c r="I130" i="4" s="1" a="1"/>
  <c r="I130" i="4" s="1"/>
  <c r="F130" i="4"/>
  <c r="C130" i="4"/>
  <c r="B130" i="4"/>
  <c r="V129" i="4"/>
  <c r="T129" i="4"/>
  <c r="S129" i="4"/>
  <c r="R129" i="4"/>
  <c r="U129" i="4" s="1"/>
  <c r="Q129" i="4"/>
  <c r="P129" i="4"/>
  <c r="O129" i="4"/>
  <c r="W129" i="4" s="1"/>
  <c r="N129" i="4"/>
  <c r="M129" i="4"/>
  <c r="K129" i="4"/>
  <c r="J129" i="4"/>
  <c r="L129" i="4" s="1"/>
  <c r="H129" i="4"/>
  <c r="G129" i="4"/>
  <c r="I129" i="4" s="1" a="1"/>
  <c r="I129" i="4" s="1"/>
  <c r="F129" i="4"/>
  <c r="D129" i="4"/>
  <c r="C129" i="4"/>
  <c r="B129" i="4"/>
  <c r="V128" i="4"/>
  <c r="U128" i="4"/>
  <c r="T128" i="4"/>
  <c r="S128" i="4"/>
  <c r="R128" i="4"/>
  <c r="Q128" i="4"/>
  <c r="P128" i="4"/>
  <c r="O128" i="4"/>
  <c r="W128" i="4" s="1"/>
  <c r="N128" i="4"/>
  <c r="M128" i="4"/>
  <c r="L128" i="4"/>
  <c r="K128" i="4"/>
  <c r="J128" i="4"/>
  <c r="I128" i="4" a="1"/>
  <c r="I128" i="4" s="1"/>
  <c r="H128" i="4"/>
  <c r="G128" i="4"/>
  <c r="F128" i="4"/>
  <c r="D128" i="4"/>
  <c r="C128" i="4"/>
  <c r="B128" i="4"/>
  <c r="A128" i="4"/>
  <c r="V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I127" i="4" a="1"/>
  <c r="H127" i="4"/>
  <c r="G127" i="4"/>
  <c r="F127" i="4"/>
  <c r="C127" i="4"/>
  <c r="B127" i="4"/>
  <c r="V126" i="4"/>
  <c r="T126" i="4"/>
  <c r="S126" i="4"/>
  <c r="R126" i="4"/>
  <c r="U126" i="4" s="1"/>
  <c r="Q126" i="4"/>
  <c r="P126" i="4"/>
  <c r="O126" i="4"/>
  <c r="N126" i="4"/>
  <c r="M126" i="4"/>
  <c r="K126" i="4"/>
  <c r="J126" i="4"/>
  <c r="L126" i="4" s="1"/>
  <c r="H126" i="4"/>
  <c r="G126" i="4"/>
  <c r="I126" i="4" s="1" a="1"/>
  <c r="I126" i="4" s="1"/>
  <c r="F126" i="4"/>
  <c r="C126" i="4"/>
  <c r="B126" i="4"/>
  <c r="V125" i="4"/>
  <c r="T125" i="4"/>
  <c r="S125" i="4"/>
  <c r="R125" i="4"/>
  <c r="U125" i="4" s="1"/>
  <c r="Q125" i="4"/>
  <c r="P125" i="4"/>
  <c r="O125" i="4"/>
  <c r="N125" i="4"/>
  <c r="M125" i="4"/>
  <c r="K125" i="4"/>
  <c r="J125" i="4"/>
  <c r="L125" i="4" s="1"/>
  <c r="H125" i="4"/>
  <c r="G125" i="4"/>
  <c r="W125" i="4" s="1"/>
  <c r="F125" i="4"/>
  <c r="D125" i="4"/>
  <c r="C125" i="4"/>
  <c r="B125" i="4"/>
  <c r="A125" i="4"/>
  <c r="V124" i="4"/>
  <c r="T124" i="4"/>
  <c r="S124" i="4"/>
  <c r="R124" i="4"/>
  <c r="U124" i="4" s="1"/>
  <c r="Q124" i="4"/>
  <c r="P124" i="4"/>
  <c r="O124" i="4"/>
  <c r="W124" i="4" s="1"/>
  <c r="N124" i="4"/>
  <c r="M124" i="4"/>
  <c r="L124" i="4"/>
  <c r="K124" i="4"/>
  <c r="J124" i="4"/>
  <c r="I124" i="4"/>
  <c r="I124" i="4" a="1"/>
  <c r="H124" i="4"/>
  <c r="G124" i="4"/>
  <c r="F124" i="4"/>
  <c r="D124" i="4"/>
  <c r="C124" i="4"/>
  <c r="B124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 a="1"/>
  <c r="I123" i="4" s="1"/>
  <c r="H123" i="4"/>
  <c r="G123" i="4"/>
  <c r="F123" i="4"/>
  <c r="C123" i="4"/>
  <c r="B123" i="4"/>
  <c r="W123" i="4" s="1"/>
  <c r="A123" i="4"/>
  <c r="V122" i="4"/>
  <c r="U122" i="4"/>
  <c r="T122" i="4"/>
  <c r="S122" i="4"/>
  <c r="R122" i="4"/>
  <c r="Q122" i="4"/>
  <c r="P122" i="4"/>
  <c r="O122" i="4"/>
  <c r="N122" i="4"/>
  <c r="M122" i="4"/>
  <c r="K122" i="4"/>
  <c r="J122" i="4"/>
  <c r="L122" i="4" s="1"/>
  <c r="H122" i="4"/>
  <c r="G122" i="4"/>
  <c r="I122" i="4" s="1" a="1"/>
  <c r="I122" i="4" s="1"/>
  <c r="F122" i="4"/>
  <c r="C122" i="4"/>
  <c r="B122" i="4"/>
  <c r="V121" i="4"/>
  <c r="T121" i="4"/>
  <c r="S121" i="4"/>
  <c r="R121" i="4"/>
  <c r="U121" i="4" s="1"/>
  <c r="Q121" i="4"/>
  <c r="P121" i="4"/>
  <c r="O121" i="4"/>
  <c r="W121" i="4" s="1"/>
  <c r="N121" i="4"/>
  <c r="M121" i="4"/>
  <c r="K121" i="4"/>
  <c r="J121" i="4"/>
  <c r="L121" i="4" s="1"/>
  <c r="H121" i="4"/>
  <c r="G121" i="4"/>
  <c r="I121" i="4" s="1" a="1"/>
  <c r="I121" i="4" s="1"/>
  <c r="F121" i="4"/>
  <c r="D121" i="4"/>
  <c r="C121" i="4"/>
  <c r="B121" i="4"/>
  <c r="V120" i="4"/>
  <c r="U120" i="4"/>
  <c r="T120" i="4"/>
  <c r="S120" i="4"/>
  <c r="R120" i="4"/>
  <c r="Q120" i="4"/>
  <c r="P120" i="4"/>
  <c r="O120" i="4"/>
  <c r="W120" i="4" s="1"/>
  <c r="N120" i="4"/>
  <c r="M120" i="4"/>
  <c r="L120" i="4"/>
  <c r="K120" i="4"/>
  <c r="J120" i="4"/>
  <c r="I120" i="4" a="1"/>
  <c r="I120" i="4" s="1"/>
  <c r="H120" i="4"/>
  <c r="G120" i="4"/>
  <c r="F120" i="4"/>
  <c r="D120" i="4"/>
  <c r="C120" i="4"/>
  <c r="B120" i="4"/>
  <c r="A120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I119" i="4" a="1"/>
  <c r="H119" i="4"/>
  <c r="G119" i="4"/>
  <c r="F119" i="4"/>
  <c r="C119" i="4"/>
  <c r="B119" i="4"/>
  <c r="V118" i="4"/>
  <c r="T118" i="4"/>
  <c r="S118" i="4"/>
  <c r="R118" i="4"/>
  <c r="U118" i="4" s="1"/>
  <c r="Q118" i="4"/>
  <c r="P118" i="4"/>
  <c r="O118" i="4"/>
  <c r="N118" i="4"/>
  <c r="M118" i="4"/>
  <c r="K118" i="4"/>
  <c r="J118" i="4"/>
  <c r="L118" i="4" s="1"/>
  <c r="H118" i="4"/>
  <c r="G118" i="4"/>
  <c r="I118" i="4" s="1" a="1"/>
  <c r="I118" i="4" s="1"/>
  <c r="F118" i="4"/>
  <c r="C118" i="4"/>
  <c r="B118" i="4"/>
  <c r="V117" i="4"/>
  <c r="T117" i="4"/>
  <c r="S117" i="4"/>
  <c r="R117" i="4"/>
  <c r="U117" i="4" s="1"/>
  <c r="Q117" i="4"/>
  <c r="P117" i="4"/>
  <c r="O117" i="4"/>
  <c r="N117" i="4"/>
  <c r="M117" i="4"/>
  <c r="K117" i="4"/>
  <c r="J117" i="4"/>
  <c r="L117" i="4" s="1"/>
  <c r="H117" i="4"/>
  <c r="G117" i="4"/>
  <c r="W117" i="4" s="1"/>
  <c r="F117" i="4"/>
  <c r="D117" i="4"/>
  <c r="C117" i="4"/>
  <c r="B117" i="4"/>
  <c r="A117" i="4"/>
  <c r="V116" i="4"/>
  <c r="T116" i="4"/>
  <c r="S116" i="4"/>
  <c r="R116" i="4"/>
  <c r="U116" i="4" s="1"/>
  <c r="Q116" i="4"/>
  <c r="P116" i="4"/>
  <c r="O116" i="4"/>
  <c r="N116" i="4"/>
  <c r="M116" i="4"/>
  <c r="L116" i="4"/>
  <c r="K116" i="4"/>
  <c r="J116" i="4"/>
  <c r="I116" i="4"/>
  <c r="I116" i="4" a="1"/>
  <c r="H116" i="4"/>
  <c r="G116" i="4"/>
  <c r="F116" i="4"/>
  <c r="D116" i="4"/>
  <c r="C116" i="4"/>
  <c r="B116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 a="1"/>
  <c r="I115" i="4" s="1"/>
  <c r="H115" i="4"/>
  <c r="G115" i="4"/>
  <c r="F115" i="4"/>
  <c r="C115" i="4"/>
  <c r="B115" i="4"/>
  <c r="W115" i="4" s="1"/>
  <c r="A115" i="4"/>
  <c r="V114" i="4"/>
  <c r="U114" i="4"/>
  <c r="T114" i="4"/>
  <c r="S114" i="4"/>
  <c r="R114" i="4"/>
  <c r="Q114" i="4"/>
  <c r="P114" i="4"/>
  <c r="O114" i="4"/>
  <c r="N114" i="4"/>
  <c r="M114" i="4"/>
  <c r="K114" i="4"/>
  <c r="J114" i="4"/>
  <c r="L114" i="4" s="1"/>
  <c r="H114" i="4"/>
  <c r="G114" i="4"/>
  <c r="I114" i="4" s="1" a="1"/>
  <c r="I114" i="4" s="1"/>
  <c r="F114" i="4"/>
  <c r="C114" i="4"/>
  <c r="B114" i="4"/>
  <c r="V113" i="4"/>
  <c r="T113" i="4"/>
  <c r="S113" i="4"/>
  <c r="R113" i="4"/>
  <c r="U113" i="4" s="1"/>
  <c r="Q113" i="4"/>
  <c r="P113" i="4"/>
  <c r="O113" i="4"/>
  <c r="W113" i="4" s="1"/>
  <c r="N113" i="4"/>
  <c r="M113" i="4"/>
  <c r="K113" i="4"/>
  <c r="J113" i="4"/>
  <c r="L113" i="4" s="1"/>
  <c r="H113" i="4"/>
  <c r="G113" i="4"/>
  <c r="I113" i="4" s="1" a="1"/>
  <c r="I113" i="4" s="1"/>
  <c r="F113" i="4"/>
  <c r="D113" i="4"/>
  <c r="C113" i="4"/>
  <c r="B113" i="4"/>
  <c r="V112" i="4"/>
  <c r="U112" i="4"/>
  <c r="T112" i="4"/>
  <c r="S112" i="4"/>
  <c r="R112" i="4"/>
  <c r="Q112" i="4"/>
  <c r="P112" i="4"/>
  <c r="O112" i="4"/>
  <c r="W112" i="4" s="1"/>
  <c r="N112" i="4"/>
  <c r="M112" i="4"/>
  <c r="L112" i="4"/>
  <c r="K112" i="4"/>
  <c r="J112" i="4"/>
  <c r="I112" i="4" a="1"/>
  <c r="I112" i="4" s="1"/>
  <c r="H112" i="4"/>
  <c r="G112" i="4"/>
  <c r="F112" i="4"/>
  <c r="D112" i="4"/>
  <c r="C112" i="4"/>
  <c r="B112" i="4"/>
  <c r="A112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I111" i="4" a="1"/>
  <c r="H111" i="4"/>
  <c r="G111" i="4"/>
  <c r="F111" i="4"/>
  <c r="C111" i="4"/>
  <c r="B111" i="4"/>
  <c r="V110" i="4"/>
  <c r="T110" i="4"/>
  <c r="S110" i="4"/>
  <c r="R110" i="4"/>
  <c r="U110" i="4" s="1"/>
  <c r="Q110" i="4"/>
  <c r="P110" i="4"/>
  <c r="O110" i="4"/>
  <c r="N110" i="4"/>
  <c r="M110" i="4"/>
  <c r="K110" i="4"/>
  <c r="J110" i="4"/>
  <c r="L110" i="4" s="1"/>
  <c r="H110" i="4"/>
  <c r="G110" i="4"/>
  <c r="I110" i="4" s="1" a="1"/>
  <c r="I110" i="4" s="1"/>
  <c r="F110" i="4"/>
  <c r="C110" i="4"/>
  <c r="B110" i="4"/>
  <c r="V109" i="4"/>
  <c r="T109" i="4"/>
  <c r="S109" i="4"/>
  <c r="R109" i="4"/>
  <c r="U109" i="4" s="1"/>
  <c r="Q109" i="4"/>
  <c r="P109" i="4"/>
  <c r="O109" i="4"/>
  <c r="N109" i="4"/>
  <c r="M109" i="4"/>
  <c r="K109" i="4"/>
  <c r="J109" i="4"/>
  <c r="L109" i="4" s="1"/>
  <c r="H109" i="4"/>
  <c r="G109" i="4"/>
  <c r="W109" i="4" s="1"/>
  <c r="F109" i="4"/>
  <c r="D109" i="4"/>
  <c r="C109" i="4"/>
  <c r="B109" i="4"/>
  <c r="A109" i="4"/>
  <c r="V108" i="4"/>
  <c r="T108" i="4"/>
  <c r="S108" i="4"/>
  <c r="R108" i="4"/>
  <c r="U108" i="4" s="1"/>
  <c r="Q108" i="4"/>
  <c r="P108" i="4"/>
  <c r="O108" i="4"/>
  <c r="N108" i="4"/>
  <c r="M108" i="4"/>
  <c r="L108" i="4"/>
  <c r="K108" i="4"/>
  <c r="J108" i="4"/>
  <c r="I108" i="4"/>
  <c r="I108" i="4" a="1"/>
  <c r="H108" i="4"/>
  <c r="G108" i="4"/>
  <c r="F108" i="4"/>
  <c r="D108" i="4"/>
  <c r="C108" i="4"/>
  <c r="B108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 a="1"/>
  <c r="I107" i="4" s="1"/>
  <c r="H107" i="4"/>
  <c r="G107" i="4"/>
  <c r="F107" i="4"/>
  <c r="C107" i="4"/>
  <c r="B107" i="4"/>
  <c r="W107" i="4" s="1"/>
  <c r="A107" i="4"/>
  <c r="V106" i="4"/>
  <c r="U106" i="4"/>
  <c r="T106" i="4"/>
  <c r="S106" i="4"/>
  <c r="R106" i="4"/>
  <c r="Q106" i="4"/>
  <c r="P106" i="4"/>
  <c r="O106" i="4"/>
  <c r="N106" i="4"/>
  <c r="M106" i="4"/>
  <c r="K106" i="4"/>
  <c r="J106" i="4"/>
  <c r="L106" i="4" s="1"/>
  <c r="H106" i="4"/>
  <c r="G106" i="4"/>
  <c r="I106" i="4" s="1" a="1"/>
  <c r="I106" i="4" s="1"/>
  <c r="F106" i="4"/>
  <c r="D106" i="4"/>
  <c r="C106" i="4"/>
  <c r="B106" i="4"/>
  <c r="V105" i="4"/>
  <c r="T105" i="4"/>
  <c r="S105" i="4"/>
  <c r="R105" i="4"/>
  <c r="U105" i="4" s="1"/>
  <c r="Q105" i="4"/>
  <c r="P105" i="4"/>
  <c r="O105" i="4"/>
  <c r="W105" i="4" s="1"/>
  <c r="N105" i="4"/>
  <c r="M105" i="4"/>
  <c r="K105" i="4"/>
  <c r="J105" i="4"/>
  <c r="L105" i="4" s="1"/>
  <c r="H105" i="4"/>
  <c r="G105" i="4"/>
  <c r="I105" i="4" s="1" a="1"/>
  <c r="I105" i="4" s="1"/>
  <c r="F105" i="4"/>
  <c r="D105" i="4"/>
  <c r="C105" i="4"/>
  <c r="B105" i="4"/>
  <c r="V104" i="4"/>
  <c r="U104" i="4"/>
  <c r="T104" i="4"/>
  <c r="S104" i="4"/>
  <c r="R104" i="4"/>
  <c r="Q104" i="4"/>
  <c r="P104" i="4"/>
  <c r="O104" i="4"/>
  <c r="W104" i="4" s="1"/>
  <c r="N104" i="4"/>
  <c r="M104" i="4"/>
  <c r="L104" i="4"/>
  <c r="K104" i="4"/>
  <c r="J104" i="4"/>
  <c r="I104" i="4" a="1"/>
  <c r="I104" i="4" s="1"/>
  <c r="H104" i="4"/>
  <c r="G104" i="4"/>
  <c r="F104" i="4"/>
  <c r="D104" i="4"/>
  <c r="C104" i="4"/>
  <c r="B104" i="4"/>
  <c r="A104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I103" i="4" a="1"/>
  <c r="H103" i="4"/>
  <c r="G103" i="4"/>
  <c r="F103" i="4"/>
  <c r="C103" i="4"/>
  <c r="B103" i="4"/>
  <c r="V102" i="4"/>
  <c r="T102" i="4"/>
  <c r="S102" i="4"/>
  <c r="R102" i="4"/>
  <c r="U102" i="4" s="1"/>
  <c r="Q102" i="4"/>
  <c r="P102" i="4"/>
  <c r="O102" i="4"/>
  <c r="N102" i="4"/>
  <c r="M102" i="4"/>
  <c r="K102" i="4"/>
  <c r="J102" i="4"/>
  <c r="L102" i="4" s="1"/>
  <c r="H102" i="4"/>
  <c r="G102" i="4"/>
  <c r="I102" i="4" s="1" a="1"/>
  <c r="I102" i="4" s="1"/>
  <c r="F102" i="4"/>
  <c r="C102" i="4"/>
  <c r="B102" i="4"/>
  <c r="V101" i="4"/>
  <c r="T101" i="4"/>
  <c r="S101" i="4"/>
  <c r="R101" i="4"/>
  <c r="U101" i="4" s="1"/>
  <c r="Q101" i="4"/>
  <c r="P101" i="4"/>
  <c r="O101" i="4"/>
  <c r="N101" i="4"/>
  <c r="M101" i="4"/>
  <c r="K101" i="4"/>
  <c r="J101" i="4"/>
  <c r="L101" i="4" s="1"/>
  <c r="I101" i="4" a="1"/>
  <c r="I101" i="4" s="1"/>
  <c r="H101" i="4"/>
  <c r="G101" i="4"/>
  <c r="W101" i="4" s="1"/>
  <c r="F101" i="4"/>
  <c r="D101" i="4"/>
  <c r="C101" i="4"/>
  <c r="B101" i="4"/>
  <c r="A101" i="4"/>
  <c r="V100" i="4"/>
  <c r="T100" i="4"/>
  <c r="S100" i="4"/>
  <c r="R100" i="4"/>
  <c r="U100" i="4" s="1"/>
  <c r="Q100" i="4"/>
  <c r="P100" i="4"/>
  <c r="O100" i="4"/>
  <c r="N100" i="4"/>
  <c r="M100" i="4"/>
  <c r="L100" i="4"/>
  <c r="K100" i="4"/>
  <c r="J100" i="4"/>
  <c r="I100" i="4"/>
  <c r="I100" i="4" a="1"/>
  <c r="H100" i="4"/>
  <c r="G100" i="4"/>
  <c r="F100" i="4"/>
  <c r="D100" i="4"/>
  <c r="C100" i="4"/>
  <c r="B100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 a="1"/>
  <c r="I99" i="4" s="1"/>
  <c r="H99" i="4"/>
  <c r="G99" i="4"/>
  <c r="F99" i="4"/>
  <c r="C99" i="4"/>
  <c r="B99" i="4"/>
  <c r="V98" i="4"/>
  <c r="U98" i="4"/>
  <c r="T98" i="4"/>
  <c r="S98" i="4"/>
  <c r="R98" i="4"/>
  <c r="Q98" i="4"/>
  <c r="P98" i="4"/>
  <c r="O98" i="4"/>
  <c r="N98" i="4"/>
  <c r="M98" i="4"/>
  <c r="K98" i="4"/>
  <c r="J98" i="4"/>
  <c r="L98" i="4" s="1"/>
  <c r="H98" i="4"/>
  <c r="G98" i="4"/>
  <c r="I98" i="4" s="1" a="1"/>
  <c r="I98" i="4" s="1"/>
  <c r="F98" i="4"/>
  <c r="D98" i="4"/>
  <c r="C98" i="4"/>
  <c r="B98" i="4"/>
  <c r="V97" i="4"/>
  <c r="T97" i="4"/>
  <c r="S97" i="4"/>
  <c r="R97" i="4"/>
  <c r="U97" i="4" s="1"/>
  <c r="Q97" i="4"/>
  <c r="P97" i="4"/>
  <c r="O97" i="4"/>
  <c r="W97" i="4" s="1"/>
  <c r="N97" i="4"/>
  <c r="M97" i="4"/>
  <c r="L97" i="4"/>
  <c r="K97" i="4"/>
  <c r="J97" i="4"/>
  <c r="H97" i="4"/>
  <c r="G97" i="4"/>
  <c r="I97" i="4" s="1" a="1"/>
  <c r="I97" i="4" s="1"/>
  <c r="F97" i="4"/>
  <c r="D97" i="4"/>
  <c r="C97" i="4"/>
  <c r="B97" i="4"/>
  <c r="V96" i="4"/>
  <c r="U96" i="4"/>
  <c r="T96" i="4"/>
  <c r="S96" i="4"/>
  <c r="R96" i="4"/>
  <c r="Q96" i="4"/>
  <c r="P96" i="4"/>
  <c r="O96" i="4"/>
  <c r="W96" i="4" s="1"/>
  <c r="N96" i="4"/>
  <c r="M96" i="4"/>
  <c r="L96" i="4"/>
  <c r="K96" i="4"/>
  <c r="J96" i="4"/>
  <c r="I96" i="4" a="1"/>
  <c r="I96" i="4" s="1"/>
  <c r="H96" i="4"/>
  <c r="G96" i="4"/>
  <c r="F96" i="4"/>
  <c r="D96" i="4"/>
  <c r="C96" i="4"/>
  <c r="B96" i="4"/>
  <c r="A96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I95" i="4" a="1"/>
  <c r="H95" i="4"/>
  <c r="G95" i="4"/>
  <c r="F95" i="4"/>
  <c r="C95" i="4"/>
  <c r="B95" i="4"/>
  <c r="V94" i="4"/>
  <c r="T94" i="4"/>
  <c r="S94" i="4"/>
  <c r="R94" i="4"/>
  <c r="U94" i="4" s="1"/>
  <c r="Q94" i="4"/>
  <c r="P94" i="4"/>
  <c r="O94" i="4"/>
  <c r="N94" i="4"/>
  <c r="M94" i="4"/>
  <c r="K94" i="4"/>
  <c r="J94" i="4"/>
  <c r="L94" i="4" s="1"/>
  <c r="H94" i="4"/>
  <c r="G94" i="4"/>
  <c r="I94" i="4" s="1" a="1"/>
  <c r="I94" i="4" s="1"/>
  <c r="F94" i="4"/>
  <c r="C94" i="4"/>
  <c r="B94" i="4"/>
  <c r="V93" i="4"/>
  <c r="T93" i="4"/>
  <c r="S93" i="4"/>
  <c r="R93" i="4"/>
  <c r="U93" i="4" s="1"/>
  <c r="Q93" i="4"/>
  <c r="P93" i="4"/>
  <c r="O93" i="4"/>
  <c r="N93" i="4"/>
  <c r="M93" i="4"/>
  <c r="K93" i="4"/>
  <c r="J93" i="4"/>
  <c r="W93" i="4" s="1"/>
  <c r="I93" i="4" a="1"/>
  <c r="I93" i="4" s="1"/>
  <c r="H93" i="4"/>
  <c r="G93" i="4"/>
  <c r="F93" i="4"/>
  <c r="D93" i="4"/>
  <c r="C93" i="4"/>
  <c r="B93" i="4"/>
  <c r="A93" i="4"/>
  <c r="V92" i="4"/>
  <c r="T92" i="4"/>
  <c r="S92" i="4"/>
  <c r="R92" i="4"/>
  <c r="U92" i="4" s="1"/>
  <c r="Q92" i="4"/>
  <c r="P92" i="4"/>
  <c r="O92" i="4"/>
  <c r="N92" i="4"/>
  <c r="M92" i="4"/>
  <c r="L92" i="4"/>
  <c r="K92" i="4"/>
  <c r="J92" i="4"/>
  <c r="I92" i="4"/>
  <c r="I92" i="4" a="1"/>
  <c r="H92" i="4"/>
  <c r="G92" i="4"/>
  <c r="F92" i="4"/>
  <c r="D92" i="4"/>
  <c r="C92" i="4"/>
  <c r="B92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I91" i="4" a="1"/>
  <c r="H91" i="4"/>
  <c r="G91" i="4"/>
  <c r="F91" i="4"/>
  <c r="C91" i="4"/>
  <c r="B91" i="4"/>
  <c r="V90" i="4"/>
  <c r="U90" i="4"/>
  <c r="T90" i="4"/>
  <c r="S90" i="4"/>
  <c r="R90" i="4"/>
  <c r="Q90" i="4"/>
  <c r="P90" i="4"/>
  <c r="O90" i="4"/>
  <c r="N90" i="4"/>
  <c r="M90" i="4"/>
  <c r="K90" i="4"/>
  <c r="J90" i="4"/>
  <c r="L90" i="4" s="1"/>
  <c r="H90" i="4"/>
  <c r="G90" i="4"/>
  <c r="I90" i="4" s="1" a="1"/>
  <c r="I90" i="4" s="1"/>
  <c r="F90" i="4"/>
  <c r="D90" i="4"/>
  <c r="C90" i="4"/>
  <c r="B90" i="4"/>
  <c r="W89" i="4"/>
  <c r="V89" i="4"/>
  <c r="T89" i="4"/>
  <c r="S89" i="4"/>
  <c r="R89" i="4"/>
  <c r="U89" i="4" s="1"/>
  <c r="Q89" i="4"/>
  <c r="P89" i="4"/>
  <c r="O89" i="4"/>
  <c r="N89" i="4"/>
  <c r="M89" i="4"/>
  <c r="L89" i="4"/>
  <c r="K89" i="4"/>
  <c r="J89" i="4"/>
  <c r="H89" i="4"/>
  <c r="G89" i="4"/>
  <c r="I89" i="4" s="1" a="1"/>
  <c r="I89" i="4" s="1"/>
  <c r="F89" i="4"/>
  <c r="D89" i="4"/>
  <c r="C89" i="4"/>
  <c r="B89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 a="1"/>
  <c r="I88" i="4" s="1"/>
  <c r="H88" i="4"/>
  <c r="G88" i="4"/>
  <c r="F88" i="4"/>
  <c r="D88" i="4"/>
  <c r="C88" i="4"/>
  <c r="B88" i="4"/>
  <c r="A88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I87" i="4" a="1"/>
  <c r="H87" i="4"/>
  <c r="G87" i="4"/>
  <c r="F87" i="4"/>
  <c r="C87" i="4"/>
  <c r="B87" i="4"/>
  <c r="V86" i="4"/>
  <c r="T86" i="4"/>
  <c r="S86" i="4"/>
  <c r="R86" i="4"/>
  <c r="U86" i="4" s="1"/>
  <c r="Q86" i="4"/>
  <c r="P86" i="4"/>
  <c r="O86" i="4"/>
  <c r="N86" i="4"/>
  <c r="M86" i="4"/>
  <c r="K86" i="4"/>
  <c r="J86" i="4"/>
  <c r="L86" i="4" s="1"/>
  <c r="H86" i="4"/>
  <c r="G86" i="4"/>
  <c r="I86" i="4" s="1" a="1"/>
  <c r="I86" i="4" s="1"/>
  <c r="F86" i="4"/>
  <c r="C86" i="4"/>
  <c r="B86" i="4"/>
  <c r="V85" i="4"/>
  <c r="T85" i="4"/>
  <c r="S85" i="4"/>
  <c r="R85" i="4"/>
  <c r="U85" i="4" s="1"/>
  <c r="Q85" i="4"/>
  <c r="P85" i="4"/>
  <c r="O85" i="4"/>
  <c r="N85" i="4"/>
  <c r="M85" i="4"/>
  <c r="K85" i="4"/>
  <c r="J85" i="4"/>
  <c r="W85" i="4" s="1"/>
  <c r="I85" i="4" a="1"/>
  <c r="I85" i="4" s="1"/>
  <c r="H85" i="4"/>
  <c r="G85" i="4"/>
  <c r="F85" i="4"/>
  <c r="D85" i="4"/>
  <c r="C85" i="4"/>
  <c r="B85" i="4"/>
  <c r="A85" i="4"/>
  <c r="V84" i="4"/>
  <c r="T84" i="4"/>
  <c r="S84" i="4"/>
  <c r="R84" i="4"/>
  <c r="U84" i="4" s="1"/>
  <c r="Q84" i="4"/>
  <c r="P84" i="4"/>
  <c r="O84" i="4"/>
  <c r="N84" i="4"/>
  <c r="M84" i="4"/>
  <c r="L84" i="4"/>
  <c r="K84" i="4"/>
  <c r="J84" i="4"/>
  <c r="I84" i="4" a="1"/>
  <c r="I84" i="4" s="1"/>
  <c r="H84" i="4"/>
  <c r="G84" i="4"/>
  <c r="F84" i="4"/>
  <c r="D84" i="4"/>
  <c r="C84" i="4"/>
  <c r="B84" i="4"/>
  <c r="A84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I83" i="4" a="1"/>
  <c r="H83" i="4"/>
  <c r="G83" i="4"/>
  <c r="F83" i="4"/>
  <c r="C83" i="4"/>
  <c r="B83" i="4"/>
  <c r="V82" i="4"/>
  <c r="U82" i="4"/>
  <c r="T82" i="4"/>
  <c r="S82" i="4"/>
  <c r="R82" i="4"/>
  <c r="Q82" i="4"/>
  <c r="P82" i="4"/>
  <c r="O82" i="4"/>
  <c r="N82" i="4"/>
  <c r="M82" i="4"/>
  <c r="K82" i="4"/>
  <c r="J82" i="4"/>
  <c r="L82" i="4" s="1"/>
  <c r="H82" i="4"/>
  <c r="G82" i="4"/>
  <c r="I82" i="4" s="1" a="1"/>
  <c r="I82" i="4" s="1"/>
  <c r="F82" i="4"/>
  <c r="D82" i="4"/>
  <c r="C82" i="4"/>
  <c r="B82" i="4"/>
  <c r="V81" i="4"/>
  <c r="T81" i="4"/>
  <c r="S81" i="4"/>
  <c r="R81" i="4"/>
  <c r="U81" i="4" s="1"/>
  <c r="Q81" i="4"/>
  <c r="P81" i="4"/>
  <c r="O81" i="4"/>
  <c r="W81" i="4" s="1"/>
  <c r="N81" i="4"/>
  <c r="M81" i="4"/>
  <c r="L81" i="4"/>
  <c r="K81" i="4"/>
  <c r="J81" i="4"/>
  <c r="H81" i="4"/>
  <c r="G81" i="4"/>
  <c r="I81" i="4" s="1" a="1"/>
  <c r="I81" i="4" s="1"/>
  <c r="F81" i="4"/>
  <c r="D81" i="4"/>
  <c r="C81" i="4"/>
  <c r="B81" i="4"/>
  <c r="V80" i="4"/>
  <c r="U80" i="4"/>
  <c r="T80" i="4"/>
  <c r="S80" i="4"/>
  <c r="R80" i="4"/>
  <c r="Q80" i="4"/>
  <c r="P80" i="4"/>
  <c r="O80" i="4"/>
  <c r="W80" i="4" s="1"/>
  <c r="N80" i="4"/>
  <c r="M80" i="4"/>
  <c r="L80" i="4"/>
  <c r="K80" i="4"/>
  <c r="J80" i="4"/>
  <c r="I80" i="4" a="1"/>
  <c r="I80" i="4" s="1"/>
  <c r="H80" i="4"/>
  <c r="G80" i="4"/>
  <c r="F80" i="4"/>
  <c r="D80" i="4"/>
  <c r="C80" i="4"/>
  <c r="B80" i="4"/>
  <c r="A80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I79" i="4" a="1"/>
  <c r="H79" i="4"/>
  <c r="G79" i="4"/>
  <c r="F79" i="4"/>
  <c r="C79" i="4"/>
  <c r="B79" i="4"/>
  <c r="A79" i="4"/>
  <c r="V78" i="4"/>
  <c r="T78" i="4"/>
  <c r="S78" i="4"/>
  <c r="R78" i="4"/>
  <c r="U78" i="4" s="1"/>
  <c r="Q78" i="4"/>
  <c r="P78" i="4"/>
  <c r="O78" i="4"/>
  <c r="N78" i="4"/>
  <c r="M78" i="4"/>
  <c r="K78" i="4"/>
  <c r="J78" i="4"/>
  <c r="L78" i="4" s="1"/>
  <c r="I78" i="4"/>
  <c r="H78" i="4"/>
  <c r="G78" i="4"/>
  <c r="I78" i="4" s="1" a="1"/>
  <c r="F78" i="4"/>
  <c r="C78" i="4"/>
  <c r="B78" i="4"/>
  <c r="V77" i="4"/>
  <c r="T77" i="4"/>
  <c r="S77" i="4"/>
  <c r="R77" i="4"/>
  <c r="U77" i="4" s="1"/>
  <c r="Q77" i="4"/>
  <c r="P77" i="4"/>
  <c r="O77" i="4"/>
  <c r="N77" i="4"/>
  <c r="M77" i="4"/>
  <c r="K77" i="4"/>
  <c r="J77" i="4"/>
  <c r="I77" i="4" a="1"/>
  <c r="I77" i="4" s="1"/>
  <c r="H77" i="4"/>
  <c r="G77" i="4"/>
  <c r="F77" i="4"/>
  <c r="D77" i="4"/>
  <c r="C77" i="4"/>
  <c r="B77" i="4"/>
  <c r="A77" i="4"/>
  <c r="V76" i="4"/>
  <c r="T76" i="4"/>
  <c r="S76" i="4"/>
  <c r="R76" i="4"/>
  <c r="U76" i="4" s="1"/>
  <c r="Q76" i="4"/>
  <c r="P76" i="4"/>
  <c r="O76" i="4"/>
  <c r="N76" i="4"/>
  <c r="M76" i="4"/>
  <c r="L76" i="4"/>
  <c r="K76" i="4"/>
  <c r="J76" i="4"/>
  <c r="I76" i="4" a="1"/>
  <c r="I76" i="4" s="1"/>
  <c r="H76" i="4"/>
  <c r="G76" i="4"/>
  <c r="F76" i="4"/>
  <c r="D76" i="4"/>
  <c r="C76" i="4"/>
  <c r="B76" i="4"/>
  <c r="W76" i="4" s="1"/>
  <c r="A76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I75" i="4" a="1"/>
  <c r="H75" i="4"/>
  <c r="G75" i="4"/>
  <c r="F75" i="4"/>
  <c r="C75" i="4"/>
  <c r="B75" i="4"/>
  <c r="V74" i="4"/>
  <c r="U74" i="4"/>
  <c r="T74" i="4"/>
  <c r="S74" i="4"/>
  <c r="R74" i="4"/>
  <c r="Q74" i="4"/>
  <c r="P74" i="4"/>
  <c r="O74" i="4"/>
  <c r="N74" i="4"/>
  <c r="M74" i="4"/>
  <c r="K74" i="4"/>
  <c r="J74" i="4"/>
  <c r="L74" i="4" s="1"/>
  <c r="H74" i="4"/>
  <c r="G74" i="4"/>
  <c r="I74" i="4" s="1" a="1"/>
  <c r="I74" i="4" s="1"/>
  <c r="F74" i="4"/>
  <c r="D74" i="4"/>
  <c r="C74" i="4"/>
  <c r="B74" i="4"/>
  <c r="V73" i="4"/>
  <c r="T73" i="4"/>
  <c r="S73" i="4"/>
  <c r="R73" i="4"/>
  <c r="U73" i="4" s="1"/>
  <c r="Q73" i="4"/>
  <c r="P73" i="4"/>
  <c r="O73" i="4"/>
  <c r="N73" i="4"/>
  <c r="M73" i="4"/>
  <c r="L73" i="4"/>
  <c r="K73" i="4"/>
  <c r="J73" i="4"/>
  <c r="H73" i="4"/>
  <c r="G73" i="4"/>
  <c r="I73" i="4" s="1" a="1"/>
  <c r="I73" i="4" s="1"/>
  <c r="F73" i="4"/>
  <c r="D73" i="4"/>
  <c r="C73" i="4"/>
  <c r="B73" i="4"/>
  <c r="V72" i="4"/>
  <c r="U72" i="4"/>
  <c r="T72" i="4"/>
  <c r="S72" i="4"/>
  <c r="R72" i="4"/>
  <c r="Q72" i="4"/>
  <c r="P72" i="4"/>
  <c r="O72" i="4"/>
  <c r="W72" i="4" s="1"/>
  <c r="N72" i="4"/>
  <c r="M72" i="4"/>
  <c r="L72" i="4"/>
  <c r="K72" i="4"/>
  <c r="J72" i="4"/>
  <c r="I72" i="4" a="1"/>
  <c r="I72" i="4" s="1"/>
  <c r="H72" i="4"/>
  <c r="G72" i="4"/>
  <c r="F72" i="4"/>
  <c r="D72" i="4"/>
  <c r="C72" i="4"/>
  <c r="B72" i="4"/>
  <c r="A72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I71" i="4" a="1"/>
  <c r="H71" i="4"/>
  <c r="G71" i="4"/>
  <c r="F71" i="4"/>
  <c r="C71" i="4"/>
  <c r="B71" i="4"/>
  <c r="A71" i="4"/>
  <c r="V70" i="4"/>
  <c r="T70" i="4"/>
  <c r="S70" i="4"/>
  <c r="R70" i="4"/>
  <c r="U70" i="4" s="1"/>
  <c r="Q70" i="4"/>
  <c r="P70" i="4"/>
  <c r="O70" i="4"/>
  <c r="N70" i="4"/>
  <c r="M70" i="4"/>
  <c r="K70" i="4"/>
  <c r="J70" i="4"/>
  <c r="L70" i="4" s="1"/>
  <c r="I70" i="4"/>
  <c r="H70" i="4"/>
  <c r="G70" i="4"/>
  <c r="I70" i="4" s="1" a="1"/>
  <c r="F70" i="4"/>
  <c r="C70" i="4"/>
  <c r="B70" i="4"/>
  <c r="V69" i="4"/>
  <c r="T69" i="4"/>
  <c r="S69" i="4"/>
  <c r="R69" i="4"/>
  <c r="U69" i="4" s="1"/>
  <c r="Q69" i="4"/>
  <c r="P69" i="4"/>
  <c r="O69" i="4"/>
  <c r="N69" i="4"/>
  <c r="M69" i="4"/>
  <c r="K69" i="4"/>
  <c r="J69" i="4"/>
  <c r="I69" i="4" a="1"/>
  <c r="I69" i="4" s="1"/>
  <c r="H69" i="4"/>
  <c r="G69" i="4"/>
  <c r="F69" i="4"/>
  <c r="D69" i="4"/>
  <c r="C69" i="4"/>
  <c r="B69" i="4"/>
  <c r="A69" i="4"/>
  <c r="V68" i="4"/>
  <c r="T68" i="4"/>
  <c r="S68" i="4"/>
  <c r="R68" i="4"/>
  <c r="U68" i="4" s="1"/>
  <c r="Q68" i="4"/>
  <c r="P68" i="4"/>
  <c r="O68" i="4"/>
  <c r="N68" i="4"/>
  <c r="M68" i="4"/>
  <c r="L68" i="4"/>
  <c r="K68" i="4"/>
  <c r="J68" i="4"/>
  <c r="I68" i="4" a="1"/>
  <c r="I68" i="4" s="1"/>
  <c r="H68" i="4"/>
  <c r="G68" i="4"/>
  <c r="F68" i="4"/>
  <c r="D68" i="4"/>
  <c r="C68" i="4"/>
  <c r="B68" i="4"/>
  <c r="W68" i="4" s="1"/>
  <c r="A68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I67" i="4" a="1"/>
  <c r="H67" i="4"/>
  <c r="G67" i="4"/>
  <c r="F67" i="4"/>
  <c r="C67" i="4"/>
  <c r="B67" i="4"/>
  <c r="V66" i="4"/>
  <c r="U66" i="4"/>
  <c r="T66" i="4"/>
  <c r="S66" i="4"/>
  <c r="R66" i="4"/>
  <c r="Q66" i="4"/>
  <c r="P66" i="4"/>
  <c r="O66" i="4"/>
  <c r="N66" i="4"/>
  <c r="M66" i="4"/>
  <c r="K66" i="4"/>
  <c r="J66" i="4"/>
  <c r="L66" i="4" s="1"/>
  <c r="H66" i="4"/>
  <c r="G66" i="4"/>
  <c r="I66" i="4" s="1" a="1"/>
  <c r="I66" i="4" s="1"/>
  <c r="F66" i="4"/>
  <c r="D66" i="4"/>
  <c r="C66" i="4"/>
  <c r="B66" i="4"/>
  <c r="V65" i="4"/>
  <c r="T65" i="4"/>
  <c r="S65" i="4"/>
  <c r="R65" i="4"/>
  <c r="U65" i="4" s="1"/>
  <c r="Q65" i="4"/>
  <c r="P65" i="4"/>
  <c r="O65" i="4"/>
  <c r="N65" i="4"/>
  <c r="M65" i="4"/>
  <c r="L65" i="4"/>
  <c r="K65" i="4"/>
  <c r="J65" i="4"/>
  <c r="H65" i="4"/>
  <c r="G65" i="4"/>
  <c r="I65" i="4" s="1" a="1"/>
  <c r="I65" i="4" s="1"/>
  <c r="F65" i="4"/>
  <c r="D65" i="4"/>
  <c r="C65" i="4"/>
  <c r="B65" i="4"/>
  <c r="V64" i="4"/>
  <c r="U64" i="4"/>
  <c r="T64" i="4"/>
  <c r="S64" i="4"/>
  <c r="R64" i="4"/>
  <c r="Q64" i="4"/>
  <c r="P64" i="4"/>
  <c r="O64" i="4"/>
  <c r="W64" i="4" s="1"/>
  <c r="N64" i="4"/>
  <c r="M64" i="4"/>
  <c r="L64" i="4"/>
  <c r="K64" i="4"/>
  <c r="J64" i="4"/>
  <c r="I64" i="4" a="1"/>
  <c r="I64" i="4" s="1"/>
  <c r="H64" i="4"/>
  <c r="G64" i="4"/>
  <c r="F64" i="4"/>
  <c r="D64" i="4"/>
  <c r="C64" i="4"/>
  <c r="B64" i="4"/>
  <c r="A64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I63" i="4" a="1"/>
  <c r="H63" i="4"/>
  <c r="G63" i="4"/>
  <c r="F63" i="4"/>
  <c r="C63" i="4"/>
  <c r="B63" i="4"/>
  <c r="A63" i="4"/>
  <c r="V62" i="4"/>
  <c r="T62" i="4"/>
  <c r="S62" i="4"/>
  <c r="R62" i="4"/>
  <c r="U62" i="4" s="1"/>
  <c r="Q62" i="4"/>
  <c r="P62" i="4"/>
  <c r="O62" i="4"/>
  <c r="N62" i="4"/>
  <c r="M62" i="4"/>
  <c r="K62" i="4"/>
  <c r="J62" i="4"/>
  <c r="L62" i="4" s="1"/>
  <c r="I62" i="4"/>
  <c r="H62" i="4"/>
  <c r="G62" i="4"/>
  <c r="I62" i="4" s="1" a="1"/>
  <c r="F62" i="4"/>
  <c r="C62" i="4"/>
  <c r="B62" i="4"/>
  <c r="V61" i="4"/>
  <c r="T61" i="4"/>
  <c r="S61" i="4"/>
  <c r="R61" i="4"/>
  <c r="U61" i="4" s="1"/>
  <c r="Q61" i="4"/>
  <c r="P61" i="4"/>
  <c r="O61" i="4"/>
  <c r="N61" i="4"/>
  <c r="M61" i="4"/>
  <c r="K61" i="4"/>
  <c r="J61" i="4"/>
  <c r="I61" i="4" a="1"/>
  <c r="I61" i="4" s="1"/>
  <c r="H61" i="4"/>
  <c r="G61" i="4"/>
  <c r="F61" i="4"/>
  <c r="D61" i="4"/>
  <c r="C61" i="4"/>
  <c r="B61" i="4"/>
  <c r="A61" i="4"/>
  <c r="V60" i="4"/>
  <c r="T60" i="4"/>
  <c r="S60" i="4"/>
  <c r="R60" i="4"/>
  <c r="U60" i="4" s="1"/>
  <c r="Q60" i="4"/>
  <c r="P60" i="4"/>
  <c r="O60" i="4"/>
  <c r="N60" i="4"/>
  <c r="M60" i="4"/>
  <c r="L60" i="4"/>
  <c r="K60" i="4"/>
  <c r="J60" i="4"/>
  <c r="I60" i="4" a="1"/>
  <c r="I60" i="4" s="1"/>
  <c r="H60" i="4"/>
  <c r="G60" i="4"/>
  <c r="F60" i="4"/>
  <c r="D60" i="4"/>
  <c r="C60" i="4"/>
  <c r="B60" i="4"/>
  <c r="W60" i="4" s="1"/>
  <c r="A60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I59" i="4" a="1"/>
  <c r="H59" i="4"/>
  <c r="G59" i="4"/>
  <c r="F59" i="4"/>
  <c r="C59" i="4"/>
  <c r="B59" i="4"/>
  <c r="V58" i="4"/>
  <c r="U58" i="4"/>
  <c r="T58" i="4"/>
  <c r="S58" i="4"/>
  <c r="R58" i="4"/>
  <c r="Q58" i="4"/>
  <c r="P58" i="4"/>
  <c r="O58" i="4"/>
  <c r="N58" i="4"/>
  <c r="M58" i="4"/>
  <c r="K58" i="4"/>
  <c r="J58" i="4"/>
  <c r="L58" i="4" s="1"/>
  <c r="H58" i="4"/>
  <c r="G58" i="4"/>
  <c r="I58" i="4" s="1" a="1"/>
  <c r="I58" i="4" s="1"/>
  <c r="F58" i="4"/>
  <c r="D58" i="4"/>
  <c r="C58" i="4"/>
  <c r="B58" i="4"/>
  <c r="V57" i="4"/>
  <c r="T57" i="4"/>
  <c r="S57" i="4"/>
  <c r="R57" i="4"/>
  <c r="U57" i="4" s="1"/>
  <c r="Q57" i="4"/>
  <c r="P57" i="4"/>
  <c r="O57" i="4"/>
  <c r="N57" i="4"/>
  <c r="M57" i="4"/>
  <c r="L57" i="4"/>
  <c r="K57" i="4"/>
  <c r="J57" i="4"/>
  <c r="H57" i="4"/>
  <c r="G57" i="4"/>
  <c r="I57" i="4" s="1" a="1"/>
  <c r="I57" i="4" s="1"/>
  <c r="F57" i="4"/>
  <c r="D57" i="4"/>
  <c r="C57" i="4"/>
  <c r="B57" i="4"/>
  <c r="V56" i="4"/>
  <c r="U56" i="4"/>
  <c r="T56" i="4"/>
  <c r="S56" i="4"/>
  <c r="R56" i="4"/>
  <c r="Q56" i="4"/>
  <c r="P56" i="4"/>
  <c r="O56" i="4"/>
  <c r="W56" i="4" s="1"/>
  <c r="N56" i="4"/>
  <c r="M56" i="4"/>
  <c r="L56" i="4"/>
  <c r="K56" i="4"/>
  <c r="J56" i="4"/>
  <c r="I56" i="4" a="1"/>
  <c r="I56" i="4" s="1"/>
  <c r="H56" i="4"/>
  <c r="G56" i="4"/>
  <c r="F56" i="4"/>
  <c r="D56" i="4"/>
  <c r="C56" i="4"/>
  <c r="B56" i="4"/>
  <c r="A56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I55" i="4" a="1"/>
  <c r="H55" i="4"/>
  <c r="G55" i="4"/>
  <c r="F55" i="4"/>
  <c r="C55" i="4"/>
  <c r="B55" i="4"/>
  <c r="A55" i="4"/>
  <c r="V54" i="4"/>
  <c r="T54" i="4"/>
  <c r="S54" i="4"/>
  <c r="R54" i="4"/>
  <c r="U54" i="4" s="1"/>
  <c r="Q54" i="4"/>
  <c r="P54" i="4"/>
  <c r="O54" i="4"/>
  <c r="N54" i="4"/>
  <c r="M54" i="4"/>
  <c r="K54" i="4"/>
  <c r="J54" i="4"/>
  <c r="L54" i="4" s="1"/>
  <c r="I54" i="4"/>
  <c r="H54" i="4"/>
  <c r="G54" i="4"/>
  <c r="I54" i="4" s="1" a="1"/>
  <c r="F54" i="4"/>
  <c r="C54" i="4"/>
  <c r="B54" i="4"/>
  <c r="V53" i="4"/>
  <c r="T53" i="4"/>
  <c r="S53" i="4"/>
  <c r="R53" i="4"/>
  <c r="U53" i="4" s="1"/>
  <c r="Q53" i="4"/>
  <c r="P53" i="4"/>
  <c r="O53" i="4"/>
  <c r="N53" i="4"/>
  <c r="M53" i="4"/>
  <c r="K53" i="4"/>
  <c r="J53" i="4"/>
  <c r="I53" i="4" a="1"/>
  <c r="I53" i="4" s="1"/>
  <c r="H53" i="4"/>
  <c r="G53" i="4"/>
  <c r="F53" i="4"/>
  <c r="D53" i="4"/>
  <c r="C53" i="4"/>
  <c r="B53" i="4"/>
  <c r="A53" i="4"/>
  <c r="V52" i="4"/>
  <c r="T52" i="4"/>
  <c r="S52" i="4"/>
  <c r="R52" i="4"/>
  <c r="U52" i="4" s="1"/>
  <c r="Q52" i="4"/>
  <c r="P52" i="4"/>
  <c r="O52" i="4"/>
  <c r="N52" i="4"/>
  <c r="M52" i="4"/>
  <c r="L52" i="4"/>
  <c r="K52" i="4"/>
  <c r="J52" i="4"/>
  <c r="I52" i="4" a="1"/>
  <c r="I52" i="4" s="1"/>
  <c r="H52" i="4"/>
  <c r="G52" i="4"/>
  <c r="F52" i="4"/>
  <c r="D52" i="4"/>
  <c r="C52" i="4"/>
  <c r="B52" i="4"/>
  <c r="W52" i="4" s="1"/>
  <c r="A52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I51" i="4" a="1"/>
  <c r="H51" i="4"/>
  <c r="G51" i="4"/>
  <c r="F51" i="4"/>
  <c r="C51" i="4"/>
  <c r="B51" i="4"/>
  <c r="V50" i="4"/>
  <c r="U50" i="4"/>
  <c r="T50" i="4"/>
  <c r="S50" i="4"/>
  <c r="R50" i="4"/>
  <c r="Q50" i="4"/>
  <c r="P50" i="4"/>
  <c r="O50" i="4"/>
  <c r="N50" i="4"/>
  <c r="M50" i="4"/>
  <c r="K50" i="4"/>
  <c r="J50" i="4"/>
  <c r="L50" i="4" s="1"/>
  <c r="H50" i="4"/>
  <c r="G50" i="4"/>
  <c r="I50" i="4" s="1" a="1"/>
  <c r="I50" i="4" s="1"/>
  <c r="F50" i="4"/>
  <c r="D50" i="4"/>
  <c r="C50" i="4"/>
  <c r="B50" i="4"/>
  <c r="V49" i="4"/>
  <c r="T49" i="4"/>
  <c r="S49" i="4"/>
  <c r="R49" i="4"/>
  <c r="U49" i="4" s="1"/>
  <c r="Q49" i="4"/>
  <c r="P49" i="4"/>
  <c r="O49" i="4"/>
  <c r="N49" i="4"/>
  <c r="M49" i="4"/>
  <c r="L49" i="4"/>
  <c r="K49" i="4"/>
  <c r="J49" i="4"/>
  <c r="H49" i="4"/>
  <c r="G49" i="4"/>
  <c r="I49" i="4" s="1" a="1"/>
  <c r="I49" i="4" s="1"/>
  <c r="F49" i="4"/>
  <c r="D49" i="4"/>
  <c r="C49" i="4"/>
  <c r="B49" i="4"/>
  <c r="V48" i="4"/>
  <c r="U48" i="4"/>
  <c r="T48" i="4"/>
  <c r="S48" i="4"/>
  <c r="R48" i="4"/>
  <c r="Q48" i="4"/>
  <c r="P48" i="4"/>
  <c r="O48" i="4"/>
  <c r="W48" i="4" s="1"/>
  <c r="N48" i="4"/>
  <c r="M48" i="4"/>
  <c r="L48" i="4"/>
  <c r="K48" i="4"/>
  <c r="J48" i="4"/>
  <c r="I48" i="4" a="1"/>
  <c r="I48" i="4" s="1"/>
  <c r="H48" i="4"/>
  <c r="G48" i="4"/>
  <c r="F48" i="4"/>
  <c r="D48" i="4"/>
  <c r="C48" i="4"/>
  <c r="B48" i="4"/>
  <c r="A48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I47" i="4" a="1"/>
  <c r="H47" i="4"/>
  <c r="G47" i="4"/>
  <c r="F47" i="4"/>
  <c r="C47" i="4"/>
  <c r="B47" i="4"/>
  <c r="A47" i="4"/>
  <c r="V46" i="4"/>
  <c r="T46" i="4"/>
  <c r="S46" i="4"/>
  <c r="R46" i="4"/>
  <c r="U46" i="4" s="1"/>
  <c r="Q46" i="4"/>
  <c r="P46" i="4"/>
  <c r="O46" i="4"/>
  <c r="N46" i="4"/>
  <c r="M46" i="4"/>
  <c r="K46" i="4"/>
  <c r="J46" i="4"/>
  <c r="L46" i="4" s="1"/>
  <c r="I46" i="4"/>
  <c r="H46" i="4"/>
  <c r="G46" i="4"/>
  <c r="I46" i="4" s="1" a="1"/>
  <c r="F46" i="4"/>
  <c r="C46" i="4"/>
  <c r="B46" i="4"/>
  <c r="V45" i="4"/>
  <c r="T45" i="4"/>
  <c r="S45" i="4"/>
  <c r="R45" i="4"/>
  <c r="U45" i="4" s="1"/>
  <c r="Q45" i="4"/>
  <c r="P45" i="4"/>
  <c r="O45" i="4"/>
  <c r="N45" i="4"/>
  <c r="M45" i="4"/>
  <c r="K45" i="4"/>
  <c r="J45" i="4"/>
  <c r="I45" i="4" a="1"/>
  <c r="I45" i="4" s="1"/>
  <c r="H45" i="4"/>
  <c r="G45" i="4"/>
  <c r="F45" i="4"/>
  <c r="D45" i="4"/>
  <c r="C45" i="4"/>
  <c r="B45" i="4"/>
  <c r="A45" i="4"/>
  <c r="V44" i="4"/>
  <c r="T44" i="4"/>
  <c r="S44" i="4"/>
  <c r="R44" i="4"/>
  <c r="U44" i="4" s="1"/>
  <c r="Q44" i="4"/>
  <c r="P44" i="4"/>
  <c r="O44" i="4"/>
  <c r="N44" i="4"/>
  <c r="M44" i="4"/>
  <c r="L44" i="4"/>
  <c r="K44" i="4"/>
  <c r="J44" i="4"/>
  <c r="I44" i="4" a="1"/>
  <c r="I44" i="4" s="1"/>
  <c r="H44" i="4"/>
  <c r="G44" i="4"/>
  <c r="F44" i="4"/>
  <c r="D44" i="4"/>
  <c r="C44" i="4"/>
  <c r="B44" i="4"/>
  <c r="W44" i="4" s="1"/>
  <c r="A44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I43" i="4" a="1"/>
  <c r="H43" i="4"/>
  <c r="G43" i="4"/>
  <c r="F43" i="4"/>
  <c r="C43" i="4"/>
  <c r="B43" i="4"/>
  <c r="V42" i="4"/>
  <c r="U42" i="4"/>
  <c r="T42" i="4"/>
  <c r="S42" i="4"/>
  <c r="R42" i="4"/>
  <c r="Q42" i="4"/>
  <c r="P42" i="4"/>
  <c r="O42" i="4"/>
  <c r="N42" i="4"/>
  <c r="M42" i="4"/>
  <c r="K42" i="4"/>
  <c r="J42" i="4"/>
  <c r="L42" i="4" s="1"/>
  <c r="H42" i="4"/>
  <c r="G42" i="4"/>
  <c r="I42" i="4" s="1" a="1"/>
  <c r="I42" i="4" s="1"/>
  <c r="F42" i="4"/>
  <c r="D42" i="4"/>
  <c r="C42" i="4"/>
  <c r="B42" i="4"/>
  <c r="V41" i="4"/>
  <c r="T41" i="4"/>
  <c r="S41" i="4"/>
  <c r="R41" i="4"/>
  <c r="U41" i="4" s="1"/>
  <c r="Q41" i="4"/>
  <c r="P41" i="4"/>
  <c r="O41" i="4"/>
  <c r="N41" i="4"/>
  <c r="M41" i="4"/>
  <c r="L41" i="4"/>
  <c r="K41" i="4"/>
  <c r="J41" i="4"/>
  <c r="H41" i="4"/>
  <c r="G41" i="4"/>
  <c r="I41" i="4" s="1" a="1"/>
  <c r="I41" i="4" s="1"/>
  <c r="F41" i="4"/>
  <c r="D41" i="4"/>
  <c r="C41" i="4"/>
  <c r="B41" i="4"/>
  <c r="V40" i="4"/>
  <c r="U40" i="4"/>
  <c r="T40" i="4"/>
  <c r="S40" i="4"/>
  <c r="R40" i="4"/>
  <c r="Q40" i="4"/>
  <c r="P40" i="4"/>
  <c r="O40" i="4"/>
  <c r="W40" i="4" s="1"/>
  <c r="N40" i="4"/>
  <c r="M40" i="4"/>
  <c r="L40" i="4"/>
  <c r="K40" i="4"/>
  <c r="J40" i="4"/>
  <c r="I40" i="4" a="1"/>
  <c r="I40" i="4" s="1"/>
  <c r="H40" i="4"/>
  <c r="G40" i="4"/>
  <c r="F40" i="4"/>
  <c r="D40" i="4"/>
  <c r="C40" i="4"/>
  <c r="B40" i="4"/>
  <c r="A40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I39" i="4" a="1"/>
  <c r="H39" i="4"/>
  <c r="G39" i="4"/>
  <c r="F39" i="4"/>
  <c r="C39" i="4"/>
  <c r="B39" i="4"/>
  <c r="A39" i="4"/>
  <c r="V38" i="4"/>
  <c r="T38" i="4"/>
  <c r="S38" i="4"/>
  <c r="R38" i="4"/>
  <c r="U38" i="4" s="1"/>
  <c r="Q38" i="4"/>
  <c r="P38" i="4"/>
  <c r="O38" i="4"/>
  <c r="N38" i="4"/>
  <c r="M38" i="4"/>
  <c r="K38" i="4"/>
  <c r="J38" i="4"/>
  <c r="L38" i="4" s="1"/>
  <c r="I38" i="4"/>
  <c r="H38" i="4"/>
  <c r="G38" i="4"/>
  <c r="I38" i="4" s="1" a="1"/>
  <c r="F38" i="4"/>
  <c r="C38" i="4"/>
  <c r="B38" i="4"/>
  <c r="V37" i="4"/>
  <c r="T37" i="4"/>
  <c r="S37" i="4"/>
  <c r="R37" i="4"/>
  <c r="U37" i="4" s="1"/>
  <c r="Q37" i="4"/>
  <c r="P37" i="4"/>
  <c r="O37" i="4"/>
  <c r="N37" i="4"/>
  <c r="M37" i="4"/>
  <c r="K37" i="4"/>
  <c r="J37" i="4"/>
  <c r="I37" i="4" a="1"/>
  <c r="I37" i="4" s="1"/>
  <c r="H37" i="4"/>
  <c r="G37" i="4"/>
  <c r="F37" i="4"/>
  <c r="D37" i="4"/>
  <c r="C37" i="4"/>
  <c r="B37" i="4"/>
  <c r="A37" i="4"/>
  <c r="V36" i="4"/>
  <c r="T36" i="4"/>
  <c r="S36" i="4"/>
  <c r="R36" i="4"/>
  <c r="U36" i="4" s="1"/>
  <c r="Q36" i="4"/>
  <c r="P36" i="4"/>
  <c r="O36" i="4"/>
  <c r="N36" i="4"/>
  <c r="M36" i="4"/>
  <c r="L36" i="4"/>
  <c r="K36" i="4"/>
  <c r="J36" i="4"/>
  <c r="I36" i="4" a="1"/>
  <c r="I36" i="4" s="1"/>
  <c r="H36" i="4"/>
  <c r="G36" i="4"/>
  <c r="F36" i="4"/>
  <c r="D36" i="4"/>
  <c r="C36" i="4"/>
  <c r="B36" i="4"/>
  <c r="A36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I35" i="4" a="1"/>
  <c r="H35" i="4"/>
  <c r="G35" i="4"/>
  <c r="F35" i="4"/>
  <c r="C35" i="4"/>
  <c r="B35" i="4"/>
  <c r="E35" i="4" s="1"/>
  <c r="V34" i="4"/>
  <c r="T34" i="4"/>
  <c r="S34" i="4"/>
  <c r="R34" i="4"/>
  <c r="U34" i="4" s="1"/>
  <c r="Q34" i="4"/>
  <c r="P34" i="4"/>
  <c r="O34" i="4"/>
  <c r="N34" i="4"/>
  <c r="M34" i="4"/>
  <c r="K34" i="4"/>
  <c r="J34" i="4"/>
  <c r="L34" i="4" s="1"/>
  <c r="H34" i="4"/>
  <c r="G34" i="4"/>
  <c r="I34" i="4" s="1" a="1"/>
  <c r="I34" i="4" s="1"/>
  <c r="F34" i="4"/>
  <c r="D34" i="4"/>
  <c r="C34" i="4"/>
  <c r="B34" i="4"/>
  <c r="V33" i="4"/>
  <c r="W33" i="4" s="1"/>
  <c r="T33" i="4"/>
  <c r="S33" i="4"/>
  <c r="R33" i="4"/>
  <c r="U33" i="4" s="1"/>
  <c r="Q33" i="4"/>
  <c r="P33" i="4"/>
  <c r="O33" i="4"/>
  <c r="N33" i="4"/>
  <c r="M33" i="4"/>
  <c r="L33" i="4"/>
  <c r="K33" i="4"/>
  <c r="J33" i="4"/>
  <c r="H33" i="4"/>
  <c r="G33" i="4"/>
  <c r="I33" i="4" s="1" a="1"/>
  <c r="I33" i="4" s="1"/>
  <c r="F33" i="4"/>
  <c r="D33" i="4"/>
  <c r="C33" i="4"/>
  <c r="B33" i="4"/>
  <c r="V32" i="4"/>
  <c r="U32" i="4"/>
  <c r="T32" i="4"/>
  <c r="S32" i="4"/>
  <c r="R32" i="4"/>
  <c r="Q32" i="4"/>
  <c r="P32" i="4"/>
  <c r="O32" i="4"/>
  <c r="W32" i="4" s="1"/>
  <c r="N32" i="4"/>
  <c r="M32" i="4"/>
  <c r="L32" i="4"/>
  <c r="K32" i="4"/>
  <c r="J32" i="4"/>
  <c r="I32" i="4" a="1"/>
  <c r="I32" i="4" s="1"/>
  <c r="H32" i="4"/>
  <c r="G32" i="4"/>
  <c r="F32" i="4"/>
  <c r="D32" i="4"/>
  <c r="C32" i="4"/>
  <c r="B32" i="4"/>
  <c r="A32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I31" i="4" a="1"/>
  <c r="H31" i="4"/>
  <c r="G31" i="4"/>
  <c r="F31" i="4"/>
  <c r="C31" i="4"/>
  <c r="B31" i="4"/>
  <c r="A31" i="4"/>
  <c r="V30" i="4"/>
  <c r="T30" i="4"/>
  <c r="S30" i="4"/>
  <c r="R30" i="4"/>
  <c r="U30" i="4" s="1"/>
  <c r="Q30" i="4"/>
  <c r="P30" i="4"/>
  <c r="O30" i="4"/>
  <c r="N30" i="4"/>
  <c r="M30" i="4"/>
  <c r="K30" i="4"/>
  <c r="J30" i="4"/>
  <c r="L30" i="4" s="1"/>
  <c r="I30" i="4"/>
  <c r="H30" i="4"/>
  <c r="G30" i="4"/>
  <c r="I30" i="4" s="1" a="1"/>
  <c r="F30" i="4"/>
  <c r="C30" i="4"/>
  <c r="B30" i="4"/>
  <c r="V29" i="4"/>
  <c r="T29" i="4"/>
  <c r="S29" i="4"/>
  <c r="R29" i="4"/>
  <c r="U29" i="4" s="1"/>
  <c r="Q29" i="4"/>
  <c r="P29" i="4"/>
  <c r="O29" i="4"/>
  <c r="N29" i="4"/>
  <c r="M29" i="4"/>
  <c r="K29" i="4"/>
  <c r="J29" i="4"/>
  <c r="W29" i="4" s="1"/>
  <c r="I29" i="4" a="1"/>
  <c r="I29" i="4" s="1"/>
  <c r="H29" i="4"/>
  <c r="G29" i="4"/>
  <c r="F29" i="4"/>
  <c r="D29" i="4"/>
  <c r="C29" i="4"/>
  <c r="B29" i="4"/>
  <c r="A29" i="4"/>
  <c r="V28" i="4"/>
  <c r="T28" i="4"/>
  <c r="S28" i="4"/>
  <c r="R28" i="4"/>
  <c r="U28" i="4" s="1"/>
  <c r="Q28" i="4"/>
  <c r="P28" i="4"/>
  <c r="O28" i="4"/>
  <c r="N28" i="4"/>
  <c r="M28" i="4"/>
  <c r="L28" i="4"/>
  <c r="K28" i="4"/>
  <c r="J28" i="4"/>
  <c r="I28" i="4" a="1"/>
  <c r="I28" i="4" s="1"/>
  <c r="H28" i="4"/>
  <c r="G28" i="4"/>
  <c r="F28" i="4"/>
  <c r="D28" i="4"/>
  <c r="C28" i="4"/>
  <c r="B28" i="4"/>
  <c r="W28" i="4" s="1"/>
  <c r="A28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I27" i="4" a="1"/>
  <c r="H27" i="4"/>
  <c r="G27" i="4"/>
  <c r="F27" i="4"/>
  <c r="C27" i="4"/>
  <c r="B27" i="4"/>
  <c r="V26" i="4"/>
  <c r="T26" i="4"/>
  <c r="S26" i="4"/>
  <c r="R26" i="4"/>
  <c r="U26" i="4" s="1"/>
  <c r="Q26" i="4"/>
  <c r="P26" i="4"/>
  <c r="O26" i="4"/>
  <c r="N26" i="4"/>
  <c r="M26" i="4"/>
  <c r="K26" i="4"/>
  <c r="J26" i="4"/>
  <c r="L26" i="4" s="1"/>
  <c r="H26" i="4"/>
  <c r="G26" i="4"/>
  <c r="I26" i="4" s="1" a="1"/>
  <c r="I26" i="4" s="1"/>
  <c r="F26" i="4"/>
  <c r="D26" i="4"/>
  <c r="C26" i="4"/>
  <c r="B26" i="4"/>
  <c r="V25" i="4"/>
  <c r="T25" i="4"/>
  <c r="S25" i="4"/>
  <c r="R25" i="4"/>
  <c r="U25" i="4" s="1"/>
  <c r="Q25" i="4"/>
  <c r="P25" i="4"/>
  <c r="O25" i="4"/>
  <c r="N25" i="4"/>
  <c r="M25" i="4"/>
  <c r="L25" i="4"/>
  <c r="K25" i="4"/>
  <c r="J25" i="4"/>
  <c r="H25" i="4"/>
  <c r="G25" i="4"/>
  <c r="I25" i="4" s="1" a="1"/>
  <c r="I25" i="4" s="1"/>
  <c r="F25" i="4"/>
  <c r="D25" i="4"/>
  <c r="C25" i="4"/>
  <c r="B25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 a="1"/>
  <c r="I24" i="4" s="1"/>
  <c r="H24" i="4"/>
  <c r="G24" i="4"/>
  <c r="F24" i="4"/>
  <c r="D24" i="4"/>
  <c r="C24" i="4"/>
  <c r="B24" i="4"/>
  <c r="A24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 a="1"/>
  <c r="I23" i="4" s="1"/>
  <c r="H23" i="4"/>
  <c r="G23" i="4"/>
  <c r="F23" i="4"/>
  <c r="C23" i="4"/>
  <c r="B23" i="4"/>
  <c r="A23" i="4" s="1"/>
  <c r="V22" i="4"/>
  <c r="T22" i="4"/>
  <c r="S22" i="4"/>
  <c r="R22" i="4"/>
  <c r="U22" i="4" s="1"/>
  <c r="Q22" i="4"/>
  <c r="P22" i="4"/>
  <c r="O22" i="4"/>
  <c r="N22" i="4"/>
  <c r="M22" i="4"/>
  <c r="K22" i="4"/>
  <c r="J22" i="4"/>
  <c r="L22" i="4" s="1"/>
  <c r="H22" i="4"/>
  <c r="G22" i="4"/>
  <c r="I22" i="4" s="1" a="1"/>
  <c r="I22" i="4" s="1"/>
  <c r="F22" i="4"/>
  <c r="C22" i="4"/>
  <c r="B22" i="4"/>
  <c r="W21" i="4"/>
  <c r="V21" i="4"/>
  <c r="T21" i="4"/>
  <c r="S21" i="4"/>
  <c r="R21" i="4"/>
  <c r="U21" i="4" s="1"/>
  <c r="Q21" i="4"/>
  <c r="P21" i="4"/>
  <c r="O21" i="4"/>
  <c r="N21" i="4"/>
  <c r="M21" i="4"/>
  <c r="K21" i="4"/>
  <c r="J21" i="4"/>
  <c r="I21" i="4" a="1"/>
  <c r="I21" i="4" s="1"/>
  <c r="H21" i="4"/>
  <c r="G21" i="4"/>
  <c r="F21" i="4"/>
  <c r="D21" i="4"/>
  <c r="C21" i="4"/>
  <c r="B21" i="4"/>
  <c r="A21" i="4"/>
  <c r="V20" i="4"/>
  <c r="T20" i="4"/>
  <c r="S20" i="4"/>
  <c r="R20" i="4"/>
  <c r="U20" i="4" s="1"/>
  <c r="Q20" i="4"/>
  <c r="P20" i="4"/>
  <c r="O20" i="4"/>
  <c r="N20" i="4"/>
  <c r="M20" i="4"/>
  <c r="L20" i="4"/>
  <c r="K20" i="4"/>
  <c r="J20" i="4"/>
  <c r="I20" i="4" a="1"/>
  <c r="I20" i="4" s="1"/>
  <c r="H20" i="4"/>
  <c r="G20" i="4"/>
  <c r="F20" i="4"/>
  <c r="D20" i="4"/>
  <c r="C20" i="4"/>
  <c r="B20" i="4"/>
  <c r="W20" i="4" s="1"/>
  <c r="A20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I19" i="4" a="1"/>
  <c r="H19" i="4"/>
  <c r="G19" i="4"/>
  <c r="F19" i="4"/>
  <c r="C19" i="4"/>
  <c r="B19" i="4"/>
  <c r="V18" i="4"/>
  <c r="U18" i="4"/>
  <c r="T18" i="4"/>
  <c r="S18" i="4"/>
  <c r="R18" i="4"/>
  <c r="Q18" i="4"/>
  <c r="P18" i="4"/>
  <c r="O18" i="4"/>
  <c r="N18" i="4"/>
  <c r="M18" i="4"/>
  <c r="K18" i="4"/>
  <c r="J18" i="4"/>
  <c r="L18" i="4" s="1"/>
  <c r="H18" i="4"/>
  <c r="G18" i="4"/>
  <c r="I18" i="4" s="1" a="1"/>
  <c r="I18" i="4" s="1"/>
  <c r="F18" i="4"/>
  <c r="D18" i="4"/>
  <c r="C18" i="4"/>
  <c r="B18" i="4"/>
  <c r="V17" i="4"/>
  <c r="T17" i="4"/>
  <c r="S17" i="4"/>
  <c r="R17" i="4"/>
  <c r="U17" i="4" s="1"/>
  <c r="Q17" i="4"/>
  <c r="P17" i="4"/>
  <c r="O17" i="4"/>
  <c r="N17" i="4"/>
  <c r="M17" i="4"/>
  <c r="L17" i="4"/>
  <c r="K17" i="4"/>
  <c r="J17" i="4"/>
  <c r="H17" i="4"/>
  <c r="G17" i="4"/>
  <c r="I17" i="4" s="1" a="1"/>
  <c r="I17" i="4" s="1"/>
  <c r="F17" i="4"/>
  <c r="D17" i="4"/>
  <c r="C17" i="4"/>
  <c r="B17" i="4"/>
  <c r="V16" i="4"/>
  <c r="U16" i="4"/>
  <c r="T16" i="4"/>
  <c r="S16" i="4"/>
  <c r="R16" i="4"/>
  <c r="Q16" i="4"/>
  <c r="P16" i="4"/>
  <c r="O16" i="4"/>
  <c r="N16" i="4"/>
  <c r="M16" i="4"/>
  <c r="W16" i="4" s="1"/>
  <c r="L16" i="4"/>
  <c r="K16" i="4"/>
  <c r="J16" i="4"/>
  <c r="I16" i="4" a="1"/>
  <c r="I16" i="4" s="1"/>
  <c r="H16" i="4"/>
  <c r="G16" i="4"/>
  <c r="F16" i="4"/>
  <c r="E16" i="4"/>
  <c r="D16" i="4"/>
  <c r="C16" i="4"/>
  <c r="B16" i="4"/>
  <c r="A16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 a="1"/>
  <c r="I15" i="4" s="1"/>
  <c r="H15" i="4"/>
  <c r="G15" i="4"/>
  <c r="F15" i="4"/>
  <c r="C15" i="4"/>
  <c r="B15" i="4"/>
  <c r="A15" i="4"/>
  <c r="V14" i="4"/>
  <c r="T14" i="4"/>
  <c r="S14" i="4"/>
  <c r="R14" i="4"/>
  <c r="U14" i="4" s="1"/>
  <c r="Q14" i="4"/>
  <c r="P14" i="4"/>
  <c r="O14" i="4"/>
  <c r="N14" i="4"/>
  <c r="M14" i="4"/>
  <c r="K14" i="4"/>
  <c r="J14" i="4"/>
  <c r="L14" i="4" s="1"/>
  <c r="I14" i="4"/>
  <c r="H14" i="4"/>
  <c r="G14" i="4"/>
  <c r="I14" i="4" s="1" a="1"/>
  <c r="F14" i="4"/>
  <c r="C14" i="4"/>
  <c r="B14" i="4"/>
  <c r="V13" i="4"/>
  <c r="T13" i="4"/>
  <c r="S13" i="4"/>
  <c r="R13" i="4"/>
  <c r="U13" i="4" s="1"/>
  <c r="Q13" i="4"/>
  <c r="P13" i="4"/>
  <c r="O13" i="4"/>
  <c r="N13" i="4"/>
  <c r="M13" i="4"/>
  <c r="K13" i="4"/>
  <c r="J13" i="4"/>
  <c r="L13" i="4" s="1"/>
  <c r="I13" i="4" a="1"/>
  <c r="I13" i="4" s="1"/>
  <c r="H13" i="4"/>
  <c r="G13" i="4"/>
  <c r="F13" i="4"/>
  <c r="D13" i="4"/>
  <c r="C13" i="4"/>
  <c r="B13" i="4"/>
  <c r="A13" i="4"/>
  <c r="V12" i="4"/>
  <c r="T12" i="4"/>
  <c r="S12" i="4"/>
  <c r="R12" i="4"/>
  <c r="U12" i="4" s="1"/>
  <c r="Q12" i="4"/>
  <c r="P12" i="4"/>
  <c r="O12" i="4"/>
  <c r="N12" i="4"/>
  <c r="M12" i="4"/>
  <c r="L12" i="4"/>
  <c r="K12" i="4"/>
  <c r="J12" i="4"/>
  <c r="I12" i="4" a="1"/>
  <c r="I12" i="4" s="1"/>
  <c r="H12" i="4"/>
  <c r="G12" i="4"/>
  <c r="F12" i="4"/>
  <c r="C12" i="4"/>
  <c r="B12" i="4"/>
  <c r="D12" i="4" s="1"/>
  <c r="A12" i="4"/>
  <c r="V11" i="4"/>
  <c r="U11" i="4"/>
  <c r="T11" i="4"/>
  <c r="S11" i="4"/>
  <c r="R11" i="4"/>
  <c r="Q11" i="4"/>
  <c r="P11" i="4"/>
  <c r="O11" i="4"/>
  <c r="N11" i="4"/>
  <c r="M11" i="4"/>
  <c r="K11" i="4"/>
  <c r="J11" i="4"/>
  <c r="L11" i="4" s="1"/>
  <c r="I11" i="4"/>
  <c r="I11" i="4" a="1"/>
  <c r="H11" i="4"/>
  <c r="G11" i="4"/>
  <c r="F11" i="4"/>
  <c r="C11" i="4"/>
  <c r="B11" i="4"/>
  <c r="V10" i="4"/>
  <c r="T10" i="4"/>
  <c r="S10" i="4"/>
  <c r="R10" i="4"/>
  <c r="U10" i="4" s="1"/>
  <c r="Q10" i="4"/>
  <c r="P10" i="4"/>
  <c r="O10" i="4"/>
  <c r="N10" i="4"/>
  <c r="M10" i="4"/>
  <c r="K10" i="4"/>
  <c r="J10" i="4"/>
  <c r="L10" i="4" s="1"/>
  <c r="H10" i="4"/>
  <c r="G10" i="4"/>
  <c r="I10" i="4" s="1" a="1"/>
  <c r="I10" i="4" s="1"/>
  <c r="F10" i="4"/>
  <c r="D10" i="4"/>
  <c r="C10" i="4"/>
  <c r="B10" i="4"/>
  <c r="W9" i="4"/>
  <c r="V9" i="4"/>
  <c r="T9" i="4"/>
  <c r="S9" i="4"/>
  <c r="R9" i="4"/>
  <c r="U9" i="4" s="1"/>
  <c r="Q9" i="4"/>
  <c r="P9" i="4"/>
  <c r="O9" i="4"/>
  <c r="N9" i="4"/>
  <c r="M9" i="4"/>
  <c r="L9" i="4"/>
  <c r="K9" i="4"/>
  <c r="J9" i="4"/>
  <c r="H9" i="4"/>
  <c r="G9" i="4"/>
  <c r="I9" i="4" s="1" a="1"/>
  <c r="I9" i="4" s="1"/>
  <c r="F9" i="4"/>
  <c r="E9" i="4"/>
  <c r="D9" i="4"/>
  <c r="C9" i="4"/>
  <c r="B9" i="4"/>
  <c r="V8" i="4"/>
  <c r="U8" i="4"/>
  <c r="T8" i="4"/>
  <c r="S8" i="4"/>
  <c r="R8" i="4"/>
  <c r="Q8" i="4"/>
  <c r="P8" i="4"/>
  <c r="O8" i="4"/>
  <c r="W8" i="4" s="1"/>
  <c r="N8" i="4"/>
  <c r="M8" i="4"/>
  <c r="L8" i="4"/>
  <c r="K8" i="4"/>
  <c r="J8" i="4"/>
  <c r="I8" i="4" a="1"/>
  <c r="I8" i="4" s="1"/>
  <c r="H8" i="4"/>
  <c r="G8" i="4"/>
  <c r="F8" i="4"/>
  <c r="D8" i="4"/>
  <c r="C8" i="4"/>
  <c r="B8" i="4"/>
  <c r="A8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I7" i="4" a="1"/>
  <c r="H7" i="4"/>
  <c r="G7" i="4"/>
  <c r="F7" i="4"/>
  <c r="C7" i="4"/>
  <c r="B7" i="4"/>
  <c r="V6" i="4"/>
  <c r="T6" i="4"/>
  <c r="S6" i="4"/>
  <c r="R6" i="4"/>
  <c r="U6" i="4" s="1"/>
  <c r="Q6" i="4"/>
  <c r="P6" i="4"/>
  <c r="O6" i="4"/>
  <c r="N6" i="4"/>
  <c r="M6" i="4"/>
  <c r="K6" i="4"/>
  <c r="J6" i="4"/>
  <c r="L6" i="4" s="1"/>
  <c r="H6" i="4"/>
  <c r="G6" i="4"/>
  <c r="I6" i="4" s="1" a="1"/>
  <c r="I6" i="4" s="1"/>
  <c r="F6" i="4"/>
  <c r="C6" i="4"/>
  <c r="B6" i="4"/>
  <c r="V5" i="4"/>
  <c r="T5" i="4"/>
  <c r="S5" i="4"/>
  <c r="R5" i="4"/>
  <c r="U5" i="4" s="1"/>
  <c r="Q5" i="4"/>
  <c r="P5" i="4"/>
  <c r="O5" i="4"/>
  <c r="N5" i="4"/>
  <c r="M5" i="4"/>
  <c r="K5" i="4"/>
  <c r="J5" i="4"/>
  <c r="L5" i="4" s="1"/>
  <c r="I5" i="4" a="1"/>
  <c r="I5" i="4" s="1"/>
  <c r="H5" i="4"/>
  <c r="G5" i="4"/>
  <c r="F5" i="4"/>
  <c r="D5" i="4"/>
  <c r="C5" i="4"/>
  <c r="B5" i="4"/>
  <c r="A5" i="4"/>
  <c r="V4" i="4"/>
  <c r="T4" i="4"/>
  <c r="S4" i="4"/>
  <c r="R4" i="4"/>
  <c r="U4" i="4" s="1"/>
  <c r="Q4" i="4"/>
  <c r="P4" i="4"/>
  <c r="O4" i="4"/>
  <c r="N4" i="4"/>
  <c r="M4" i="4"/>
  <c r="L4" i="4"/>
  <c r="K4" i="4"/>
  <c r="J4" i="4"/>
  <c r="I4" i="4" a="1"/>
  <c r="I4" i="4" s="1"/>
  <c r="H4" i="4"/>
  <c r="G4" i="4"/>
  <c r="F4" i="4"/>
  <c r="D4" i="4"/>
  <c r="C4" i="4"/>
  <c r="B4" i="4"/>
  <c r="A4" i="4"/>
  <c r="V3" i="4"/>
  <c r="T3" i="4"/>
  <c r="S3" i="4"/>
  <c r="R3" i="4"/>
  <c r="U3" i="4" s="1"/>
  <c r="Q3" i="4"/>
  <c r="P3" i="4"/>
  <c r="O3" i="4"/>
  <c r="N3" i="4"/>
  <c r="M3" i="4"/>
  <c r="L3" i="4"/>
  <c r="K3" i="4"/>
  <c r="J3" i="4"/>
  <c r="I3" i="4"/>
  <c r="I3" i="4" a="1"/>
  <c r="H3" i="4"/>
  <c r="G3" i="4"/>
  <c r="F3" i="4"/>
  <c r="E3" i="4"/>
  <c r="C3" i="4"/>
  <c r="B3" i="4"/>
  <c r="E76" i="4" s="1"/>
  <c r="B2" i="4"/>
  <c r="A2" i="4" s="1"/>
  <c r="C2" i="4"/>
  <c r="D2" i="4"/>
  <c r="E2" i="4"/>
  <c r="F2" i="4"/>
  <c r="G2" i="4"/>
  <c r="H2" i="4"/>
  <c r="I2" i="4" a="1"/>
  <c r="I2" i="4"/>
  <c r="J2" i="4"/>
  <c r="W2" i="4" s="1"/>
  <c r="K2" i="4"/>
  <c r="M2" i="4"/>
  <c r="N2" i="4"/>
  <c r="O2" i="4"/>
  <c r="P2" i="4"/>
  <c r="Q2" i="4"/>
  <c r="R2" i="4"/>
  <c r="S2" i="4"/>
  <c r="T2" i="4"/>
  <c r="U2" i="4"/>
  <c r="V2" i="4"/>
  <c r="E27" i="2" a="1"/>
  <c r="E27" i="2" s="1"/>
  <c r="B27" i="2"/>
  <c r="D27" i="2" s="1"/>
  <c r="E26" i="2" a="1"/>
  <c r="E26" i="2" s="1"/>
  <c r="D26" i="2"/>
  <c r="B26" i="2"/>
  <c r="C26" i="2" s="1"/>
  <c r="E25" i="2" a="1"/>
  <c r="E25" i="2" s="1"/>
  <c r="B25" i="2"/>
  <c r="D25" i="2" s="1"/>
  <c r="E24" i="2" a="1"/>
  <c r="E24" i="2" s="1"/>
  <c r="B24" i="2"/>
  <c r="D24" i="2" s="1"/>
  <c r="E23" i="2" a="1"/>
  <c r="E23" i="2" s="1"/>
  <c r="B23" i="2"/>
  <c r="C23" i="2" s="1"/>
  <c r="E22" i="2" a="1"/>
  <c r="E22" i="2" s="1"/>
  <c r="B22" i="2"/>
  <c r="D22" i="2" s="1"/>
  <c r="E21" i="2" a="1"/>
  <c r="E21" i="2" s="1"/>
  <c r="D21" i="2"/>
  <c r="B21" i="2"/>
  <c r="C21" i="2" s="1"/>
  <c r="E20" i="2" a="1"/>
  <c r="E20" i="2" s="1"/>
  <c r="B20" i="2"/>
  <c r="D20" i="2" s="1"/>
  <c r="E19" i="2" a="1"/>
  <c r="E19" i="2" s="1"/>
  <c r="D19" i="2"/>
  <c r="B19" i="2"/>
  <c r="C19" i="2" s="1"/>
  <c r="E18" i="2" a="1"/>
  <c r="E18" i="2" s="1"/>
  <c r="B18" i="2"/>
  <c r="D18" i="2" s="1"/>
  <c r="E17" i="2" a="1"/>
  <c r="E17" i="2" s="1"/>
  <c r="B17" i="2"/>
  <c r="D17" i="2" s="1"/>
  <c r="E16" i="2" a="1"/>
  <c r="E16" i="2" s="1"/>
  <c r="D16" i="2"/>
  <c r="B16" i="2"/>
  <c r="C16" i="2" s="1"/>
  <c r="E15" i="2" a="1"/>
  <c r="E15" i="2" s="1"/>
  <c r="D15" i="2"/>
  <c r="C15" i="2"/>
  <c r="B15" i="2"/>
  <c r="B7" i="2"/>
  <c r="B9" i="2" s="1"/>
  <c r="B8" i="2" a="1"/>
  <c r="B8" i="2" s="1"/>
  <c r="B6" i="2"/>
  <c r="B5" i="2"/>
  <c r="E5" i="4" l="1"/>
  <c r="E8" i="4"/>
  <c r="W4" i="4"/>
  <c r="W13" i="4"/>
  <c r="A19" i="4"/>
  <c r="W19" i="4"/>
  <c r="D19" i="4"/>
  <c r="W25" i="4"/>
  <c r="E84" i="4"/>
  <c r="E117" i="4"/>
  <c r="E142" i="4"/>
  <c r="E143" i="4"/>
  <c r="A35" i="4"/>
  <c r="W35" i="4"/>
  <c r="D35" i="4"/>
  <c r="W5" i="4"/>
  <c r="A11" i="4"/>
  <c r="W11" i="4"/>
  <c r="D11" i="4"/>
  <c r="E20" i="4"/>
  <c r="E23" i="4"/>
  <c r="D23" i="4"/>
  <c r="W23" i="4"/>
  <c r="L37" i="4"/>
  <c r="E44" i="4"/>
  <c r="E52" i="4"/>
  <c r="E60" i="4"/>
  <c r="E68" i="4"/>
  <c r="E118" i="4"/>
  <c r="E119" i="4"/>
  <c r="E962" i="4"/>
  <c r="E954" i="4"/>
  <c r="E969" i="4"/>
  <c r="E958" i="4"/>
  <c r="E950" i="4"/>
  <c r="E942" i="4"/>
  <c r="E934" i="4"/>
  <c r="E973" i="4"/>
  <c r="E907" i="4"/>
  <c r="E927" i="4"/>
  <c r="E914" i="4"/>
  <c r="E965" i="4"/>
  <c r="E910" i="4"/>
  <c r="E896" i="4"/>
  <c r="E888" i="4"/>
  <c r="E880" i="4"/>
  <c r="E961" i="4"/>
  <c r="E957" i="4"/>
  <c r="E948" i="4"/>
  <c r="E916" i="4"/>
  <c r="E911" i="4"/>
  <c r="E940" i="4"/>
  <c r="E932" i="4"/>
  <c r="E953" i="4"/>
  <c r="E949" i="4"/>
  <c r="E924" i="4"/>
  <c r="E945" i="4"/>
  <c r="E941" i="4"/>
  <c r="E926" i="4"/>
  <c r="E917" i="4"/>
  <c r="E882" i="4"/>
  <c r="E867" i="4"/>
  <c r="E866" i="4"/>
  <c r="E865" i="4"/>
  <c r="E861" i="4"/>
  <c r="E853" i="4"/>
  <c r="E845" i="4"/>
  <c r="E837" i="4"/>
  <c r="E913" i="4"/>
  <c r="E894" i="4"/>
  <c r="E873" i="4"/>
  <c r="E860" i="4"/>
  <c r="E852" i="4"/>
  <c r="E844" i="4"/>
  <c r="E836" i="4"/>
  <c r="E918" i="4"/>
  <c r="E895" i="4"/>
  <c r="E858" i="4"/>
  <c r="E850" i="4"/>
  <c r="E842" i="4"/>
  <c r="E834" i="4"/>
  <c r="E826" i="4"/>
  <c r="E937" i="4"/>
  <c r="E929" i="4"/>
  <c r="E879" i="4"/>
  <c r="E878" i="4"/>
  <c r="E871" i="4"/>
  <c r="E857" i="4"/>
  <c r="E849" i="4"/>
  <c r="E841" i="4"/>
  <c r="E833" i="4"/>
  <c r="E872" i="4"/>
  <c r="E870" i="4"/>
  <c r="E856" i="4"/>
  <c r="E848" i="4"/>
  <c r="E840" i="4"/>
  <c r="E886" i="4"/>
  <c r="E881" i="4"/>
  <c r="E887" i="4"/>
  <c r="E809" i="4"/>
  <c r="E808" i="4"/>
  <c r="E784" i="4"/>
  <c r="E776" i="4"/>
  <c r="E768" i="4"/>
  <c r="E760" i="4"/>
  <c r="E825" i="4"/>
  <c r="E824" i="4"/>
  <c r="E810" i="4"/>
  <c r="E817" i="4"/>
  <c r="E793" i="4"/>
  <c r="E789" i="4"/>
  <c r="E781" i="4"/>
  <c r="E773" i="4"/>
  <c r="E765" i="4"/>
  <c r="E757" i="4"/>
  <c r="E749" i="4"/>
  <c r="E741" i="4"/>
  <c r="E733" i="4"/>
  <c r="E818" i="4"/>
  <c r="E801" i="4"/>
  <c r="E797" i="4"/>
  <c r="E794" i="4"/>
  <c r="E792" i="4"/>
  <c r="E788" i="4"/>
  <c r="E780" i="4"/>
  <c r="E772" i="4"/>
  <c r="E764" i="4"/>
  <c r="E756" i="4"/>
  <c r="E832" i="4"/>
  <c r="E821" i="4"/>
  <c r="E820" i="4"/>
  <c r="E791" i="4"/>
  <c r="E829" i="4"/>
  <c r="E805" i="4"/>
  <c r="E785" i="4"/>
  <c r="E777" i="4"/>
  <c r="E769" i="4"/>
  <c r="E761" i="4"/>
  <c r="E753" i="4"/>
  <c r="E745" i="4"/>
  <c r="E737" i="4"/>
  <c r="E729" i="4"/>
  <c r="E724" i="4"/>
  <c r="E723" i="4"/>
  <c r="E713" i="4"/>
  <c r="E693" i="4"/>
  <c r="E685" i="4"/>
  <c r="E677" i="4"/>
  <c r="E669" i="4"/>
  <c r="E740" i="4"/>
  <c r="E728" i="4"/>
  <c r="E712" i="4"/>
  <c r="E711" i="4"/>
  <c r="E701" i="4"/>
  <c r="E721" i="4"/>
  <c r="E744" i="4"/>
  <c r="E720" i="4"/>
  <c r="E709" i="4"/>
  <c r="E690" i="4"/>
  <c r="E682" i="4"/>
  <c r="E674" i="4"/>
  <c r="E666" i="4"/>
  <c r="E658" i="4"/>
  <c r="E650" i="4"/>
  <c r="E642" i="4"/>
  <c r="E708" i="4"/>
  <c r="E707" i="4"/>
  <c r="E697" i="4"/>
  <c r="E689" i="4"/>
  <c r="E681" i="4"/>
  <c r="E673" i="4"/>
  <c r="E665" i="4"/>
  <c r="E748" i="4"/>
  <c r="E732" i="4"/>
  <c r="E717" i="4"/>
  <c r="E695" i="4"/>
  <c r="E705" i="4"/>
  <c r="E752" i="4"/>
  <c r="E736" i="4"/>
  <c r="E725" i="4"/>
  <c r="E704" i="4"/>
  <c r="E686" i="4"/>
  <c r="E678" i="4"/>
  <c r="E670" i="4"/>
  <c r="E662" i="4"/>
  <c r="E654" i="4"/>
  <c r="E646" i="4"/>
  <c r="E661" i="4"/>
  <c r="E625" i="4"/>
  <c r="E624" i="4"/>
  <c r="E614" i="4"/>
  <c r="E600" i="4"/>
  <c r="E592" i="4"/>
  <c r="E584" i="4"/>
  <c r="E576" i="4"/>
  <c r="E568" i="4"/>
  <c r="E560" i="4"/>
  <c r="E645" i="4"/>
  <c r="E641" i="4"/>
  <c r="E634" i="4"/>
  <c r="E649" i="4"/>
  <c r="E622" i="4"/>
  <c r="E621" i="4"/>
  <c r="E610" i="4"/>
  <c r="E606" i="4"/>
  <c r="E597" i="4"/>
  <c r="E653" i="4"/>
  <c r="E630" i="4"/>
  <c r="E609" i="4"/>
  <c r="E605" i="4"/>
  <c r="E604" i="4"/>
  <c r="E596" i="4"/>
  <c r="E588" i="4"/>
  <c r="E580" i="4"/>
  <c r="E572" i="4"/>
  <c r="E564" i="4"/>
  <c r="E556" i="4"/>
  <c r="E548" i="4"/>
  <c r="E628" i="4"/>
  <c r="E618" i="4"/>
  <c r="E608" i="4"/>
  <c r="E657" i="4"/>
  <c r="E638" i="4"/>
  <c r="E602" i="4"/>
  <c r="E594" i="4"/>
  <c r="E586" i="4"/>
  <c r="E578" i="4"/>
  <c r="E570" i="4"/>
  <c r="E562" i="4"/>
  <c r="E554" i="4"/>
  <c r="E546" i="4"/>
  <c r="E538" i="4"/>
  <c r="E530" i="4"/>
  <c r="E522" i="4"/>
  <c r="E514" i="4"/>
  <c r="E626" i="4"/>
  <c r="E486" i="4"/>
  <c r="E520" i="4"/>
  <c r="E516" i="4"/>
  <c r="E507" i="4"/>
  <c r="E494" i="4"/>
  <c r="E488" i="4"/>
  <c r="E481" i="4"/>
  <c r="E473" i="4"/>
  <c r="E465" i="4"/>
  <c r="E457" i="4"/>
  <c r="E449" i="4"/>
  <c r="E544" i="4"/>
  <c r="E496" i="4"/>
  <c r="E512" i="4"/>
  <c r="E508" i="4"/>
  <c r="E504" i="4"/>
  <c r="E497" i="4"/>
  <c r="E490" i="4"/>
  <c r="E479" i="4"/>
  <c r="E471" i="4"/>
  <c r="E463" i="4"/>
  <c r="E455" i="4"/>
  <c r="E447" i="4"/>
  <c r="E439" i="4"/>
  <c r="E431" i="4"/>
  <c r="E423" i="4"/>
  <c r="E552" i="4"/>
  <c r="E505" i="4"/>
  <c r="E498" i="4"/>
  <c r="E478" i="4"/>
  <c r="E470" i="4"/>
  <c r="E462" i="4"/>
  <c r="E454" i="4"/>
  <c r="E446" i="4"/>
  <c r="E438" i="4"/>
  <c r="E532" i="4"/>
  <c r="E523" i="4"/>
  <c r="E506" i="4"/>
  <c r="E491" i="4"/>
  <c r="E477" i="4"/>
  <c r="E469" i="4"/>
  <c r="E461" i="4"/>
  <c r="E453" i="4"/>
  <c r="E445" i="4"/>
  <c r="E437" i="4"/>
  <c r="E536" i="4"/>
  <c r="E540" i="4"/>
  <c r="E528" i="4"/>
  <c r="E524" i="4"/>
  <c r="E411" i="4"/>
  <c r="E403" i="4"/>
  <c r="E395" i="4"/>
  <c r="E430" i="4"/>
  <c r="E425" i="4"/>
  <c r="E415" i="4"/>
  <c r="E367" i="4"/>
  <c r="E359" i="4"/>
  <c r="E351" i="4"/>
  <c r="E343" i="4"/>
  <c r="E335" i="4"/>
  <c r="E327" i="4"/>
  <c r="E319" i="4"/>
  <c r="E421" i="4"/>
  <c r="E391" i="4"/>
  <c r="E390" i="4"/>
  <c r="E389" i="4"/>
  <c r="E379" i="4"/>
  <c r="E441" i="4"/>
  <c r="E422" i="4"/>
  <c r="E417" i="4"/>
  <c r="E399" i="4"/>
  <c r="E398" i="4"/>
  <c r="E397" i="4"/>
  <c r="E394" i="4"/>
  <c r="E393" i="4"/>
  <c r="E378" i="4"/>
  <c r="E377" i="4"/>
  <c r="E365" i="4"/>
  <c r="E357" i="4"/>
  <c r="E407" i="4"/>
  <c r="E406" i="4"/>
  <c r="E387" i="4"/>
  <c r="E409" i="4"/>
  <c r="E386" i="4"/>
  <c r="E385" i="4"/>
  <c r="E375" i="4"/>
  <c r="E371" i="4"/>
  <c r="E363" i="4"/>
  <c r="E355" i="4"/>
  <c r="E347" i="4"/>
  <c r="E433" i="4"/>
  <c r="E413" i="4"/>
  <c r="E383" i="4"/>
  <c r="E429" i="4"/>
  <c r="E414" i="4"/>
  <c r="E349" i="4"/>
  <c r="E325" i="4"/>
  <c r="E309" i="4"/>
  <c r="E307" i="4"/>
  <c r="E298" i="4"/>
  <c r="E291" i="4"/>
  <c r="E271" i="4"/>
  <c r="E263" i="4"/>
  <c r="E255" i="4"/>
  <c r="E247" i="4"/>
  <c r="E239" i="4"/>
  <c r="E231" i="4"/>
  <c r="E223" i="4"/>
  <c r="E341" i="4"/>
  <c r="E331" i="4"/>
  <c r="E289" i="4"/>
  <c r="E279" i="4"/>
  <c r="E315" i="4"/>
  <c r="E317" i="4"/>
  <c r="E302" i="4"/>
  <c r="E287" i="4"/>
  <c r="E268" i="4"/>
  <c r="E260" i="4"/>
  <c r="E252" i="4"/>
  <c r="E244" i="4"/>
  <c r="E236" i="4"/>
  <c r="E228" i="4"/>
  <c r="E220" i="4"/>
  <c r="E212" i="4"/>
  <c r="E204" i="4"/>
  <c r="E323" i="4"/>
  <c r="E310" i="4"/>
  <c r="E303" i="4"/>
  <c r="E286" i="4"/>
  <c r="E285" i="4"/>
  <c r="E275" i="4"/>
  <c r="E267" i="4"/>
  <c r="E259" i="4"/>
  <c r="E251" i="4"/>
  <c r="E243" i="4"/>
  <c r="E333" i="4"/>
  <c r="E311" i="4"/>
  <c r="E339" i="4"/>
  <c r="E295" i="4"/>
  <c r="E283" i="4"/>
  <c r="E299" i="4"/>
  <c r="E282" i="4"/>
  <c r="E272" i="4"/>
  <c r="E264" i="4"/>
  <c r="E256" i="4"/>
  <c r="E248" i="4"/>
  <c r="E240" i="4"/>
  <c r="E232" i="4"/>
  <c r="E227" i="4"/>
  <c r="E219" i="4"/>
  <c r="E215" i="4"/>
  <c r="E190" i="4"/>
  <c r="E188" i="4"/>
  <c r="E176" i="4"/>
  <c r="E155" i="4"/>
  <c r="E154" i="4"/>
  <c r="E152" i="4"/>
  <c r="E144" i="4"/>
  <c r="E136" i="4"/>
  <c r="E128" i="4"/>
  <c r="E120" i="4"/>
  <c r="E112" i="4"/>
  <c r="E104" i="4"/>
  <c r="E96" i="4"/>
  <c r="E88" i="4"/>
  <c r="E80" i="4"/>
  <c r="E72" i="4"/>
  <c r="E64" i="4"/>
  <c r="E56" i="4"/>
  <c r="E48" i="4"/>
  <c r="E40" i="4"/>
  <c r="E216" i="4"/>
  <c r="E187" i="4"/>
  <c r="E174" i="4"/>
  <c r="E164" i="4"/>
  <c r="A3" i="4"/>
  <c r="E124" i="4"/>
  <c r="E108" i="4"/>
  <c r="E192" i="4"/>
  <c r="W3" i="4"/>
  <c r="E208" i="4"/>
  <c r="E140" i="4"/>
  <c r="E132" i="4"/>
  <c r="E207" i="4"/>
  <c r="E172" i="4"/>
  <c r="E171" i="4"/>
  <c r="E170" i="4"/>
  <c r="E160" i="4"/>
  <c r="E148" i="4"/>
  <c r="E116" i="4"/>
  <c r="E100" i="4"/>
  <c r="E199" i="4"/>
  <c r="E182" i="4"/>
  <c r="E180" i="4"/>
  <c r="E159" i="4"/>
  <c r="E158" i="4"/>
  <c r="E147" i="4"/>
  <c r="E139" i="4"/>
  <c r="E131" i="4"/>
  <c r="E123" i="4"/>
  <c r="E115" i="4"/>
  <c r="E107" i="4"/>
  <c r="E99" i="4"/>
  <c r="E91" i="4"/>
  <c r="E83" i="4"/>
  <c r="E235" i="4"/>
  <c r="E200" i="4"/>
  <c r="E168" i="4"/>
  <c r="D3" i="4"/>
  <c r="E65" i="4"/>
  <c r="E25" i="4"/>
  <c r="E224" i="4"/>
  <c r="E196" i="4"/>
  <c r="E184" i="4"/>
  <c r="E183" i="4"/>
  <c r="E167" i="4"/>
  <c r="E156" i="4"/>
  <c r="E153" i="4"/>
  <c r="E145" i="4"/>
  <c r="E137" i="4"/>
  <c r="E129" i="4"/>
  <c r="E121" i="4"/>
  <c r="E113" i="4"/>
  <c r="E105" i="4"/>
  <c r="E97" i="4"/>
  <c r="E89" i="4"/>
  <c r="E81" i="4"/>
  <c r="E73" i="4"/>
  <c r="E57" i="4"/>
  <c r="E49" i="4"/>
  <c r="E41" i="4"/>
  <c r="E33" i="4"/>
  <c r="E12" i="4"/>
  <c r="E14" i="4"/>
  <c r="D14" i="4"/>
  <c r="A14" i="4"/>
  <c r="E30" i="4"/>
  <c r="D30" i="4"/>
  <c r="A30" i="4"/>
  <c r="W30" i="4"/>
  <c r="E37" i="4"/>
  <c r="E43" i="4"/>
  <c r="W45" i="4"/>
  <c r="L45" i="4"/>
  <c r="E51" i="4"/>
  <c r="W53" i="4"/>
  <c r="L53" i="4"/>
  <c r="E59" i="4"/>
  <c r="W61" i="4"/>
  <c r="L61" i="4"/>
  <c r="E67" i="4"/>
  <c r="W69" i="4"/>
  <c r="L69" i="4"/>
  <c r="E75" i="4"/>
  <c r="W77" i="4"/>
  <c r="L77" i="4"/>
  <c r="E85" i="4"/>
  <c r="E92" i="4"/>
  <c r="E133" i="4"/>
  <c r="E163" i="4"/>
  <c r="E7" i="4"/>
  <c r="D7" i="4"/>
  <c r="W7" i="4"/>
  <c r="E19" i="4"/>
  <c r="E24" i="4"/>
  <c r="E4" i="4"/>
  <c r="E6" i="4"/>
  <c r="D6" i="4"/>
  <c r="A6" i="4"/>
  <c r="E11" i="4"/>
  <c r="W14" i="4"/>
  <c r="L21" i="4"/>
  <c r="A27" i="4"/>
  <c r="W27" i="4"/>
  <c r="D27" i="4"/>
  <c r="E45" i="4"/>
  <c r="E53" i="4"/>
  <c r="E61" i="4"/>
  <c r="E69" i="4"/>
  <c r="E77" i="4"/>
  <c r="E109" i="4"/>
  <c r="E134" i="4"/>
  <c r="E135" i="4"/>
  <c r="W6" i="4"/>
  <c r="E28" i="4"/>
  <c r="E31" i="4"/>
  <c r="D31" i="4"/>
  <c r="W31" i="4"/>
  <c r="W36" i="4"/>
  <c r="W37" i="4"/>
  <c r="E86" i="4"/>
  <c r="E87" i="4"/>
  <c r="D87" i="4"/>
  <c r="A87" i="4"/>
  <c r="W87" i="4"/>
  <c r="E101" i="4"/>
  <c r="E110" i="4"/>
  <c r="E111" i="4"/>
  <c r="E149" i="4"/>
  <c r="E21" i="4"/>
  <c r="W24" i="4"/>
  <c r="A7" i="4"/>
  <c r="E15" i="4"/>
  <c r="D15" i="4"/>
  <c r="W15" i="4"/>
  <c r="E17" i="4"/>
  <c r="W17" i="4"/>
  <c r="E27" i="4"/>
  <c r="E32" i="4"/>
  <c r="E38" i="4"/>
  <c r="D38" i="4"/>
  <c r="A38" i="4"/>
  <c r="W38" i="4"/>
  <c r="W41" i="4"/>
  <c r="E46" i="4"/>
  <c r="D46" i="4"/>
  <c r="A46" i="4"/>
  <c r="W46" i="4"/>
  <c r="W49" i="4"/>
  <c r="E54" i="4"/>
  <c r="D54" i="4"/>
  <c r="A54" i="4"/>
  <c r="W54" i="4"/>
  <c r="W57" i="4"/>
  <c r="E62" i="4"/>
  <c r="D62" i="4"/>
  <c r="A62" i="4"/>
  <c r="W62" i="4"/>
  <c r="W65" i="4"/>
  <c r="E70" i="4"/>
  <c r="D70" i="4"/>
  <c r="A70" i="4"/>
  <c r="W70" i="4"/>
  <c r="W73" i="4"/>
  <c r="E78" i="4"/>
  <c r="D78" i="4"/>
  <c r="A78" i="4"/>
  <c r="W78" i="4"/>
  <c r="W84" i="4"/>
  <c r="W88" i="4"/>
  <c r="E93" i="4"/>
  <c r="E125" i="4"/>
  <c r="E150" i="4"/>
  <c r="E151" i="4"/>
  <c r="E13" i="4"/>
  <c r="L29" i="4"/>
  <c r="E102" i="4"/>
  <c r="E103" i="4"/>
  <c r="E126" i="4"/>
  <c r="E127" i="4"/>
  <c r="E175" i="4"/>
  <c r="W12" i="4"/>
  <c r="E22" i="4"/>
  <c r="D22" i="4"/>
  <c r="A22" i="4"/>
  <c r="W22" i="4"/>
  <c r="E29" i="4"/>
  <c r="E36" i="4"/>
  <c r="E39" i="4"/>
  <c r="D39" i="4"/>
  <c r="W39" i="4"/>
  <c r="E47" i="4"/>
  <c r="D47" i="4"/>
  <c r="W47" i="4"/>
  <c r="E55" i="4"/>
  <c r="D55" i="4"/>
  <c r="W55" i="4"/>
  <c r="E63" i="4"/>
  <c r="D63" i="4"/>
  <c r="W63" i="4"/>
  <c r="E71" i="4"/>
  <c r="D71" i="4"/>
  <c r="W71" i="4"/>
  <c r="E79" i="4"/>
  <c r="D79" i="4"/>
  <c r="W79" i="4"/>
  <c r="E94" i="4"/>
  <c r="E95" i="4"/>
  <c r="E141" i="4"/>
  <c r="W86" i="4"/>
  <c r="W94" i="4"/>
  <c r="W102" i="4"/>
  <c r="I109" i="4" a="1"/>
  <c r="I109" i="4" s="1"/>
  <c r="W110" i="4"/>
  <c r="D114" i="4"/>
  <c r="I117" i="4" a="1"/>
  <c r="I117" i="4" s="1"/>
  <c r="W118" i="4"/>
  <c r="D122" i="4"/>
  <c r="I125" i="4" a="1"/>
  <c r="I125" i="4" s="1"/>
  <c r="W126" i="4"/>
  <c r="D130" i="4"/>
  <c r="I133" i="4" a="1"/>
  <c r="I133" i="4" s="1"/>
  <c r="W134" i="4"/>
  <c r="D138" i="4"/>
  <c r="I141" i="4" a="1"/>
  <c r="I141" i="4" s="1"/>
  <c r="W142" i="4"/>
  <c r="D146" i="4"/>
  <c r="I149" i="4" a="1"/>
  <c r="I149" i="4" s="1"/>
  <c r="W150" i="4"/>
  <c r="D158" i="4"/>
  <c r="W158" i="4"/>
  <c r="D161" i="4"/>
  <c r="W163" i="4"/>
  <c r="E166" i="4"/>
  <c r="I172" i="4" a="1"/>
  <c r="I172" i="4" s="1"/>
  <c r="D179" i="4"/>
  <c r="D182" i="4"/>
  <c r="A182" i="4"/>
  <c r="W182" i="4"/>
  <c r="A193" i="4"/>
  <c r="E193" i="4"/>
  <c r="E195" i="4"/>
  <c r="E214" i="4"/>
  <c r="D214" i="4"/>
  <c r="A214" i="4"/>
  <c r="W214" i="4"/>
  <c r="E10" i="4"/>
  <c r="E18" i="4"/>
  <c r="E26" i="4"/>
  <c r="E34" i="4"/>
  <c r="E42" i="4"/>
  <c r="D43" i="4"/>
  <c r="E50" i="4"/>
  <c r="D51" i="4"/>
  <c r="E58" i="4"/>
  <c r="D59" i="4"/>
  <c r="E66" i="4"/>
  <c r="D67" i="4"/>
  <c r="E74" i="4"/>
  <c r="D75" i="4"/>
  <c r="E82" i="4"/>
  <c r="D83" i="4"/>
  <c r="A86" i="4"/>
  <c r="E90" i="4"/>
  <c r="D91" i="4"/>
  <c r="A94" i="4"/>
  <c r="W95" i="4"/>
  <c r="E98" i="4"/>
  <c r="D99" i="4"/>
  <c r="A102" i="4"/>
  <c r="W103" i="4"/>
  <c r="E106" i="4"/>
  <c r="D107" i="4"/>
  <c r="A110" i="4"/>
  <c r="W111" i="4"/>
  <c r="E114" i="4"/>
  <c r="D115" i="4"/>
  <c r="A118" i="4"/>
  <c r="W119" i="4"/>
  <c r="E122" i="4"/>
  <c r="D123" i="4"/>
  <c r="A126" i="4"/>
  <c r="W127" i="4"/>
  <c r="E130" i="4"/>
  <c r="D131" i="4"/>
  <c r="A134" i="4"/>
  <c r="W135" i="4"/>
  <c r="E138" i="4"/>
  <c r="D139" i="4"/>
  <c r="A142" i="4"/>
  <c r="W143" i="4"/>
  <c r="E146" i="4"/>
  <c r="D147" i="4"/>
  <c r="A150" i="4"/>
  <c r="W151" i="4"/>
  <c r="W156" i="4"/>
  <c r="D159" i="4"/>
  <c r="A163" i="4"/>
  <c r="E165" i="4"/>
  <c r="A165" i="4"/>
  <c r="W170" i="4"/>
  <c r="D170" i="4"/>
  <c r="W175" i="4"/>
  <c r="E178" i="4"/>
  <c r="E179" i="4"/>
  <c r="W184" i="4"/>
  <c r="A191" i="4"/>
  <c r="W196" i="4"/>
  <c r="E203" i="4"/>
  <c r="W204" i="4"/>
  <c r="W207" i="4"/>
  <c r="A218" i="4"/>
  <c r="W218" i="4"/>
  <c r="E218" i="4"/>
  <c r="D218" i="4"/>
  <c r="E221" i="4"/>
  <c r="E261" i="4"/>
  <c r="E262" i="4"/>
  <c r="A95" i="4"/>
  <c r="A103" i="4"/>
  <c r="A111" i="4"/>
  <c r="A119" i="4"/>
  <c r="A127" i="4"/>
  <c r="A135" i="4"/>
  <c r="A143" i="4"/>
  <c r="A151" i="4"/>
  <c r="W153" i="4"/>
  <c r="W168" i="4"/>
  <c r="W173" i="4"/>
  <c r="A175" i="4"/>
  <c r="A177" i="4"/>
  <c r="E177" i="4"/>
  <c r="E189" i="4"/>
  <c r="W211" i="4"/>
  <c r="D211" i="4"/>
  <c r="L229" i="4"/>
  <c r="W229" i="4"/>
  <c r="E301" i="4"/>
  <c r="E222" i="4"/>
  <c r="D222" i="4"/>
  <c r="A222" i="4"/>
  <c r="W222" i="4"/>
  <c r="E253" i="4"/>
  <c r="E254" i="4"/>
  <c r="E278" i="4"/>
  <c r="W162" i="4"/>
  <c r="D162" i="4"/>
  <c r="E197" i="4"/>
  <c r="E205" i="4"/>
  <c r="A9" i="4"/>
  <c r="W10" i="4"/>
  <c r="A17" i="4"/>
  <c r="W18" i="4"/>
  <c r="A25" i="4"/>
  <c r="W26" i="4"/>
  <c r="A33" i="4"/>
  <c r="W34" i="4"/>
  <c r="A41" i="4"/>
  <c r="W42" i="4"/>
  <c r="A49" i="4"/>
  <c r="W50" i="4"/>
  <c r="A57" i="4"/>
  <c r="W58" i="4"/>
  <c r="A65" i="4"/>
  <c r="W66" i="4"/>
  <c r="A73" i="4"/>
  <c r="W74" i="4"/>
  <c r="A81" i="4"/>
  <c r="W82" i="4"/>
  <c r="L85" i="4"/>
  <c r="D86" i="4"/>
  <c r="A89" i="4"/>
  <c r="W90" i="4"/>
  <c r="L93" i="4"/>
  <c r="D94" i="4"/>
  <c r="A97" i="4"/>
  <c r="W98" i="4"/>
  <c r="D102" i="4"/>
  <c r="A105" i="4"/>
  <c r="W106" i="4"/>
  <c r="D110" i="4"/>
  <c r="A113" i="4"/>
  <c r="W114" i="4"/>
  <c r="D118" i="4"/>
  <c r="A121" i="4"/>
  <c r="W122" i="4"/>
  <c r="D126" i="4"/>
  <c r="A129" i="4"/>
  <c r="W130" i="4"/>
  <c r="D134" i="4"/>
  <c r="A137" i="4"/>
  <c r="W138" i="4"/>
  <c r="D142" i="4"/>
  <c r="A145" i="4"/>
  <c r="W146" i="4"/>
  <c r="D150" i="4"/>
  <c r="W154" i="4"/>
  <c r="W160" i="4"/>
  <c r="D163" i="4"/>
  <c r="W165" i="4"/>
  <c r="A169" i="4"/>
  <c r="E169" i="4"/>
  <c r="D174" i="4"/>
  <c r="W174" i="4"/>
  <c r="D177" i="4"/>
  <c r="W179" i="4"/>
  <c r="W189" i="4"/>
  <c r="D191" i="4"/>
  <c r="L192" i="4"/>
  <c r="W197" i="4"/>
  <c r="A202" i="4"/>
  <c r="W202" i="4"/>
  <c r="E202" i="4"/>
  <c r="D202" i="4"/>
  <c r="W205" i="4"/>
  <c r="E211" i="4"/>
  <c r="W212" i="4"/>
  <c r="W215" i="4"/>
  <c r="W239" i="4"/>
  <c r="E157" i="4"/>
  <c r="A157" i="4"/>
  <c r="A185" i="4"/>
  <c r="E185" i="4"/>
  <c r="A194" i="4"/>
  <c r="W194" i="4"/>
  <c r="E194" i="4"/>
  <c r="D194" i="4"/>
  <c r="A10" i="4"/>
  <c r="A18" i="4"/>
  <c r="A26" i="4"/>
  <c r="A34" i="4"/>
  <c r="A42" i="4"/>
  <c r="W43" i="4"/>
  <c r="A50" i="4"/>
  <c r="W51" i="4"/>
  <c r="A58" i="4"/>
  <c r="W59" i="4"/>
  <c r="A66" i="4"/>
  <c r="W67" i="4"/>
  <c r="A74" i="4"/>
  <c r="W75" i="4"/>
  <c r="A82" i="4"/>
  <c r="W83" i="4"/>
  <c r="A90" i="4"/>
  <c r="W91" i="4"/>
  <c r="D95" i="4"/>
  <c r="A98" i="4"/>
  <c r="W99" i="4"/>
  <c r="D103" i="4"/>
  <c r="A106" i="4"/>
  <c r="D111" i="4"/>
  <c r="A114" i="4"/>
  <c r="D119" i="4"/>
  <c r="A122" i="4"/>
  <c r="D127" i="4"/>
  <c r="A130" i="4"/>
  <c r="D135" i="4"/>
  <c r="A138" i="4"/>
  <c r="D143" i="4"/>
  <c r="A146" i="4"/>
  <c r="D151" i="4"/>
  <c r="D157" i="4"/>
  <c r="E162" i="4"/>
  <c r="W172" i="4"/>
  <c r="D175" i="4"/>
  <c r="W177" i="4"/>
  <c r="A179" i="4"/>
  <c r="E181" i="4"/>
  <c r="M181" i="4"/>
  <c r="W181" i="4" s="1"/>
  <c r="W183" i="4"/>
  <c r="D185" i="4"/>
  <c r="W185" i="4"/>
  <c r="D190" i="4"/>
  <c r="A190" i="4"/>
  <c r="W190" i="4"/>
  <c r="E191" i="4"/>
  <c r="E198" i="4"/>
  <c r="D198" i="4"/>
  <c r="A198" i="4"/>
  <c r="W198" i="4"/>
  <c r="E206" i="4"/>
  <c r="D206" i="4"/>
  <c r="A206" i="4"/>
  <c r="W206" i="4"/>
  <c r="W219" i="4"/>
  <c r="D219" i="4"/>
  <c r="E229" i="4"/>
  <c r="E230" i="4"/>
  <c r="D230" i="4"/>
  <c r="A230" i="4"/>
  <c r="W230" i="4"/>
  <c r="E245" i="4"/>
  <c r="E246" i="4"/>
  <c r="A43" i="4"/>
  <c r="A51" i="4"/>
  <c r="A59" i="4"/>
  <c r="A67" i="4"/>
  <c r="A75" i="4"/>
  <c r="A83" i="4"/>
  <c r="A91" i="4"/>
  <c r="W92" i="4"/>
  <c r="A99" i="4"/>
  <c r="W100" i="4"/>
  <c r="W108" i="4"/>
  <c r="W116" i="4"/>
  <c r="W157" i="4"/>
  <c r="A161" i="4"/>
  <c r="E161" i="4"/>
  <c r="D166" i="4"/>
  <c r="W166" i="4"/>
  <c r="W171" i="4"/>
  <c r="W192" i="4"/>
  <c r="W195" i="4"/>
  <c r="D195" i="4"/>
  <c r="A210" i="4"/>
  <c r="W210" i="4"/>
  <c r="E210" i="4"/>
  <c r="D210" i="4"/>
  <c r="E213" i="4"/>
  <c r="E237" i="4"/>
  <c r="E238" i="4"/>
  <c r="D238" i="4"/>
  <c r="A238" i="4"/>
  <c r="W238" i="4"/>
  <c r="E290" i="4"/>
  <c r="A92" i="4"/>
  <c r="A100" i="4"/>
  <c r="A108" i="4"/>
  <c r="A116" i="4"/>
  <c r="A124" i="4"/>
  <c r="A132" i="4"/>
  <c r="A140" i="4"/>
  <c r="A148" i="4"/>
  <c r="A158" i="4"/>
  <c r="W169" i="4"/>
  <c r="E173" i="4"/>
  <c r="A173" i="4"/>
  <c r="W178" i="4"/>
  <c r="D178" i="4"/>
  <c r="W186" i="4"/>
  <c r="E186" i="4"/>
  <c r="D186" i="4"/>
  <c r="W203" i="4"/>
  <c r="D203" i="4"/>
  <c r="W213" i="4"/>
  <c r="E269" i="4"/>
  <c r="E270" i="4"/>
  <c r="W237" i="4"/>
  <c r="D241" i="4"/>
  <c r="I244" i="4" a="1"/>
  <c r="I244" i="4" s="1"/>
  <c r="W245" i="4"/>
  <c r="D249" i="4"/>
  <c r="I252" i="4" a="1"/>
  <c r="I252" i="4" s="1"/>
  <c r="W253" i="4"/>
  <c r="D257" i="4"/>
  <c r="I260" i="4" a="1"/>
  <c r="I260" i="4" s="1"/>
  <c r="W261" i="4"/>
  <c r="D265" i="4"/>
  <c r="W269" i="4"/>
  <c r="D273" i="4"/>
  <c r="D276" i="4"/>
  <c r="W278" i="4"/>
  <c r="E281" i="4"/>
  <c r="I287" i="4" a="1"/>
  <c r="I287" i="4" s="1"/>
  <c r="W291" i="4"/>
  <c r="D294" i="4"/>
  <c r="W297" i="4"/>
  <c r="E297" i="4"/>
  <c r="D297" i="4"/>
  <c r="W303" i="4"/>
  <c r="W307" i="4"/>
  <c r="A310" i="4"/>
  <c r="W310" i="4"/>
  <c r="W313" i="4"/>
  <c r="E313" i="4"/>
  <c r="D313" i="4"/>
  <c r="W321" i="4"/>
  <c r="D328" i="4"/>
  <c r="A328" i="4"/>
  <c r="E328" i="4"/>
  <c r="I329" i="4" a="1"/>
  <c r="I329" i="4" s="1"/>
  <c r="I331" i="4" a="1"/>
  <c r="I331" i="4" s="1"/>
  <c r="W331" i="4"/>
  <c r="W343" i="4"/>
  <c r="W345" i="4"/>
  <c r="E356" i="4"/>
  <c r="E374" i="4"/>
  <c r="A181" i="4"/>
  <c r="A189" i="4"/>
  <c r="A197" i="4"/>
  <c r="E201" i="4"/>
  <c r="A205" i="4"/>
  <c r="E209" i="4"/>
  <c r="A213" i="4"/>
  <c r="E217" i="4"/>
  <c r="A221" i="4"/>
  <c r="E225" i="4"/>
  <c r="D226" i="4"/>
  <c r="A229" i="4"/>
  <c r="E233" i="4"/>
  <c r="D234" i="4"/>
  <c r="A237" i="4"/>
  <c r="E241" i="4"/>
  <c r="D242" i="4"/>
  <c r="A245" i="4"/>
  <c r="W246" i="4"/>
  <c r="E249" i="4"/>
  <c r="D250" i="4"/>
  <c r="A253" i="4"/>
  <c r="W254" i="4"/>
  <c r="E257" i="4"/>
  <c r="D258" i="4"/>
  <c r="A261" i="4"/>
  <c r="W262" i="4"/>
  <c r="E265" i="4"/>
  <c r="D266" i="4"/>
  <c r="A269" i="4"/>
  <c r="W270" i="4"/>
  <c r="E273" i="4"/>
  <c r="D274" i="4"/>
  <c r="A278" i="4"/>
  <c r="A280" i="4"/>
  <c r="E280" i="4"/>
  <c r="D285" i="4"/>
  <c r="W285" i="4"/>
  <c r="D288" i="4"/>
  <c r="W290" i="4"/>
  <c r="E293" i="4"/>
  <c r="E294" i="4"/>
  <c r="W299" i="4"/>
  <c r="A302" i="4"/>
  <c r="W302" i="4"/>
  <c r="W305" i="4"/>
  <c r="E305" i="4"/>
  <c r="D305" i="4"/>
  <c r="L311" i="4"/>
  <c r="I315" i="4" a="1"/>
  <c r="I315" i="4" s="1"/>
  <c r="L319" i="4"/>
  <c r="W319" i="4"/>
  <c r="E340" i="4"/>
  <c r="E366" i="4"/>
  <c r="W199" i="4"/>
  <c r="E226" i="4"/>
  <c r="D227" i="4"/>
  <c r="E234" i="4"/>
  <c r="D235" i="4"/>
  <c r="E242" i="4"/>
  <c r="A246" i="4"/>
  <c r="E250" i="4"/>
  <c r="A254" i="4"/>
  <c r="E258" i="4"/>
  <c r="A262" i="4"/>
  <c r="E266" i="4"/>
  <c r="A270" i="4"/>
  <c r="E274" i="4"/>
  <c r="W283" i="4"/>
  <c r="A290" i="4"/>
  <c r="E292" i="4"/>
  <c r="A292" i="4"/>
  <c r="W295" i="4"/>
  <c r="E308" i="4"/>
  <c r="E334" i="4"/>
  <c r="A334" i="4"/>
  <c r="W334" i="4"/>
  <c r="E348" i="4"/>
  <c r="E354" i="4"/>
  <c r="D277" i="4"/>
  <c r="W277" i="4"/>
  <c r="E300" i="4"/>
  <c r="E324" i="4"/>
  <c r="W329" i="4"/>
  <c r="D336" i="4"/>
  <c r="A336" i="4"/>
  <c r="E336" i="4"/>
  <c r="I339" i="4" a="1"/>
  <c r="I339" i="4" s="1"/>
  <c r="W339" i="4"/>
  <c r="L343" i="4"/>
  <c r="W201" i="4"/>
  <c r="W209" i="4"/>
  <c r="W217" i="4"/>
  <c r="I224" i="4" a="1"/>
  <c r="I224" i="4" s="1"/>
  <c r="W225" i="4"/>
  <c r="D229" i="4"/>
  <c r="I232" i="4" a="1"/>
  <c r="I232" i="4" s="1"/>
  <c r="W233" i="4"/>
  <c r="D237" i="4"/>
  <c r="I240" i="4" a="1"/>
  <c r="I240" i="4" s="1"/>
  <c r="W241" i="4"/>
  <c r="D245" i="4"/>
  <c r="I248" i="4" a="1"/>
  <c r="I248" i="4" s="1"/>
  <c r="W249" i="4"/>
  <c r="D253" i="4"/>
  <c r="I256" i="4" a="1"/>
  <c r="I256" i="4" s="1"/>
  <c r="W257" i="4"/>
  <c r="D261" i="4"/>
  <c r="I264" i="4" a="1"/>
  <c r="I264" i="4" s="1"/>
  <c r="W265" i="4"/>
  <c r="D269" i="4"/>
  <c r="W273" i="4"/>
  <c r="D278" i="4"/>
  <c r="E284" i="4"/>
  <c r="A284" i="4"/>
  <c r="W289" i="4"/>
  <c r="D289" i="4"/>
  <c r="D292" i="4"/>
  <c r="A296" i="4"/>
  <c r="E296" i="4"/>
  <c r="W308" i="4"/>
  <c r="A312" i="4"/>
  <c r="E312" i="4"/>
  <c r="E314" i="4"/>
  <c r="D314" i="4"/>
  <c r="E318" i="4"/>
  <c r="A318" i="4"/>
  <c r="W318" i="4"/>
  <c r="L327" i="4"/>
  <c r="W327" i="4"/>
  <c r="D334" i="4"/>
  <c r="W335" i="4"/>
  <c r="W336" i="4"/>
  <c r="I347" i="4" a="1"/>
  <c r="I347" i="4" s="1"/>
  <c r="W347" i="4"/>
  <c r="E358" i="4"/>
  <c r="E370" i="4"/>
  <c r="A201" i="4"/>
  <c r="A209" i="4"/>
  <c r="A217" i="4"/>
  <c r="A225" i="4"/>
  <c r="W226" i="4"/>
  <c r="A233" i="4"/>
  <c r="W234" i="4"/>
  <c r="A241" i="4"/>
  <c r="W242" i="4"/>
  <c r="D246" i="4"/>
  <c r="A249" i="4"/>
  <c r="W250" i="4"/>
  <c r="D254" i="4"/>
  <c r="A257" i="4"/>
  <c r="W258" i="4"/>
  <c r="D262" i="4"/>
  <c r="A265" i="4"/>
  <c r="W266" i="4"/>
  <c r="D270" i="4"/>
  <c r="A273" i="4"/>
  <c r="W274" i="4"/>
  <c r="E277" i="4"/>
  <c r="L279" i="4"/>
  <c r="W287" i="4"/>
  <c r="D290" i="4"/>
  <c r="W292" i="4"/>
  <c r="W300" i="4"/>
  <c r="A304" i="4"/>
  <c r="E304" i="4"/>
  <c r="E306" i="4"/>
  <c r="D306" i="4"/>
  <c r="D320" i="4"/>
  <c r="A320" i="4"/>
  <c r="E320" i="4"/>
  <c r="I323" i="4" a="1"/>
  <c r="I323" i="4" s="1"/>
  <c r="W323" i="4"/>
  <c r="E364" i="4"/>
  <c r="A226" i="4"/>
  <c r="W227" i="4"/>
  <c r="A234" i="4"/>
  <c r="A242" i="4"/>
  <c r="A250" i="4"/>
  <c r="A258" i="4"/>
  <c r="A266" i="4"/>
  <c r="A274" i="4"/>
  <c r="E276" i="4"/>
  <c r="A276" i="4"/>
  <c r="W281" i="4"/>
  <c r="D281" i="4"/>
  <c r="W294" i="4"/>
  <c r="W296" i="4"/>
  <c r="D301" i="4"/>
  <c r="A301" i="4"/>
  <c r="W301" i="4"/>
  <c r="W312" i="4"/>
  <c r="E332" i="4"/>
  <c r="E342" i="4"/>
  <c r="A342" i="4"/>
  <c r="W342" i="4"/>
  <c r="D344" i="4"/>
  <c r="A344" i="4"/>
  <c r="W344" i="4"/>
  <c r="E344" i="4"/>
  <c r="W348" i="4"/>
  <c r="E402" i="4"/>
  <c r="A227" i="4"/>
  <c r="A288" i="4"/>
  <c r="E288" i="4"/>
  <c r="D293" i="4"/>
  <c r="W293" i="4"/>
  <c r="E316" i="4"/>
  <c r="E326" i="4"/>
  <c r="A326" i="4"/>
  <c r="W326" i="4"/>
  <c r="E350" i="4"/>
  <c r="E362" i="4"/>
  <c r="A300" i="4"/>
  <c r="A308" i="4"/>
  <c r="W309" i="4"/>
  <c r="A316" i="4"/>
  <c r="W317" i="4"/>
  <c r="D321" i="4"/>
  <c r="A324" i="4"/>
  <c r="W325" i="4"/>
  <c r="D329" i="4"/>
  <c r="A332" i="4"/>
  <c r="W333" i="4"/>
  <c r="D337" i="4"/>
  <c r="A340" i="4"/>
  <c r="I340" i="4" a="1"/>
  <c r="I340" i="4" s="1"/>
  <c r="W341" i="4"/>
  <c r="D345" i="4"/>
  <c r="A348" i="4"/>
  <c r="I348" i="4" a="1"/>
  <c r="I348" i="4" s="1"/>
  <c r="W349" i="4"/>
  <c r="E352" i="4"/>
  <c r="D353" i="4"/>
  <c r="A356" i="4"/>
  <c r="I356" i="4" a="1"/>
  <c r="I356" i="4" s="1"/>
  <c r="W357" i="4"/>
  <c r="E360" i="4"/>
  <c r="D361" i="4"/>
  <c r="A364" i="4"/>
  <c r="I364" i="4" a="1"/>
  <c r="I364" i="4" s="1"/>
  <c r="W365" i="4"/>
  <c r="E368" i="4"/>
  <c r="D369" i="4"/>
  <c r="E372" i="4"/>
  <c r="D376" i="4"/>
  <c r="W378" i="4"/>
  <c r="E381" i="4"/>
  <c r="E382" i="4"/>
  <c r="I387" i="4" a="1"/>
  <c r="I387" i="4" s="1"/>
  <c r="I391" i="4" a="1"/>
  <c r="I391" i="4" s="1"/>
  <c r="W394" i="4"/>
  <c r="A402" i="4"/>
  <c r="I403" i="4" a="1"/>
  <c r="I403" i="4" s="1"/>
  <c r="E459" i="4"/>
  <c r="E474" i="4"/>
  <c r="A309" i="4"/>
  <c r="A317" i="4"/>
  <c r="E321" i="4"/>
  <c r="D322" i="4"/>
  <c r="A325" i="4"/>
  <c r="E329" i="4"/>
  <c r="D330" i="4"/>
  <c r="A333" i="4"/>
  <c r="E337" i="4"/>
  <c r="D338" i="4"/>
  <c r="E345" i="4"/>
  <c r="D346" i="4"/>
  <c r="W350" i="4"/>
  <c r="E353" i="4"/>
  <c r="D354" i="4"/>
  <c r="W358" i="4"/>
  <c r="E361" i="4"/>
  <c r="D362" i="4"/>
  <c r="W366" i="4"/>
  <c r="E369" i="4"/>
  <c r="D370" i="4"/>
  <c r="E373" i="4"/>
  <c r="D374" i="4"/>
  <c r="A380" i="4"/>
  <c r="E380" i="4"/>
  <c r="D385" i="4"/>
  <c r="W385" i="4"/>
  <c r="D388" i="4"/>
  <c r="I395" i="4" a="1"/>
  <c r="I395" i="4" s="1"/>
  <c r="D409" i="4"/>
  <c r="W409" i="4"/>
  <c r="D410" i="4"/>
  <c r="W411" i="4"/>
  <c r="W415" i="4"/>
  <c r="I415" i="4" a="1"/>
  <c r="I415" i="4" s="1"/>
  <c r="E418" i="4"/>
  <c r="A420" i="4"/>
  <c r="W420" i="4"/>
  <c r="E420" i="4"/>
  <c r="D420" i="4"/>
  <c r="E427" i="4"/>
  <c r="E435" i="4"/>
  <c r="E440" i="4"/>
  <c r="E448" i="4"/>
  <c r="E480" i="4"/>
  <c r="E322" i="4"/>
  <c r="E330" i="4"/>
  <c r="E338" i="4"/>
  <c r="E346" i="4"/>
  <c r="A350" i="4"/>
  <c r="A358" i="4"/>
  <c r="A366" i="4"/>
  <c r="W383" i="4"/>
  <c r="D401" i="4"/>
  <c r="W401" i="4"/>
  <c r="W405" i="4"/>
  <c r="D405" i="4"/>
  <c r="E424" i="4"/>
  <c r="D424" i="4"/>
  <c r="A424" i="4"/>
  <c r="W424" i="4"/>
  <c r="A436" i="4"/>
  <c r="W436" i="4"/>
  <c r="E436" i="4"/>
  <c r="D436" i="4"/>
  <c r="E451" i="4"/>
  <c r="E466" i="4"/>
  <c r="E483" i="4"/>
  <c r="W352" i="4"/>
  <c r="W360" i="4"/>
  <c r="W368" i="4"/>
  <c r="D377" i="4"/>
  <c r="W377" i="4"/>
  <c r="W382" i="4"/>
  <c r="D393" i="4"/>
  <c r="W393" i="4"/>
  <c r="W397" i="4"/>
  <c r="D397" i="4"/>
  <c r="A412" i="4"/>
  <c r="E412" i="4"/>
  <c r="D412" i="4"/>
  <c r="D417" i="4"/>
  <c r="W417" i="4"/>
  <c r="I419" i="4" a="1"/>
  <c r="I419" i="4" s="1"/>
  <c r="E426" i="4"/>
  <c r="A428" i="4"/>
  <c r="W428" i="4"/>
  <c r="E428" i="4"/>
  <c r="D428" i="4"/>
  <c r="E443" i="4"/>
  <c r="E472" i="4"/>
  <c r="E500" i="4"/>
  <c r="A352" i="4"/>
  <c r="A360" i="4"/>
  <c r="A368" i="4"/>
  <c r="W372" i="4"/>
  <c r="W373" i="4"/>
  <c r="W375" i="4"/>
  <c r="W380" i="4"/>
  <c r="A382" i="4"/>
  <c r="E384" i="4"/>
  <c r="A384" i="4"/>
  <c r="W389" i="4"/>
  <c r="D389" i="4"/>
  <c r="L391" i="4"/>
  <c r="E401" i="4"/>
  <c r="E405" i="4"/>
  <c r="W410" i="4"/>
  <c r="W418" i="4"/>
  <c r="W421" i="4"/>
  <c r="E432" i="4"/>
  <c r="D432" i="4"/>
  <c r="A432" i="4"/>
  <c r="W432" i="4"/>
  <c r="E434" i="4"/>
  <c r="W439" i="4"/>
  <c r="I439" i="4" a="1"/>
  <c r="I439" i="4" s="1"/>
  <c r="A444" i="4"/>
  <c r="W444" i="4"/>
  <c r="E444" i="4"/>
  <c r="D444" i="4"/>
  <c r="E458" i="4"/>
  <c r="E475" i="4"/>
  <c r="W371" i="4"/>
  <c r="E408" i="4"/>
  <c r="A408" i="4"/>
  <c r="W408" i="4"/>
  <c r="W423" i="4"/>
  <c r="I423" i="4" a="1"/>
  <c r="I423" i="4" s="1"/>
  <c r="D425" i="4"/>
  <c r="W425" i="4"/>
  <c r="I427" i="4" a="1"/>
  <c r="I427" i="4" s="1"/>
  <c r="I435" i="4" a="1"/>
  <c r="I435" i="4" s="1"/>
  <c r="W435" i="4"/>
  <c r="E464" i="4"/>
  <c r="E515" i="4"/>
  <c r="A322" i="4"/>
  <c r="A330" i="4"/>
  <c r="A338" i="4"/>
  <c r="W355" i="4"/>
  <c r="W363" i="4"/>
  <c r="E376" i="4"/>
  <c r="A376" i="4"/>
  <c r="W381" i="4"/>
  <c r="D381" i="4"/>
  <c r="E400" i="4"/>
  <c r="A400" i="4"/>
  <c r="W400" i="4"/>
  <c r="A404" i="4"/>
  <c r="E404" i="4"/>
  <c r="D404" i="4"/>
  <c r="I407" i="4" a="1"/>
  <c r="I407" i="4" s="1"/>
  <c r="W426" i="4"/>
  <c r="W429" i="4"/>
  <c r="E450" i="4"/>
  <c r="E467" i="4"/>
  <c r="E482" i="4"/>
  <c r="I355" i="4" a="1"/>
  <c r="I355" i="4" s="1"/>
  <c r="I363" i="4" a="1"/>
  <c r="I363" i="4" s="1"/>
  <c r="A388" i="4"/>
  <c r="E388" i="4"/>
  <c r="E392" i="4"/>
  <c r="A392" i="4"/>
  <c r="W392" i="4"/>
  <c r="A396" i="4"/>
  <c r="E396" i="4"/>
  <c r="D396" i="4"/>
  <c r="I399" i="4" a="1"/>
  <c r="I399" i="4" s="1"/>
  <c r="E410" i="4"/>
  <c r="E416" i="4"/>
  <c r="A416" i="4"/>
  <c r="W416" i="4"/>
  <c r="E419" i="4"/>
  <c r="W431" i="4"/>
  <c r="I431" i="4" a="1"/>
  <c r="I431" i="4" s="1"/>
  <c r="E442" i="4"/>
  <c r="E456" i="4"/>
  <c r="W440" i="4"/>
  <c r="I447" i="4" a="1"/>
  <c r="I447" i="4" s="1"/>
  <c r="W448" i="4"/>
  <c r="D452" i="4"/>
  <c r="I455" i="4" a="1"/>
  <c r="I455" i="4" s="1"/>
  <c r="W456" i="4"/>
  <c r="D460" i="4"/>
  <c r="I463" i="4" a="1"/>
  <c r="I463" i="4" s="1"/>
  <c r="W464" i="4"/>
  <c r="D468" i="4"/>
  <c r="I471" i="4" a="1"/>
  <c r="I471" i="4" s="1"/>
  <c r="W472" i="4"/>
  <c r="D476" i="4"/>
  <c r="I479" i="4" a="1"/>
  <c r="I479" i="4" s="1"/>
  <c r="W480" i="4"/>
  <c r="D484" i="4"/>
  <c r="D485" i="4"/>
  <c r="W487" i="4"/>
  <c r="I490" i="4" a="1"/>
  <c r="I490" i="4" s="1"/>
  <c r="D492" i="4"/>
  <c r="W494" i="4"/>
  <c r="W498" i="4"/>
  <c r="D499" i="4"/>
  <c r="W501" i="4"/>
  <c r="I503" i="4" a="1"/>
  <c r="I503" i="4" s="1"/>
  <c r="I504" i="4" a="1"/>
  <c r="I504" i="4" s="1"/>
  <c r="A505" i="4"/>
  <c r="E517" i="4"/>
  <c r="A523" i="4"/>
  <c r="W523" i="4"/>
  <c r="D523" i="4"/>
  <c r="E527" i="4"/>
  <c r="D527" i="4"/>
  <c r="W527" i="4"/>
  <c r="W530" i="4"/>
  <c r="E534" i="4"/>
  <c r="D534" i="4"/>
  <c r="A534" i="4"/>
  <c r="W534" i="4"/>
  <c r="W538" i="4"/>
  <c r="E557" i="4"/>
  <c r="N557" i="4"/>
  <c r="M557" i="4"/>
  <c r="W557" i="4" s="1"/>
  <c r="E566" i="4"/>
  <c r="E574" i="4"/>
  <c r="E590" i="4"/>
  <c r="E633" i="4"/>
  <c r="D413" i="4"/>
  <c r="D421" i="4"/>
  <c r="D429" i="4"/>
  <c r="W433" i="4"/>
  <c r="D437" i="4"/>
  <c r="A440" i="4"/>
  <c r="W441" i="4"/>
  <c r="D445" i="4"/>
  <c r="A448" i="4"/>
  <c r="W449" i="4"/>
  <c r="E452" i="4"/>
  <c r="D453" i="4"/>
  <c r="A456" i="4"/>
  <c r="W457" i="4"/>
  <c r="E460" i="4"/>
  <c r="D461" i="4"/>
  <c r="A464" i="4"/>
  <c r="W465" i="4"/>
  <c r="E468" i="4"/>
  <c r="D469" i="4"/>
  <c r="A472" i="4"/>
  <c r="W473" i="4"/>
  <c r="E476" i="4"/>
  <c r="D477" i="4"/>
  <c r="A480" i="4"/>
  <c r="W481" i="4"/>
  <c r="E484" i="4"/>
  <c r="W486" i="4"/>
  <c r="W490" i="4"/>
  <c r="D491" i="4"/>
  <c r="E492" i="4"/>
  <c r="I496" i="4" a="1"/>
  <c r="I496" i="4" s="1"/>
  <c r="A497" i="4"/>
  <c r="E499" i="4"/>
  <c r="W508" i="4"/>
  <c r="W509" i="4"/>
  <c r="W528" i="4"/>
  <c r="A539" i="4"/>
  <c r="W539" i="4"/>
  <c r="E539" i="4"/>
  <c r="D539" i="4"/>
  <c r="E558" i="4"/>
  <c r="E575" i="4"/>
  <c r="E591" i="4"/>
  <c r="W442" i="4"/>
  <c r="W450" i="4"/>
  <c r="W458" i="4"/>
  <c r="W466" i="4"/>
  <c r="W474" i="4"/>
  <c r="W482" i="4"/>
  <c r="W485" i="4"/>
  <c r="A489" i="4"/>
  <c r="E503" i="4"/>
  <c r="E510" i="4"/>
  <c r="D510" i="4"/>
  <c r="A510" i="4"/>
  <c r="W510" i="4"/>
  <c r="E525" i="4"/>
  <c r="A531" i="4"/>
  <c r="W531" i="4"/>
  <c r="D531" i="4"/>
  <c r="E535" i="4"/>
  <c r="D535" i="4"/>
  <c r="W535" i="4"/>
  <c r="E541" i="4"/>
  <c r="N552" i="4"/>
  <c r="M552" i="4"/>
  <c r="W552" i="4" s="1"/>
  <c r="E581" i="4"/>
  <c r="E613" i="4"/>
  <c r="W443" i="4"/>
  <c r="W451" i="4"/>
  <c r="W459" i="4"/>
  <c r="W467" i="4"/>
  <c r="W475" i="4"/>
  <c r="W483" i="4"/>
  <c r="E495" i="4"/>
  <c r="A507" i="4"/>
  <c r="W507" i="4"/>
  <c r="A547" i="4"/>
  <c r="W547" i="4"/>
  <c r="E547" i="4"/>
  <c r="D547" i="4"/>
  <c r="E549" i="4"/>
  <c r="N562" i="4"/>
  <c r="M562" i="4"/>
  <c r="E636" i="4"/>
  <c r="D440" i="4"/>
  <c r="I443" i="4" a="1"/>
  <c r="I443" i="4" s="1"/>
  <c r="D448" i="4"/>
  <c r="I451" i="4" a="1"/>
  <c r="I451" i="4" s="1"/>
  <c r="W452" i="4"/>
  <c r="D456" i="4"/>
  <c r="I459" i="4" a="1"/>
  <c r="I459" i="4" s="1"/>
  <c r="W460" i="4"/>
  <c r="D464" i="4"/>
  <c r="I467" i="4" a="1"/>
  <c r="I467" i="4" s="1"/>
  <c r="W468" i="4"/>
  <c r="D472" i="4"/>
  <c r="I475" i="4" a="1"/>
  <c r="I475" i="4" s="1"/>
  <c r="W476" i="4"/>
  <c r="D480" i="4"/>
  <c r="I483" i="4" a="1"/>
  <c r="I483" i="4" s="1"/>
  <c r="E487" i="4"/>
  <c r="D489" i="4"/>
  <c r="E501" i="4"/>
  <c r="D503" i="4"/>
  <c r="E511" i="4"/>
  <c r="D511" i="4"/>
  <c r="W511" i="4"/>
  <c r="W514" i="4"/>
  <c r="E518" i="4"/>
  <c r="D518" i="4"/>
  <c r="A518" i="4"/>
  <c r="W518" i="4"/>
  <c r="W521" i="4"/>
  <c r="E531" i="4"/>
  <c r="E533" i="4"/>
  <c r="N554" i="4"/>
  <c r="M554" i="4"/>
  <c r="E582" i="4"/>
  <c r="A452" i="4"/>
  <c r="A460" i="4"/>
  <c r="A468" i="4"/>
  <c r="A476" i="4"/>
  <c r="A484" i="4"/>
  <c r="E489" i="4"/>
  <c r="A492" i="4"/>
  <c r="E493" i="4"/>
  <c r="D495" i="4"/>
  <c r="W500" i="4"/>
  <c r="E502" i="4"/>
  <c r="W505" i="4"/>
  <c r="D507" i="4"/>
  <c r="W512" i="4"/>
  <c r="W524" i="4"/>
  <c r="W525" i="4"/>
  <c r="W540" i="4"/>
  <c r="N566" i="4"/>
  <c r="M566" i="4"/>
  <c r="M567" i="4"/>
  <c r="W567" i="4" s="1"/>
  <c r="N567" i="4"/>
  <c r="E573" i="4"/>
  <c r="E583" i="4"/>
  <c r="E598" i="4"/>
  <c r="E485" i="4"/>
  <c r="W497" i="4"/>
  <c r="A499" i="4"/>
  <c r="W504" i="4"/>
  <c r="E509" i="4"/>
  <c r="A515" i="4"/>
  <c r="W515" i="4"/>
  <c r="D515" i="4"/>
  <c r="E519" i="4"/>
  <c r="D519" i="4"/>
  <c r="W519" i="4"/>
  <c r="E526" i="4"/>
  <c r="D526" i="4"/>
  <c r="A526" i="4"/>
  <c r="W526" i="4"/>
  <c r="E542" i="4"/>
  <c r="E543" i="4"/>
  <c r="E551" i="4"/>
  <c r="N558" i="4"/>
  <c r="M558" i="4"/>
  <c r="M559" i="4"/>
  <c r="W559" i="4" s="1"/>
  <c r="N559" i="4"/>
  <c r="E567" i="4"/>
  <c r="E589" i="4"/>
  <c r="E599" i="4"/>
  <c r="E644" i="4"/>
  <c r="W489" i="4"/>
  <c r="A491" i="4"/>
  <c r="W495" i="4"/>
  <c r="W502" i="4"/>
  <c r="W506" i="4"/>
  <c r="W533" i="4"/>
  <c r="E550" i="4"/>
  <c r="W556" i="4"/>
  <c r="E559" i="4"/>
  <c r="E565" i="4"/>
  <c r="N565" i="4"/>
  <c r="M565" i="4"/>
  <c r="W565" i="4" s="1"/>
  <c r="A509" i="4"/>
  <c r="E513" i="4"/>
  <c r="A517" i="4"/>
  <c r="E521" i="4"/>
  <c r="A525" i="4"/>
  <c r="E529" i="4"/>
  <c r="A533" i="4"/>
  <c r="E537" i="4"/>
  <c r="A541" i="4"/>
  <c r="W542" i="4"/>
  <c r="E545" i="4"/>
  <c r="A549" i="4"/>
  <c r="W550" i="4"/>
  <c r="E553" i="4"/>
  <c r="A557" i="4"/>
  <c r="W558" i="4"/>
  <c r="M560" i="4"/>
  <c r="W560" i="4" s="1"/>
  <c r="E561" i="4"/>
  <c r="A565" i="4"/>
  <c r="W566" i="4"/>
  <c r="E569" i="4"/>
  <c r="A573" i="4"/>
  <c r="W574" i="4"/>
  <c r="E577" i="4"/>
  <c r="W582" i="4"/>
  <c r="E585" i="4"/>
  <c r="W590" i="4"/>
  <c r="E593" i="4"/>
  <c r="W598" i="4"/>
  <c r="E601" i="4"/>
  <c r="W604" i="4"/>
  <c r="A623" i="4"/>
  <c r="E623" i="4"/>
  <c r="D628" i="4"/>
  <c r="W628" i="4"/>
  <c r="D631" i="4"/>
  <c r="W633" i="4"/>
  <c r="E637" i="4"/>
  <c r="W641" i="4"/>
  <c r="E667" i="4"/>
  <c r="E668" i="4"/>
  <c r="A542" i="4"/>
  <c r="W543" i="4"/>
  <c r="A550" i="4"/>
  <c r="W551" i="4"/>
  <c r="D555" i="4"/>
  <c r="A558" i="4"/>
  <c r="D563" i="4"/>
  <c r="A566" i="4"/>
  <c r="D571" i="4"/>
  <c r="A574" i="4"/>
  <c r="W575" i="4"/>
  <c r="D579" i="4"/>
  <c r="A582" i="4"/>
  <c r="W583" i="4"/>
  <c r="D587" i="4"/>
  <c r="A590" i="4"/>
  <c r="W591" i="4"/>
  <c r="D595" i="4"/>
  <c r="A598" i="4"/>
  <c r="W599" i="4"/>
  <c r="D603" i="4"/>
  <c r="E607" i="4"/>
  <c r="D611" i="4"/>
  <c r="W613" i="4"/>
  <c r="E616" i="4"/>
  <c r="E617" i="4"/>
  <c r="L618" i="4"/>
  <c r="I622" i="4" a="1"/>
  <c r="I622" i="4" s="1"/>
  <c r="W626" i="4"/>
  <c r="D629" i="4"/>
  <c r="A633" i="4"/>
  <c r="E635" i="4"/>
  <c r="A635" i="4"/>
  <c r="A656" i="4"/>
  <c r="W656" i="4"/>
  <c r="E656" i="4"/>
  <c r="D656" i="4"/>
  <c r="W661" i="4"/>
  <c r="A543" i="4"/>
  <c r="A551" i="4"/>
  <c r="E555" i="4"/>
  <c r="A559" i="4"/>
  <c r="E563" i="4"/>
  <c r="A567" i="4"/>
  <c r="W568" i="4"/>
  <c r="E571" i="4"/>
  <c r="W576" i="4"/>
  <c r="E579" i="4"/>
  <c r="W584" i="4"/>
  <c r="E587" i="4"/>
  <c r="W592" i="4"/>
  <c r="E595" i="4"/>
  <c r="W600" i="4"/>
  <c r="E603" i="4"/>
  <c r="A615" i="4"/>
  <c r="E615" i="4"/>
  <c r="D620" i="4"/>
  <c r="W620" i="4"/>
  <c r="W625" i="4"/>
  <c r="E629" i="4"/>
  <c r="E691" i="4"/>
  <c r="E692" i="4"/>
  <c r="E700" i="4"/>
  <c r="W577" i="4"/>
  <c r="W585" i="4"/>
  <c r="W593" i="4"/>
  <c r="W601" i="4"/>
  <c r="W623" i="4"/>
  <c r="E627" i="4"/>
  <c r="A627" i="4"/>
  <c r="W632" i="4"/>
  <c r="D632" i="4"/>
  <c r="W637" i="4"/>
  <c r="A639" i="4"/>
  <c r="W639" i="4"/>
  <c r="E639" i="4"/>
  <c r="W646" i="4"/>
  <c r="E651" i="4"/>
  <c r="E652" i="4"/>
  <c r="D652" i="4"/>
  <c r="A652" i="4"/>
  <c r="W652" i="4"/>
  <c r="A664" i="4"/>
  <c r="W664" i="4"/>
  <c r="E664" i="4"/>
  <c r="D664" i="4"/>
  <c r="A513" i="4"/>
  <c r="A521" i="4"/>
  <c r="A529" i="4"/>
  <c r="A537" i="4"/>
  <c r="D542" i="4"/>
  <c r="A545" i="4"/>
  <c r="D550" i="4"/>
  <c r="A553" i="4"/>
  <c r="W554" i="4"/>
  <c r="M556" i="4"/>
  <c r="D558" i="4"/>
  <c r="A561" i="4"/>
  <c r="W562" i="4"/>
  <c r="M564" i="4"/>
  <c r="W564" i="4" s="1"/>
  <c r="D566" i="4"/>
  <c r="A569" i="4"/>
  <c r="W570" i="4"/>
  <c r="D574" i="4"/>
  <c r="A577" i="4"/>
  <c r="W578" i="4"/>
  <c r="D582" i="4"/>
  <c r="A585" i="4"/>
  <c r="W586" i="4"/>
  <c r="D590" i="4"/>
  <c r="A593" i="4"/>
  <c r="W594" i="4"/>
  <c r="D598" i="4"/>
  <c r="A601" i="4"/>
  <c r="W602" i="4"/>
  <c r="D612" i="4"/>
  <c r="W612" i="4"/>
  <c r="D615" i="4"/>
  <c r="E620" i="4"/>
  <c r="W630" i="4"/>
  <c r="D633" i="4"/>
  <c r="W635" i="4"/>
  <c r="A637" i="4"/>
  <c r="A647" i="4"/>
  <c r="W647" i="4"/>
  <c r="E647" i="4"/>
  <c r="D647" i="4"/>
  <c r="W665" i="4"/>
  <c r="E683" i="4"/>
  <c r="E684" i="4"/>
  <c r="D543" i="4"/>
  <c r="D551" i="4"/>
  <c r="W555" i="4"/>
  <c r="D559" i="4"/>
  <c r="W563" i="4"/>
  <c r="D567" i="4"/>
  <c r="W571" i="4"/>
  <c r="D575" i="4"/>
  <c r="W579" i="4"/>
  <c r="D583" i="4"/>
  <c r="W587" i="4"/>
  <c r="D591" i="4"/>
  <c r="W595" i="4"/>
  <c r="D599" i="4"/>
  <c r="W603" i="4"/>
  <c r="W615" i="4"/>
  <c r="E619" i="4"/>
  <c r="A619" i="4"/>
  <c r="W624" i="4"/>
  <c r="D624" i="4"/>
  <c r="D627" i="4"/>
  <c r="W629" i="4"/>
  <c r="E632" i="4"/>
  <c r="I638" i="4" a="1"/>
  <c r="I638" i="4" s="1"/>
  <c r="D639" i="4"/>
  <c r="E643" i="4"/>
  <c r="A648" i="4"/>
  <c r="W648" i="4"/>
  <c r="E648" i="4"/>
  <c r="D648" i="4"/>
  <c r="W653" i="4"/>
  <c r="A555" i="4"/>
  <c r="A563" i="4"/>
  <c r="A571" i="4"/>
  <c r="A579" i="4"/>
  <c r="A587" i="4"/>
  <c r="A595" i="4"/>
  <c r="A603" i="4"/>
  <c r="E612" i="4"/>
  <c r="W622" i="4"/>
  <c r="W627" i="4"/>
  <c r="A629" i="4"/>
  <c r="A631" i="4"/>
  <c r="E631" i="4"/>
  <c r="D636" i="4"/>
  <c r="W636" i="4"/>
  <c r="W640" i="4"/>
  <c r="E640" i="4"/>
  <c r="D640" i="4"/>
  <c r="D644" i="4"/>
  <c r="A644" i="4"/>
  <c r="W644" i="4"/>
  <c r="W645" i="4"/>
  <c r="E675" i="4"/>
  <c r="E676" i="4"/>
  <c r="E611" i="4"/>
  <c r="A611" i="4"/>
  <c r="W616" i="4"/>
  <c r="D616" i="4"/>
  <c r="I642" i="4" a="1"/>
  <c r="I642" i="4" s="1"/>
  <c r="E659" i="4"/>
  <c r="E660" i="4"/>
  <c r="W643" i="4"/>
  <c r="I650" i="4" a="1"/>
  <c r="I650" i="4" s="1"/>
  <c r="W651" i="4"/>
  <c r="D655" i="4"/>
  <c r="I658" i="4" a="1"/>
  <c r="I658" i="4" s="1"/>
  <c r="W659" i="4"/>
  <c r="D663" i="4"/>
  <c r="I666" i="4" a="1"/>
  <c r="I666" i="4" s="1"/>
  <c r="W667" i="4"/>
  <c r="D671" i="4"/>
  <c r="I674" i="4" a="1"/>
  <c r="I674" i="4" s="1"/>
  <c r="W675" i="4"/>
  <c r="D679" i="4"/>
  <c r="I682" i="4" a="1"/>
  <c r="I682" i="4" s="1"/>
  <c r="W683" i="4"/>
  <c r="D687" i="4"/>
  <c r="I690" i="4" a="1"/>
  <c r="I690" i="4" s="1"/>
  <c r="W691" i="4"/>
  <c r="D695" i="4"/>
  <c r="W695" i="4"/>
  <c r="D698" i="4"/>
  <c r="W700" i="4"/>
  <c r="E703" i="4"/>
  <c r="I709" i="4" a="1"/>
  <c r="I709" i="4" s="1"/>
  <c r="D716" i="4"/>
  <c r="A722" i="4"/>
  <c r="E722" i="4"/>
  <c r="E750" i="4"/>
  <c r="E751" i="4"/>
  <c r="D751" i="4"/>
  <c r="A751" i="4"/>
  <c r="W751" i="4"/>
  <c r="A643" i="4"/>
  <c r="A651" i="4"/>
  <c r="E655" i="4"/>
  <c r="A659" i="4"/>
  <c r="W660" i="4"/>
  <c r="E663" i="4"/>
  <c r="A667" i="4"/>
  <c r="W668" i="4"/>
  <c r="E671" i="4"/>
  <c r="D672" i="4"/>
  <c r="A675" i="4"/>
  <c r="W676" i="4"/>
  <c r="E679" i="4"/>
  <c r="D680" i="4"/>
  <c r="A683" i="4"/>
  <c r="W684" i="4"/>
  <c r="E687" i="4"/>
  <c r="D688" i="4"/>
  <c r="A691" i="4"/>
  <c r="W692" i="4"/>
  <c r="D696" i="4"/>
  <c r="A700" i="4"/>
  <c r="E702" i="4"/>
  <c r="A702" i="4"/>
  <c r="W707" i="4"/>
  <c r="D707" i="4"/>
  <c r="D710" i="4"/>
  <c r="W712" i="4"/>
  <c r="E715" i="4"/>
  <c r="E716" i="4"/>
  <c r="L717" i="4"/>
  <c r="I721" i="4" a="1"/>
  <c r="I721" i="4" s="1"/>
  <c r="W725" i="4"/>
  <c r="W728" i="4"/>
  <c r="I729" i="4" a="1"/>
  <c r="I729" i="4" s="1"/>
  <c r="E734" i="4"/>
  <c r="E735" i="4"/>
  <c r="D735" i="4"/>
  <c r="A735" i="4"/>
  <c r="W735" i="4"/>
  <c r="E774" i="4"/>
  <c r="E775" i="4"/>
  <c r="N803" i="4"/>
  <c r="M803" i="4"/>
  <c r="N804" i="4"/>
  <c r="M804" i="4"/>
  <c r="A660" i="4"/>
  <c r="A668" i="4"/>
  <c r="E672" i="4"/>
  <c r="A676" i="4"/>
  <c r="E680" i="4"/>
  <c r="A684" i="4"/>
  <c r="E688" i="4"/>
  <c r="A692" i="4"/>
  <c r="E696" i="4"/>
  <c r="W705" i="4"/>
  <c r="A714" i="4"/>
  <c r="E714" i="4"/>
  <c r="D719" i="4"/>
  <c r="W719" i="4"/>
  <c r="A731" i="4"/>
  <c r="W731" i="4"/>
  <c r="D731" i="4"/>
  <c r="W736" i="4"/>
  <c r="A747" i="4"/>
  <c r="W747" i="4"/>
  <c r="E747" i="4"/>
  <c r="D747" i="4"/>
  <c r="E694" i="4"/>
  <c r="A694" i="4"/>
  <c r="W699" i="4"/>
  <c r="D699" i="4"/>
  <c r="W704" i="4"/>
  <c r="W722" i="4"/>
  <c r="E726" i="4"/>
  <c r="A726" i="4"/>
  <c r="E766" i="4"/>
  <c r="E767" i="4"/>
  <c r="D643" i="4"/>
  <c r="I646" i="4" a="1"/>
  <c r="I646" i="4" s="1"/>
  <c r="D651" i="4"/>
  <c r="I654" i="4" a="1"/>
  <c r="I654" i="4" s="1"/>
  <c r="W655" i="4"/>
  <c r="D659" i="4"/>
  <c r="I662" i="4" a="1"/>
  <c r="I662" i="4" s="1"/>
  <c r="W663" i="4"/>
  <c r="D667" i="4"/>
  <c r="I670" i="4" a="1"/>
  <c r="I670" i="4" s="1"/>
  <c r="W671" i="4"/>
  <c r="D675" i="4"/>
  <c r="I678" i="4" a="1"/>
  <c r="I678" i="4" s="1"/>
  <c r="W679" i="4"/>
  <c r="D683" i="4"/>
  <c r="I686" i="4" a="1"/>
  <c r="I686" i="4" s="1"/>
  <c r="W687" i="4"/>
  <c r="D691" i="4"/>
  <c r="D700" i="4"/>
  <c r="A706" i="4"/>
  <c r="E706" i="4"/>
  <c r="D711" i="4"/>
  <c r="W711" i="4"/>
  <c r="D714" i="4"/>
  <c r="W716" i="4"/>
  <c r="E719" i="4"/>
  <c r="I730" i="4" a="1"/>
  <c r="I730" i="4" s="1"/>
  <c r="W730" i="4"/>
  <c r="E731" i="4"/>
  <c r="E742" i="4"/>
  <c r="E743" i="4"/>
  <c r="D743" i="4"/>
  <c r="A743" i="4"/>
  <c r="W743" i="4"/>
  <c r="A655" i="4"/>
  <c r="D660" i="4"/>
  <c r="A663" i="4"/>
  <c r="D668" i="4"/>
  <c r="A671" i="4"/>
  <c r="W672" i="4"/>
  <c r="D676" i="4"/>
  <c r="A679" i="4"/>
  <c r="W680" i="4"/>
  <c r="D684" i="4"/>
  <c r="A687" i="4"/>
  <c r="W688" i="4"/>
  <c r="D692" i="4"/>
  <c r="D694" i="4"/>
  <c r="W696" i="4"/>
  <c r="E699" i="4"/>
  <c r="W709" i="4"/>
  <c r="W714" i="4"/>
  <c r="A716" i="4"/>
  <c r="E718" i="4"/>
  <c r="A718" i="4"/>
  <c r="W723" i="4"/>
  <c r="D723" i="4"/>
  <c r="D726" i="4"/>
  <c r="W726" i="4"/>
  <c r="A672" i="4"/>
  <c r="A680" i="4"/>
  <c r="A688" i="4"/>
  <c r="W694" i="4"/>
  <c r="A696" i="4"/>
  <c r="A698" i="4"/>
  <c r="E698" i="4"/>
  <c r="D703" i="4"/>
  <c r="W703" i="4"/>
  <c r="W721" i="4"/>
  <c r="W744" i="4"/>
  <c r="E710" i="4"/>
  <c r="A710" i="4"/>
  <c r="W715" i="4"/>
  <c r="D715" i="4"/>
  <c r="E727" i="4"/>
  <c r="D727" i="4"/>
  <c r="W727" i="4"/>
  <c r="A739" i="4"/>
  <c r="W739" i="4"/>
  <c r="E739" i="4"/>
  <c r="D739" i="4"/>
  <c r="E758" i="4"/>
  <c r="E759" i="4"/>
  <c r="N761" i="4"/>
  <c r="M761" i="4"/>
  <c r="W761" i="4" s="1"/>
  <c r="E782" i="4"/>
  <c r="E783" i="4"/>
  <c r="W734" i="4"/>
  <c r="I741" i="4" a="1"/>
  <c r="I741" i="4" s="1"/>
  <c r="W742" i="4"/>
  <c r="D746" i="4"/>
  <c r="I749" i="4" a="1"/>
  <c r="I749" i="4" s="1"/>
  <c r="W750" i="4"/>
  <c r="D754" i="4"/>
  <c r="I757" i="4" a="1"/>
  <c r="I757" i="4" s="1"/>
  <c r="W758" i="4"/>
  <c r="D762" i="4"/>
  <c r="I765" i="4" a="1"/>
  <c r="I765" i="4" s="1"/>
  <c r="W766" i="4"/>
  <c r="D770" i="4"/>
  <c r="I773" i="4" a="1"/>
  <c r="I773" i="4" s="1"/>
  <c r="W774" i="4"/>
  <c r="D778" i="4"/>
  <c r="I781" i="4" a="1"/>
  <c r="I781" i="4" s="1"/>
  <c r="W782" i="4"/>
  <c r="D786" i="4"/>
  <c r="I789" i="4" a="1"/>
  <c r="I789" i="4" s="1"/>
  <c r="I793" i="4" a="1"/>
  <c r="I793" i="4" s="1"/>
  <c r="A794" i="4"/>
  <c r="E798" i="4"/>
  <c r="D803" i="4"/>
  <c r="D804" i="4"/>
  <c r="I814" i="4" a="1"/>
  <c r="I814" i="4" s="1"/>
  <c r="D820" i="4"/>
  <c r="W820" i="4"/>
  <c r="I830" i="4" a="1"/>
  <c r="I830" i="4" s="1"/>
  <c r="W830" i="4"/>
  <c r="W832" i="4"/>
  <c r="E864" i="4"/>
  <c r="E730" i="4"/>
  <c r="A734" i="4"/>
  <c r="E738" i="4"/>
  <c r="A742" i="4"/>
  <c r="E746" i="4"/>
  <c r="A750" i="4"/>
  <c r="E754" i="4"/>
  <c r="D755" i="4"/>
  <c r="A758" i="4"/>
  <c r="W759" i="4"/>
  <c r="E762" i="4"/>
  <c r="D763" i="4"/>
  <c r="A766" i="4"/>
  <c r="W767" i="4"/>
  <c r="E770" i="4"/>
  <c r="D771" i="4"/>
  <c r="A774" i="4"/>
  <c r="W775" i="4"/>
  <c r="E778" i="4"/>
  <c r="D779" i="4"/>
  <c r="A782" i="4"/>
  <c r="W783" i="4"/>
  <c r="E786" i="4"/>
  <c r="D787" i="4"/>
  <c r="E790" i="4"/>
  <c r="D795" i="4"/>
  <c r="D796" i="4"/>
  <c r="E799" i="4"/>
  <c r="D800" i="4"/>
  <c r="D802" i="4"/>
  <c r="E803" i="4"/>
  <c r="E804" i="4"/>
  <c r="A807" i="4"/>
  <c r="E807" i="4"/>
  <c r="D807" i="4"/>
  <c r="A813" i="4"/>
  <c r="L818" i="4"/>
  <c r="D821" i="4"/>
  <c r="A823" i="4"/>
  <c r="W823" i="4"/>
  <c r="E823" i="4"/>
  <c r="D823" i="4"/>
  <c r="E828" i="4"/>
  <c r="E843" i="4"/>
  <c r="E854" i="4"/>
  <c r="E755" i="4"/>
  <c r="A759" i="4"/>
  <c r="E763" i="4"/>
  <c r="A767" i="4"/>
  <c r="E771" i="4"/>
  <c r="A775" i="4"/>
  <c r="E779" i="4"/>
  <c r="A783" i="4"/>
  <c r="E787" i="4"/>
  <c r="E795" i="4"/>
  <c r="E796" i="4"/>
  <c r="E800" i="4"/>
  <c r="E802" i="4"/>
  <c r="E814" i="4"/>
  <c r="W816" i="4"/>
  <c r="D816" i="4"/>
  <c r="W833" i="4"/>
  <c r="W807" i="4"/>
  <c r="D812" i="4"/>
  <c r="W812" i="4"/>
  <c r="I822" i="4" a="1"/>
  <c r="I822" i="4" s="1"/>
  <c r="W826" i="4"/>
  <c r="E846" i="4"/>
  <c r="D734" i="4"/>
  <c r="I737" i="4" a="1"/>
  <c r="I737" i="4" s="1"/>
  <c r="W738" i="4"/>
  <c r="D742" i="4"/>
  <c r="I745" i="4" a="1"/>
  <c r="I745" i="4" s="1"/>
  <c r="W746" i="4"/>
  <c r="D750" i="4"/>
  <c r="I753" i="4" a="1"/>
  <c r="I753" i="4" s="1"/>
  <c r="W754" i="4"/>
  <c r="D758" i="4"/>
  <c r="I761" i="4" a="1"/>
  <c r="I761" i="4" s="1"/>
  <c r="W762" i="4"/>
  <c r="D766" i="4"/>
  <c r="I769" i="4" a="1"/>
  <c r="I769" i="4" s="1"/>
  <c r="W770" i="4"/>
  <c r="D774" i="4"/>
  <c r="I777" i="4" a="1"/>
  <c r="I777" i="4" s="1"/>
  <c r="W778" i="4"/>
  <c r="D782" i="4"/>
  <c r="I785" i="4" a="1"/>
  <c r="I785" i="4" s="1"/>
  <c r="W786" i="4"/>
  <c r="W799" i="4"/>
  <c r="L810" i="4"/>
  <c r="D813" i="4"/>
  <c r="W814" i="4"/>
  <c r="E816" i="4"/>
  <c r="E819" i="4"/>
  <c r="A819" i="4"/>
  <c r="W819" i="4"/>
  <c r="W821" i="4"/>
  <c r="W824" i="4"/>
  <c r="D824" i="4"/>
  <c r="E827" i="4"/>
  <c r="D827" i="4"/>
  <c r="A827" i="4"/>
  <c r="W827" i="4"/>
  <c r="E830" i="4"/>
  <c r="E835" i="4"/>
  <c r="D835" i="4"/>
  <c r="A835" i="4"/>
  <c r="W835" i="4"/>
  <c r="A730" i="4"/>
  <c r="A738" i="4"/>
  <c r="A746" i="4"/>
  <c r="A754" i="4"/>
  <c r="W755" i="4"/>
  <c r="D759" i="4"/>
  <c r="A762" i="4"/>
  <c r="W763" i="4"/>
  <c r="D767" i="4"/>
  <c r="A770" i="4"/>
  <c r="W771" i="4"/>
  <c r="D775" i="4"/>
  <c r="A778" i="4"/>
  <c r="W779" i="4"/>
  <c r="D783" i="4"/>
  <c r="A786" i="4"/>
  <c r="W787" i="4"/>
  <c r="W790" i="4"/>
  <c r="W791" i="4"/>
  <c r="W794" i="4"/>
  <c r="W796" i="4"/>
  <c r="W800" i="4"/>
  <c r="E806" i="4"/>
  <c r="W808" i="4"/>
  <c r="D808" i="4"/>
  <c r="E812" i="4"/>
  <c r="E813" i="4"/>
  <c r="A831" i="4"/>
  <c r="W831" i="4"/>
  <c r="E831" i="4"/>
  <c r="D831" i="4"/>
  <c r="E838" i="4"/>
  <c r="E859" i="4"/>
  <c r="A755" i="4"/>
  <c r="A763" i="4"/>
  <c r="A771" i="4"/>
  <c r="A779" i="4"/>
  <c r="A787" i="4"/>
  <c r="A795" i="4"/>
  <c r="A796" i="4"/>
  <c r="A799" i="4"/>
  <c r="A800" i="4"/>
  <c r="W803" i="4"/>
  <c r="W804" i="4"/>
  <c r="A815" i="4"/>
  <c r="E815" i="4"/>
  <c r="D815" i="4"/>
  <c r="A802" i="4"/>
  <c r="E811" i="4"/>
  <c r="A811" i="4"/>
  <c r="W811" i="4"/>
  <c r="E822" i="4"/>
  <c r="D828" i="4"/>
  <c r="W828" i="4"/>
  <c r="E851" i="4"/>
  <c r="E862" i="4"/>
  <c r="A810" i="4"/>
  <c r="A818" i="4"/>
  <c r="A826" i="4"/>
  <c r="A834" i="4"/>
  <c r="I834" i="4" a="1"/>
  <c r="I834" i="4" s="1"/>
  <c r="M837" i="4"/>
  <c r="W837" i="4" s="1"/>
  <c r="D839" i="4"/>
  <c r="A842" i="4"/>
  <c r="I842" i="4" a="1"/>
  <c r="I842" i="4" s="1"/>
  <c r="W843" i="4"/>
  <c r="D847" i="4"/>
  <c r="A850" i="4"/>
  <c r="I850" i="4" a="1"/>
  <c r="I850" i="4" s="1"/>
  <c r="W851" i="4"/>
  <c r="D855" i="4"/>
  <c r="A858" i="4"/>
  <c r="I858" i="4" a="1"/>
  <c r="I858" i="4" s="1"/>
  <c r="W859" i="4"/>
  <c r="D863" i="4"/>
  <c r="E875" i="4"/>
  <c r="W876" i="4"/>
  <c r="I877" i="4" a="1"/>
  <c r="I877" i="4" s="1"/>
  <c r="E890" i="4"/>
  <c r="W892" i="4"/>
  <c r="E897" i="4"/>
  <c r="D897" i="4"/>
  <c r="A897" i="4"/>
  <c r="W897" i="4"/>
  <c r="W913" i="4"/>
  <c r="I925" i="4" a="1"/>
  <c r="I925" i="4" s="1"/>
  <c r="W929" i="4"/>
  <c r="D832" i="4"/>
  <c r="W836" i="4"/>
  <c r="E839" i="4"/>
  <c r="D840" i="4"/>
  <c r="A843" i="4"/>
  <c r="W844" i="4"/>
  <c r="E847" i="4"/>
  <c r="D848" i="4"/>
  <c r="A851" i="4"/>
  <c r="W852" i="4"/>
  <c r="E855" i="4"/>
  <c r="D856" i="4"/>
  <c r="A859" i="4"/>
  <c r="W860" i="4"/>
  <c r="E863" i="4"/>
  <c r="W867" i="4"/>
  <c r="W874" i="4"/>
  <c r="W880" i="4"/>
  <c r="I880" i="4" a="1"/>
  <c r="I880" i="4" s="1"/>
  <c r="A893" i="4"/>
  <c r="W893" i="4"/>
  <c r="E893" i="4"/>
  <c r="D893" i="4"/>
  <c r="E899" i="4"/>
  <c r="I907" i="4" a="1"/>
  <c r="I907" i="4" s="1"/>
  <c r="W907" i="4"/>
  <c r="W845" i="4"/>
  <c r="W853" i="4"/>
  <c r="W861" i="4"/>
  <c r="W864" i="4"/>
  <c r="E869" i="4"/>
  <c r="D869" i="4"/>
  <c r="W885" i="4"/>
  <c r="E885" i="4"/>
  <c r="D885" i="4"/>
  <c r="E912" i="4"/>
  <c r="W912" i="4"/>
  <c r="A912" i="4"/>
  <c r="D912" i="4"/>
  <c r="E923" i="4"/>
  <c r="W838" i="4"/>
  <c r="W846" i="4"/>
  <c r="W854" i="4"/>
  <c r="W862" i="4"/>
  <c r="W863" i="4"/>
  <c r="A873" i="4"/>
  <c r="W873" i="4"/>
  <c r="D874" i="4"/>
  <c r="E877" i="4"/>
  <c r="D877" i="4"/>
  <c r="E883" i="4"/>
  <c r="E889" i="4"/>
  <c r="D889" i="4"/>
  <c r="A889" i="4"/>
  <c r="W889" i="4"/>
  <c r="W896" i="4"/>
  <c r="I896" i="4" a="1"/>
  <c r="I896" i="4" s="1"/>
  <c r="D898" i="4"/>
  <c r="W898" i="4"/>
  <c r="W902" i="4"/>
  <c r="L902" i="4"/>
  <c r="I838" i="4" a="1"/>
  <c r="I838" i="4" s="1"/>
  <c r="W839" i="4"/>
  <c r="D843" i="4"/>
  <c r="I846" i="4" a="1"/>
  <c r="I846" i="4" s="1"/>
  <c r="W847" i="4"/>
  <c r="D851" i="4"/>
  <c r="I854" i="4" a="1"/>
  <c r="I854" i="4" s="1"/>
  <c r="W855" i="4"/>
  <c r="D859" i="4"/>
  <c r="I862" i="4" a="1"/>
  <c r="I862" i="4" s="1"/>
  <c r="W865" i="4"/>
  <c r="W866" i="4"/>
  <c r="E868" i="4"/>
  <c r="W872" i="4"/>
  <c r="I872" i="4" a="1"/>
  <c r="I872" i="4" s="1"/>
  <c r="E874" i="4"/>
  <c r="L874" i="4"/>
  <c r="W879" i="4"/>
  <c r="W882" i="4"/>
  <c r="E891" i="4"/>
  <c r="D921" i="4"/>
  <c r="W921" i="4"/>
  <c r="E921" i="4"/>
  <c r="A921" i="4"/>
  <c r="A839" i="4"/>
  <c r="A847" i="4"/>
  <c r="A855" i="4"/>
  <c r="A864" i="4"/>
  <c r="W869" i="4"/>
  <c r="D873" i="4"/>
  <c r="W883" i="4"/>
  <c r="E898" i="4"/>
  <c r="I906" i="4" a="1"/>
  <c r="I906" i="4" s="1"/>
  <c r="W906" i="4"/>
  <c r="A930" i="4"/>
  <c r="E930" i="4"/>
  <c r="D930" i="4"/>
  <c r="W933" i="4"/>
  <c r="A933" i="4"/>
  <c r="E933" i="4"/>
  <c r="D933" i="4"/>
  <c r="E936" i="4"/>
  <c r="W936" i="4"/>
  <c r="A936" i="4"/>
  <c r="D936" i="4"/>
  <c r="W841" i="4"/>
  <c r="W849" i="4"/>
  <c r="W857" i="4"/>
  <c r="D876" i="4"/>
  <c r="E876" i="4"/>
  <c r="W877" i="4"/>
  <c r="W888" i="4"/>
  <c r="I888" i="4" a="1"/>
  <c r="I888" i="4" s="1"/>
  <c r="D890" i="4"/>
  <c r="W890" i="4"/>
  <c r="A903" i="4"/>
  <c r="W903" i="4"/>
  <c r="E903" i="4"/>
  <c r="D903" i="4"/>
  <c r="W922" i="4"/>
  <c r="E922" i="4"/>
  <c r="D922" i="4"/>
  <c r="A922" i="4"/>
  <c r="W923" i="4"/>
  <c r="I923" i="4" a="1"/>
  <c r="I923" i="4" s="1"/>
  <c r="E928" i="4"/>
  <c r="W928" i="4"/>
  <c r="D928" i="4"/>
  <c r="A928" i="4"/>
  <c r="E939" i="4"/>
  <c r="D881" i="4"/>
  <c r="A881" i="4"/>
  <c r="W881" i="4"/>
  <c r="D884" i="4"/>
  <c r="A884" i="4"/>
  <c r="E884" i="4"/>
  <c r="I900" i="4" a="1"/>
  <c r="I900" i="4" s="1"/>
  <c r="W900" i="4"/>
  <c r="I901" i="4" a="1"/>
  <c r="I901" i="4" s="1"/>
  <c r="E904" i="4"/>
  <c r="A904" i="4"/>
  <c r="D904" i="4"/>
  <c r="W904" i="4"/>
  <c r="A919" i="4"/>
  <c r="E919" i="4"/>
  <c r="D919" i="4"/>
  <c r="W919" i="4"/>
  <c r="A872" i="4"/>
  <c r="A880" i="4"/>
  <c r="A888" i="4"/>
  <c r="E892" i="4"/>
  <c r="A896" i="4"/>
  <c r="E900" i="4"/>
  <c r="E901" i="4"/>
  <c r="E902" i="4"/>
  <c r="E906" i="4"/>
  <c r="A911" i="4"/>
  <c r="E925" i="4"/>
  <c r="W931" i="4"/>
  <c r="A932" i="4"/>
  <c r="D932" i="4"/>
  <c r="A940" i="4"/>
  <c r="W940" i="4"/>
  <c r="D940" i="4"/>
  <c r="W951" i="4"/>
  <c r="E951" i="4"/>
  <c r="D951" i="4"/>
  <c r="A951" i="4"/>
  <c r="W957" i="4"/>
  <c r="W969" i="4"/>
  <c r="N970" i="4"/>
  <c r="M970" i="4"/>
  <c r="W970" i="4" s="1"/>
  <c r="W909" i="4"/>
  <c r="A916" i="4"/>
  <c r="D916" i="4"/>
  <c r="W934" i="4"/>
  <c r="E938" i="4"/>
  <c r="A938" i="4"/>
  <c r="E944" i="4"/>
  <c r="D944" i="4"/>
  <c r="W944" i="4"/>
  <c r="W945" i="4"/>
  <c r="A948" i="4"/>
  <c r="W948" i="4"/>
  <c r="D948" i="4"/>
  <c r="E955" i="4"/>
  <c r="N966" i="4"/>
  <c r="M966" i="4"/>
  <c r="W966" i="4" s="1"/>
  <c r="E970" i="4"/>
  <c r="W935" i="4"/>
  <c r="D935" i="4"/>
  <c r="A935" i="4"/>
  <c r="I939" i="4" a="1"/>
  <c r="I939" i="4" s="1"/>
  <c r="W939" i="4"/>
  <c r="E952" i="4"/>
  <c r="D952" i="4"/>
  <c r="W952" i="4"/>
  <c r="W959" i="4"/>
  <c r="E959" i="4"/>
  <c r="D959" i="4"/>
  <c r="A959" i="4"/>
  <c r="A908" i="4"/>
  <c r="D908" i="4"/>
  <c r="W924" i="4"/>
  <c r="E946" i="4"/>
  <c r="I947" i="4" a="1"/>
  <c r="I947" i="4" s="1"/>
  <c r="W947" i="4"/>
  <c r="W953" i="4"/>
  <c r="A956" i="4"/>
  <c r="W956" i="4"/>
  <c r="D956" i="4"/>
  <c r="W967" i="4"/>
  <c r="E967" i="4"/>
  <c r="D967" i="4"/>
  <c r="A967" i="4"/>
  <c r="A892" i="4"/>
  <c r="A902" i="4"/>
  <c r="A905" i="4"/>
  <c r="A906" i="4"/>
  <c r="E909" i="4"/>
  <c r="W911" i="4"/>
  <c r="E915" i="4"/>
  <c r="E920" i="4"/>
  <c r="W920" i="4"/>
  <c r="A927" i="4"/>
  <c r="E931" i="4"/>
  <c r="W932" i="4"/>
  <c r="E935" i="4"/>
  <c r="W938" i="4"/>
  <c r="L950" i="4"/>
  <c r="E960" i="4"/>
  <c r="D960" i="4"/>
  <c r="W960" i="4"/>
  <c r="I962" i="4" a="1"/>
  <c r="I962" i="4" s="1"/>
  <c r="E968" i="4"/>
  <c r="D968" i="4"/>
  <c r="W968" i="4"/>
  <c r="W901" i="4"/>
  <c r="E908" i="4"/>
  <c r="W916" i="4"/>
  <c r="W925" i="4"/>
  <c r="L937" i="4"/>
  <c r="W941" i="4"/>
  <c r="I955" i="4" a="1"/>
  <c r="I955" i="4" s="1"/>
  <c r="W955" i="4"/>
  <c r="E956" i="4"/>
  <c r="A964" i="4"/>
  <c r="W964" i="4"/>
  <c r="D964" i="4"/>
  <c r="L958" i="4"/>
  <c r="N971" i="4"/>
  <c r="M971" i="4"/>
  <c r="N972" i="4"/>
  <c r="M972" i="4"/>
  <c r="D900" i="4"/>
  <c r="D901" i="4"/>
  <c r="E905" i="4"/>
  <c r="W908" i="4"/>
  <c r="W915" i="4"/>
  <c r="W917" i="4"/>
  <c r="A924" i="4"/>
  <c r="D924" i="4"/>
  <c r="D925" i="4"/>
  <c r="W943" i="4"/>
  <c r="E943" i="4"/>
  <c r="D943" i="4"/>
  <c r="A943" i="4"/>
  <c r="E947" i="4"/>
  <c r="W950" i="4"/>
  <c r="W954" i="4"/>
  <c r="I963" i="4" a="1"/>
  <c r="I963" i="4" s="1"/>
  <c r="W963" i="4"/>
  <c r="E964" i="4"/>
  <c r="N974" i="4"/>
  <c r="M974" i="4"/>
  <c r="W974" i="4" s="1"/>
  <c r="E963" i="4"/>
  <c r="N969" i="4"/>
  <c r="E971" i="4"/>
  <c r="D972" i="4"/>
  <c r="E972" i="4"/>
  <c r="A946" i="4"/>
  <c r="A954" i="4"/>
  <c r="W971" i="4"/>
  <c r="M973" i="4"/>
  <c r="W973" i="4" s="1"/>
  <c r="E974" i="4"/>
  <c r="A963" i="4"/>
  <c r="A971" i="4"/>
  <c r="W972" i="4"/>
  <c r="A972" i="4"/>
  <c r="A974" i="4"/>
  <c r="L2" i="4"/>
  <c r="C20" i="2"/>
  <c r="D23" i="2"/>
  <c r="C25" i="2"/>
  <c r="C17" i="2"/>
  <c r="C22" i="2"/>
  <c r="C27" i="2"/>
  <c r="C18" i="2"/>
  <c r="C2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PIYAPONG THONGSAN</author>
  </authors>
  <commentList>
    <comment ref="B10" authorId="0" shapeId="0" xr:uid="{EEDE3006-76DE-4597-B941-8B7804D9BA34}">
      <text>
        <r>
          <rPr>
            <b/>
            <sz val="9"/>
            <color indexed="81"/>
            <rFont val="Tahoma"/>
            <charset val="1"/>
          </rPr>
          <t>PIYAPONG THONGSAN:</t>
        </r>
        <r>
          <rPr>
            <sz val="9"/>
            <color indexed="81"/>
            <rFont val="Tahoma"/>
            <charset val="1"/>
          </rPr>
          <t xml:space="preserve">
ได้จากการสแกนข้อความทุกเซลล์ทุกแถวด้วยสคริปต์ (regex ช่วง U+0E00-U+0E7F) — ไม่มีสูตร Excel ที่คำนวณค่านี้ได้โดยตรง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4D2784-3A0C-469D-8D77-054059B89A8A}" odcFile="C:\Users\N702996\Downloads\query (2).iqy" keepAlive="1" name="query (2)" type="5" refreshedVersion="8" minRefreshableVersion="3" saveData="1">
    <dbPr connection="Provider=Microsoft.Office.List.OLEDB.2.0;Data Source=&quot;&quot;;ApplicationName=Excel;Version=12.0.0.0" command="&lt;LIST&gt;&lt;VIEWGUID&gt;288FAF5F-F000-4C36-A492-004745D9219E&lt;/VIEWGUID&gt;&lt;LISTNAME&gt;316dabb0-030b-4a8e-a4c9-9986c2495411&lt;/LISTNAME&gt;&lt;LISTWEB&gt;https://nskcom.sharepoint.com/sites/ao-nbmt-portal_classic/en-mt/_vti_bin&lt;/LISTWEB&gt;&lt;LISTSUBWEB&gt;&lt;/LISTSUBWEB&gt;&lt;ROOTFOLDER&gt;&lt;/ROOTFOLDER&gt;&lt;/LIST&gt;" commandType="5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<sst xmlns="http://schemas.openxmlformats.org/spreadsheetml/2006/main" count="11572" uniqueCount="2869">
  <si>
    <t>No</t>
  </si>
  <si>
    <t>Path</t>
  </si>
  <si>
    <t>Item Type</t>
  </si>
  <si>
    <t>QR_Code_List</t>
  </si>
  <si>
    <t>Location_List</t>
  </si>
  <si>
    <t>Department_List</t>
  </si>
  <si>
    <t>Name_List</t>
  </si>
  <si>
    <t>Remark_List</t>
  </si>
  <si>
    <t>Section</t>
  </si>
  <si>
    <t>Name_Machine_Production</t>
  </si>
  <si>
    <t>RESPONSIBLE</t>
  </si>
  <si>
    <t>Status</t>
  </si>
  <si>
    <t>Cost_Center</t>
  </si>
  <si>
    <t>1</t>
  </si>
  <si>
    <t>sites/ao-nbmt-portal_classic/en-mt/Lists/PM_Machine_List</t>
  </si>
  <si>
    <t>Item</t>
  </si>
  <si>
    <t>AS-955</t>
  </si>
  <si>
    <t>FACTORY3</t>
  </si>
  <si>
    <t>KWD5</t>
  </si>
  <si>
    <t>Assembly</t>
  </si>
  <si>
    <t>Auto bush press machine</t>
  </si>
  <si>
    <t>KWD</t>
  </si>
  <si>
    <t>Auto bush press</t>
  </si>
  <si>
    <t>1016-KW5AI</t>
  </si>
  <si>
    <t>2</t>
  </si>
  <si>
    <t>AS-962</t>
  </si>
  <si>
    <t>KWD7</t>
  </si>
  <si>
    <t>1025-KW7AI</t>
  </si>
  <si>
    <t>3</t>
  </si>
  <si>
    <t>AS-909</t>
  </si>
  <si>
    <t>KWD4</t>
  </si>
  <si>
    <t>Automatic assembly machine</t>
  </si>
  <si>
    <t>Automatic assembly</t>
  </si>
  <si>
    <t>1013-KW4AI</t>
  </si>
  <si>
    <t>4</t>
  </si>
  <si>
    <t>AS-956</t>
  </si>
  <si>
    <t>KWD1</t>
  </si>
  <si>
    <t>1004-KW1AI</t>
  </si>
  <si>
    <t>5</t>
  </si>
  <si>
    <t>AS-924</t>
  </si>
  <si>
    <t>6</t>
  </si>
  <si>
    <t>AS-700</t>
  </si>
  <si>
    <t>KWD6</t>
  </si>
  <si>
    <t>1019-KW6AI</t>
  </si>
  <si>
    <t>7</t>
  </si>
  <si>
    <t>AS-833</t>
  </si>
  <si>
    <t>8</t>
  </si>
  <si>
    <t>AS-950</t>
  </si>
  <si>
    <t>KWD3</t>
  </si>
  <si>
    <t>1010-KW3AI</t>
  </si>
  <si>
    <t>9</t>
  </si>
  <si>
    <t>AS-949</t>
  </si>
  <si>
    <t>KWD2</t>
  </si>
  <si>
    <t>1007-KW2AI</t>
  </si>
  <si>
    <t>10</t>
  </si>
  <si>
    <t>CH-014</t>
  </si>
  <si>
    <t>Check</t>
  </si>
  <si>
    <t>Automation vibration testing machine</t>
  </si>
  <si>
    <t>Noise inspection auto</t>
  </si>
  <si>
    <t>11</t>
  </si>
  <si>
    <t>CH-263</t>
  </si>
  <si>
    <t>12</t>
  </si>
  <si>
    <t>CH-349</t>
  </si>
  <si>
    <t>13</t>
  </si>
  <si>
    <t>CH-471</t>
  </si>
  <si>
    <t>14</t>
  </si>
  <si>
    <t>CH-587</t>
  </si>
  <si>
    <t>15</t>
  </si>
  <si>
    <t>CH-711</t>
  </si>
  <si>
    <t>16</t>
  </si>
  <si>
    <t>CH-836</t>
  </si>
  <si>
    <t>17</t>
  </si>
  <si>
    <t>CH-022</t>
  </si>
  <si>
    <t>Axial clearance inspection machine</t>
  </si>
  <si>
    <t>Axial clearance auto</t>
  </si>
  <si>
    <t>18</t>
  </si>
  <si>
    <t>CH-271</t>
  </si>
  <si>
    <t>19</t>
  </si>
  <si>
    <t>CH-357</t>
  </si>
  <si>
    <t>20</t>
  </si>
  <si>
    <t>CH-479</t>
  </si>
  <si>
    <t>21</t>
  </si>
  <si>
    <t>CH-596</t>
  </si>
  <si>
    <t>22</t>
  </si>
  <si>
    <t>CH-705</t>
  </si>
  <si>
    <t>23</t>
  </si>
  <si>
    <t>CH-844</t>
  </si>
  <si>
    <t>24</t>
  </si>
  <si>
    <t>CH-274</t>
  </si>
  <si>
    <t>Encoder  seal  inspection  equipment</t>
  </si>
  <si>
    <t>Seal encoder height checking</t>
  </si>
  <si>
    <t>25</t>
  </si>
  <si>
    <t>CH-923</t>
  </si>
  <si>
    <t>26</t>
  </si>
  <si>
    <t>CH-849</t>
  </si>
  <si>
    <t>Encorder Seal Checker With Standard</t>
  </si>
  <si>
    <t>27</t>
  </si>
  <si>
    <t>WA-013</t>
  </si>
  <si>
    <t>Other (อื่นๆ)</t>
  </si>
  <si>
    <t>Finish wash equipment</t>
  </si>
  <si>
    <t>28</t>
  </si>
  <si>
    <t>WA-262</t>
  </si>
  <si>
    <t>29</t>
  </si>
  <si>
    <t>WA-348</t>
  </si>
  <si>
    <t>30</t>
  </si>
  <si>
    <t>WA-470</t>
  </si>
  <si>
    <t>31</t>
  </si>
  <si>
    <t>WA-586</t>
  </si>
  <si>
    <t>32</t>
  </si>
  <si>
    <t>WA-702</t>
  </si>
  <si>
    <t>33</t>
  </si>
  <si>
    <t>WA-835</t>
  </si>
  <si>
    <t>34</t>
  </si>
  <si>
    <t>AS-272</t>
  </si>
  <si>
    <t>Grease injection machine</t>
  </si>
  <si>
    <t>Grease Injection</t>
  </si>
  <si>
    <t>35</t>
  </si>
  <si>
    <t>AS-023</t>
  </si>
  <si>
    <t>36</t>
  </si>
  <si>
    <t>AS-358</t>
  </si>
  <si>
    <t>37</t>
  </si>
  <si>
    <t>AS-480</t>
  </si>
  <si>
    <t>38</t>
  </si>
  <si>
    <t>AS-597</t>
  </si>
  <si>
    <t>39</t>
  </si>
  <si>
    <t>AS-706</t>
  </si>
  <si>
    <t>40</t>
  </si>
  <si>
    <t>AS-845</t>
  </si>
  <si>
    <t>41</t>
  </si>
  <si>
    <t>SU-650</t>
  </si>
  <si>
    <t>Inner ring auto supply part machine</t>
  </si>
  <si>
    <t>B - Auto supply part</t>
  </si>
  <si>
    <t>Grinding 2</t>
  </si>
  <si>
    <t>1012-KW4G</t>
  </si>
  <si>
    <t>42</t>
  </si>
  <si>
    <t>SU-576</t>
  </si>
  <si>
    <t>1015-KW5G</t>
  </si>
  <si>
    <t>43</t>
  </si>
  <si>
    <t>SU-714</t>
  </si>
  <si>
    <t xml:space="preserve">1018-KW6G
</t>
  </si>
  <si>
    <t>44</t>
  </si>
  <si>
    <t>SU-853</t>
  </si>
  <si>
    <t>1024-KW7G</t>
  </si>
  <si>
    <t>45</t>
  </si>
  <si>
    <t>GR-004</t>
  </si>
  <si>
    <t>Gridling</t>
  </si>
  <si>
    <t>Inner ring bore grinding machine</t>
  </si>
  <si>
    <t>B - Bore grinding</t>
  </si>
  <si>
    <t>1003-KW1G</t>
  </si>
  <si>
    <t>46</t>
  </si>
  <si>
    <t>GR-254</t>
  </si>
  <si>
    <t>1006-KW2G</t>
  </si>
  <si>
    <t>47</t>
  </si>
  <si>
    <t>GR-462</t>
  </si>
  <si>
    <t>48</t>
  </si>
  <si>
    <t>GR-579</t>
  </si>
  <si>
    <t>49</t>
  </si>
  <si>
    <t>GR-691</t>
  </si>
  <si>
    <t>50</t>
  </si>
  <si>
    <t>GR-828</t>
  </si>
  <si>
    <t>51</t>
  </si>
  <si>
    <t>GR-340</t>
  </si>
  <si>
    <t>1009-KW3G</t>
  </si>
  <si>
    <t>52</t>
  </si>
  <si>
    <t>DE-343</t>
  </si>
  <si>
    <t>Demagnetizing Machine</t>
  </si>
  <si>
    <t>Inner ring demagnetizing machine</t>
  </si>
  <si>
    <t>B - Demagnetizing</t>
  </si>
  <si>
    <t>53</t>
  </si>
  <si>
    <t>DE-005</t>
  </si>
  <si>
    <t>54</t>
  </si>
  <si>
    <t>DE-256</t>
  </si>
  <si>
    <t>55</t>
  </si>
  <si>
    <t>DE-465</t>
  </si>
  <si>
    <t>56</t>
  </si>
  <si>
    <t>DE-580</t>
  </si>
  <si>
    <t>57</t>
  </si>
  <si>
    <t>DE-692</t>
  </si>
  <si>
    <t>58</t>
  </si>
  <si>
    <t>DE-829</t>
  </si>
  <si>
    <t>59</t>
  </si>
  <si>
    <t>GR-342</t>
  </si>
  <si>
    <t>Inner ring raceway and rib super finish machine</t>
  </si>
  <si>
    <t>B - Raceway super finish</t>
  </si>
  <si>
    <t>60</t>
  </si>
  <si>
    <t>GR-464</t>
  </si>
  <si>
    <t>inner ring raceway and rib super finish machine</t>
  </si>
  <si>
    <t>61</t>
  </si>
  <si>
    <t>GR-581</t>
  </si>
  <si>
    <t>62</t>
  </si>
  <si>
    <t>GR-693</t>
  </si>
  <si>
    <t>63</t>
  </si>
  <si>
    <t>GR-830</t>
  </si>
  <si>
    <t>64</t>
  </si>
  <si>
    <t>GR-008</t>
  </si>
  <si>
    <t>65</t>
  </si>
  <si>
    <t>GR-257</t>
  </si>
  <si>
    <t>66</t>
  </si>
  <si>
    <t>GR-001</t>
  </si>
  <si>
    <t>Inner ring raceway grinding machine</t>
  </si>
  <si>
    <t>B - Raceway grinding</t>
  </si>
  <si>
    <t>67</t>
  </si>
  <si>
    <t>GR-250</t>
  </si>
  <si>
    <t>68</t>
  </si>
  <si>
    <t>GR-336</t>
  </si>
  <si>
    <t>69</t>
  </si>
  <si>
    <t>GR-458</t>
  </si>
  <si>
    <t>70</t>
  </si>
  <si>
    <t>GR-575</t>
  </si>
  <si>
    <t>71</t>
  </si>
  <si>
    <t>GR-689</t>
  </si>
  <si>
    <t>72</t>
  </si>
  <si>
    <t>GR-825</t>
  </si>
  <si>
    <t>73</t>
  </si>
  <si>
    <t>GR-003</t>
  </si>
  <si>
    <t>Inner ring rib grinding machine</t>
  </si>
  <si>
    <t>B - Rib grinding</t>
  </si>
  <si>
    <t>74</t>
  </si>
  <si>
    <t>GR-253</t>
  </si>
  <si>
    <t>75</t>
  </si>
  <si>
    <t>GR-461</t>
  </si>
  <si>
    <t>76</t>
  </si>
  <si>
    <t>GR-578</t>
  </si>
  <si>
    <t>77</t>
  </si>
  <si>
    <t>GR-690</t>
  </si>
  <si>
    <t>78</t>
  </si>
  <si>
    <t>GR-827</t>
  </si>
  <si>
    <t>79</t>
  </si>
  <si>
    <t>GR-339</t>
  </si>
  <si>
    <t>80</t>
  </si>
  <si>
    <t>MA-629</t>
  </si>
  <si>
    <t>Laser marker machine</t>
  </si>
  <si>
    <t>Laser marking</t>
  </si>
  <si>
    <t>81</t>
  </si>
  <si>
    <t>MA-630</t>
  </si>
  <si>
    <t>82</t>
  </si>
  <si>
    <t>MA-606</t>
  </si>
  <si>
    <t>83</t>
  </si>
  <si>
    <t>MA-602</t>
  </si>
  <si>
    <t>84</t>
  </si>
  <si>
    <t>MA-712</t>
  </si>
  <si>
    <t>85</t>
  </si>
  <si>
    <t>MA-851</t>
  </si>
  <si>
    <t>86</t>
  </si>
  <si>
    <t>MA-631</t>
  </si>
  <si>
    <t>87</t>
  </si>
  <si>
    <t>FI-475</t>
  </si>
  <si>
    <t>Magnet fillter coolant tank</t>
  </si>
  <si>
    <t>Magnet filter coolant tank</t>
  </si>
  <si>
    <t>88</t>
  </si>
  <si>
    <t>FI-353</t>
  </si>
  <si>
    <t>89</t>
  </si>
  <si>
    <t>FI-251</t>
  </si>
  <si>
    <t>90</t>
  </si>
  <si>
    <t>FI-255</t>
  </si>
  <si>
    <t>91</t>
  </si>
  <si>
    <t>FI-496</t>
  </si>
  <si>
    <t>92</t>
  </si>
  <si>
    <t>FI-337</t>
  </si>
  <si>
    <t>93</t>
  </si>
  <si>
    <t>FI-826</t>
  </si>
  <si>
    <t>94</t>
  </si>
  <si>
    <t>FI-840</t>
  </si>
  <si>
    <t>95</t>
  </si>
  <si>
    <t>FI-017</t>
  </si>
  <si>
    <t>Magnet filter coolant tank No.1</t>
  </si>
  <si>
    <t>96</t>
  </si>
  <si>
    <t>FI-463</t>
  </si>
  <si>
    <t>97</t>
  </si>
  <si>
    <t>FI-156</t>
  </si>
  <si>
    <t>Magnet filter coolant tank No.5</t>
  </si>
  <si>
    <t>98</t>
  </si>
  <si>
    <t>FI-266</t>
  </si>
  <si>
    <t>Magnet filter coolant tank No.7</t>
  </si>
  <si>
    <t>99</t>
  </si>
  <si>
    <t>FI-341</t>
  </si>
  <si>
    <t>Magnetizing filter coolant tank</t>
  </si>
  <si>
    <t>100</t>
  </si>
  <si>
    <t>FI-220</t>
  </si>
  <si>
    <t>101</t>
  </si>
  <si>
    <t>CH-958</t>
  </si>
  <si>
    <t>Outer / Inner Eddy current terter machine</t>
  </si>
  <si>
    <t>A&amp;B - E.C.T.</t>
  </si>
  <si>
    <t>102</t>
  </si>
  <si>
    <t>CH-948</t>
  </si>
  <si>
    <t>Outer / Inner Eddy current tester machine</t>
  </si>
  <si>
    <t>103</t>
  </si>
  <si>
    <t>CH-965</t>
  </si>
  <si>
    <t>104</t>
  </si>
  <si>
    <t>CH-961</t>
  </si>
  <si>
    <t>105</t>
  </si>
  <si>
    <t>CH-959</t>
  </si>
  <si>
    <t>106</t>
  </si>
  <si>
    <t>CH-951</t>
  </si>
  <si>
    <t>107</t>
  </si>
  <si>
    <t>CH-954</t>
  </si>
  <si>
    <t>108</t>
  </si>
  <si>
    <t>WA-020</t>
  </si>
  <si>
    <t>Outer / Inner ring part wash machine</t>
  </si>
  <si>
    <t>A&amp;B - Part wash equipment</t>
  </si>
  <si>
    <t>109</t>
  </si>
  <si>
    <t>WA-269</t>
  </si>
  <si>
    <t>110</t>
  </si>
  <si>
    <t>WA-355</t>
  </si>
  <si>
    <t>111</t>
  </si>
  <si>
    <t>WA-477</t>
  </si>
  <si>
    <t>112</t>
  </si>
  <si>
    <t>WA-593</t>
  </si>
  <si>
    <t>113</t>
  </si>
  <si>
    <t>WA-697</t>
  </si>
  <si>
    <t>114</t>
  </si>
  <si>
    <t>WA-842</t>
  </si>
  <si>
    <t>115</t>
  </si>
  <si>
    <t>SU-649</t>
  </si>
  <si>
    <t>Outer ring auto supply part machine</t>
  </si>
  <si>
    <t>A - Auto supply part</t>
  </si>
  <si>
    <t>116</t>
  </si>
  <si>
    <t>SU-590</t>
  </si>
  <si>
    <t>117</t>
  </si>
  <si>
    <t>SU-713</t>
  </si>
  <si>
    <t>118</t>
  </si>
  <si>
    <t>SU-852</t>
  </si>
  <si>
    <t>119</t>
  </si>
  <si>
    <t>DE-018</t>
  </si>
  <si>
    <t>Outer ring demagnetizing machine</t>
  </si>
  <si>
    <t>A - Demagnetizing</t>
  </si>
  <si>
    <t>120</t>
  </si>
  <si>
    <t>DE-267</t>
  </si>
  <si>
    <t>121</t>
  </si>
  <si>
    <t>DE-352</t>
  </si>
  <si>
    <t>122</t>
  </si>
  <si>
    <t>DE-474</t>
  </si>
  <si>
    <t>123</t>
  </si>
  <si>
    <t>DE-591</t>
  </si>
  <si>
    <t>124</t>
  </si>
  <si>
    <t>DE-695</t>
  </si>
  <si>
    <t>125</t>
  </si>
  <si>
    <t>DE-839</t>
  </si>
  <si>
    <t>126</t>
  </si>
  <si>
    <t>GR-016</t>
  </si>
  <si>
    <t>Outer ring raceway grinding machine</t>
  </si>
  <si>
    <t>A - Raceway grinding</t>
  </si>
  <si>
    <t>127</t>
  </si>
  <si>
    <t>GR-351</t>
  </si>
  <si>
    <t>128</t>
  </si>
  <si>
    <t>GR-473</t>
  </si>
  <si>
    <t>129</t>
  </si>
  <si>
    <t>GR-589</t>
  </si>
  <si>
    <t>130</t>
  </si>
  <si>
    <t>GR-694</t>
  </si>
  <si>
    <t>131</t>
  </si>
  <si>
    <t>GR-838</t>
  </si>
  <si>
    <t>132</t>
  </si>
  <si>
    <t>GR-265</t>
  </si>
  <si>
    <t>133</t>
  </si>
  <si>
    <t>GR-268</t>
  </si>
  <si>
    <t>Outer ring raceway super finish machine</t>
  </si>
  <si>
    <t>A - Raceway super finish</t>
  </si>
  <si>
    <t>134</t>
  </si>
  <si>
    <t>GR-019</t>
  </si>
  <si>
    <t>135</t>
  </si>
  <si>
    <t>GR-354</t>
  </si>
  <si>
    <t>136</t>
  </si>
  <si>
    <t>GR-476</t>
  </si>
  <si>
    <t>137</t>
  </si>
  <si>
    <t>GR-592</t>
  </si>
  <si>
    <t>138</t>
  </si>
  <si>
    <t>GR-696</t>
  </si>
  <si>
    <t>139</t>
  </si>
  <si>
    <t>GR-841</t>
  </si>
  <si>
    <t>140</t>
  </si>
  <si>
    <t>CH-350</t>
  </si>
  <si>
    <t>Pre-axial clearance inspection equipment</t>
  </si>
  <si>
    <t>Pre-axial clearance</t>
  </si>
  <si>
    <t>141</t>
  </si>
  <si>
    <t>CH-472</t>
  </si>
  <si>
    <t>142</t>
  </si>
  <si>
    <t>CH-588</t>
  </si>
  <si>
    <t>143</t>
  </si>
  <si>
    <t>CH-703</t>
  </si>
  <si>
    <t>144</t>
  </si>
  <si>
    <t>CH-837</t>
  </si>
  <si>
    <t>145</t>
  </si>
  <si>
    <t>CH-015</t>
  </si>
  <si>
    <t>Pre-axial clearation inspection eqiupment</t>
  </si>
  <si>
    <t>146</t>
  </si>
  <si>
    <t>CH-264</t>
  </si>
  <si>
    <t>147</t>
  </si>
  <si>
    <t>CH-026</t>
  </si>
  <si>
    <t>Seal checker</t>
  </si>
  <si>
    <t>Seal height checking</t>
  </si>
  <si>
    <t>148</t>
  </si>
  <si>
    <t>CH-361</t>
  </si>
  <si>
    <t>149</t>
  </si>
  <si>
    <t>CH-483</t>
  </si>
  <si>
    <t>150</t>
  </si>
  <si>
    <t>CH-600</t>
  </si>
  <si>
    <t>151</t>
  </si>
  <si>
    <t>CH-709</t>
  </si>
  <si>
    <t>Seal inspection machine</t>
  </si>
  <si>
    <t>152</t>
  </si>
  <si>
    <t>CH-848</t>
  </si>
  <si>
    <t>153</t>
  </si>
  <si>
    <t>CH-484</t>
  </si>
  <si>
    <t>Seal magnetic encoder machine</t>
  </si>
  <si>
    <t>154</t>
  </si>
  <si>
    <t>AS-024</t>
  </si>
  <si>
    <t>Seal press machine</t>
  </si>
  <si>
    <t>Seal pressing no.1</t>
  </si>
  <si>
    <t>155</t>
  </si>
  <si>
    <t>AS-025</t>
  </si>
  <si>
    <t>Seal pressing no.2</t>
  </si>
  <si>
    <t>156</t>
  </si>
  <si>
    <t>AS-359</t>
  </si>
  <si>
    <t>157</t>
  </si>
  <si>
    <t>AS-360</t>
  </si>
  <si>
    <t>158</t>
  </si>
  <si>
    <t>AS-481</t>
  </si>
  <si>
    <t>159</t>
  </si>
  <si>
    <t>AS-482</t>
  </si>
  <si>
    <t>160</t>
  </si>
  <si>
    <t>AS-598</t>
  </si>
  <si>
    <t>161</t>
  </si>
  <si>
    <t>AS-599</t>
  </si>
  <si>
    <t>162</t>
  </si>
  <si>
    <t>AS-707</t>
  </si>
  <si>
    <t>163</t>
  </si>
  <si>
    <t>AS-708</t>
  </si>
  <si>
    <t>164</t>
  </si>
  <si>
    <t>AS-846</t>
  </si>
  <si>
    <t>165</t>
  </si>
  <si>
    <t>AS-847</t>
  </si>
  <si>
    <t>166</t>
  </si>
  <si>
    <t>CH-012</t>
  </si>
  <si>
    <t>Semi assembly inspection machine</t>
  </si>
  <si>
    <t>Semi assembly</t>
  </si>
  <si>
    <t>167</t>
  </si>
  <si>
    <t>CH-261</t>
  </si>
  <si>
    <t>168</t>
  </si>
  <si>
    <t>CH-347</t>
  </si>
  <si>
    <t>169</t>
  </si>
  <si>
    <t>CH-469</t>
  </si>
  <si>
    <t>170</t>
  </si>
  <si>
    <t>CH-585</t>
  </si>
  <si>
    <t>171</t>
  </si>
  <si>
    <t>CH-701</t>
  </si>
  <si>
    <t>172</t>
  </si>
  <si>
    <t>CH-834</t>
  </si>
  <si>
    <t>173</t>
  </si>
  <si>
    <t>CH-027</t>
  </si>
  <si>
    <t>Weight checker</t>
  </si>
  <si>
    <t>174</t>
  </si>
  <si>
    <t>CH-273</t>
  </si>
  <si>
    <t>175</t>
  </si>
  <si>
    <t>CH-362</t>
  </si>
  <si>
    <t>176</t>
  </si>
  <si>
    <t>CH-485</t>
  </si>
  <si>
    <t>177</t>
  </si>
  <si>
    <t>CH-601</t>
  </si>
  <si>
    <t>178</t>
  </si>
  <si>
    <t>CH-710</t>
  </si>
  <si>
    <t>179</t>
  </si>
  <si>
    <t>CH-850</t>
  </si>
  <si>
    <t>185</t>
  </si>
  <si>
    <t>AR-247</t>
  </si>
  <si>
    <t>FACTORY1</t>
  </si>
  <si>
    <t>Rust  Prevention  M/C</t>
  </si>
  <si>
    <t>200</t>
  </si>
  <si>
    <t>YMQ1</t>
  </si>
  <si>
    <t>HT</t>
  </si>
  <si>
    <t>Furnace1</t>
  </si>
  <si>
    <t>Grinding 1</t>
  </si>
  <si>
    <t>Approve</t>
  </si>
  <si>
    <t>2003-HT1</t>
  </si>
  <si>
    <t>201</t>
  </si>
  <si>
    <t>YMQ2</t>
  </si>
  <si>
    <t>Furnace2</t>
  </si>
  <si>
    <t>2004-HT2</t>
  </si>
  <si>
    <t>202</t>
  </si>
  <si>
    <t>YMQ3</t>
  </si>
  <si>
    <t>Furnace3</t>
  </si>
  <si>
    <t>2005-HT3</t>
  </si>
  <si>
    <t>203</t>
  </si>
  <si>
    <t>YMQ4</t>
  </si>
  <si>
    <t>Furnace4</t>
  </si>
  <si>
    <t>2006-HT4</t>
  </si>
  <si>
    <t>204</t>
  </si>
  <si>
    <t>YMQ5</t>
  </si>
  <si>
    <t>Furnace5</t>
  </si>
  <si>
    <t>2007-HT5</t>
  </si>
  <si>
    <t>205</t>
  </si>
  <si>
    <t>GR-120</t>
  </si>
  <si>
    <t>FACTORY2</t>
  </si>
  <si>
    <t>MCB1</t>
  </si>
  <si>
    <t>Inner ring raceway grinding M/C</t>
  </si>
  <si>
    <t>MCB</t>
  </si>
  <si>
    <t>1303-MC1G</t>
  </si>
  <si>
    <t>206</t>
  </si>
  <si>
    <t>GR-122</t>
  </si>
  <si>
    <t>Inner ring bore grinding M/C</t>
  </si>
  <si>
    <t>207</t>
  </si>
  <si>
    <t>DE-124</t>
  </si>
  <si>
    <t>Demagnetizing for  inner  ring  M/C</t>
  </si>
  <si>
    <t>208</t>
  </si>
  <si>
    <t>GR-125</t>
  </si>
  <si>
    <t>Inner ring raceway super finish M/C</t>
  </si>
  <si>
    <t>209</t>
  </si>
  <si>
    <t>WA-913</t>
  </si>
  <si>
    <t>Outer/Inner ring part wash equipment  M/C  (WA-132)</t>
  </si>
  <si>
    <t>210</t>
  </si>
  <si>
    <t>CH-914</t>
  </si>
  <si>
    <t>Outer/Inner Eddy current tester  M/C</t>
  </si>
  <si>
    <t>211</t>
  </si>
  <si>
    <t>GR-129</t>
  </si>
  <si>
    <t>Outer ring raceway grinding M/C</t>
  </si>
  <si>
    <t>212</t>
  </si>
  <si>
    <t>DE-130</t>
  </si>
  <si>
    <t>Demagnetizing  for  outer  ring  M/C</t>
  </si>
  <si>
    <t>213</t>
  </si>
  <si>
    <t>GR-131</t>
  </si>
  <si>
    <t>Outer ring raceway super finish M/C</t>
  </si>
  <si>
    <t>214</t>
  </si>
  <si>
    <t>CH-134</t>
  </si>
  <si>
    <t>A &amp; B measuring M/C</t>
  </si>
  <si>
    <t>A &amp;B- Measure for matching</t>
  </si>
  <si>
    <t>1304-MC1AI</t>
  </si>
  <si>
    <t>215</t>
  </si>
  <si>
    <t>AS-135</t>
  </si>
  <si>
    <t>A &amp; B matching M/C</t>
  </si>
  <si>
    <t>Matching</t>
  </si>
  <si>
    <t>216</t>
  </si>
  <si>
    <t>AS-136</t>
  </si>
  <si>
    <t>Ball separate &amp; cage assembly M/C</t>
  </si>
  <si>
    <t>Ball separate</t>
  </si>
  <si>
    <t>217</t>
  </si>
  <si>
    <t>WA-137</t>
  </si>
  <si>
    <t>Rough washing machine.</t>
  </si>
  <si>
    <t>Rough washing</t>
  </si>
  <si>
    <t>218</t>
  </si>
  <si>
    <t>CH-138</t>
  </si>
  <si>
    <t>Axial clearance measurement M/C</t>
  </si>
  <si>
    <t>Axial Clearance</t>
  </si>
  <si>
    <t>219</t>
  </si>
  <si>
    <t>WA-139</t>
  </si>
  <si>
    <t>Finish wash equipment  M/C</t>
  </si>
  <si>
    <t>Washing finish</t>
  </si>
  <si>
    <t>220</t>
  </si>
  <si>
    <t>BL-140</t>
  </si>
  <si>
    <t>Centrifugal deoiling M/C</t>
  </si>
  <si>
    <t>Centrifugal deoiling</t>
  </si>
  <si>
    <t>221</t>
  </si>
  <si>
    <t>AS-141</t>
  </si>
  <si>
    <t>Grease  injection  M/C</t>
  </si>
  <si>
    <t>222</t>
  </si>
  <si>
    <t>AS-142</t>
  </si>
  <si>
    <t>Seal  press  M/C</t>
  </si>
  <si>
    <t>223</t>
  </si>
  <si>
    <t>AS-143</t>
  </si>
  <si>
    <t>224</t>
  </si>
  <si>
    <t>CH-144</t>
  </si>
  <si>
    <t>Seal  check  M/C</t>
  </si>
  <si>
    <t>Seal height check</t>
  </si>
  <si>
    <t>225</t>
  </si>
  <si>
    <t>CH-145</t>
  </si>
  <si>
    <t>Noise  inspection  M/C</t>
  </si>
  <si>
    <t>226</t>
  </si>
  <si>
    <t>CH-146</t>
  </si>
  <si>
    <t>Weight checker M/C</t>
  </si>
  <si>
    <t>227</t>
  </si>
  <si>
    <t>CH-303</t>
  </si>
  <si>
    <t>Noise  manual  inspection  M/C</t>
  </si>
  <si>
    <t>Noise inspection manual</t>
  </si>
  <si>
    <t>228</t>
  </si>
  <si>
    <t>CH-855</t>
  </si>
  <si>
    <t>Auto Seal &amp; Torque check M/C</t>
  </si>
  <si>
    <t>Torque Auto</t>
  </si>
  <si>
    <t>229</t>
  </si>
  <si>
    <t>AR-1020</t>
  </si>
  <si>
    <t>Auto antirust machine</t>
  </si>
  <si>
    <t>Anti Rust Auto</t>
  </si>
  <si>
    <t>230</t>
  </si>
  <si>
    <t>GR-424</t>
  </si>
  <si>
    <t>MCB2</t>
  </si>
  <si>
    <t>Inner ring raceway grinding machine.</t>
  </si>
  <si>
    <t>1306-MC2G</t>
  </si>
  <si>
    <t>231</t>
  </si>
  <si>
    <t>GR-926</t>
  </si>
  <si>
    <t>Inner ring bore grinding machine.  (GR-426)</t>
  </si>
  <si>
    <t>232</t>
  </si>
  <si>
    <t>DE-427</t>
  </si>
  <si>
    <t>Demagnetizing for  inner  ring  machine.</t>
  </si>
  <si>
    <t>233</t>
  </si>
  <si>
    <t>GR-428</t>
  </si>
  <si>
    <t>Inner ring raceway super finish machine.</t>
  </si>
  <si>
    <t>234</t>
  </si>
  <si>
    <t>GR-431</t>
  </si>
  <si>
    <t>Outer ring raceway grinding machine.</t>
  </si>
  <si>
    <t>235</t>
  </si>
  <si>
    <t>DE-433</t>
  </si>
  <si>
    <t>Demagnetizing  for  outer  ring  machine.</t>
  </si>
  <si>
    <t>236</t>
  </si>
  <si>
    <t>GR-434</t>
  </si>
  <si>
    <t>Outer ring raceway super finish machine.</t>
  </si>
  <si>
    <t>237</t>
  </si>
  <si>
    <t>CH-437</t>
  </si>
  <si>
    <t>Measuring and assembly machine.</t>
  </si>
  <si>
    <t>1307-MC2AI</t>
  </si>
  <si>
    <t>238</t>
  </si>
  <si>
    <t>AS-438</t>
  </si>
  <si>
    <t>Ball separate &amp; cage assembly machine.</t>
  </si>
  <si>
    <t>239</t>
  </si>
  <si>
    <t>WA-440</t>
  </si>
  <si>
    <t>240</t>
  </si>
  <si>
    <t>AS-441</t>
  </si>
  <si>
    <t>Grease  injection machine.</t>
  </si>
  <si>
    <t>241</t>
  </si>
  <si>
    <t>AS-442</t>
  </si>
  <si>
    <t>Seal  press machine.</t>
  </si>
  <si>
    <t>242</t>
  </si>
  <si>
    <t>AS-443</t>
  </si>
  <si>
    <t>243</t>
  </si>
  <si>
    <t>CH-444</t>
  </si>
  <si>
    <t>Seal  check  machine.</t>
  </si>
  <si>
    <t>244</t>
  </si>
  <si>
    <t>CH-445</t>
  </si>
  <si>
    <t>Noise  inspection machine.</t>
  </si>
  <si>
    <t>245</t>
  </si>
  <si>
    <t>CH-446</t>
  </si>
  <si>
    <t>Weight checker machine.</t>
  </si>
  <si>
    <t>246</t>
  </si>
  <si>
    <t>CH-294</t>
  </si>
  <si>
    <t>Axial  clearance  measurement machine.</t>
  </si>
  <si>
    <t>Axial  clearance  measurement</t>
  </si>
  <si>
    <t>247</t>
  </si>
  <si>
    <t>WA-295</t>
  </si>
  <si>
    <t>Finish  wash  equipment machine.</t>
  </si>
  <si>
    <t>Finish  wash  equipment</t>
  </si>
  <si>
    <t>248</t>
  </si>
  <si>
    <t>BL-296</t>
  </si>
  <si>
    <t>Centrifugal  deoiling machine.</t>
  </si>
  <si>
    <t>Centrifugal  deoiling</t>
  </si>
  <si>
    <t>249</t>
  </si>
  <si>
    <t>CH-304</t>
  </si>
  <si>
    <t>Noise manual inspection machine.</t>
  </si>
  <si>
    <t>250</t>
  </si>
  <si>
    <t>WA-927</t>
  </si>
  <si>
    <t>Outer / Inner ring  part wash equipment machine</t>
  </si>
  <si>
    <t>Part wash equipment</t>
  </si>
  <si>
    <t>251</t>
  </si>
  <si>
    <t>CH-928</t>
  </si>
  <si>
    <t>Outer / Inner ring  Eddy current tester machine</t>
  </si>
  <si>
    <t>252</t>
  </si>
  <si>
    <t>CH-943</t>
  </si>
  <si>
    <t>Torque check &amp; Sealip M/C</t>
  </si>
  <si>
    <t>253</t>
  </si>
  <si>
    <t>AR-978</t>
  </si>
  <si>
    <t>Auto  antriust  m/c</t>
  </si>
  <si>
    <t>254</t>
  </si>
  <si>
    <t>AR-1062</t>
  </si>
  <si>
    <t>255</t>
  </si>
  <si>
    <t>GR-715</t>
  </si>
  <si>
    <t>MCB3</t>
  </si>
  <si>
    <t>1312-MC3G</t>
  </si>
  <si>
    <t>256</t>
  </si>
  <si>
    <t>GR-925</t>
  </si>
  <si>
    <t>Inner ring bore grinding machine.  (GR-716)</t>
  </si>
  <si>
    <t>257</t>
  </si>
  <si>
    <t>DE-717</t>
  </si>
  <si>
    <t>258</t>
  </si>
  <si>
    <t>GR-718</t>
  </si>
  <si>
    <t>259</t>
  </si>
  <si>
    <t>GR-721</t>
  </si>
  <si>
    <t>260</t>
  </si>
  <si>
    <t>DE-722</t>
  </si>
  <si>
    <t>261</t>
  </si>
  <si>
    <t>GR-723</t>
  </si>
  <si>
    <t>262</t>
  </si>
  <si>
    <t>AS-687</t>
  </si>
  <si>
    <t>Matching &amp; Ball filling M/C</t>
  </si>
  <si>
    <t>1311-MC3AI</t>
  </si>
  <si>
    <t>263</t>
  </si>
  <si>
    <t>AS-179</t>
  </si>
  <si>
    <t>Rivet press machine.</t>
  </si>
  <si>
    <t>Rivet Auto</t>
  </si>
  <si>
    <t>264</t>
  </si>
  <si>
    <t>WA-688</t>
  </si>
  <si>
    <t>265</t>
  </si>
  <si>
    <t>CH-637</t>
  </si>
  <si>
    <t>Auto radial clearance m/c</t>
  </si>
  <si>
    <t>Auto radial clearance</t>
  </si>
  <si>
    <t>266</t>
  </si>
  <si>
    <t>CH-726</t>
  </si>
  <si>
    <t>267</t>
  </si>
  <si>
    <t>WA-548</t>
  </si>
  <si>
    <t>268</t>
  </si>
  <si>
    <t>BL-727</t>
  </si>
  <si>
    <t>269</t>
  </si>
  <si>
    <t>AS-556</t>
  </si>
  <si>
    <t>270</t>
  </si>
  <si>
    <t>AS-728</t>
  </si>
  <si>
    <t>Seal  press machine. ( 2 Head )</t>
  </si>
  <si>
    <t>Seal pressing no.1,2</t>
  </si>
  <si>
    <t>271</t>
  </si>
  <si>
    <t>CH-557</t>
  </si>
  <si>
    <t>Seal height check machine.</t>
  </si>
  <si>
    <t>272</t>
  </si>
  <si>
    <t>CH-523</t>
  </si>
  <si>
    <t>Noise  inspection machine. (double turn over)</t>
  </si>
  <si>
    <t>273</t>
  </si>
  <si>
    <t>CH-559</t>
  </si>
  <si>
    <t>274</t>
  </si>
  <si>
    <t>CH-558</t>
  </si>
  <si>
    <t>275</t>
  </si>
  <si>
    <t>WA-910</t>
  </si>
  <si>
    <t>Outer / Inner ring  part wash equipment machine  (WA-724)</t>
  </si>
  <si>
    <t>276</t>
  </si>
  <si>
    <t>CH-911</t>
  </si>
  <si>
    <t>277</t>
  </si>
  <si>
    <t>MA-912</t>
  </si>
  <si>
    <t>278</t>
  </si>
  <si>
    <t>AS-940</t>
  </si>
  <si>
    <t>279</t>
  </si>
  <si>
    <t>CH-963</t>
  </si>
  <si>
    <t>Torque check &amp; Sealip  m/c</t>
  </si>
  <si>
    <t>280</t>
  </si>
  <si>
    <t>CH-1014</t>
  </si>
  <si>
    <t>Dimension checker machine No.3</t>
  </si>
  <si>
    <t>Dimension checker</t>
  </si>
  <si>
    <t>281</t>
  </si>
  <si>
    <t>GR-095</t>
  </si>
  <si>
    <t>SB1</t>
  </si>
  <si>
    <t>SB</t>
  </si>
  <si>
    <t>1203-SB1G</t>
  </si>
  <si>
    <t>282</t>
  </si>
  <si>
    <t>GR-097</t>
  </si>
  <si>
    <t>283</t>
  </si>
  <si>
    <t>DE-099</t>
  </si>
  <si>
    <t>284</t>
  </si>
  <si>
    <t>GR-100</t>
  </si>
  <si>
    <t>285</t>
  </si>
  <si>
    <t>GR-104</t>
  </si>
  <si>
    <t>286</t>
  </si>
  <si>
    <t>DE-105</t>
  </si>
  <si>
    <t>287</t>
  </si>
  <si>
    <t>GR-106</t>
  </si>
  <si>
    <t>288</t>
  </si>
  <si>
    <t>WA-107</t>
  </si>
  <si>
    <t>Outer   ring part wash equipment  M/C</t>
  </si>
  <si>
    <t>A &amp; B - Part wash equipment</t>
  </si>
  <si>
    <t>289</t>
  </si>
  <si>
    <t>AS-110</t>
  </si>
  <si>
    <t>Matching &amp; Ball filling  M/C</t>
  </si>
  <si>
    <t>Matching &amp; Ball filling</t>
  </si>
  <si>
    <t>1204-SB1AI</t>
  </si>
  <si>
    <t>290</t>
  </si>
  <si>
    <t>AS-112</t>
  </si>
  <si>
    <t>Rivet  press  M/C</t>
  </si>
  <si>
    <t>Rivet pressing</t>
  </si>
  <si>
    <t>291</t>
  </si>
  <si>
    <t>WA-113</t>
  </si>
  <si>
    <t>292</t>
  </si>
  <si>
    <t>AS-114</t>
  </si>
  <si>
    <t>293</t>
  </si>
  <si>
    <t>AS-115</t>
  </si>
  <si>
    <t>Seal pressing NO.1</t>
  </si>
  <si>
    <t>294</t>
  </si>
  <si>
    <t>AS-116</t>
  </si>
  <si>
    <t>Seal pressing NO.2</t>
  </si>
  <si>
    <t>295</t>
  </si>
  <si>
    <t>CH-117</t>
  </si>
  <si>
    <t>296</t>
  </si>
  <si>
    <t>CH-118</t>
  </si>
  <si>
    <t>Noise  inspection  M/C (Auto)</t>
  </si>
  <si>
    <t>Noise inspection</t>
  </si>
  <si>
    <t>297</t>
  </si>
  <si>
    <t>CH-119</t>
  </si>
  <si>
    <t>298</t>
  </si>
  <si>
    <t>299</t>
  </si>
  <si>
    <t>CH-638</t>
  </si>
  <si>
    <t>Auto radial clearance M/C</t>
  </si>
  <si>
    <t>R/C auto</t>
  </si>
  <si>
    <t>300</t>
  </si>
  <si>
    <t>CH-642</t>
  </si>
  <si>
    <t>Noise manual inspection M/C</t>
  </si>
  <si>
    <t>301</t>
  </si>
  <si>
    <t>MA-603</t>
  </si>
  <si>
    <t>Laser marking  m/c</t>
  </si>
  <si>
    <t>302</t>
  </si>
  <si>
    <t>CH-973</t>
  </si>
  <si>
    <t>Outer / Inner ring Eddy current tester  m/c</t>
  </si>
  <si>
    <t>A &amp; B - E.C.T.</t>
  </si>
  <si>
    <t>303</t>
  </si>
  <si>
    <t>AS-1009</t>
  </si>
  <si>
    <t>Slinger press m/c</t>
  </si>
  <si>
    <t>Slingle Press</t>
  </si>
  <si>
    <t>304</t>
  </si>
  <si>
    <t>CH-109</t>
  </si>
  <si>
    <t>Outer / Inner ring measurement for machine</t>
  </si>
  <si>
    <t>305</t>
  </si>
  <si>
    <t>GR-212</t>
  </si>
  <si>
    <t>SB2</t>
  </si>
  <si>
    <t>1206-SB2G</t>
  </si>
  <si>
    <t>306</t>
  </si>
  <si>
    <t>GR-214</t>
  </si>
  <si>
    <t>307</t>
  </si>
  <si>
    <t>DE-216</t>
  </si>
  <si>
    <t>308</t>
  </si>
  <si>
    <t>GR-217</t>
  </si>
  <si>
    <t>309</t>
  </si>
  <si>
    <t>GR-221</t>
  </si>
  <si>
    <t>310</t>
  </si>
  <si>
    <t>DE-222</t>
  </si>
  <si>
    <t>311</t>
  </si>
  <si>
    <t>GR-223</t>
  </si>
  <si>
    <t>312</t>
  </si>
  <si>
    <t>WA-224</t>
  </si>
  <si>
    <t>Outer / Inner  ring part wash equipment  M/C</t>
  </si>
  <si>
    <t>313</t>
  </si>
  <si>
    <t>AS-229</t>
  </si>
  <si>
    <t>1207-SB2AI</t>
  </si>
  <si>
    <t>314</t>
  </si>
  <si>
    <t>WA-230</t>
  </si>
  <si>
    <t>315</t>
  </si>
  <si>
    <t>AS-231</t>
  </si>
  <si>
    <t>316</t>
  </si>
  <si>
    <t>AS-232</t>
  </si>
  <si>
    <t>317</t>
  </si>
  <si>
    <t>AS-233</t>
  </si>
  <si>
    <t>318</t>
  </si>
  <si>
    <t>CH-234</t>
  </si>
  <si>
    <t>319</t>
  </si>
  <si>
    <t>CH-235</t>
  </si>
  <si>
    <t>320</t>
  </si>
  <si>
    <t>CH-236</t>
  </si>
  <si>
    <t>321</t>
  </si>
  <si>
    <t>CH-639</t>
  </si>
  <si>
    <t>322</t>
  </si>
  <si>
    <t>CH-643</t>
  </si>
  <si>
    <t>323</t>
  </si>
  <si>
    <t>MA-878</t>
  </si>
  <si>
    <t>Laser marker M/C.</t>
  </si>
  <si>
    <t>324</t>
  </si>
  <si>
    <t>AR-906</t>
  </si>
  <si>
    <t>Auto antirust</t>
  </si>
  <si>
    <t>325</t>
  </si>
  <si>
    <t>CH-971</t>
  </si>
  <si>
    <t>Outer / Inner  Eddy current tester m/c</t>
  </si>
  <si>
    <t>326</t>
  </si>
  <si>
    <t>AS-986</t>
  </si>
  <si>
    <t>Matching &amp; Ball filling  auto</t>
  </si>
  <si>
    <t>327</t>
  </si>
  <si>
    <t>CH-1018</t>
  </si>
  <si>
    <t>Dimension check M/C</t>
  </si>
  <si>
    <t>OD.Check Auto</t>
  </si>
  <si>
    <t>328</t>
  </si>
  <si>
    <t>GR-275</t>
  </si>
  <si>
    <t>SB3</t>
  </si>
  <si>
    <t>1209-SB3G</t>
  </si>
  <si>
    <t>329</t>
  </si>
  <si>
    <t>GR-277</t>
  </si>
  <si>
    <t>330</t>
  </si>
  <si>
    <t>DE-279</t>
  </si>
  <si>
    <t>331</t>
  </si>
  <si>
    <t>GR-280</t>
  </si>
  <si>
    <t>332</t>
  </si>
  <si>
    <t>GR-284</t>
  </si>
  <si>
    <t>333</t>
  </si>
  <si>
    <t>DE-285</t>
  </si>
  <si>
    <t>334</t>
  </si>
  <si>
    <t>GR-286</t>
  </si>
  <si>
    <t>335</t>
  </si>
  <si>
    <t>WA-287</t>
  </si>
  <si>
    <t>336</t>
  </si>
  <si>
    <t>CH-289</t>
  </si>
  <si>
    <t>Outer/inner ring measurement for matching  M/C</t>
  </si>
  <si>
    <t>1210-SB3AI</t>
  </si>
  <si>
    <t>337</t>
  </si>
  <si>
    <t>AS-290</t>
  </si>
  <si>
    <t>338</t>
  </si>
  <si>
    <t>AS-291</t>
  </si>
  <si>
    <t>Ball seperation M/C</t>
  </si>
  <si>
    <t>339</t>
  </si>
  <si>
    <t>AS-292</t>
  </si>
  <si>
    <t>340</t>
  </si>
  <si>
    <t>WA-293</t>
  </si>
  <si>
    <t>Rough  washing  M/C</t>
  </si>
  <si>
    <t>341</t>
  </si>
  <si>
    <t>CH-297</t>
  </si>
  <si>
    <t>342</t>
  </si>
  <si>
    <t>AS-298</t>
  </si>
  <si>
    <t>343</t>
  </si>
  <si>
    <t>AS-299</t>
  </si>
  <si>
    <t>Seal  press NO.1  M/C</t>
  </si>
  <si>
    <t>344</t>
  </si>
  <si>
    <t>AS-300</t>
  </si>
  <si>
    <t>Seal  press NO.2  M/C</t>
  </si>
  <si>
    <t>345</t>
  </si>
  <si>
    <t>CH-301</t>
  </si>
  <si>
    <t>346</t>
  </si>
  <si>
    <t>CH-302</t>
  </si>
  <si>
    <t>Weight  checker  M/C</t>
  </si>
  <si>
    <t>347</t>
  </si>
  <si>
    <t>MA-729</t>
  </si>
  <si>
    <t>Laser mark</t>
  </si>
  <si>
    <t>348</t>
  </si>
  <si>
    <t>CH-640</t>
  </si>
  <si>
    <t>349</t>
  </si>
  <si>
    <t>CH-644</t>
  </si>
  <si>
    <t>350</t>
  </si>
  <si>
    <t>CH-968</t>
  </si>
  <si>
    <t>351</t>
  </si>
  <si>
    <t>WA-1007</t>
  </si>
  <si>
    <t>Finish washine m/c</t>
  </si>
  <si>
    <t>352</t>
  </si>
  <si>
    <t>CH-1012</t>
  </si>
  <si>
    <t>Dimension checker machine No.6</t>
  </si>
  <si>
    <t>353</t>
  </si>
  <si>
    <t>AR-980</t>
  </si>
  <si>
    <t>354</t>
  </si>
  <si>
    <t>GR-310</t>
  </si>
  <si>
    <t>SB4</t>
  </si>
  <si>
    <t>1212-SB4G</t>
  </si>
  <si>
    <t>355</t>
  </si>
  <si>
    <t>GR-312</t>
  </si>
  <si>
    <t>356</t>
  </si>
  <si>
    <t>DE-314</t>
  </si>
  <si>
    <t>357</t>
  </si>
  <si>
    <t>GR-315</t>
  </si>
  <si>
    <t>358</t>
  </si>
  <si>
    <t>GR-319</t>
  </si>
  <si>
    <t>359</t>
  </si>
  <si>
    <t>DE-320</t>
  </si>
  <si>
    <t>360</t>
  </si>
  <si>
    <t>GR-321</t>
  </si>
  <si>
    <t>361</t>
  </si>
  <si>
    <t>WA-322</t>
  </si>
  <si>
    <t>362</t>
  </si>
  <si>
    <t>AS-327</t>
  </si>
  <si>
    <t>Rivet  pressing  M/C</t>
  </si>
  <si>
    <t>1213-SB4AI</t>
  </si>
  <si>
    <t>363</t>
  </si>
  <si>
    <t>WA-328</t>
  </si>
  <si>
    <t>Finish  wash  equipment  M/C</t>
  </si>
  <si>
    <t>364</t>
  </si>
  <si>
    <t>AS-329</t>
  </si>
  <si>
    <t>365</t>
  </si>
  <si>
    <t>CH-332</t>
  </si>
  <si>
    <t>366</t>
  </si>
  <si>
    <t>CH-334</t>
  </si>
  <si>
    <t>367</t>
  </si>
  <si>
    <t>CH-524</t>
  </si>
  <si>
    <t>Air leak test M/C</t>
  </si>
  <si>
    <t>Air Leak auto</t>
  </si>
  <si>
    <t>368</t>
  </si>
  <si>
    <t>CH-632</t>
  </si>
  <si>
    <t>369</t>
  </si>
  <si>
    <t>CH-645</t>
  </si>
  <si>
    <t>Noise manual inspection machine</t>
  </si>
  <si>
    <t>370</t>
  </si>
  <si>
    <t>CH-683</t>
  </si>
  <si>
    <t>Noise 2 Spindle Machine.</t>
  </si>
  <si>
    <t>371</t>
  </si>
  <si>
    <t>MA-766</t>
  </si>
  <si>
    <t>372</t>
  </si>
  <si>
    <t>AS-908</t>
  </si>
  <si>
    <t>Seal press machine  (2 head )</t>
  </si>
  <si>
    <t>Seal pressing</t>
  </si>
  <si>
    <t>373</t>
  </si>
  <si>
    <t>CH-966</t>
  </si>
  <si>
    <t>374</t>
  </si>
  <si>
    <t>CH-975</t>
  </si>
  <si>
    <t>Torque check  M/C</t>
  </si>
  <si>
    <t>375</t>
  </si>
  <si>
    <t>AS-985</t>
  </si>
  <si>
    <t>376</t>
  </si>
  <si>
    <t>CH-1017</t>
  </si>
  <si>
    <t>Dimension checker machine No.8</t>
  </si>
  <si>
    <t>377</t>
  </si>
  <si>
    <t>GR-527</t>
  </si>
  <si>
    <t>SB5</t>
  </si>
  <si>
    <t>1215-SB5G</t>
  </si>
  <si>
    <t>378</t>
  </si>
  <si>
    <t>GR-528</t>
  </si>
  <si>
    <t>379</t>
  </si>
  <si>
    <t>DE-529</t>
  </si>
  <si>
    <t>380</t>
  </si>
  <si>
    <t>GR-530</t>
  </si>
  <si>
    <t>381</t>
  </si>
  <si>
    <t>GR-533</t>
  </si>
  <si>
    <t>382</t>
  </si>
  <si>
    <t>DE-534</t>
  </si>
  <si>
    <t>383</t>
  </si>
  <si>
    <t>GR-535</t>
  </si>
  <si>
    <t>384</t>
  </si>
  <si>
    <t>WA-536</t>
  </si>
  <si>
    <t>Outer &amp; Inner  ring part wash equipment  M/C</t>
  </si>
  <si>
    <t>385</t>
  </si>
  <si>
    <t>AS-539</t>
  </si>
  <si>
    <t>1216-SB5AI</t>
  </si>
  <si>
    <t>386</t>
  </si>
  <si>
    <t>WA-540</t>
  </si>
  <si>
    <t>387</t>
  </si>
  <si>
    <t>AS-541</t>
  </si>
  <si>
    <t>388</t>
  </si>
  <si>
    <t>AS-542</t>
  </si>
  <si>
    <t>Seal  press  no.1  M/C</t>
  </si>
  <si>
    <t>389</t>
  </si>
  <si>
    <t>AS-543</t>
  </si>
  <si>
    <t>Seal  press  no.2  M/C</t>
  </si>
  <si>
    <t>390</t>
  </si>
  <si>
    <t>CH-544</t>
  </si>
  <si>
    <t>391</t>
  </si>
  <si>
    <t>CH-545</t>
  </si>
  <si>
    <t>Automatic Vibration testing M/C.</t>
  </si>
  <si>
    <t>Vibration check mc</t>
  </si>
  <si>
    <t>392</t>
  </si>
  <si>
    <t>CH-546</t>
  </si>
  <si>
    <t>393</t>
  </si>
  <si>
    <t>CH-646</t>
  </si>
  <si>
    <t>Noise manual inspection m/c.</t>
  </si>
  <si>
    <t>394</t>
  </si>
  <si>
    <t>CH-636</t>
  </si>
  <si>
    <t>395</t>
  </si>
  <si>
    <t>MA-907</t>
  </si>
  <si>
    <t>Laser marker</t>
  </si>
  <si>
    <t>396</t>
  </si>
  <si>
    <t>CH-964</t>
  </si>
  <si>
    <t>Outer &amp; Inner  Eddy current tester M/C</t>
  </si>
  <si>
    <t>397</t>
  </si>
  <si>
    <t>CH-981</t>
  </si>
  <si>
    <t>Dimension &amp; Rotary M/C</t>
  </si>
  <si>
    <t>398</t>
  </si>
  <si>
    <t>WA-982</t>
  </si>
  <si>
    <t>Finish washing m/c</t>
  </si>
  <si>
    <t>399</t>
  </si>
  <si>
    <t>AS-987</t>
  </si>
  <si>
    <t>Matching &amp; Ball Filling m/c</t>
  </si>
  <si>
    <t>400</t>
  </si>
  <si>
    <t>GR-777</t>
  </si>
  <si>
    <t>SB6</t>
  </si>
  <si>
    <t>1220-SB6G</t>
  </si>
  <si>
    <t>401</t>
  </si>
  <si>
    <t>GR-778</t>
  </si>
  <si>
    <t>402</t>
  </si>
  <si>
    <t>DE-779</t>
  </si>
  <si>
    <t>403</t>
  </si>
  <si>
    <t>GR-780</t>
  </si>
  <si>
    <t>404</t>
  </si>
  <si>
    <t>GR-783</t>
  </si>
  <si>
    <t>405</t>
  </si>
  <si>
    <t>DE-784</t>
  </si>
  <si>
    <t>406</t>
  </si>
  <si>
    <t>GR-785</t>
  </si>
  <si>
    <t>407</t>
  </si>
  <si>
    <t>WA-786</t>
  </si>
  <si>
    <t>408</t>
  </si>
  <si>
    <t>AS-788</t>
  </si>
  <si>
    <t>1221-SB6AI</t>
  </si>
  <si>
    <t>409</t>
  </si>
  <si>
    <t>AS-789</t>
  </si>
  <si>
    <t>410</t>
  </si>
  <si>
    <t>WA-790</t>
  </si>
  <si>
    <t>Rough wash equipment  M/C</t>
  </si>
  <si>
    <t>411</t>
  </si>
  <si>
    <t>CH-791</t>
  </si>
  <si>
    <t>412</t>
  </si>
  <si>
    <t>WA-792</t>
  </si>
  <si>
    <t>413</t>
  </si>
  <si>
    <t>AS-793</t>
  </si>
  <si>
    <t>414</t>
  </si>
  <si>
    <t>AS-794</t>
  </si>
  <si>
    <t>Seal  press  M/C  ( 2 Head )</t>
  </si>
  <si>
    <t>415</t>
  </si>
  <si>
    <t>CH-795</t>
  </si>
  <si>
    <t>416</t>
  </si>
  <si>
    <t>CH-796</t>
  </si>
  <si>
    <t>417</t>
  </si>
  <si>
    <t>CH-797</t>
  </si>
  <si>
    <t>418</t>
  </si>
  <si>
    <t>CH-798</t>
  </si>
  <si>
    <t>419</t>
  </si>
  <si>
    <t>MA-799</t>
  </si>
  <si>
    <t>420</t>
  </si>
  <si>
    <t>AR-800</t>
  </si>
  <si>
    <t>Auto Antirust</t>
  </si>
  <si>
    <t>421</t>
  </si>
  <si>
    <t>CH-947</t>
  </si>
  <si>
    <t>Outer  / Inner  Eddy current tester m/c</t>
  </si>
  <si>
    <t>422</t>
  </si>
  <si>
    <t>CH-974</t>
  </si>
  <si>
    <t>Rotation check  M/C</t>
  </si>
  <si>
    <t>423</t>
  </si>
  <si>
    <t>CH-1010</t>
  </si>
  <si>
    <t>Dimension checker machine No.4</t>
  </si>
  <si>
    <t>424</t>
  </si>
  <si>
    <t>GR-801</t>
  </si>
  <si>
    <t>SB7</t>
  </si>
  <si>
    <t>1223-SB7G</t>
  </si>
  <si>
    <t>425</t>
  </si>
  <si>
    <t>GR-802</t>
  </si>
  <si>
    <t>426</t>
  </si>
  <si>
    <t>DE-803</t>
  </si>
  <si>
    <t>427</t>
  </si>
  <si>
    <t>GR-804</t>
  </si>
  <si>
    <t>428</t>
  </si>
  <si>
    <t>GR-972</t>
  </si>
  <si>
    <t>429</t>
  </si>
  <si>
    <t>DE-808</t>
  </si>
  <si>
    <t>430</t>
  </si>
  <si>
    <t>GR-809</t>
  </si>
  <si>
    <t>431</t>
  </si>
  <si>
    <t>AS-812</t>
  </si>
  <si>
    <t>1224-SB7AI</t>
  </si>
  <si>
    <t>432</t>
  </si>
  <si>
    <t>AS-813</t>
  </si>
  <si>
    <t>433</t>
  </si>
  <si>
    <t>WA-814</t>
  </si>
  <si>
    <t>434</t>
  </si>
  <si>
    <t>CH-815</t>
  </si>
  <si>
    <t>435</t>
  </si>
  <si>
    <t>WA-816</t>
  </si>
  <si>
    <t>436</t>
  </si>
  <si>
    <t>AS-817</t>
  </si>
  <si>
    <t>437</t>
  </si>
  <si>
    <t>AS-818</t>
  </si>
  <si>
    <t>Seal  press  M/C  (2 Head)</t>
  </si>
  <si>
    <t>438</t>
  </si>
  <si>
    <t>CH-819</t>
  </si>
  <si>
    <t>439</t>
  </si>
  <si>
    <t>CH-820</t>
  </si>
  <si>
    <t>440</t>
  </si>
  <si>
    <t>CH-821</t>
  </si>
  <si>
    <t>Noise manual inspection M/C.</t>
  </si>
  <si>
    <t>441</t>
  </si>
  <si>
    <t>CH-822</t>
  </si>
  <si>
    <t>442</t>
  </si>
  <si>
    <t>MA-823</t>
  </si>
  <si>
    <t>443</t>
  </si>
  <si>
    <t>AR-824</t>
  </si>
  <si>
    <t>Auto Antirust M/C.</t>
  </si>
  <si>
    <t>444</t>
  </si>
  <si>
    <t>WA-929</t>
  </si>
  <si>
    <t>Outer/Innre ring part wash equipment  M/C</t>
  </si>
  <si>
    <t>445</t>
  </si>
  <si>
    <t>CH-930</t>
  </si>
  <si>
    <t>Outer/Inner eddy current tester   M/C</t>
  </si>
  <si>
    <t>446</t>
  </si>
  <si>
    <t>CH-931</t>
  </si>
  <si>
    <t>Torque  M/C</t>
  </si>
  <si>
    <t>447</t>
  </si>
  <si>
    <t>CH-1013</t>
  </si>
  <si>
    <t>Dimension check m/c</t>
  </si>
  <si>
    <t>448</t>
  </si>
  <si>
    <t>CH-1016</t>
  </si>
  <si>
    <t>Automation visual inspection m/c</t>
  </si>
  <si>
    <t>449</t>
  </si>
  <si>
    <t>GR-859</t>
  </si>
  <si>
    <t>SB8</t>
  </si>
  <si>
    <t>1226-SB8G</t>
  </si>
  <si>
    <t>450</t>
  </si>
  <si>
    <t>DE-860</t>
  </si>
  <si>
    <t>Outer  ring Demagnetizing  for  M/C</t>
  </si>
  <si>
    <t>451</t>
  </si>
  <si>
    <t>GR-861</t>
  </si>
  <si>
    <t>452</t>
  </si>
  <si>
    <t>GR-862</t>
  </si>
  <si>
    <t>453</t>
  </si>
  <si>
    <t>GR-863</t>
  </si>
  <si>
    <t>454</t>
  </si>
  <si>
    <t>DE-864</t>
  </si>
  <si>
    <t>Inner  ring Demagnetizing for  M/C</t>
  </si>
  <si>
    <t>455</t>
  </si>
  <si>
    <t>GR-865</t>
  </si>
  <si>
    <t>456</t>
  </si>
  <si>
    <t>WA-866</t>
  </si>
  <si>
    <t>Inner/Outer ring part wash equipment  M/C</t>
  </si>
  <si>
    <t>457</t>
  </si>
  <si>
    <t>CH-867</t>
  </si>
  <si>
    <t>Inner/Outer ring Eddy current tester  M/C</t>
  </si>
  <si>
    <t>1227-SB8AI</t>
  </si>
  <si>
    <t>458</t>
  </si>
  <si>
    <t>AS-868</t>
  </si>
  <si>
    <t>Automatic matching &amp; Ball filling  M/C</t>
  </si>
  <si>
    <t>459</t>
  </si>
  <si>
    <t>AS-869</t>
  </si>
  <si>
    <t>460</t>
  </si>
  <si>
    <t>WA-870</t>
  </si>
  <si>
    <t>461</t>
  </si>
  <si>
    <t>CH-871</t>
  </si>
  <si>
    <t>462</t>
  </si>
  <si>
    <t>WA-872</t>
  </si>
  <si>
    <t>463</t>
  </si>
  <si>
    <t>CH-873</t>
  </si>
  <si>
    <t>464</t>
  </si>
  <si>
    <t>CH-874</t>
  </si>
  <si>
    <t>465</t>
  </si>
  <si>
    <t>CH-875</t>
  </si>
  <si>
    <t>466</t>
  </si>
  <si>
    <t>MA-876</t>
  </si>
  <si>
    <t>467</t>
  </si>
  <si>
    <t>AR-877</t>
  </si>
  <si>
    <t>468</t>
  </si>
  <si>
    <t>CH-944</t>
  </si>
  <si>
    <t>Rotation check</t>
  </si>
  <si>
    <t>469</t>
  </si>
  <si>
    <t>CH-1006</t>
  </si>
  <si>
    <t>Automation visual inspection M/C</t>
  </si>
  <si>
    <t>470</t>
  </si>
  <si>
    <t>CH-1008</t>
  </si>
  <si>
    <t>471</t>
  </si>
  <si>
    <t>GR-882</t>
  </si>
  <si>
    <t>SB9</t>
  </si>
  <si>
    <t>1229-SB9G</t>
  </si>
  <si>
    <t>472</t>
  </si>
  <si>
    <t>DE-883</t>
  </si>
  <si>
    <t>473</t>
  </si>
  <si>
    <t>GR-884</t>
  </si>
  <si>
    <t>474</t>
  </si>
  <si>
    <t>GR-885</t>
  </si>
  <si>
    <t>475</t>
  </si>
  <si>
    <t>GR-886</t>
  </si>
  <si>
    <t>476</t>
  </si>
  <si>
    <t>DE-887</t>
  </si>
  <si>
    <t>477</t>
  </si>
  <si>
    <t>GR-888</t>
  </si>
  <si>
    <t>478</t>
  </si>
  <si>
    <t>WA-889</t>
  </si>
  <si>
    <t>479</t>
  </si>
  <si>
    <t>CH-890</t>
  </si>
  <si>
    <t>1230-SB9AI</t>
  </si>
  <si>
    <t>480</t>
  </si>
  <si>
    <t>AS-891</t>
  </si>
  <si>
    <t>481</t>
  </si>
  <si>
    <t>AS-892</t>
  </si>
  <si>
    <t>482</t>
  </si>
  <si>
    <t>WA-893</t>
  </si>
  <si>
    <t>483</t>
  </si>
  <si>
    <t>CH-894</t>
  </si>
  <si>
    <t>484</t>
  </si>
  <si>
    <t>WA-895</t>
  </si>
  <si>
    <t>485</t>
  </si>
  <si>
    <t>CH-896</t>
  </si>
  <si>
    <t>486</t>
  </si>
  <si>
    <t>CH-897</t>
  </si>
  <si>
    <t>487</t>
  </si>
  <si>
    <t>CH-898</t>
  </si>
  <si>
    <t>488</t>
  </si>
  <si>
    <t>MA-899</t>
  </si>
  <si>
    <t>489</t>
  </si>
  <si>
    <t>AR-900</t>
  </si>
  <si>
    <t>490</t>
  </si>
  <si>
    <t>CH-946</t>
  </si>
  <si>
    <t>Rotation check m/c</t>
  </si>
  <si>
    <t>491</t>
  </si>
  <si>
    <t>CH-1011</t>
  </si>
  <si>
    <t>492</t>
  </si>
  <si>
    <t>CH-1015</t>
  </si>
  <si>
    <t>493</t>
  </si>
  <si>
    <t>FI-098</t>
  </si>
  <si>
    <t>SR</t>
  </si>
  <si>
    <t>Magnet filter coolant tamk M/C</t>
  </si>
  <si>
    <t>3405-SR1G</t>
  </si>
  <si>
    <t>494</t>
  </si>
  <si>
    <t>GR-999</t>
  </si>
  <si>
    <t>Out side grinding  M/C</t>
  </si>
  <si>
    <t>495</t>
  </si>
  <si>
    <t>GR-1000</t>
  </si>
  <si>
    <t>Internal gringing M/C</t>
  </si>
  <si>
    <t>496</t>
  </si>
  <si>
    <t>DE-1001</t>
  </si>
  <si>
    <t>Demagnetizing M/C</t>
  </si>
  <si>
    <t>497</t>
  </si>
  <si>
    <t>CH-1002</t>
  </si>
  <si>
    <t>Eddy current tester m/c</t>
  </si>
  <si>
    <t>498</t>
  </si>
  <si>
    <t>WA-1003</t>
  </si>
  <si>
    <t>Washing M/C</t>
  </si>
  <si>
    <t>499</t>
  </si>
  <si>
    <t>CH-1004</t>
  </si>
  <si>
    <t>Out side diameter &amp; Inside diameter &amp; Hightchecker</t>
  </si>
  <si>
    <t>3406-SR1AI</t>
  </si>
  <si>
    <t>500</t>
  </si>
  <si>
    <t>CH-1005</t>
  </si>
  <si>
    <t>Roundess &amp; Tab width Inspeetion Equipment</t>
  </si>
  <si>
    <t>501</t>
  </si>
  <si>
    <t>AS-196</t>
  </si>
  <si>
    <t>TP1</t>
  </si>
  <si>
    <t>Bush  Press  M/C (Line1)</t>
  </si>
  <si>
    <t>TP</t>
  </si>
  <si>
    <t>1702-TP1</t>
  </si>
  <si>
    <t>502</t>
  </si>
  <si>
    <t>CH-197</t>
  </si>
  <si>
    <t>Bush &amp; Pin  checker  M/C  (Line 1)</t>
  </si>
  <si>
    <t>503</t>
  </si>
  <si>
    <t>AS-243</t>
  </si>
  <si>
    <t>Stopper  Pin  Press  M/C  (Line 1)</t>
  </si>
  <si>
    <t>504</t>
  </si>
  <si>
    <t>AS-173</t>
  </si>
  <si>
    <t>TP2</t>
  </si>
  <si>
    <t>Tension  Pulley  Press  M/C  (Line 2)</t>
  </si>
  <si>
    <t>1703-TP2</t>
  </si>
  <si>
    <t>505</t>
  </si>
  <si>
    <t>AS-244</t>
  </si>
  <si>
    <t>Jig  Assy  (Line 2)</t>
  </si>
  <si>
    <t>506</t>
  </si>
  <si>
    <t>CH-571</t>
  </si>
  <si>
    <t>507</t>
  </si>
  <si>
    <t>AS-206</t>
  </si>
  <si>
    <t>Dust cover press m/c</t>
  </si>
  <si>
    <t>508</t>
  </si>
  <si>
    <t>AS-209</t>
  </si>
  <si>
    <t>Press machine for bearing no.2</t>
  </si>
  <si>
    <t>509</t>
  </si>
  <si>
    <t>MA-623</t>
  </si>
  <si>
    <t>TP3</t>
  </si>
  <si>
    <t>Laser Mark M/C</t>
  </si>
  <si>
    <t>1700-TP</t>
  </si>
  <si>
    <t>510</t>
  </si>
  <si>
    <t>MA-635</t>
  </si>
  <si>
    <t>Ink jet marking  #Fac.3</t>
  </si>
  <si>
    <t>2410-PSP</t>
  </si>
  <si>
    <t>511</t>
  </si>
  <si>
    <t>MA-622</t>
  </si>
  <si>
    <t>Packing-FAC3</t>
  </si>
  <si>
    <t>Ink jet marking machine</t>
  </si>
  <si>
    <t>Packing</t>
  </si>
  <si>
    <t>512</t>
  </si>
  <si>
    <t>AS-969</t>
  </si>
  <si>
    <t>Bearing press m/c   (MA-448)</t>
  </si>
  <si>
    <t>513</t>
  </si>
  <si>
    <t>AS-970</t>
  </si>
  <si>
    <t>Jig assembly  m/c</t>
  </si>
  <si>
    <t>514</t>
  </si>
  <si>
    <t>CH-086</t>
  </si>
  <si>
    <t>WP Assambly1</t>
  </si>
  <si>
    <t>E.C.T. (Shaft  hardness)</t>
  </si>
  <si>
    <t>WP</t>
  </si>
  <si>
    <t>1409-WP1AI</t>
  </si>
  <si>
    <t>515</t>
  </si>
  <si>
    <t>CH-087</t>
  </si>
  <si>
    <t>E.C.T. (Outer- ring  hardness)</t>
  </si>
  <si>
    <t>516</t>
  </si>
  <si>
    <t>CH-604</t>
  </si>
  <si>
    <t>A/B raceway diameter measurement M/C</t>
  </si>
  <si>
    <t>517</t>
  </si>
  <si>
    <t>AS-083</t>
  </si>
  <si>
    <t>Matching  &amp;  Ball  filling  M/C</t>
  </si>
  <si>
    <t>518</t>
  </si>
  <si>
    <t>AS-085</t>
  </si>
  <si>
    <t>Cage  press &amp; Ball  dividing  M/C</t>
  </si>
  <si>
    <t>519</t>
  </si>
  <si>
    <t>CH-084</t>
  </si>
  <si>
    <t>Shaft OD&amp;Length inspection M/C</t>
  </si>
  <si>
    <t>520</t>
  </si>
  <si>
    <t>WA-656</t>
  </si>
  <si>
    <t>Finish  washing  M/C</t>
  </si>
  <si>
    <t>521</t>
  </si>
  <si>
    <t>CH-043</t>
  </si>
  <si>
    <t>Noise  inspection  (2 spindle) M/C</t>
  </si>
  <si>
    <t>522</t>
  </si>
  <si>
    <t>AS-605</t>
  </si>
  <si>
    <t>Auto grease  injection  M/C</t>
  </si>
  <si>
    <t>523</t>
  </si>
  <si>
    <t>CH-046</t>
  </si>
  <si>
    <t>Seal &amp; Torque  check  M/C</t>
  </si>
  <si>
    <t>524</t>
  </si>
  <si>
    <t>CH-093</t>
  </si>
  <si>
    <t>Noise  inspection ( 1 spindle ) M/C</t>
  </si>
  <si>
    <t>525</t>
  </si>
  <si>
    <t>CH-047</t>
  </si>
  <si>
    <t>526</t>
  </si>
  <si>
    <t>PA-621</t>
  </si>
  <si>
    <t>Auto part arrange packing equipment M/C</t>
  </si>
  <si>
    <t>527</t>
  </si>
  <si>
    <t>CH-624</t>
  </si>
  <si>
    <t>OD. Shaft checker</t>
  </si>
  <si>
    <t>528</t>
  </si>
  <si>
    <t>AR-647</t>
  </si>
  <si>
    <t>Auto antirust M/C</t>
  </si>
  <si>
    <t>529</t>
  </si>
  <si>
    <t>AS-082</t>
  </si>
  <si>
    <t>Roller Assembly</t>
  </si>
  <si>
    <t>530</t>
  </si>
  <si>
    <t>AS-957</t>
  </si>
  <si>
    <t>Seal press machine (2 Heal)</t>
  </si>
  <si>
    <t>531</t>
  </si>
  <si>
    <t>CH-174</t>
  </si>
  <si>
    <t>WP Assambly2</t>
  </si>
  <si>
    <t>ECT. (Inner ring hardness)</t>
  </si>
  <si>
    <t>1410-WP2AI</t>
  </si>
  <si>
    <t>532</t>
  </si>
  <si>
    <t>CH-175</t>
  </si>
  <si>
    <t>ECT. (Outer ring hardness)</t>
  </si>
  <si>
    <t>533</t>
  </si>
  <si>
    <t>CH-176</t>
  </si>
  <si>
    <t>534</t>
  </si>
  <si>
    <t>AS-177</t>
  </si>
  <si>
    <t>535</t>
  </si>
  <si>
    <t>AS-178</t>
  </si>
  <si>
    <t>Cage press M/C</t>
  </si>
  <si>
    <t>536</t>
  </si>
  <si>
    <t>CH-181</t>
  </si>
  <si>
    <t>537</t>
  </si>
  <si>
    <t>CH-184</t>
  </si>
  <si>
    <t>Noise inspection ( 2 spindle ) M/C</t>
  </si>
  <si>
    <t>538</t>
  </si>
  <si>
    <t>AS-616</t>
  </si>
  <si>
    <t>Auto grease injection M/C</t>
  </si>
  <si>
    <t>539</t>
  </si>
  <si>
    <t>CH-188</t>
  </si>
  <si>
    <t>Seal hight check M/C</t>
  </si>
  <si>
    <t>540</t>
  </si>
  <si>
    <t>CH-189</t>
  </si>
  <si>
    <t>Noise inspection M/C</t>
  </si>
  <si>
    <t>541</t>
  </si>
  <si>
    <t>CH-190</t>
  </si>
  <si>
    <t>Weight check M/C</t>
  </si>
  <si>
    <t>542</t>
  </si>
  <si>
    <t>CH-625</t>
  </si>
  <si>
    <t>OD shaft checker</t>
  </si>
  <si>
    <t>543</t>
  </si>
  <si>
    <t>AR-648</t>
  </si>
  <si>
    <t>544</t>
  </si>
  <si>
    <t>PA-651</t>
  </si>
  <si>
    <t>545</t>
  </si>
  <si>
    <t>WA-657</t>
  </si>
  <si>
    <t>Finish washing</t>
  </si>
  <si>
    <t>546</t>
  </si>
  <si>
    <t>AS-857</t>
  </si>
  <si>
    <t>Seal press machine. (2 Head)</t>
  </si>
  <si>
    <t>547</t>
  </si>
  <si>
    <t>AS-180</t>
  </si>
  <si>
    <t>Roller assembly</t>
  </si>
  <si>
    <t>548</t>
  </si>
  <si>
    <t>GR-238</t>
  </si>
  <si>
    <t>WP Grinding1</t>
  </si>
  <si>
    <t>Rear  O.D.  Grinding  M/C</t>
  </si>
  <si>
    <t>1406-WP1G</t>
  </si>
  <si>
    <t>549</t>
  </si>
  <si>
    <t>GR-239</t>
  </si>
  <si>
    <t>Shaft  raceway  grinding M/C</t>
  </si>
  <si>
    <t>550</t>
  </si>
  <si>
    <t>GR-240</t>
  </si>
  <si>
    <t>Shaft raceway super finish grinding M/C</t>
  </si>
  <si>
    <t>551</t>
  </si>
  <si>
    <t>GR-241</t>
  </si>
  <si>
    <t>552</t>
  </si>
  <si>
    <t>GR-242</t>
  </si>
  <si>
    <t>Outer ring raceway super finish grinding M/C</t>
  </si>
  <si>
    <t>553</t>
  </si>
  <si>
    <t>GR-420</t>
  </si>
  <si>
    <t>Shaft front O.D.grinding machine.</t>
  </si>
  <si>
    <t>554</t>
  </si>
  <si>
    <t>WA-1061</t>
  </si>
  <si>
    <t>Part washing M/C</t>
  </si>
  <si>
    <t>555</t>
  </si>
  <si>
    <t>GR-416</t>
  </si>
  <si>
    <t>WP Grinding2</t>
  </si>
  <si>
    <t>Outer ring raceway super finish grinding machine.</t>
  </si>
  <si>
    <t>1407-WP2G</t>
  </si>
  <si>
    <t>556</t>
  </si>
  <si>
    <t>GR-417</t>
  </si>
  <si>
    <t>Shaft raceway super finish grinding machine.</t>
  </si>
  <si>
    <t>557</t>
  </si>
  <si>
    <t>GR-418</t>
  </si>
  <si>
    <t>Shaft raceway  grinding machine.</t>
  </si>
  <si>
    <t>558</t>
  </si>
  <si>
    <t>GR-419</t>
  </si>
  <si>
    <t>559</t>
  </si>
  <si>
    <t>GR-423</t>
  </si>
  <si>
    <t>560</t>
  </si>
  <si>
    <t>GR-237</t>
  </si>
  <si>
    <t>Shaft rear  O.D.  Grinding  M/C</t>
  </si>
  <si>
    <t>561</t>
  </si>
  <si>
    <t>WA-1019</t>
  </si>
  <si>
    <t>562</t>
  </si>
  <si>
    <t>GR-917</t>
  </si>
  <si>
    <t>WP Grinding3</t>
  </si>
  <si>
    <t>Outer ring raceway super finishing M/C</t>
  </si>
  <si>
    <t>1408-WP3G</t>
  </si>
  <si>
    <t>563</t>
  </si>
  <si>
    <t>GR-918</t>
  </si>
  <si>
    <t>Shaft outer daimeter grinding M/C</t>
  </si>
  <si>
    <t>564</t>
  </si>
  <si>
    <t>GR-919</t>
  </si>
  <si>
    <t>Shaft raceway grinding M/C</t>
  </si>
  <si>
    <t>565</t>
  </si>
  <si>
    <t>GR-920</t>
  </si>
  <si>
    <t>Shaft raceway super finishing M/C</t>
  </si>
  <si>
    <t>566</t>
  </si>
  <si>
    <t>GR-922</t>
  </si>
  <si>
    <t>567</t>
  </si>
  <si>
    <t>WA-988</t>
  </si>
  <si>
    <t>Part washing G2   m/c</t>
  </si>
  <si>
    <t>568</t>
  </si>
  <si>
    <t>BF-363</t>
  </si>
  <si>
    <t>WT</t>
  </si>
  <si>
    <t>Bar feeder machine</t>
  </si>
  <si>
    <t>569</t>
  </si>
  <si>
    <t>WT-364</t>
  </si>
  <si>
    <t>Water pump turning machine</t>
  </si>
  <si>
    <t>570</t>
  </si>
  <si>
    <t>M-365</t>
  </si>
  <si>
    <t>Marking machine         ถูกยืมไป mark งานข้างนอก</t>
  </si>
  <si>
    <t>571</t>
  </si>
  <si>
    <t>BF-366</t>
  </si>
  <si>
    <t>572</t>
  </si>
  <si>
    <t>WT-367</t>
  </si>
  <si>
    <t>573</t>
  </si>
  <si>
    <t>M-368</t>
  </si>
  <si>
    <t>Marking machine</t>
  </si>
  <si>
    <t>574</t>
  </si>
  <si>
    <t>RL-456</t>
  </si>
  <si>
    <t>Rolling machine.</t>
  </si>
  <si>
    <t>575</t>
  </si>
  <si>
    <t>BF-516</t>
  </si>
  <si>
    <t>576</t>
  </si>
  <si>
    <t>WT-517</t>
  </si>
  <si>
    <t>577</t>
  </si>
  <si>
    <t>M-518</t>
  </si>
  <si>
    <t>578</t>
  </si>
  <si>
    <t>WT-607</t>
  </si>
  <si>
    <t>579</t>
  </si>
  <si>
    <t>M-608</t>
  </si>
  <si>
    <t>580</t>
  </si>
  <si>
    <t>BF-609</t>
  </si>
  <si>
    <t>581</t>
  </si>
  <si>
    <t>RL-610</t>
  </si>
  <si>
    <t>582</t>
  </si>
  <si>
    <t>BF-653</t>
  </si>
  <si>
    <t>583</t>
  </si>
  <si>
    <t>WT-652</t>
  </si>
  <si>
    <t>584</t>
  </si>
  <si>
    <t>M-654</t>
  </si>
  <si>
    <t>585</t>
  </si>
  <si>
    <t>RL-655</t>
  </si>
  <si>
    <t>586</t>
  </si>
  <si>
    <t>SU-1022</t>
  </si>
  <si>
    <t>HUB2.5</t>
  </si>
  <si>
    <t>Shaft feeder</t>
  </si>
  <si>
    <t>HUB</t>
  </si>
  <si>
    <t>3502-H2.5G</t>
  </si>
  <si>
    <t>587</t>
  </si>
  <si>
    <t>GR-1023</t>
  </si>
  <si>
    <t>Shaft outside grinding with demagnetize machine</t>
  </si>
  <si>
    <t>588</t>
  </si>
  <si>
    <t>WA-1024</t>
  </si>
  <si>
    <t>Shaft washing machine &amp; ECT</t>
  </si>
  <si>
    <t>589</t>
  </si>
  <si>
    <t>AS-1025</t>
  </si>
  <si>
    <t>Shaft press machine</t>
  </si>
  <si>
    <t>3503-H2.5AI</t>
  </si>
  <si>
    <t>590</t>
  </si>
  <si>
    <t>AS-1026</t>
  </si>
  <si>
    <t>Swaging press machine</t>
  </si>
  <si>
    <t>591</t>
  </si>
  <si>
    <t>CH-1027</t>
  </si>
  <si>
    <t>HUB2.5 Vibration testing machine</t>
  </si>
  <si>
    <t>592</t>
  </si>
  <si>
    <t>AS-1028</t>
  </si>
  <si>
    <t>Flang bolt insertion machine</t>
  </si>
  <si>
    <t>593</t>
  </si>
  <si>
    <t>AS-1029</t>
  </si>
  <si>
    <t>Flange runout inspection machine</t>
  </si>
  <si>
    <t>594</t>
  </si>
  <si>
    <t>AS-1030</t>
  </si>
  <si>
    <t>Encoder seal &amp; magnetic inspection machine</t>
  </si>
  <si>
    <t>595</t>
  </si>
  <si>
    <t>AR-1031</t>
  </si>
  <si>
    <t>Rust prevention machine</t>
  </si>
  <si>
    <t>596</t>
  </si>
  <si>
    <t>CH-1032</t>
  </si>
  <si>
    <t>Final appearance check table machine</t>
  </si>
  <si>
    <t>597</t>
  </si>
  <si>
    <t>SU-1033</t>
  </si>
  <si>
    <t>Outer ring feeder</t>
  </si>
  <si>
    <t>598</t>
  </si>
  <si>
    <t>GR-1034</t>
  </si>
  <si>
    <t>Outer ring outside grinding machine</t>
  </si>
  <si>
    <t>599</t>
  </si>
  <si>
    <t>GR-1035</t>
  </si>
  <si>
    <t>600</t>
  </si>
  <si>
    <t>CH-1036</t>
  </si>
  <si>
    <t>Outer ring inspection machine</t>
  </si>
  <si>
    <t>601</t>
  </si>
  <si>
    <t>GR-1037</t>
  </si>
  <si>
    <t>Outer ring raceway super finishing machine No.1</t>
  </si>
  <si>
    <t>602</t>
  </si>
  <si>
    <t>GR-1038</t>
  </si>
  <si>
    <t>Outer ring raceway super finishing machine No.2</t>
  </si>
  <si>
    <t>603</t>
  </si>
  <si>
    <t>WA-1039</t>
  </si>
  <si>
    <t>Outer ring washing machine &amp; ECT</t>
  </si>
  <si>
    <t>604</t>
  </si>
  <si>
    <t>CH-1040</t>
  </si>
  <si>
    <t>Outer ring appearance check table machine</t>
  </si>
  <si>
    <t>605</t>
  </si>
  <si>
    <t>CH-1041</t>
  </si>
  <si>
    <t>Outside &amp; raceway inspection machine</t>
  </si>
  <si>
    <t>606</t>
  </si>
  <si>
    <t>AS-1042</t>
  </si>
  <si>
    <t>Selection machine</t>
  </si>
  <si>
    <t>607</t>
  </si>
  <si>
    <t>CH-1043</t>
  </si>
  <si>
    <t>BCD Size inspection machine</t>
  </si>
  <si>
    <t>608</t>
  </si>
  <si>
    <t>AS-1044</t>
  </si>
  <si>
    <t>609</t>
  </si>
  <si>
    <t>AS-1045</t>
  </si>
  <si>
    <t>610</t>
  </si>
  <si>
    <t>AS-1046</t>
  </si>
  <si>
    <t>High integral seal press &amp; inspection machine</t>
  </si>
  <si>
    <t>611</t>
  </si>
  <si>
    <t>AS-1047</t>
  </si>
  <si>
    <t>Exterior seal press &amp; inspection machine</t>
  </si>
  <si>
    <t>612</t>
  </si>
  <si>
    <t>CH-1048</t>
  </si>
  <si>
    <t>HUB2 Apperance check table machine</t>
  </si>
  <si>
    <t>613</t>
  </si>
  <si>
    <t>SU-1049</t>
  </si>
  <si>
    <t>Inner ring feeder</t>
  </si>
  <si>
    <t>614</t>
  </si>
  <si>
    <t>L-1050</t>
  </si>
  <si>
    <t>FS4 Type NC lathe  m/c</t>
  </si>
  <si>
    <t>615</t>
  </si>
  <si>
    <t>GR-1051</t>
  </si>
  <si>
    <t>616</t>
  </si>
  <si>
    <t>GR-1052</t>
  </si>
  <si>
    <t>617</t>
  </si>
  <si>
    <t>GR-984</t>
  </si>
  <si>
    <t>618</t>
  </si>
  <si>
    <t>GR-1053</t>
  </si>
  <si>
    <t>Inner raceway super finishing machine</t>
  </si>
  <si>
    <t>619</t>
  </si>
  <si>
    <t>CH-1054</t>
  </si>
  <si>
    <t>Inner ring ECT conveyor</t>
  </si>
  <si>
    <t>620</t>
  </si>
  <si>
    <t>AS-1055</t>
  </si>
  <si>
    <t>BCD Auto assembly machine</t>
  </si>
  <si>
    <t>621</t>
  </si>
  <si>
    <t>WA-1056</t>
  </si>
  <si>
    <t>BCD Finish washing machine</t>
  </si>
  <si>
    <t>622</t>
  </si>
  <si>
    <t>CH-1057</t>
  </si>
  <si>
    <t>BCD Vibration testing machine</t>
  </si>
  <si>
    <t>623</t>
  </si>
  <si>
    <t>CH-1058</t>
  </si>
  <si>
    <t>BCD Apperance check table &amp; BCD carrier</t>
  </si>
  <si>
    <t>624</t>
  </si>
  <si>
    <t>SU-1059</t>
  </si>
  <si>
    <t>HUB2 Conveyor</t>
  </si>
  <si>
    <t>625</t>
  </si>
  <si>
    <t>AS-1066</t>
  </si>
  <si>
    <t>Painting HUB2.5</t>
  </si>
  <si>
    <t>626</t>
  </si>
  <si>
    <t>GR-388</t>
  </si>
  <si>
    <t>HUB3-1</t>
  </si>
  <si>
    <t>Shaft raceway grinding machine.</t>
  </si>
  <si>
    <t>1814-H31G</t>
  </si>
  <si>
    <t>627</t>
  </si>
  <si>
    <t>GR-385</t>
  </si>
  <si>
    <t>Shaft raceway super finish with demagnitizing  machine.</t>
  </si>
  <si>
    <t>628</t>
  </si>
  <si>
    <t>GR-389</t>
  </si>
  <si>
    <t>Outer out side diameter grinding machine.</t>
  </si>
  <si>
    <t>629</t>
  </si>
  <si>
    <t>FI-390</t>
  </si>
  <si>
    <t>Magnet filter coolant tank.</t>
  </si>
  <si>
    <t>630</t>
  </si>
  <si>
    <t>GR-391</t>
  </si>
  <si>
    <t>Hub3 outer ring grinding machine.</t>
  </si>
  <si>
    <t>631</t>
  </si>
  <si>
    <t>FI-392</t>
  </si>
  <si>
    <t>632</t>
  </si>
  <si>
    <t>GR-396</t>
  </si>
  <si>
    <t>B1 inner ring grinding machine.</t>
  </si>
  <si>
    <t>633</t>
  </si>
  <si>
    <t>GR-398</t>
  </si>
  <si>
    <t>B1 inner ring bore grinding machine.</t>
  </si>
  <si>
    <t>634</t>
  </si>
  <si>
    <t>DE-399</t>
  </si>
  <si>
    <t>B1 demagnetizer machine.</t>
  </si>
  <si>
    <t>635</t>
  </si>
  <si>
    <t>GR-400</t>
  </si>
  <si>
    <t>B1 raceway super finish machine.</t>
  </si>
  <si>
    <t>636</t>
  </si>
  <si>
    <t>CH-402</t>
  </si>
  <si>
    <t>Eddy current tester machine.</t>
  </si>
  <si>
    <t>1815-H31AI</t>
  </si>
  <si>
    <t>637</t>
  </si>
  <si>
    <t>CH-403</t>
  </si>
  <si>
    <t>A , B2 &amp;B1 Contact pitch measuring machine.</t>
  </si>
  <si>
    <t>638</t>
  </si>
  <si>
    <t>AS-404</t>
  </si>
  <si>
    <t>Grease injection machine.</t>
  </si>
  <si>
    <t>639</t>
  </si>
  <si>
    <t>AS-405</t>
  </si>
  <si>
    <t>Seal press machine.</t>
  </si>
  <si>
    <t>640</t>
  </si>
  <si>
    <t>CH-406</t>
  </si>
  <si>
    <t>Seal checker machine.</t>
  </si>
  <si>
    <t>641</t>
  </si>
  <si>
    <t>AS-407</t>
  </si>
  <si>
    <t>Inner ring press machine.</t>
  </si>
  <si>
    <t>642</t>
  </si>
  <si>
    <t>AS-408</t>
  </si>
  <si>
    <t>Swing press machine.</t>
  </si>
  <si>
    <t>643</t>
  </si>
  <si>
    <t>CH-409</t>
  </si>
  <si>
    <t>Vibration testing machine.</t>
  </si>
  <si>
    <t>644</t>
  </si>
  <si>
    <t>CH-410</t>
  </si>
  <si>
    <t>Rigidity check machine.</t>
  </si>
  <si>
    <t>645</t>
  </si>
  <si>
    <t>AS-411</t>
  </si>
  <si>
    <t>Bolt press machine.</t>
  </si>
  <si>
    <t>646</t>
  </si>
  <si>
    <t>AS-412</t>
  </si>
  <si>
    <t>Press machine.</t>
  </si>
  <si>
    <t>647</t>
  </si>
  <si>
    <t>CH-413</t>
  </si>
  <si>
    <t>Sensor checker machine.</t>
  </si>
  <si>
    <t>648</t>
  </si>
  <si>
    <t>CH-414</t>
  </si>
  <si>
    <t>Flange run-out measuring machine.</t>
  </si>
  <si>
    <t>649</t>
  </si>
  <si>
    <t>AS-415</t>
  </si>
  <si>
    <t>Ball &amp; Cage assembly machine.</t>
  </si>
  <si>
    <t>650</t>
  </si>
  <si>
    <t>AS-515</t>
  </si>
  <si>
    <t>Press machine No.2</t>
  </si>
  <si>
    <t>651</t>
  </si>
  <si>
    <t>AS-519</t>
  </si>
  <si>
    <t>Painting disk machine.</t>
  </si>
  <si>
    <t>652</t>
  </si>
  <si>
    <t>GR-551</t>
  </si>
  <si>
    <t>Outer ring raceway super finish machine.No.2</t>
  </si>
  <si>
    <t>653</t>
  </si>
  <si>
    <t>CH-685</t>
  </si>
  <si>
    <t>Encoder Check Machine</t>
  </si>
  <si>
    <t>654</t>
  </si>
  <si>
    <t>WA-856</t>
  </si>
  <si>
    <t>Washing equipment m/c</t>
  </si>
  <si>
    <t>655</t>
  </si>
  <si>
    <t>L-904</t>
  </si>
  <si>
    <t>656</t>
  </si>
  <si>
    <t>FI-123</t>
  </si>
  <si>
    <t>657</t>
  </si>
  <si>
    <t>GR-1065</t>
  </si>
  <si>
    <t>Outer ring raceway super finish with demagnetizing</t>
  </si>
  <si>
    <t>658</t>
  </si>
  <si>
    <t>SU-1064</t>
  </si>
  <si>
    <t>Outer feeder</t>
  </si>
  <si>
    <t>659</t>
  </si>
  <si>
    <t>SU-1063</t>
  </si>
  <si>
    <t>660</t>
  </si>
  <si>
    <t>IH-374</t>
  </si>
  <si>
    <t>Induction heat machine.</t>
  </si>
  <si>
    <t>661</t>
  </si>
  <si>
    <t>M-375</t>
  </si>
  <si>
    <t>Magnatic particle examination for B2 machine.</t>
  </si>
  <si>
    <t>662</t>
  </si>
  <si>
    <t>L-376</t>
  </si>
  <si>
    <t>CNC for B2 machine.</t>
  </si>
  <si>
    <t>663</t>
  </si>
  <si>
    <t>IH-382</t>
  </si>
  <si>
    <t>664</t>
  </si>
  <si>
    <t>M-383</t>
  </si>
  <si>
    <t>Magnatic particle examination for A machine.</t>
  </si>
  <si>
    <t>665</t>
  </si>
  <si>
    <t>L-384</t>
  </si>
  <si>
    <t>CNC for A machine.</t>
  </si>
  <si>
    <t>666</t>
  </si>
  <si>
    <t>L-549</t>
  </si>
  <si>
    <t>667</t>
  </si>
  <si>
    <t>L-550</t>
  </si>
  <si>
    <t>CNC for A machine No.2</t>
  </si>
  <si>
    <t>668</t>
  </si>
  <si>
    <t>CU-633</t>
  </si>
  <si>
    <t>Cutting machine.</t>
  </si>
  <si>
    <t>669</t>
  </si>
  <si>
    <t>CU-634</t>
  </si>
  <si>
    <t>Cutting machine No.2</t>
  </si>
  <si>
    <t>670</t>
  </si>
  <si>
    <t>MA-450</t>
  </si>
  <si>
    <t>Outer ring marking machine.</t>
  </si>
  <si>
    <t>671</t>
  </si>
  <si>
    <t>MA-451</t>
  </si>
  <si>
    <t>Inner ring marking machine.</t>
  </si>
  <si>
    <t>672</t>
  </si>
  <si>
    <t>SU-731</t>
  </si>
  <si>
    <t>HUB3-2</t>
  </si>
  <si>
    <t>Spindle feeder</t>
  </si>
  <si>
    <t>1821-H32G</t>
  </si>
  <si>
    <t>673</t>
  </si>
  <si>
    <t>GR-732</t>
  </si>
  <si>
    <t>Spindle raceway grinding machine with demagnetize</t>
  </si>
  <si>
    <t>674</t>
  </si>
  <si>
    <t>FI-488</t>
  </si>
  <si>
    <t>675</t>
  </si>
  <si>
    <t>GR-733</t>
  </si>
  <si>
    <t>Spindle raceway superfinish machine.</t>
  </si>
  <si>
    <t>676</t>
  </si>
  <si>
    <t>WA-734</t>
  </si>
  <si>
    <t>Spindle Washing Equipment</t>
  </si>
  <si>
    <t>677</t>
  </si>
  <si>
    <t>WA-735</t>
  </si>
  <si>
    <t>HUB3 B1Supply,Wash AND ECT Machine</t>
  </si>
  <si>
    <t>678</t>
  </si>
  <si>
    <t>SU-736</t>
  </si>
  <si>
    <t>679</t>
  </si>
  <si>
    <t>GR-737</t>
  </si>
  <si>
    <t>Outer ring datum diameter grinding machine</t>
  </si>
  <si>
    <t>680</t>
  </si>
  <si>
    <t>GR-738</t>
  </si>
  <si>
    <t>Outer ring raceway grinding machine with demagnetize</t>
  </si>
  <si>
    <t>681</t>
  </si>
  <si>
    <t>GR-739</t>
  </si>
  <si>
    <t>Outer ring raceway superfinish machine</t>
  </si>
  <si>
    <t>682</t>
  </si>
  <si>
    <t>WA-740</t>
  </si>
  <si>
    <t>Outer ring Washing Equipment</t>
  </si>
  <si>
    <t>683</t>
  </si>
  <si>
    <t>SU-741</t>
  </si>
  <si>
    <t>Overhead conveyor</t>
  </si>
  <si>
    <t>684</t>
  </si>
  <si>
    <t>AS-1021</t>
  </si>
  <si>
    <t>HUB3 Matching Machine</t>
  </si>
  <si>
    <t>1822-H32AI</t>
  </si>
  <si>
    <t>685</t>
  </si>
  <si>
    <t>AS-743</t>
  </si>
  <si>
    <t>HUB3 Ball Filling Machine</t>
  </si>
  <si>
    <t>686</t>
  </si>
  <si>
    <t>AS-744</t>
  </si>
  <si>
    <t>HUB3 Assembly Machine</t>
  </si>
  <si>
    <t>687</t>
  </si>
  <si>
    <t>CH-745</t>
  </si>
  <si>
    <t>HUB3 Vibration Check Machine</t>
  </si>
  <si>
    <t>688</t>
  </si>
  <si>
    <t>CH-746</t>
  </si>
  <si>
    <t>HUB3 Rigidity Check Machine</t>
  </si>
  <si>
    <t>689</t>
  </si>
  <si>
    <t>AS-747</t>
  </si>
  <si>
    <t>HUB3 Bolt Press Machine</t>
  </si>
  <si>
    <t>690</t>
  </si>
  <si>
    <t>CH-748</t>
  </si>
  <si>
    <t>HUB3 Flange Runout Check Machine</t>
  </si>
  <si>
    <t>691</t>
  </si>
  <si>
    <t>CH-749</t>
  </si>
  <si>
    <t>HUB3 Encoder &amp; Cap Press Inspection Machine</t>
  </si>
  <si>
    <t>692</t>
  </si>
  <si>
    <t>CH-901</t>
  </si>
  <si>
    <t>HUB3 ABS sensor press inspection m/c</t>
  </si>
  <si>
    <t>693</t>
  </si>
  <si>
    <t>AS-902</t>
  </si>
  <si>
    <t>Swaging press m/c</t>
  </si>
  <si>
    <t>694</t>
  </si>
  <si>
    <t>AR-750</t>
  </si>
  <si>
    <t>HUB3 Rust Prevent &amp; Visual Inspection Table</t>
  </si>
  <si>
    <t>695</t>
  </si>
  <si>
    <t>AS-751</t>
  </si>
  <si>
    <t>Press Machine</t>
  </si>
  <si>
    <t>696</t>
  </si>
  <si>
    <t>AS-752</t>
  </si>
  <si>
    <t>Dust Seal Press Machine</t>
  </si>
  <si>
    <t>697</t>
  </si>
  <si>
    <t>CH-753</t>
  </si>
  <si>
    <t>Sensor Check Machine</t>
  </si>
  <si>
    <t>698</t>
  </si>
  <si>
    <t>SU-754</t>
  </si>
  <si>
    <t>699</t>
  </si>
  <si>
    <t>PR-755</t>
  </si>
  <si>
    <t>Broaching Machine</t>
  </si>
  <si>
    <t>700</t>
  </si>
  <si>
    <t>L-756</t>
  </si>
  <si>
    <t>NC Turning for L3 for spindle</t>
  </si>
  <si>
    <t>701</t>
  </si>
  <si>
    <t>SU-757</t>
  </si>
  <si>
    <t>702</t>
  </si>
  <si>
    <t>L-758</t>
  </si>
  <si>
    <t>NC Turning for L3 for outer ring</t>
  </si>
  <si>
    <t>703</t>
  </si>
  <si>
    <t>CH-759</t>
  </si>
  <si>
    <t>Magnetic Particle Flaw Detector for outer ring</t>
  </si>
  <si>
    <t>704</t>
  </si>
  <si>
    <t>IH-760</t>
  </si>
  <si>
    <t>Induction Heat Treatment Machine for outer ring</t>
  </si>
  <si>
    <t>705</t>
  </si>
  <si>
    <t>MA-761</t>
  </si>
  <si>
    <t>Marking Unit for spindle</t>
  </si>
  <si>
    <t>706</t>
  </si>
  <si>
    <t>CH-762</t>
  </si>
  <si>
    <t>Magnetic Particle Flaw Detector for spindle</t>
  </si>
  <si>
    <t>707</t>
  </si>
  <si>
    <t>IH-763</t>
  </si>
  <si>
    <t>Induction Heat Treatment Machine for spindle</t>
  </si>
  <si>
    <t>708</t>
  </si>
  <si>
    <t>MA-764</t>
  </si>
  <si>
    <t>Marking Unit for outer ring</t>
  </si>
  <si>
    <t>709</t>
  </si>
  <si>
    <t>GR-054</t>
  </si>
  <si>
    <t>BWD1</t>
  </si>
  <si>
    <t>BWD</t>
  </si>
  <si>
    <t>1104-BW1G</t>
  </si>
  <si>
    <t>710</t>
  </si>
  <si>
    <t>FI-055</t>
  </si>
  <si>
    <t>Magnet filter coolant tank NO.2</t>
  </si>
  <si>
    <t>711</t>
  </si>
  <si>
    <t>DE-056</t>
  </si>
  <si>
    <t>Outer ring demagnetizing M/C</t>
  </si>
  <si>
    <t>712</t>
  </si>
  <si>
    <t>GR-057</t>
  </si>
  <si>
    <t>713</t>
  </si>
  <si>
    <t>WA-058</t>
  </si>
  <si>
    <t>Outer ring &amp; Inner ring  part wash equipment</t>
  </si>
  <si>
    <t>714</t>
  </si>
  <si>
    <t>GR-062</t>
  </si>
  <si>
    <t>715</t>
  </si>
  <si>
    <t>GR-064</t>
  </si>
  <si>
    <t>716</t>
  </si>
  <si>
    <t>GR-068</t>
  </si>
  <si>
    <t>717</t>
  </si>
  <si>
    <t>WA-072</t>
  </si>
  <si>
    <t>718</t>
  </si>
  <si>
    <t>CH-073</t>
  </si>
  <si>
    <t>Axial clearance inspection equipment</t>
  </si>
  <si>
    <t>1103-BW1AI</t>
  </si>
  <si>
    <t>719</t>
  </si>
  <si>
    <t>CH-074</t>
  </si>
  <si>
    <t>Automation vibra testing M/C</t>
  </si>
  <si>
    <t>720</t>
  </si>
  <si>
    <t>AS-075</t>
  </si>
  <si>
    <t>Grease injection M/C</t>
  </si>
  <si>
    <t>721</t>
  </si>
  <si>
    <t>AS-076</t>
  </si>
  <si>
    <t>Seal press M/C no.1</t>
  </si>
  <si>
    <t>722</t>
  </si>
  <si>
    <t>AS-077</t>
  </si>
  <si>
    <t>Seal press M/C no.2</t>
  </si>
  <si>
    <t>723</t>
  </si>
  <si>
    <t>CH-078</t>
  </si>
  <si>
    <t>Seal checker M/C</t>
  </si>
  <si>
    <t>724</t>
  </si>
  <si>
    <t>CH-079</t>
  </si>
  <si>
    <t>BWD2</t>
  </si>
  <si>
    <t>Seal magnetic M/C</t>
  </si>
  <si>
    <t>1107-BW2AI</t>
  </si>
  <si>
    <t>725</t>
  </si>
  <si>
    <t>CH-080</t>
  </si>
  <si>
    <t>726</t>
  </si>
  <si>
    <t>AS-572</t>
  </si>
  <si>
    <t>Ball &amp; Cage assembly machine</t>
  </si>
  <si>
    <t>727</t>
  </si>
  <si>
    <t>DE-612</t>
  </si>
  <si>
    <t>Demagnetizing for inner ring M/C</t>
  </si>
  <si>
    <t>728</t>
  </si>
  <si>
    <t>MA-611</t>
  </si>
  <si>
    <t>729</t>
  </si>
  <si>
    <t>CH-941</t>
  </si>
  <si>
    <t>Outer &amp; Inner Eddy curent tester m/c</t>
  </si>
  <si>
    <t>730</t>
  </si>
  <si>
    <t>GR-147</t>
  </si>
  <si>
    <t>1106-BW2G</t>
  </si>
  <si>
    <t>731</t>
  </si>
  <si>
    <t>DE-149</t>
  </si>
  <si>
    <t>732</t>
  </si>
  <si>
    <t>GR-150</t>
  </si>
  <si>
    <t>733</t>
  </si>
  <si>
    <t>WA-151</t>
  </si>
  <si>
    <t>Outer  ring &amp; Inner ring  part  wash  equipment</t>
  </si>
  <si>
    <t>734</t>
  </si>
  <si>
    <t>GR-155</t>
  </si>
  <si>
    <t>Inner  ring  raceway  grinding  M/C</t>
  </si>
  <si>
    <t>735</t>
  </si>
  <si>
    <t>GR-983</t>
  </si>
  <si>
    <t>Inner  ring  bore  grinding M/C (Over haul)</t>
  </si>
  <si>
    <t>736</t>
  </si>
  <si>
    <t>GR-161</t>
  </si>
  <si>
    <t>Inner  ring  raceway  super  finish  M/C</t>
  </si>
  <si>
    <t>737</t>
  </si>
  <si>
    <t>WA-505</t>
  </si>
  <si>
    <t>738</t>
  </si>
  <si>
    <t>CH-166</t>
  </si>
  <si>
    <t>Axial  clearance  inspection  equipment</t>
  </si>
  <si>
    <t>739</t>
  </si>
  <si>
    <t>CH-167</t>
  </si>
  <si>
    <t>Automation  vibration  testing M/C</t>
  </si>
  <si>
    <t>740</t>
  </si>
  <si>
    <t>AS-168</t>
  </si>
  <si>
    <t>741</t>
  </si>
  <si>
    <t>AS-169</t>
  </si>
  <si>
    <t>Seal  press  No.1 M/C</t>
  </si>
  <si>
    <t>742</t>
  </si>
  <si>
    <t>AS-170</t>
  </si>
  <si>
    <t>Seal  press No.2  M/C</t>
  </si>
  <si>
    <t>743</t>
  </si>
  <si>
    <t>CH-171</t>
  </si>
  <si>
    <t>Seal  checker  M/C</t>
  </si>
  <si>
    <t>744</t>
  </si>
  <si>
    <t>CH-172</t>
  </si>
  <si>
    <t>745</t>
  </si>
  <si>
    <t>AS-573</t>
  </si>
  <si>
    <t>CD Assembly</t>
  </si>
  <si>
    <t>746</t>
  </si>
  <si>
    <t>DE-066</t>
  </si>
  <si>
    <t>Demagnetizing  for  inner  ring  M/C</t>
  </si>
  <si>
    <t>747</t>
  </si>
  <si>
    <t>MA-619</t>
  </si>
  <si>
    <t>Laser marking machine</t>
  </si>
  <si>
    <t>748</t>
  </si>
  <si>
    <t>FI-205</t>
  </si>
  <si>
    <t>Magnet filter coolant tamk No.6</t>
  </si>
  <si>
    <t>749</t>
  </si>
  <si>
    <t>CH-942</t>
  </si>
  <si>
    <t>750</t>
  </si>
  <si>
    <t>CH-967</t>
  </si>
  <si>
    <t>Seal  Magnetic m/c</t>
  </si>
  <si>
    <t>Seal Magnetic MC</t>
  </si>
  <si>
    <t>751</t>
  </si>
  <si>
    <t>GR-487</t>
  </si>
  <si>
    <t>BWD3</t>
  </si>
  <si>
    <t>1109-BW3G</t>
  </si>
  <si>
    <t>752</t>
  </si>
  <si>
    <t>DE-489</t>
  </si>
  <si>
    <t>Outer ring demagnetizing machine.</t>
  </si>
  <si>
    <t>753</t>
  </si>
  <si>
    <t>GR-490</t>
  </si>
  <si>
    <t>754</t>
  </si>
  <si>
    <t>WA-491</t>
  </si>
  <si>
    <t>Outer/Inner ring part wash equipment</t>
  </si>
  <si>
    <t>755</t>
  </si>
  <si>
    <t>GR-495</t>
  </si>
  <si>
    <t>756</t>
  </si>
  <si>
    <t>GR-497</t>
  </si>
  <si>
    <t>Inner ring bore grinding machine.</t>
  </si>
  <si>
    <t>757</t>
  </si>
  <si>
    <t>DE-499</t>
  </si>
  <si>
    <t>Inner  ring demagnetizing machine.</t>
  </si>
  <si>
    <t>758</t>
  </si>
  <si>
    <t>GR-501</t>
  </si>
  <si>
    <t>759</t>
  </si>
  <si>
    <t>WA-165</t>
  </si>
  <si>
    <t>1110-BW3AI</t>
  </si>
  <si>
    <t>760</t>
  </si>
  <si>
    <t>CH-506</t>
  </si>
  <si>
    <t>761</t>
  </si>
  <si>
    <t>CH-507</t>
  </si>
  <si>
    <t>Automation vibration testing machine.</t>
  </si>
  <si>
    <t>762</t>
  </si>
  <si>
    <t>AS-508</t>
  </si>
  <si>
    <t>763</t>
  </si>
  <si>
    <t>AS-509</t>
  </si>
  <si>
    <t>Seal press No.1 machine.</t>
  </si>
  <si>
    <t>764</t>
  </si>
  <si>
    <t>AS-510</t>
  </si>
  <si>
    <t>Seal press No.2 machine.</t>
  </si>
  <si>
    <t>765</t>
  </si>
  <si>
    <t>CH-511</t>
  </si>
  <si>
    <t>766</t>
  </si>
  <si>
    <t>CH-512</t>
  </si>
  <si>
    <t>Seal magnetic machine.</t>
  </si>
  <si>
    <t>767</t>
  </si>
  <si>
    <t>CH-513</t>
  </si>
  <si>
    <t>768</t>
  </si>
  <si>
    <t>AS-574</t>
  </si>
  <si>
    <t>769</t>
  </si>
  <si>
    <t>MA-620</t>
  </si>
  <si>
    <t>770</t>
  </si>
  <si>
    <t>FI-148</t>
  </si>
  <si>
    <t>Magnet  filter  coolant  tank  NO.5</t>
  </si>
  <si>
    <t>771</t>
  </si>
  <si>
    <t>CH-945</t>
  </si>
  <si>
    <t>Outer/Inner ring Eddy current tester machine</t>
  </si>
  <si>
    <t>772</t>
  </si>
  <si>
    <t>KT-769</t>
  </si>
  <si>
    <t>KWDL2-3</t>
  </si>
  <si>
    <t>A-CNC Turning Machine</t>
  </si>
  <si>
    <t>KWDL</t>
  </si>
  <si>
    <t>773</t>
  </si>
  <si>
    <t>KT-770</t>
  </si>
  <si>
    <t>B-CNC Turning Machine No.1</t>
  </si>
  <si>
    <t>774</t>
  </si>
  <si>
    <t>KT-771</t>
  </si>
  <si>
    <t>B-CNC Turning Machine No.2</t>
  </si>
  <si>
    <t>775</t>
  </si>
  <si>
    <t>KT-772</t>
  </si>
  <si>
    <t>KWDL2-4</t>
  </si>
  <si>
    <t>776</t>
  </si>
  <si>
    <t>KT-773</t>
  </si>
  <si>
    <t>777</t>
  </si>
  <si>
    <t>KT-774</t>
  </si>
  <si>
    <t>778</t>
  </si>
  <si>
    <t>CH-1067</t>
  </si>
  <si>
    <t>Dimension checker machine</t>
  </si>
  <si>
    <t>779</t>
  </si>
  <si>
    <t>COM-1-1</t>
  </si>
  <si>
    <t>UTILITY</t>
  </si>
  <si>
    <t>UT</t>
  </si>
  <si>
    <t>Air  Compressor</t>
  </si>
  <si>
    <t>780</t>
  </si>
  <si>
    <t>SU-1068</t>
  </si>
  <si>
    <t>NB Grinding1</t>
  </si>
  <si>
    <t>Outer ring work feeder L</t>
  </si>
  <si>
    <t>NB</t>
  </si>
  <si>
    <t>3606-NB1GA</t>
  </si>
  <si>
    <t>781</t>
  </si>
  <si>
    <t>GR-1069</t>
  </si>
  <si>
    <t>Outer ring raceway grinding machine L</t>
  </si>
  <si>
    <t>782</t>
  </si>
  <si>
    <t>GR-1070</t>
  </si>
  <si>
    <t>Outer ring raceway super finish machine L</t>
  </si>
  <si>
    <t>783</t>
  </si>
  <si>
    <t>SU-1071</t>
  </si>
  <si>
    <t>Inner ring work feeder L</t>
  </si>
  <si>
    <t>784</t>
  </si>
  <si>
    <t>GR-1072</t>
  </si>
  <si>
    <t>Inner ring raceway grinding machine L</t>
  </si>
  <si>
    <t>785</t>
  </si>
  <si>
    <t>GR-1073</t>
  </si>
  <si>
    <t>Inner ring bore grinding machine L</t>
  </si>
  <si>
    <t>786</t>
  </si>
  <si>
    <t>CH-1074</t>
  </si>
  <si>
    <t>Inner ring bore inspection equipment L</t>
  </si>
  <si>
    <t>787</t>
  </si>
  <si>
    <t>GR-1075</t>
  </si>
  <si>
    <t>Inner ring raceway super finish machine L</t>
  </si>
  <si>
    <t>788</t>
  </si>
  <si>
    <t>SU-1076</t>
  </si>
  <si>
    <t>Outer ring work feeder R</t>
  </si>
  <si>
    <t>789</t>
  </si>
  <si>
    <t>GR-1077</t>
  </si>
  <si>
    <t>Outer ring raceway grinding machine R</t>
  </si>
  <si>
    <t>790</t>
  </si>
  <si>
    <t>GR-1078</t>
  </si>
  <si>
    <t>Outer ring raceway super finish machine R</t>
  </si>
  <si>
    <t>791</t>
  </si>
  <si>
    <t>SU-1079</t>
  </si>
  <si>
    <t>Inner ring work feeder R</t>
  </si>
  <si>
    <t>792</t>
  </si>
  <si>
    <t>GR-1080</t>
  </si>
  <si>
    <t>Inner ring raceway grinding machine R</t>
  </si>
  <si>
    <t>793</t>
  </si>
  <si>
    <t>GR-1081</t>
  </si>
  <si>
    <t>Inner ring bore grinding machine R</t>
  </si>
  <si>
    <t>794</t>
  </si>
  <si>
    <t>CH-1082</t>
  </si>
  <si>
    <t>Inner ring bore inspection equipment R</t>
  </si>
  <si>
    <t>795</t>
  </si>
  <si>
    <t>GR-1083</t>
  </si>
  <si>
    <t>Inner ring raceway super finish machine R</t>
  </si>
  <si>
    <t>796</t>
  </si>
  <si>
    <t>SU-1086</t>
  </si>
  <si>
    <t>NB Assambly1</t>
  </si>
  <si>
    <t>INNER RING / OUTER RING AUTO SUPPLY</t>
  </si>
  <si>
    <t>3605-NB1AI</t>
  </si>
  <si>
    <t>797</t>
  </si>
  <si>
    <t>WA-1087</t>
  </si>
  <si>
    <t>PARTS WASHING MACHINE</t>
  </si>
  <si>
    <t>798</t>
  </si>
  <si>
    <t>CH-1088</t>
  </si>
  <si>
    <t>EDDY CURRENT TESTER</t>
  </si>
  <si>
    <t>799</t>
  </si>
  <si>
    <t>AS-1089</t>
  </si>
  <si>
    <t>AUTOMATIIC SELECTION MATCHING MACHINE</t>
  </si>
  <si>
    <t>800</t>
  </si>
  <si>
    <t>AS-1090</t>
  </si>
  <si>
    <t>AUTOMATIC ASSEMBLY MACHINE</t>
  </si>
  <si>
    <t>801</t>
  </si>
  <si>
    <t>SU-1091</t>
  </si>
  <si>
    <t>BALL HOPPER</t>
  </si>
  <si>
    <t>802</t>
  </si>
  <si>
    <t>AS-1092</t>
  </si>
  <si>
    <t>RIVET PRESS MACHINE</t>
  </si>
  <si>
    <t>803</t>
  </si>
  <si>
    <t>WA-1093</t>
  </si>
  <si>
    <t>JET WASHING MACHINE FOR #608</t>
  </si>
  <si>
    <t>804</t>
  </si>
  <si>
    <t>CH-1094</t>
  </si>
  <si>
    <t>MESIN ME612</t>
  </si>
  <si>
    <t>805</t>
  </si>
  <si>
    <t>WA-1095</t>
  </si>
  <si>
    <t>UNIT MACHINE (PART &amp; EQUIPMENT)TYPE M/C WF-610</t>
  </si>
  <si>
    <t>806</t>
  </si>
  <si>
    <t>CH-1096</t>
  </si>
  <si>
    <t>AUTOMATIC VIBRATION SELECTING MACHINE</t>
  </si>
  <si>
    <t>807</t>
  </si>
  <si>
    <t>CH-1097</t>
  </si>
  <si>
    <t>BEARING VIBRATION TESTER</t>
  </si>
  <si>
    <t>808</t>
  </si>
  <si>
    <t>CH-1098</t>
  </si>
  <si>
    <t>DIRECTIONAL ALIGNMENT MACHINE</t>
  </si>
  <si>
    <t>809</t>
  </si>
  <si>
    <t>WA-1099</t>
  </si>
  <si>
    <t>CENTRIFUGAL WASHING MACHINE</t>
  </si>
  <si>
    <t>810</t>
  </si>
  <si>
    <t>MA-1100</t>
  </si>
  <si>
    <t>LASER MARKER HANDLER</t>
  </si>
  <si>
    <t>811</t>
  </si>
  <si>
    <t>CH-1101</t>
  </si>
  <si>
    <t>AUTOMATIC VISUAL INSPECTION MACHINE</t>
  </si>
  <si>
    <t>812</t>
  </si>
  <si>
    <t>CH-1102</t>
  </si>
  <si>
    <t>ANRITSU WEIGHER KWS6001BF04+CONVEYOR REJECT</t>
  </si>
  <si>
    <t>813</t>
  </si>
  <si>
    <t>CH-1103</t>
  </si>
  <si>
    <t>UNIT MACHINE (PART &amp; EQUIPMENT)TYPE M/C PO-611V</t>
  </si>
  <si>
    <t>814</t>
  </si>
  <si>
    <t>CH-1104</t>
  </si>
  <si>
    <t>UNIT MACHINE (PART &amp; EQUIPMENT)TYPE M/C PG-610</t>
  </si>
  <si>
    <t>815</t>
  </si>
  <si>
    <t>GR-932</t>
  </si>
  <si>
    <t>Inner ring rib grinding machine (Over haul)</t>
  </si>
  <si>
    <t>816</t>
  </si>
  <si>
    <t>GR-933</t>
  </si>
  <si>
    <t>-</t>
  </si>
  <si>
    <t>Outer ring raceway grinding machine (Over haul)</t>
  </si>
  <si>
    <t>817</t>
  </si>
  <si>
    <t>GR-807</t>
  </si>
  <si>
    <t>818</t>
  </si>
  <si>
    <t>GR-977</t>
  </si>
  <si>
    <t>Inner ring raceway grinding machine (Over haul)</t>
  </si>
  <si>
    <t>819</t>
  </si>
  <si>
    <t>GR-157</t>
  </si>
  <si>
    <t>Inner  ring  bore  grinding M/C</t>
  </si>
  <si>
    <t>821</t>
  </si>
  <si>
    <t>AS-1085</t>
  </si>
  <si>
    <t>Robot work transfer</t>
  </si>
  <si>
    <t>822</t>
  </si>
  <si>
    <t>TOOLING</t>
  </si>
  <si>
    <t>Tooling Engineer</t>
  </si>
  <si>
    <t>Outer ring raceway Grinding</t>
  </si>
  <si>
    <t>2108-EMTC</t>
  </si>
  <si>
    <t>824</t>
  </si>
  <si>
    <t>BP-OR-KWD-45KWD10</t>
  </si>
  <si>
    <t>Tool (เครื่องมือ)</t>
  </si>
  <si>
    <t>Backing plate</t>
  </si>
  <si>
    <t>827</t>
  </si>
  <si>
    <t>SU-1130</t>
  </si>
  <si>
    <t>NB Grinding2</t>
  </si>
  <si>
    <t>OUTER RING WORK FEEDER</t>
  </si>
  <si>
    <t>3610-NB2GA</t>
  </si>
  <si>
    <t>828</t>
  </si>
  <si>
    <t>GR-1131</t>
  </si>
  <si>
    <t>OUTER RING RACEWAY GRINDING MACHINE</t>
  </si>
  <si>
    <t>829</t>
  </si>
  <si>
    <t>GR-1132</t>
  </si>
  <si>
    <t>OUTER RING RACEWAY SUPERFINISH MACHINE</t>
  </si>
  <si>
    <t>830</t>
  </si>
  <si>
    <t>SU-1133</t>
  </si>
  <si>
    <t>Support</t>
  </si>
  <si>
    <t>INNER RING WORK FEEDER</t>
  </si>
  <si>
    <t>831</t>
  </si>
  <si>
    <t>GR-1134</t>
  </si>
  <si>
    <t>INNER RING RACEWAY GRINDING MACHINE</t>
  </si>
  <si>
    <t>832</t>
  </si>
  <si>
    <t>GR-1135</t>
  </si>
  <si>
    <t>INNER RING BORE GRINDING MACHINE</t>
  </si>
  <si>
    <t>833</t>
  </si>
  <si>
    <t>CH-1136</t>
  </si>
  <si>
    <t>INNER RING BORE INSPECTION EQUIPMENT</t>
  </si>
  <si>
    <t>834</t>
  </si>
  <si>
    <t>GR-1137</t>
  </si>
  <si>
    <t>INNER RING RACEWAY SUPERFINISH MACHINE</t>
  </si>
  <si>
    <t>835</t>
  </si>
  <si>
    <t>GR-1138</t>
  </si>
  <si>
    <t>CR1</t>
  </si>
  <si>
    <t>CR</t>
  </si>
  <si>
    <t>1608-CR1G</t>
  </si>
  <si>
    <t>836</t>
  </si>
  <si>
    <t>DE-1139</t>
  </si>
  <si>
    <t>Demagnetizing for outer ring</t>
  </si>
  <si>
    <t>837</t>
  </si>
  <si>
    <t>GR-1140</t>
  </si>
  <si>
    <t>838</t>
  </si>
  <si>
    <t>GR-1141</t>
  </si>
  <si>
    <t>839</t>
  </si>
  <si>
    <t>DE-1142</t>
  </si>
  <si>
    <t>Demagnetizing for inner ring</t>
  </si>
  <si>
    <t>840</t>
  </si>
  <si>
    <t>GR-1143</t>
  </si>
  <si>
    <t>Inner ring raceway super finish machine</t>
  </si>
  <si>
    <t>841</t>
  </si>
  <si>
    <t>WA-1144</t>
  </si>
  <si>
    <t>Washer</t>
  </si>
  <si>
    <t>Part washing</t>
  </si>
  <si>
    <t>842</t>
  </si>
  <si>
    <t>CH-1145</t>
  </si>
  <si>
    <t>Outer/Inner E.C.T.</t>
  </si>
  <si>
    <t>843</t>
  </si>
  <si>
    <t>AS-1146</t>
  </si>
  <si>
    <t>1609-CR1AI</t>
  </si>
  <si>
    <t>844</t>
  </si>
  <si>
    <t>AS-1147</t>
  </si>
  <si>
    <t>ACD. Assembly+Ball hopper</t>
  </si>
  <si>
    <t>ACD Assembly</t>
  </si>
  <si>
    <t>845</t>
  </si>
  <si>
    <t>WA-1148</t>
  </si>
  <si>
    <t>Deoiler</t>
  </si>
  <si>
    <t>846</t>
  </si>
  <si>
    <t>AS-1149</t>
  </si>
  <si>
    <t>Seal press No.1</t>
  </si>
  <si>
    <t>Seal S1</t>
  </si>
  <si>
    <t>847</t>
  </si>
  <si>
    <t>AS-1150</t>
  </si>
  <si>
    <t>Shrink fitting</t>
  </si>
  <si>
    <t>848</t>
  </si>
  <si>
    <t>AS-1151</t>
  </si>
  <si>
    <t>Grease injection</t>
  </si>
  <si>
    <t>849</t>
  </si>
  <si>
    <t>AS-1152</t>
  </si>
  <si>
    <t>Seal press No.2</t>
  </si>
  <si>
    <t>Seal S3 Press</t>
  </si>
  <si>
    <t>850</t>
  </si>
  <si>
    <t>CH-1153</t>
  </si>
  <si>
    <t>Seal position check</t>
  </si>
  <si>
    <t>Seal S3 Check</t>
  </si>
  <si>
    <t>851</t>
  </si>
  <si>
    <t>CH-1154</t>
  </si>
  <si>
    <t>852</t>
  </si>
  <si>
    <t>CH-1155</t>
  </si>
  <si>
    <t>Noise manual inspection</t>
  </si>
  <si>
    <t>853</t>
  </si>
  <si>
    <t>CH-1156</t>
  </si>
  <si>
    <t>854</t>
  </si>
  <si>
    <t>CH-1157</t>
  </si>
  <si>
    <t>Bearing visual inspection</t>
  </si>
  <si>
    <t>Visual bearing table</t>
  </si>
  <si>
    <t>855</t>
  </si>
  <si>
    <t>CH-1158</t>
  </si>
  <si>
    <t>Spring insert &amp; Drag check</t>
  </si>
  <si>
    <t>Spring Presss&amp;Drag check</t>
  </si>
  <si>
    <t>856</t>
  </si>
  <si>
    <t>MA-1159</t>
  </si>
  <si>
    <t>857</t>
  </si>
  <si>
    <t>AS-1160</t>
  </si>
  <si>
    <t>Clip assembly table</t>
  </si>
  <si>
    <t>Clip Assy Table</t>
  </si>
  <si>
    <t>858</t>
  </si>
  <si>
    <t>AR-1161</t>
  </si>
  <si>
    <t>Auto visual &amp; Antri rust</t>
  </si>
  <si>
    <t>Auto visual &amp; Anti Rust Auto</t>
  </si>
  <si>
    <t>0</t>
  </si>
  <si>
    <t>.</t>
  </si>
  <si>
    <t>859</t>
  </si>
  <si>
    <t>GR-1169</t>
  </si>
  <si>
    <t>CR2</t>
  </si>
  <si>
    <t>1611-CR2G</t>
  </si>
  <si>
    <t>860</t>
  </si>
  <si>
    <t>DE-1170</t>
  </si>
  <si>
    <t>861</t>
  </si>
  <si>
    <t>GR-1171</t>
  </si>
  <si>
    <t>862</t>
  </si>
  <si>
    <t>GR-1203</t>
  </si>
  <si>
    <t>863</t>
  </si>
  <si>
    <t>DE-1173</t>
  </si>
  <si>
    <t>864</t>
  </si>
  <si>
    <t>GR-1200</t>
  </si>
  <si>
    <t>865</t>
  </si>
  <si>
    <t>WA-1175</t>
  </si>
  <si>
    <t>Outer ring Part wash equipment</t>
  </si>
  <si>
    <t>866</t>
  </si>
  <si>
    <t>CH-1176</t>
  </si>
  <si>
    <t>E.C.T.for inner ring</t>
  </si>
  <si>
    <t>867</t>
  </si>
  <si>
    <t>AS-1177</t>
  </si>
  <si>
    <t>1612-CR2AI</t>
  </si>
  <si>
    <t>868</t>
  </si>
  <si>
    <t>AS-1178</t>
  </si>
  <si>
    <t>869</t>
  </si>
  <si>
    <t>WA-1179</t>
  </si>
  <si>
    <t>870</t>
  </si>
  <si>
    <t>AS-1180</t>
  </si>
  <si>
    <t>Seal insert and inspection</t>
  </si>
  <si>
    <t>Seal S1 Check</t>
  </si>
  <si>
    <t>871</t>
  </si>
  <si>
    <t>AS-1181</t>
  </si>
  <si>
    <t>872</t>
  </si>
  <si>
    <t>AS-1182</t>
  </si>
  <si>
    <t>873</t>
  </si>
  <si>
    <t>AS-1183</t>
  </si>
  <si>
    <t>874</t>
  </si>
  <si>
    <t>CH-1184</t>
  </si>
  <si>
    <t>Automatic vibration testing</t>
  </si>
  <si>
    <t>875</t>
  </si>
  <si>
    <t>CH-1185</t>
  </si>
  <si>
    <t>876</t>
  </si>
  <si>
    <t>CH-1186</t>
  </si>
  <si>
    <t>visual table</t>
  </si>
  <si>
    <t>877</t>
  </si>
  <si>
    <t>CH-1187</t>
  </si>
  <si>
    <t>878</t>
  </si>
  <si>
    <t>MA-1188</t>
  </si>
  <si>
    <t>879</t>
  </si>
  <si>
    <t>AS-1189</t>
  </si>
  <si>
    <t>880</t>
  </si>
  <si>
    <t>AR-1190</t>
  </si>
  <si>
    <t>881</t>
  </si>
  <si>
    <t>AS-1110</t>
  </si>
  <si>
    <t>NB Packing1</t>
  </si>
  <si>
    <t>AUTO PACKING</t>
  </si>
  <si>
    <t>882</t>
  </si>
  <si>
    <t>AS-1111</t>
  </si>
  <si>
    <t>AUTO WEIGHT CHECKER</t>
  </si>
  <si>
    <t>883</t>
  </si>
  <si>
    <t>CH-1106</t>
  </si>
  <si>
    <t>Auto count outlet</t>
  </si>
  <si>
    <t>YMQ</t>
  </si>
  <si>
    <t>Auto count outley</t>
  </si>
  <si>
    <t>884</t>
  </si>
  <si>
    <t>GR - 028</t>
  </si>
  <si>
    <t>G1</t>
  </si>
  <si>
    <t>Double - Disk Grinding machine for surface (V - 5C)</t>
  </si>
  <si>
    <t>1904-G1SU1</t>
  </si>
  <si>
    <t>885</t>
  </si>
  <si>
    <t>GR - 029</t>
  </si>
  <si>
    <t>Double - Disk Grinding machine for surface (DSG - 23LV)</t>
  </si>
  <si>
    <t>1905-G1SU2</t>
  </si>
  <si>
    <t>886</t>
  </si>
  <si>
    <t>GR - 030</t>
  </si>
  <si>
    <t>Out diameter grinding machine (OD1 Rough)</t>
  </si>
  <si>
    <t>1909-G1OD1</t>
  </si>
  <si>
    <t>887</t>
  </si>
  <si>
    <t>GR - 031</t>
  </si>
  <si>
    <t>Out diameter grinding machine (OD1  Finish)</t>
  </si>
  <si>
    <t>888</t>
  </si>
  <si>
    <t>AR - 246</t>
  </si>
  <si>
    <t>Rust  Prevention  M/C (OD1)</t>
  </si>
  <si>
    <t>889</t>
  </si>
  <si>
    <t>AR - 247</t>
  </si>
  <si>
    <t>Rust  Prevention  M/C (OD3)</t>
  </si>
  <si>
    <t>890</t>
  </si>
  <si>
    <t>AR - 681</t>
  </si>
  <si>
    <t>Rust  Prevention  M/C (surface)</t>
  </si>
  <si>
    <t>891</t>
  </si>
  <si>
    <t>GR - 249</t>
  </si>
  <si>
    <t>Out  diameter  grinding  M/C (OD2 Finish)</t>
  </si>
  <si>
    <t>1910-G1OD2</t>
  </si>
  <si>
    <t>892</t>
  </si>
  <si>
    <t>GR - 309</t>
  </si>
  <si>
    <t>Out diameter grinding machine (OD1 Middle)</t>
  </si>
  <si>
    <t>893</t>
  </si>
  <si>
    <t>GR - 335</t>
  </si>
  <si>
    <t>Double - Disk Grinding machine (surface) (GR - 335)</t>
  </si>
  <si>
    <t>1906-G1SU3</t>
  </si>
  <si>
    <t>894</t>
  </si>
  <si>
    <t>GR - 521</t>
  </si>
  <si>
    <t>Out  diameter  grinding  M/C (OD3 Rough)</t>
  </si>
  <si>
    <t>1911-G1OD3</t>
  </si>
  <si>
    <t>895</t>
  </si>
  <si>
    <t>GR - 522</t>
  </si>
  <si>
    <t>Out  diameter  grinding  M/C (OD3 Middle)</t>
  </si>
  <si>
    <t>896</t>
  </si>
  <si>
    <t>GR-1084</t>
  </si>
  <si>
    <t>Out  diameter  grinding  M/C (OD2 Rough)</t>
  </si>
  <si>
    <t>897</t>
  </si>
  <si>
    <t>GR-960</t>
  </si>
  <si>
    <t>Out diameter grinding machine (OD2 Middle)</t>
  </si>
  <si>
    <t>898</t>
  </si>
  <si>
    <t>GR-854</t>
  </si>
  <si>
    <t>Double - Disk Grinding machine (surface) (GR-854)</t>
  </si>
  <si>
    <t>899</t>
  </si>
  <si>
    <t>GR-855</t>
  </si>
  <si>
    <t>Out diameter grinding machine (OD3 finish)</t>
  </si>
  <si>
    <t>900</t>
  </si>
  <si>
    <t>GR-915</t>
  </si>
  <si>
    <t>Double - Disk Grinding machine (surface) (GR-915)</t>
  </si>
  <si>
    <t>1912-G1SU6</t>
  </si>
  <si>
    <t>901</t>
  </si>
  <si>
    <t>GR-1127</t>
  </si>
  <si>
    <t>Horizental Double Disc Grinding M/C (surface)</t>
  </si>
  <si>
    <t>902</t>
  </si>
  <si>
    <t>SU-1168</t>
  </si>
  <si>
    <t>Auto supply HDG-760T machine (surface)</t>
  </si>
  <si>
    <t>903</t>
  </si>
  <si>
    <t>SU-1126</t>
  </si>
  <si>
    <t>Counter part machine (OD2)</t>
  </si>
  <si>
    <t>904</t>
  </si>
  <si>
    <t>SU-1167</t>
  </si>
  <si>
    <t>Auto supply DSG-2N[A] machine (surface)</t>
  </si>
  <si>
    <t>905</t>
  </si>
  <si>
    <t>SU-1165</t>
  </si>
  <si>
    <t>Auto supply (OD2)</t>
  </si>
  <si>
    <t>906</t>
  </si>
  <si>
    <t>SU-1164</t>
  </si>
  <si>
    <t>Auto supply (OD1)</t>
  </si>
  <si>
    <t>907</t>
  </si>
  <si>
    <t>AR-638</t>
  </si>
  <si>
    <t>Rust  Prevention (surface)</t>
  </si>
  <si>
    <t>908</t>
  </si>
  <si>
    <t>SU-1192</t>
  </si>
  <si>
    <t>Auto supply part for V-5C (surface)</t>
  </si>
  <si>
    <t>920</t>
  </si>
  <si>
    <t>AS-1201</t>
  </si>
  <si>
    <t>AUTOMATIC GRASPIG AND PRESSING BUSH</t>
  </si>
  <si>
    <t>MA-1202</t>
  </si>
  <si>
    <t>MA-1112</t>
  </si>
  <si>
    <t>PK-1500</t>
  </si>
  <si>
    <t>Packing Table M/C</t>
  </si>
  <si>
    <t>PK-1501</t>
  </si>
  <si>
    <t>PK-1502</t>
  </si>
  <si>
    <t>PK-1503</t>
  </si>
  <si>
    <t>PK-1504</t>
  </si>
  <si>
    <t>PK-1505</t>
  </si>
  <si>
    <t>PK-1506</t>
  </si>
  <si>
    <t>PK-1507</t>
  </si>
  <si>
    <t>PK-1508</t>
  </si>
  <si>
    <t>PK-1509</t>
  </si>
  <si>
    <t>PK-1510</t>
  </si>
  <si>
    <t>PK-1511</t>
  </si>
  <si>
    <t>PK-1512</t>
  </si>
  <si>
    <t>PK-1513</t>
  </si>
  <si>
    <t>PK-1514</t>
  </si>
  <si>
    <t>PK-1515</t>
  </si>
  <si>
    <t>PK-1516</t>
  </si>
  <si>
    <t>PK-1517</t>
  </si>
  <si>
    <t>PK-1518</t>
  </si>
  <si>
    <t>PK-1519</t>
  </si>
  <si>
    <t>PK-1520</t>
  </si>
  <si>
    <t>PK-1521</t>
  </si>
  <si>
    <t>PK-1522</t>
  </si>
  <si>
    <t>HT1</t>
  </si>
  <si>
    <t>Reject</t>
  </si>
  <si>
    <t>HT2</t>
  </si>
  <si>
    <t>HT3</t>
  </si>
  <si>
    <t>HT4</t>
  </si>
  <si>
    <t>HT5</t>
  </si>
  <si>
    <t>PK-1523</t>
  </si>
  <si>
    <t>Packing HUB2.5</t>
  </si>
  <si>
    <t>New</t>
  </si>
  <si>
    <t>AS-1109</t>
  </si>
  <si>
    <t>Auto bag sealer</t>
  </si>
  <si>
    <t>Packing-FAC2</t>
  </si>
  <si>
    <t>SU-1204</t>
  </si>
  <si>
    <t>AUTO SUPPLY FOR HDG-760C</t>
  </si>
  <si>
    <t>AUTO SUPPLY</t>
  </si>
  <si>
    <t>WA-766</t>
  </si>
  <si>
    <t>Snapring</t>
  </si>
  <si>
    <t>Noise manual inspection Snap ring press</t>
  </si>
  <si>
    <t>AS-767</t>
  </si>
  <si>
    <t>Antirus prevention machine</t>
  </si>
  <si>
    <t>AS-768</t>
  </si>
  <si>
    <t>Snap ring press</t>
  </si>
  <si>
    <t>ML-1193</t>
  </si>
  <si>
    <t>TOOL Shop</t>
  </si>
  <si>
    <t>Vertical milling machine</t>
  </si>
  <si>
    <t>Tooling</t>
  </si>
  <si>
    <t>CNCTU-1194</t>
  </si>
  <si>
    <t>CNC Turning  center machine</t>
  </si>
  <si>
    <t>LA-1195</t>
  </si>
  <si>
    <t>High speed precision lathe machine</t>
  </si>
  <si>
    <t>CNCML-1196</t>
  </si>
  <si>
    <t>Vertical machining center machine</t>
  </si>
  <si>
    <t>SGR-1197</t>
  </si>
  <si>
    <t>Surface grinding machine</t>
  </si>
  <si>
    <t>WC-1198</t>
  </si>
  <si>
    <t>CNC Wide-Cut machine</t>
  </si>
  <si>
    <t>ODGR-1199</t>
  </si>
  <si>
    <t>OD grinding machine</t>
  </si>
  <si>
    <t>LA-307</t>
  </si>
  <si>
    <t>Horizontal Lathe M/C</t>
  </si>
  <si>
    <t>GR - 032</t>
  </si>
  <si>
    <t>Shue grinding machine.</t>
  </si>
  <si>
    <t>GR - 033</t>
  </si>
  <si>
    <t>Rotary surface grinding machine.</t>
  </si>
  <si>
    <t>MI-306</t>
  </si>
  <si>
    <t xml:space="preserve">Knee - type vertical milling machine. </t>
  </si>
  <si>
    <t>GR-308</t>
  </si>
  <si>
    <t>Surface grinding machine.</t>
  </si>
  <si>
    <t>GR-514</t>
  </si>
  <si>
    <t>High precision universal cylindrical grinding machine.</t>
  </si>
  <si>
    <t>GR-658</t>
  </si>
  <si>
    <t>Cylindical grinding machine.</t>
  </si>
  <si>
    <t>MI-659</t>
  </si>
  <si>
    <t xml:space="preserve">Vertical milling machine. </t>
  </si>
  <si>
    <t>LA-670</t>
  </si>
  <si>
    <t>Horizontal lathe machine.</t>
  </si>
  <si>
    <t>BS-671</t>
  </si>
  <si>
    <t xml:space="preserve">Vertical Band saw machine. </t>
  </si>
  <si>
    <t>HS-674</t>
  </si>
  <si>
    <t>Hack saw machine.</t>
  </si>
  <si>
    <t>DR-672</t>
  </si>
  <si>
    <t>Drill Press machine.</t>
  </si>
  <si>
    <t>DR-673</t>
  </si>
  <si>
    <t>Gaered Head drill press machine.</t>
  </si>
  <si>
    <t>LA-564</t>
  </si>
  <si>
    <t>METAL LATHES MACHINE  : GH-1640 ZC</t>
  </si>
  <si>
    <t>DR-568</t>
  </si>
  <si>
    <t>CYCLEMATIC DRILLING MACHINE</t>
  </si>
  <si>
    <t>MI-563</t>
  </si>
  <si>
    <t xml:space="preserve">VERTICAL MILLING MACHINE </t>
  </si>
  <si>
    <t>ALL-001</t>
  </si>
  <si>
    <t>ALL FACTORY</t>
  </si>
  <si>
    <t>ALL MACHINE</t>
  </si>
  <si>
    <t>2501-PD</t>
  </si>
  <si>
    <t>ALL-002</t>
  </si>
  <si>
    <t>1900-G1</t>
  </si>
  <si>
    <t>ALL-003</t>
  </si>
  <si>
    <t>2000-HT</t>
  </si>
  <si>
    <t>ALL-004</t>
  </si>
  <si>
    <t>1300-MCB</t>
  </si>
  <si>
    <t>ALL-005</t>
  </si>
  <si>
    <t>1400-WP</t>
  </si>
  <si>
    <t>ALL-006</t>
  </si>
  <si>
    <t>1800-HUB3</t>
  </si>
  <si>
    <t>ALL-007</t>
  </si>
  <si>
    <t>1000-KWD</t>
  </si>
  <si>
    <t>ALL-008</t>
  </si>
  <si>
    <t>1200-SB</t>
  </si>
  <si>
    <t>ALL-009</t>
  </si>
  <si>
    <t>1603-CR</t>
  </si>
  <si>
    <t>ALL-010</t>
  </si>
  <si>
    <t>3400-SR</t>
  </si>
  <si>
    <t>ALL-011</t>
  </si>
  <si>
    <t>ALL-012</t>
  </si>
  <si>
    <t>1100- BWD</t>
  </si>
  <si>
    <t>ALL-013</t>
  </si>
  <si>
    <t>Packing Service</t>
  </si>
  <si>
    <t>SP-0001</t>
  </si>
  <si>
    <t>Carts Supply</t>
  </si>
  <si>
    <t>SP-0002</t>
  </si>
  <si>
    <t>CTG-001</t>
  </si>
  <si>
    <t>Central Grease KWD</t>
  </si>
  <si>
    <t>CTG-002</t>
  </si>
  <si>
    <t>Central Grease SB/MCB</t>
  </si>
  <si>
    <t>BG-001</t>
  </si>
  <si>
    <t>BELT FILTER G1 NO.1</t>
  </si>
  <si>
    <t>BG-002</t>
  </si>
  <si>
    <t>BELT FILTER G1 NO.2</t>
  </si>
  <si>
    <t>CTG-003</t>
  </si>
  <si>
    <t>Central Grease HUB</t>
  </si>
  <si>
    <t>CTO-001</t>
  </si>
  <si>
    <t>Central OIL NO.2</t>
  </si>
  <si>
    <t>CTO-002</t>
  </si>
  <si>
    <t>Central OIL NO.3</t>
  </si>
  <si>
    <t>รายงานความพร้อมของข้อมูล / Data Readiness Report</t>
  </si>
  <si>
    <t>แหล่งข้อมูล: ชีต 'query (2)' ตาราง Table_query__2 — สแกนทุกแถว ไม่ได้สุ่มตัวอย่าง</t>
  </si>
  <si>
    <t>1. ภาพรวม / Overview</t>
  </si>
  <si>
    <t>จำนวนแถวข้อมูล (Rows)</t>
  </si>
  <si>
    <t>จำนวนคอลัมน์ (Columns)</t>
  </si>
  <si>
    <t>QR_Code_List ที่ไม่ว่าง (non-blank)</t>
  </si>
  <si>
    <t>QR_Code_List ที่ไม่ซ้ำ (unique)</t>
  </si>
  <si>
    <t>รหัสที่ซ้ำ (duplicate codes)</t>
  </si>
  <si>
    <t>CH-523, MA-635, CH-093 (แต่ละรหัสปรากฏ 2 ครั้ง)</t>
  </si>
  <si>
    <t>แถวที่มีอักษรไทย (Thai script)</t>
  </si>
  <si>
    <t>คอลัมน์ตัวเลขสำหรับหายอดรวมธุรกิจ</t>
  </si>
  <si>
    <t>ไม่มีคอลัมน์ตัวเลขจริงเลย → ทำ tie-out ยอดรวมไม่ได้ วิเคราะห์ได้แค่การนับ</t>
  </si>
  <si>
    <t>2. โปรไฟล์รายคอลัมน์ / Per-column profile</t>
  </si>
  <si>
    <t>คอลัมน์</t>
  </si>
  <si>
    <t>มีค่า</t>
  </si>
  <si>
    <t>ว่าง</t>
  </si>
  <si>
    <t>% ความสมบูรณ์</t>
  </si>
  <si>
    <t>ค่าที่ต่างกัน</t>
  </si>
  <si>
    <t>สรุป</t>
  </si>
  <si>
    <t>เหตุผล / สิ่งที่พบ</t>
  </si>
  <si>
    <t>⚠️</t>
  </si>
  <si>
    <t>เลขรันที่เก็บเป็น "ข้อความ" ทั้งหมด (887 เซลล์) + ว่าง 86 แถว → เรียง/กรองตัวเลขไม่ได้ ใช้เป็น key ไม่ได้</t>
  </si>
  <si>
    <t>คอลัมน์ที่เหมาะเป็น key มากที่สุด แต่มีซ้ำ 3 รหัส (6 แถว) และว่าง 2 แถว; 4 แถวไม่มี prefix หมวดหมู่</t>
  </si>
  <si>
    <t>มี 5 ค่าจริง (FACTORY1/2/3, ALL FACTORY, UTILITY, TOOLING) แต่มีค่าขยะ "-" 2 แถว และ "." 1 แถว</t>
  </si>
  <si>
    <t>53 ค่า ตั้งชื่อไม่มีมาตรฐาน (HUB2.5 vs HUB3-1, "NB Assambly1" สะกดผิด, "TOOL Shop"/"Tooling Engineer") + ค่าขยะ "." 1 แถว</t>
  </si>
  <si>
    <t>❌</t>
  </si>
  <si>
    <t>มีเพียง 3 ค่า (Assembly 508, Grinding 2 358, Grinding 1 38) ว่าง 69 แถว — เป็นกลุ่มงาน ไม่ใช่ชื่อผู้รับผิดชอบ → ตอบคำถาม "ใครดูแลเครื่องนี้" ไม่ได้</t>
  </si>
  <si>
    <t>ว่าง 62 แถว และ 13 เซลล์มีช่องว่างหัว/ท้ายหรือซ้อน → ต้อง TRIM ก่อน group</t>
  </si>
  <si>
    <t>828 จาก 973 แถว (85.1%) เป็น "Other (อื่นๆ)" → แทบไม่มีคุณค่าในการจำแนกหรือทำ filter</t>
  </si>
  <si>
    <t>✅</t>
  </si>
  <si>
    <t>คอลัมน์คำอธิบายหลักของเครื่องจักร เติม 99.8% แต่ 211 เซลล์มีช่องว่างเกิน; มี 8 แถวอ้างอิงรหัส QR อื่นในวงเล็บ</t>
  </si>
  <si>
    <t>ว่าง 34 แถว ซึ่ง 29 แถวมี Department อยู่ → เติมอัตโนมัติจาก prefix ของ Department ได้; พบขัดกัน 1 แถว (แถว 862: HT vs YMQ)</t>
  </si>
  <si>
    <t>ว่าง 254 แถว (26.1%) → ใช้เป็นข้อมูลเสริมได้ แต่อย่าใช้เป็นมิติหลักของรายงาน</t>
  </si>
  <si>
    <t>ว่าง 881 แถว (90.5%) มีค่าเพียง 92 แถว (Approve 46 / New 40 / Reject 6) → สรุปสถานะเครื่องทั้งโรงงานไม่ได้</t>
  </si>
  <si>
    <t>ค่าเดียวทั้งคอลัมน์ ("Item") → ไม่มีข้อมูล ตัดออกจากชุดข้อมูลสะอาด</t>
  </si>
  <si>
    <t>ค่าเดียวทั้งคอลัมน์ (SharePoint list path) → metadata ไม่ใช่ข้อมูลธุรกิจ ตัดออก</t>
  </si>
  <si>
    <t>3. สิ่งที่ต้องแก้ / Issues &amp; proposed fixes</t>
  </si>
  <si>
    <t>ระดับ</t>
  </si>
  <si>
    <t>ปัญหา</t>
  </si>
  <si>
    <t>จำนวน</t>
  </si>
  <si>
    <t>วิธีแก้ที่เสนอ</t>
  </si>
  <si>
    <t>สูง</t>
  </si>
  <si>
    <t>QR_Code_List ซ้ำ — เป็น primary key ไม่ได้ทันที</t>
  </si>
  <si>
    <t>3 รหัส / 6 แถว</t>
  </si>
  <si>
    <t>สร้างคอลัมน์ Dup_Count + Row_Key (รหัส + ลำดับ) และติดธง DUPLICATE_QR — ไม่ลบแถวให้เอง</t>
  </si>
  <si>
    <t>Status ว่างเกือบทั้งคอลัมน์</t>
  </si>
  <si>
    <t>881 / 973 (90.5%)</t>
  </si>
  <si>
    <t>เติม "NOT_SPECIFIED" และติดธง MISSING_STATUS — ห้ามเดาค่า</t>
  </si>
  <si>
    <t>No เป็นตัวเลขที่เก็บเป็นข้อความ + ว่าง</t>
  </si>
  <si>
    <t>887 text / 86 ว่าง</t>
  </si>
  <si>
    <t>แปลงเป็นตัวเลขจริงด้วย VALUE() และเลิกใช้เป็น key</t>
  </si>
  <si>
    <t>กลาง</t>
  </si>
  <si>
    <t>ช่องว่างเกิน/ท้ายช่องว่าง → group ผิด</t>
  </si>
  <si>
    <t>211 (Remark) + 13 (Cost_Center) + 7</t>
  </si>
  <si>
    <t>ใช้ TRIM(UPPER(...)) ทุกคอลัมน์ข้อความ</t>
  </si>
  <si>
    <t>ค่า placeholder "-" และ "." ใน Location/Department</t>
  </si>
  <si>
    <t>8 เซลล์</t>
  </si>
  <si>
    <t>แปลงเป็น "UNKNOWN" ตามรายการ Invalid_Placeholders ใน Cleaning_Rules</t>
  </si>
  <si>
    <t>Section ว่างแต่ Department มีค่า</t>
  </si>
  <si>
    <t>29 แถว</t>
  </si>
  <si>
    <t>สร้าง Section_Derived จาก prefix ตัวอักษรของ Department และติดธง SECTION_DERIVED</t>
  </si>
  <si>
    <t>Department ตั้งชื่อไม่เป็นมาตรฐาน (สะกดผิด/ตัวคั่น)</t>
  </si>
  <si>
    <t>53 ค่า</t>
  </si>
  <si>
    <t>แมพค่าที่รู้จักผิด (Assambly→Assembly) ผ่านตาราง Dept_Map ที่แก้เพิ่มเองได้</t>
  </si>
  <si>
    <t>ต่ำ</t>
  </si>
  <si>
    <t>Item Type / Path เป็นค่าเดียวทั้งคอลัมน์</t>
  </si>
  <si>
    <t>973 แถว</t>
  </si>
  <si>
    <t>ตัดออกจากชุดข้อมูลสะอาด</t>
  </si>
  <si>
    <t>วงเล็บใน Remark — ส่วนใหน่เป็น spec เครื่องจริง</t>
  </si>
  <si>
    <t>(SURFACE) 9, (OVER HAUL) 5, (AUTO) 3, (2 HEAD) 5, (OD1..3), (LINE 1/2)</t>
  </si>
  <si>
    <t>เก็บไว้ตามเดิม — ไม่ตัดวงเล็บทิ้งทั้งหมด; ดึงเฉพาะ (XX-000) 8 แถวออกเป็น Related_QR_Ref</t>
  </si>
  <si>
    <t>4. สรุปความพร้อม / Verdict</t>
  </si>
  <si>
    <t>การใช้งาน</t>
  </si>
  <si>
    <t>เหตุผล</t>
  </si>
  <si>
    <t>ทะเบียนทรัพย์สิน / นับจำนวนเครื่อง</t>
  </si>
  <si>
    <t>✅ พร้อมหลังทำความสะอาด</t>
  </si>
  <si>
    <t>QR/Location/Department/Section เติม &gt;96% — นับเครื่องตามโรงงาน/แผนก/กลุ่มงานได้</t>
  </si>
  <si>
    <t>ค้นหาเครื่องจาก QR หรือชื่อ</t>
  </si>
  <si>
    <t>✅ พร้อม</t>
  </si>
  <si>
    <t>Remark_List เติม 99.8% เป็นชื่อเครื่องที่ใช้ค้นหาได้จริง</t>
  </si>
  <si>
    <t>Chatbot / RAG (ถามตอบข้อมูลเครื่องจักร)</t>
  </si>
  <si>
    <t>⚠️ พร้อมหลังทำคอลัมน์ Search_Text</t>
  </si>
  <si>
    <t>ต้องรวมหลายคอลัมน์เป็นข้อความเดียวก่อน embed; 829 แถวมีอักษรไทย → ต้องใช้ embedding model ที่รองรับหลายภาษา</t>
  </si>
  <si>
    <t>ติดตาสถานะอนุมัติ/สถานะเครื่อง</t>
  </si>
  <si>
    <t>❌ ทำไม่ได้</t>
  </si>
  <si>
    <t>Status มีข้อมูลเพียง 9.5% — สรุปภาพรวมจะบิดเบี้ยวหนัก</t>
  </si>
  <si>
    <t>วิเคราะห์เชิงมูลค่า/หาสินทรัพย์</t>
  </si>
  <si>
    <t>ไม่มีคอลัมน์ตัวเลขเลย (ไม่มีราคา, จำนวน, วันที่ติดตั้ง/PM)</t>
  </si>
  <si>
    <t>วิเคราะห์การบำรุงรักษา (PM)</t>
  </si>
  <si>
    <t>ไม่มีคอลัมน์วันที่/รอบ PM หรือประวัติการซ่อมในชุดนี้</t>
  </si>
  <si>
    <t>สรุป: ชุดข้อมูลนี้เป็น "ทะเบียนเครื่องจักร (machine master)" ที่ใช้ได้หลังทำความสะอาด แต่ไม่ใช่ชุดข้อมูลเชิงสถิติ/ทรัพย์สิน</t>
  </si>
  <si>
    <t>ค่าที่ไม่ใช้ข้อมูลจริง</t>
  </si>
  <si>
    <t>N/A</t>
  </si>
  <si>
    <t>NA</t>
  </si>
  <si>
    <t>TBD</t>
  </si>
  <si>
    <t>NULL</t>
  </si>
  <si>
    <t>ค่าเดิม (UPPER)</t>
  </si>
  <si>
    <t>ค่ามาตรฐาน</t>
  </si>
  <si>
    <t>NB ASSAMBLY1</t>
  </si>
  <si>
    <t>NB ASSEMBLY1</t>
  </si>
  <si>
    <t>WP ASSAMBLY1</t>
  </si>
  <si>
    <t>WP ASSEMBLY1</t>
  </si>
  <si>
    <t>WP ASSAMBLY2</t>
  </si>
  <si>
    <t>WP ASSEMBLY2</t>
  </si>
  <si>
    <t>TOOL SHOP</t>
  </si>
  <si>
    <t>TOOLING SHOP</t>
  </si>
  <si>
    <t>TOOLING ENGINEER</t>
  </si>
  <si>
    <t>APPROVE</t>
  </si>
  <si>
    <t>APPROVED</t>
  </si>
  <si>
    <t>NEW</t>
  </si>
  <si>
    <t>REJECT</t>
  </si>
  <si>
    <t>REJECTED</t>
  </si>
  <si>
    <t>หมายเหตุ</t>
  </si>
  <si>
    <t>OTHER (อื่นๆ)</t>
  </si>
  <si>
    <t>OTHER</t>
  </si>
  <si>
    <t>828 แถว — ไม่ช่วยจำแนก</t>
  </si>
  <si>
    <t>TOOL (เครื่องมือ)</t>
  </si>
  <si>
    <t>TOOL</t>
  </si>
  <si>
    <t>GRIDLING</t>
  </si>
  <si>
    <t>GRINDING</t>
  </si>
  <si>
    <t>สะกดผิดในข้อมูลต้นทาง</t>
  </si>
  <si>
    <t>CHECK</t>
  </si>
  <si>
    <t>ASSEMBLY</t>
  </si>
  <si>
    <t>MAGNET FILLTER COOLANT TANK</t>
  </si>
  <si>
    <t>MAGNET FILTER COOLANT TANK</t>
  </si>
  <si>
    <t>DEMAGNETIZING MACHINE</t>
  </si>
  <si>
    <t>WASHER</t>
  </si>
  <si>
    <t>SUPPORT</t>
  </si>
  <si>
    <t>กฎ 6 — อ้างอิง prefix รหัส QR (ให้ผู้ใช้กรอกความหมาย)</t>
  </si>
  <si>
    <t>Prefix</t>
  </si>
  <si>
    <t>จำนวนแถว</t>
  </si>
  <si>
    <t>ความหมาย / ประเภทเครื่อง (กรอกเอง)</t>
  </si>
  <si>
    <t>CH</t>
  </si>
  <si>
    <t>GR</t>
  </si>
  <si>
    <t>AS</t>
  </si>
  <si>
    <t>WA</t>
  </si>
  <si>
    <t>DE</t>
  </si>
  <si>
    <t>SU</t>
  </si>
  <si>
    <t>MA</t>
  </si>
  <si>
    <t>PK</t>
  </si>
  <si>
    <t>FI</t>
  </si>
  <si>
    <t>AR</t>
  </si>
  <si>
    <t>ALL</t>
  </si>
  <si>
    <t>L</t>
  </si>
  <si>
    <t>M</t>
  </si>
  <si>
    <t>KT</t>
  </si>
  <si>
    <t>BF</t>
  </si>
  <si>
    <t>IH</t>
  </si>
  <si>
    <t>LA</t>
  </si>
  <si>
    <t>BL</t>
  </si>
  <si>
    <t>RL</t>
  </si>
  <si>
    <t>MI</t>
  </si>
  <si>
    <t>DR</t>
  </si>
  <si>
    <t>CTG</t>
  </si>
  <si>
    <t>PA</t>
  </si>
  <si>
    <t>CU</t>
  </si>
  <si>
    <t>(ไม่มี prefix)</t>
  </si>
  <si>
    <t>SP</t>
  </si>
  <si>
    <t>BG</t>
  </si>
  <si>
    <t>CTO</t>
  </si>
  <si>
    <t>PR</t>
  </si>
  <si>
    <t>COM</t>
  </si>
  <si>
    <t>BP</t>
  </si>
  <si>
    <t>ML</t>
  </si>
  <si>
    <t>CNCTU</t>
  </si>
  <si>
    <t>CNCML</t>
  </si>
  <si>
    <t>SGR</t>
  </si>
  <si>
    <t>WC</t>
  </si>
  <si>
    <t>ODGR</t>
  </si>
  <si>
    <t>BS</t>
  </si>
  <si>
    <t>HS</t>
  </si>
  <si>
    <t>หลักการคำนวณ (อธิบายเป็นภาษาคน)</t>
  </si>
  <si>
    <t>Row_Key</t>
  </si>
  <si>
    <t>รหัส QR ต่อท้ายด้วยเลขแถวต้นทาง — ใช้เป็น key ที่ไม่ซ้ำแน่นอน แม้รหัส QR จะซ้ำ</t>
  </si>
  <si>
    <t>QR_Prefix</t>
  </si>
  <si>
    <t>Dup_QR_Count</t>
  </si>
  <si>
    <t>นับจำนวนครั้งที่รหัส QR นี้ปรากฏในชุดข้อมูล ถ้ามากกว่า 1 = ซ้ำ</t>
  </si>
  <si>
    <t>Section_Derived</t>
  </si>
  <si>
    <t>ถ้า Section มีค่าใช้ค่านั้น ถ้าว่างจึงอนุมานจากตัวอักษรนำหน้าของ Department (เช่น KWD4 → KWD) — ค่าที่อนุมานจะติดธง SECTION_DERIVED</t>
  </si>
  <si>
    <t>Factory_Group</t>
  </si>
  <si>
    <t>จัดกลุ่มโรงงานจาก Location_Clean — FACTORY1/2/3 = โรงงานผลิต, ALL FACTORY/UTILITY/TOOLING = สนับสนุน, อื่นๆ = UNKNOWN</t>
  </si>
  <si>
    <t>Machine_Desc_Clean</t>
  </si>
  <si>
    <t>Related_QR_Ref</t>
  </si>
  <si>
    <t>Search_Text</t>
  </si>
  <si>
    <t>รวมทุกคอลัมน์ข้อความด้วย TEXTJOIN คั่นด้วย " | " สำหรับทำ embedding หรือค้นหาข้อความ</t>
  </si>
  <si>
    <t>Quality_Flag</t>
  </si>
  <si>
    <t>รวมปัญหาทุกอย่างของแถวนั้น คั่นด้วย "; " — ถ้าว่าง = แถวสะอาดสมบูรณ์ (กรองค่าว่างเพื่อดูแถวที่ผ่าน)</t>
  </si>
  <si>
    <t>QR_Code_Clean</t>
  </si>
  <si>
    <t>QR_Code_Raw</t>
  </si>
  <si>
    <t>No_Clean</t>
  </si>
  <si>
    <t>Location_Clean</t>
  </si>
  <si>
    <t>Location_Raw</t>
  </si>
  <si>
    <t>Department_Clean</t>
  </si>
  <si>
    <t>Department_Raw</t>
  </si>
  <si>
    <t>Dept_Prefix</t>
  </si>
  <si>
    <t>Section_Clean</t>
  </si>
  <si>
    <t>Section_Source</t>
  </si>
  <si>
    <t>Responsible_Group</t>
  </si>
  <si>
    <t>Cost_Center_Clean</t>
  </si>
  <si>
    <t>Category_Clean</t>
  </si>
  <si>
    <t>Machine_Desc_Raw</t>
  </si>
  <si>
    <t>Production_Name_Clean</t>
  </si>
  <si>
    <t>Status_Clean</t>
  </si>
  <si>
    <t>Info_Note</t>
  </si>
  <si>
    <t>5. การตรวจสอบยอด / Tie-out ระหว่างชีตต้นทางกับ Machine_Clean</t>
  </si>
  <si>
    <t>รายการตรวจ</t>
  </si>
  <si>
    <t>ต้นทาง</t>
  </si>
  <si>
    <t>Machine_Clean</t>
  </si>
  <si>
    <t>ผล</t>
  </si>
  <si>
    <t>แถวที่ Location = FACTORY2</t>
  </si>
  <si>
    <t>แถวที่ Status = Approve</t>
  </si>
  <si>
    <t>แถวที่หมวด = Other (อื่นๆ)</t>
  </si>
  <si>
    <t>QR ที่มีค่า (non-blank)</t>
  </si>
  <si>
    <t>สรุปคุณภาพแถวหลังทำความสะอาด</t>
  </si>
  <si>
    <t>แถวสะอาดสมบูรณ์ (Quality_Flag ว่าง)</t>
  </si>
  <si>
    <t>แถวที่ติดธงปัญหา</t>
  </si>
  <si>
    <t>MISSING_NO</t>
  </si>
  <si>
    <t>MISSING_RESPONSIBLE</t>
  </si>
  <si>
    <t>MISSING_COST_CENTER</t>
  </si>
  <si>
    <t>DUPLICATE_QR</t>
  </si>
  <si>
    <t>MISSING_DEPARTMENT / MISSING_SECTION / MISSING_LOCATION / MISSING_QR</t>
  </si>
  <si>
    <t>ข้อจำกัด: ชีต Machine_Clean ใช้สูตรอ้างอิงแบบแถวต่อแถว — หากเพิ่มข้อมูลใหม่ใน 'query (2)' ต้องลากสูตรลงมาให้ครบแถวด้วย</t>
  </si>
  <si>
    <t>Related_QR_Ref ดึงได้ 7 จาก 8 แถว — แถวที่มีวงเล็บเว้นช่องว่าง เช่น "(GR - 335)" ไม่เข้ารูปแบบ ต้องแก้ที่ต้นทางหรือปรับสูตร</t>
  </si>
  <si>
    <t>ตารางกฎการทำความสะอาด / Cleaning Rules</t>
  </si>
  <si>
    <t>⚠️ หากต้องเพิ่มกฎ ให้แทรกแถว (Insert Row) กลางช่วงที่มีค่าอยู่เท่านั้น ห้ามเพิ่มต่อท้ายช่วง — แถวว่างในช่วง lookup จะทำให้ผลลัพธ์เพี้ยน</t>
  </si>
  <si>
    <t>กฎ 1 — ค่า placeholder ที่ถือเสมือนว่าง (Invalid_Placeholders)</t>
  </si>
  <si>
    <t>กฎ 2 — แมพค่า Location มาตรฐาน (Location_Map)</t>
  </si>
  <si>
    <t>กฎ 3 — แก้ชื่อ Department ที่สะกดผิด/ไม่ตรงมาตรฐาน (Department_Map)</t>
  </si>
  <si>
    <t>กฎ 4 — แมพค่า Status (Status_Map)</t>
  </si>
  <si>
    <t>กฎ 5 — แมพค่า Name_List เป็นหมวดมาตรฐาน (Category_Map)</t>
  </si>
  <si>
    <t>กฎ 7 — คำอธิบายคอลัมน์ที่สร้างขึ้นใหม่ (Derived columns)</t>
  </si>
  <si>
    <t>ตัวอักษรนำหน้าของรหัส QR ก่อนเครื่องหมายลบ (เช่น CH-523 → CH) อ้างอิงความหมายตามกฎ 6</t>
  </si>
  <si>
    <t>Remark_List ที่ TRIM + UPPER แล้ว — ไม่ตัดวงเล็บออก เพราะส่วนใหญ่เป็น spec จริง เช่น (SURFACE), (2 HEAD), (OD1)</t>
  </si>
  <si>
    <t>ดึงรหัส QR อื่นที่ถูกฝังในวงเล็บของ Remark เช่น (WA-132) — ต้นทางมี 8 แถว สูตรดึงได้ 7 แถว (แบบที่มีเว้นวรรค เช่น "(GR - 335)" ไม่เข้ารูปแบบ)</t>
  </si>
  <si>
    <t>ปัญหาเชิงระบบที่เกิดกับข้อมูลส่วนใหญ่ (Status ว่าง, หมวด OTHER, ชื่อสายการผลิตว่าง, Section ที่อนุมาน) — แยกออกจาก Quality_Flag เพื่อให้กรองแถวเสียจริงๆ ได้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</si>
</sst>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rgb="FF1F3864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rgb="FFC00000"/>
      <name val="Aptos Narrow"/>
      <family val="2"/>
      <scheme val="minor"/>
    </font>
    <font>
      <b/>
      <sz val="11"/>
      <color rgb="FFBF8F00"/>
      <name val="Aptos Narrow"/>
      <family val="2"/>
      <scheme val="minor"/>
    </font>
    <font>
      <b/>
      <sz val="11"/>
      <color rgb="FF375623"/>
      <name val="Aptos Narrow"/>
      <family val="2"/>
      <scheme val="minor"/>
    </font>
    <font>
      <b/>
      <sz val="11"/>
      <color rgb="FF1F3864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8000"/>
      <name val="Aptos Narrow"/>
      <family val="2"/>
      <scheme val="minor"/>
    </font>
    <font>
      <i/>
      <sz val="11"/>
      <color rgb="FFBF8F0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49" fontId="0" fillId="0" borderId="0" xfId="0" applyNumberFormat="1"/>
    <xf numFmtId="0" fontId="20" fillId="33" borderId="0" xfId="0" applyFont="1" applyFill="1"/>
    <xf numFmtId="0" fontId="16" fillId="0" borderId="0" xfId="0" applyFont="1"/>
    <xf numFmtId="0" fontId="16" fillId="34" borderId="0" xfId="0" applyFont="1" applyFill="1"/>
    <xf numFmtId="164" fontId="0" fillId="0" borderId="0" xfId="0" applyNumberFormat="1"/>
    <xf numFmtId="0" fontId="18" fillId="0" borderId="0" xfId="0" applyFont="1" applyAlignment="1">
      <alignment vertical="top"/>
    </xf>
    <xf numFmtId="0" fontId="0" fillId="0" borderId="0" xfId="0" applyAlignment="1">
      <alignment vertical="top"/>
    </xf>
    <xf numFmtId="0" fontId="19" fillId="0" borderId="0" xfId="0" applyFont="1" applyAlignment="1">
      <alignment vertical="top"/>
    </xf>
    <xf numFmtId="0" fontId="20" fillId="33" borderId="0" xfId="0" applyFont="1" applyFill="1" applyAlignment="1">
      <alignment vertical="top"/>
    </xf>
    <xf numFmtId="0" fontId="0" fillId="0" borderId="0" xfId="0" applyNumberFormat="1" applyAlignment="1">
      <alignment vertical="top"/>
    </xf>
    <xf numFmtId="0" fontId="21" fillId="0" borderId="0" xfId="0" applyFont="1" applyAlignment="1">
      <alignment vertical="top"/>
    </xf>
    <xf numFmtId="0" fontId="16" fillId="34" borderId="0" xfId="0" applyFont="1" applyFill="1" applyAlignment="1">
      <alignment vertical="top"/>
    </xf>
    <xf numFmtId="0" fontId="16" fillId="34" borderId="0" xfId="0" applyNumberFormat="1" applyFont="1" applyFill="1" applyAlignment="1">
      <alignment vertical="top"/>
    </xf>
    <xf numFmtId="164" fontId="0" fillId="0" borderId="0" xfId="0" applyNumberFormat="1" applyAlignment="1">
      <alignment vertical="top"/>
    </xf>
    <xf numFmtId="0" fontId="24" fillId="0" borderId="0" xfId="0" applyFont="1" applyAlignment="1">
      <alignment vertical="top"/>
    </xf>
    <xf numFmtId="0" fontId="25" fillId="0" borderId="0" xfId="0" applyFont="1" applyAlignment="1">
      <alignment vertical="top"/>
    </xf>
    <xf numFmtId="0" fontId="26" fillId="0" borderId="0" xfId="0" applyFont="1" applyAlignment="1">
      <alignment vertical="top"/>
    </xf>
    <xf numFmtId="0" fontId="27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24" fillId="35" borderId="0" xfId="0" applyFont="1" applyFill="1"/>
    <xf numFmtId="0" fontId="24" fillId="35" borderId="0" xfId="0" applyFont="1" applyFill="1" applyAlignment="1">
      <alignment vertical="top"/>
    </xf>
    <xf numFmtId="0" fontId="28" fillId="33" borderId="0" xfId="0" applyFont="1" applyFill="1" applyAlignment="1">
      <alignment vertical="top"/>
    </xf>
    <xf numFmtId="0" fontId="16" fillId="34" borderId="0" xfId="0" applyFont="1" applyFill="1" applyAlignment="1">
      <alignment vertical="top" wrapText="1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2">
    <dxf>
      <font>
        <b/>
        <i val="0"/>
        <color rgb="FFC00000"/>
      </font>
    </dxf>
    <dxf>
      <fill>
        <patternFill patternType="solid">
          <fgColor indexed="64"/>
          <bgColor rgb="FFFCE4E4"/>
        </patternFill>
      </fill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b/>
      </font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2)" backgroundRefresh="0" connectionId="1" xr16:uid="{721729A2-E53C-44F0-B8B2-87699DBF8F55}" autoFormatId="16" applyNumberFormats="0" applyBorderFormats="0" applyFontFormats="0" applyPatternFormats="0" applyAlignmentFormats="0" applyWidthHeightFormats="0">
  <queryTableRefresh nextId="14">
    <queryTableFields count="13">
      <queryTableField id="1" name="No" tableColumnId="1"/>
      <queryTableField id="4" name="QR_Code_List" tableColumnId="2"/>
      <queryTableField id="5" name="Location_List" tableColumnId="3"/>
      <queryTableField id="6" name="Department_List" tableColumnId="4"/>
      <queryTableField id="11" name="RESPONSIBLE" tableColumnId="5"/>
      <queryTableField id="13" name="Cost_Center" tableColumnId="6"/>
      <queryTableField id="7" name="Name_List" tableColumnId="7"/>
      <queryTableField id="8" name="Remark_List" tableColumnId="8"/>
      <queryTableField id="9" name="Section" tableColumnId="9"/>
      <queryTableField id="10" name="Name_Machine_Production" tableColumnId="10"/>
      <queryTableField id="12" name="Status" tableColumnId="11"/>
      <queryTableField id="3" name="Item Type" tableColumnId="12"/>
      <queryTableField id="2" name="Path" tableColumnId="1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C40C6D-3CE6-4F32-91C2-38AD7F8724CD}" name="Table_Machine_Clean" displayName="Table_Machine_Clean" ref="A1:Y974" totalsRowShown="0" headerRowDxfId="28" dataDxfId="6">
  <autoFilter ref="A1:Y974" xr:uid="{AFC40C6D-3CE6-4F32-91C2-38AD7F8724CD}"/>
  <tableColumns count="25">
    <tableColumn id="1" xr3:uid="{D32CB0B0-DA2B-4D81-9000-78A97CEB98FA}" name="Row_Key" dataDxfId="27">
      <calculatedColumnFormula>IF($B2="","NO_QR#"&amp;TEXT(ROW()-1,"0000"),$B2&amp;"#"&amp;TEXT(ROW()-1,"0000"))</calculatedColumnFormula>
    </tableColumn>
    <tableColumn id="2" xr3:uid="{7AFB80B5-39C6-4A59-975D-C7FD892393EF}" name="QR_Code_Clean" dataDxfId="26">
      <calculatedColumnFormula>IF('query (2)'!B2="","",TRIM(UPPER('query (2)'!B2)))</calculatedColumnFormula>
    </tableColumn>
    <tableColumn id="3" xr3:uid="{773CEB84-B5CE-4699-B379-475855D4A929}" name="QR_Code_Raw" dataDxfId="5">
      <calculatedColumnFormula>IF('query (2)'!B2="","",'query (2)'!B2)</calculatedColumnFormula>
    </tableColumn>
    <tableColumn id="4" xr3:uid="{30756DA4-3A08-4C8C-B769-CF0ABFC51536}" name="QR_Prefix" dataDxfId="25">
      <calculatedColumnFormula>IF($B2="","",IFERROR(_xlfn.TEXTBEFORE($B2,"-"),"NO_PREFIX"))</calculatedColumnFormula>
    </tableColumn>
    <tableColumn id="5" xr3:uid="{59D47B47-95E5-4679-AE5B-EEF9A787CF7D}" name="Dup_QR_Count" dataDxfId="24">
      <calculatedColumnFormula>IF($B2="","",COUNTIF($B$2:$B$974,$B2))</calculatedColumnFormula>
    </tableColumn>
    <tableColumn id="6" xr3:uid="{4134B857-1224-4FBE-A4EA-5465F073B045}" name="No_Clean" dataDxfId="23">
      <calculatedColumnFormula>IF('query (2)'!A2="","",IFERROR(VALUE('query (2)'!A2),""))</calculatedColumnFormula>
    </tableColumn>
    <tableColumn id="7" xr3:uid="{10E4C687-2AFC-4EAC-B0CF-DDF11EDD7977}" name="Location_Clean" dataDxfId="22">
      <calculatedColumnFormula>IF('query (2)'!C2="","UNKNOWN",IFERROR(INDEX(Cleaning_Rules!$B$15:$B$20,MATCH(TRIM(UPPER('query (2)'!C2)),Cleaning_Rules!$A$15:$A$20,0)),"UNKNOWN"))</calculatedColumnFormula>
    </tableColumn>
    <tableColumn id="8" xr3:uid="{D74CFC5D-FC6A-4ED9-AFDE-57DB39F8CDE3}" name="Location_Raw" dataDxfId="4">
      <calculatedColumnFormula>IF('query (2)'!C2="","",'query (2)'!C2)</calculatedColumnFormula>
    </tableColumn>
    <tableColumn id="9" xr3:uid="{A1B1BB1F-A834-4EBC-95AF-91D6FDD1D1B3}" name="Factory_Group" dataDxfId="21">
      <calculatedColumnFormula array="1">_xlfn.IFS($G2="UNKNOWN","UNKNOWN",OR($G2="FACTORY1",$G2="FACTORY2",$G2="FACTORY3"),"PLANT",TRUE,"SHARED")</calculatedColumnFormula>
    </tableColumn>
    <tableColumn id="10" xr3:uid="{70477A23-E346-458D-AA70-3B1C601715E7}" name="Department_Clean" dataDxfId="20">
      <calculatedColumnFormula>IF('query (2)'!D2="","UNKNOWN",IF(COUNTIF(Cleaning_Rules!$A$6:$A$11,TRIM('query (2)'!D2))&gt;0,"UNKNOWN",IFERROR(INDEX(Cleaning_Rules!$B$24:$B$28,MATCH(TRIM(UPPER('query (2)'!D2)),Cleaning_Rules!$A$24:$A$28,0)),TRIM(UPPER('query (2)'!D2)))))</calculatedColumnFormula>
    </tableColumn>
    <tableColumn id="11" xr3:uid="{50FFC4AC-5CA7-43C2-AE51-2C19FB52D581}" name="Department_Raw" dataDxfId="3">
      <calculatedColumnFormula>IF('query (2)'!D2="","",'query (2)'!D2)</calculatedColumnFormula>
    </tableColumn>
    <tableColumn id="12" xr3:uid="{A30AA474-3E78-4726-ADA6-B1D2460CB643}" name="Dept_Prefix" dataDxfId="19">
      <calculatedColumnFormula>IF($J2="UNKNOWN","",_xlfn.TEXTBEFORE($J2,{"0","1","2","3","4","5","6","7","8","9"," ","-","."},1,,,$J2))</calculatedColumnFormula>
    </tableColumn>
    <tableColumn id="13" xr3:uid="{ADD4CC89-3277-4917-9AF2-2E52B8C6F6C0}" name="Section_Clean" dataDxfId="18">
      <calculatedColumnFormula>IF('query (2)'!I2&lt;&gt;"",TRIM(UPPER('query (2)'!I2)),IF($L2="","UNKNOWN",$L2))</calculatedColumnFormula>
    </tableColumn>
    <tableColumn id="14" xr3:uid="{5B1E6363-F952-4025-983D-0B4394D2EA93}" name="Section_Source" dataDxfId="17">
      <calculatedColumnFormula>IF('query (2)'!I2&lt;&gt;"","SOURCE",IF($L2="","UNKNOWN","DERIVED"))</calculatedColumnFormula>
    </tableColumn>
    <tableColumn id="15" xr3:uid="{13342EF7-02DC-4B26-886A-20AC68E58878}" name="Responsible_Group" dataDxfId="16">
      <calculatedColumnFormula>IF('query (2)'!E2="","NOT_SPECIFIED",TRIM(UPPER('query (2)'!E2)))</calculatedColumnFormula>
    </tableColumn>
    <tableColumn id="16" xr3:uid="{421FBF24-3AE8-4D17-8CCA-4E1AFB0A1D80}" name="Cost_Center_Clean" dataDxfId="15">
      <calculatedColumnFormula>IF('query (2)'!F2="","",TRIM(UPPER('query (2)'!F2)))</calculatedColumnFormula>
    </tableColumn>
    <tableColumn id="17" xr3:uid="{850543C4-B551-4615-9D8C-C6D5D1EB1AE2}" name="Category_Clean" dataDxfId="14">
      <calculatedColumnFormula>IF('query (2)'!G2="","UNKNOWN",IFERROR(INDEX(Cleaning_Rules!$B$38:$B$46,MATCH(TRIM(UPPER('query (2)'!G2)),Cleaning_Rules!$A$38:$A$46,0)),"UNKNOWN"))</calculatedColumnFormula>
    </tableColumn>
    <tableColumn id="18" xr3:uid="{C0741884-667E-4014-BA1D-84FE644B4952}" name="Machine_Desc_Clean" dataDxfId="13">
      <calculatedColumnFormula>IF('query (2)'!H2="","",TRIM(UPPER('query (2)'!H2)))</calculatedColumnFormula>
    </tableColumn>
    <tableColumn id="19" xr3:uid="{7A60C825-550D-4D49-AA98-C2A4A0DA9DAA}" name="Machine_Desc_Raw" dataDxfId="2">
      <calculatedColumnFormula>IF('query (2)'!H2="","",'query (2)'!H2)</calculatedColumnFormula>
    </tableColumn>
    <tableColumn id="20" xr3:uid="{4D3ECACF-AAB0-4E01-9930-7E28F71D5989}" name="Production_Name_Clean" dataDxfId="12">
      <calculatedColumnFormula>IF('query (2)'!J2="","",TRIM(UPPER('query (2)'!J2)))</calculatedColumnFormula>
    </tableColumn>
    <tableColumn id="21" xr3:uid="{4863AE3F-5134-420B-8C65-11F257A6D7E6}" name="Related_QR_Ref" dataDxfId="11">
      <calculatedColumnFormula>IFERROR(IF(ISNUMBER(VALUE(MID($R2,SEARCH("(??-???)",$R2)+4,3))),MID($R2,SEARCH("(??-???)",$R2)+1,6),""),"")</calculatedColumnFormula>
    </tableColumn>
    <tableColumn id="22" xr3:uid="{7551DBD3-37CD-4CC1-B3C9-33C9757871C0}" name="Status_Clean" dataDxfId="10">
      <calculatedColumnFormula>IF('query (2)'!K2="","NOT_SPECIFIED",IFERROR(INDEX(Cleaning_Rules!$B$32:$B$34,MATCH(TRIM(UPPER('query (2)'!K2)),Cleaning_Rules!$A$32:$A$34,0)),"UNKNOWN"))</calculatedColumnFormula>
    </tableColumn>
    <tableColumn id="23" xr3:uid="{01BF4395-BE5D-4416-B721-56D5F125403A}" name="Search_Text" dataDxfId="9">
      <calculatedColumnFormula>_xlfn.TEXTJOIN(" | ",TRUE,$B2,$G2,$J2,$M2,$O2,$P2,$Q2,$R2,$T2,$V2)</calculatedColumnFormula>
    </tableColumn>
    <tableColumn id="24" xr3:uid="{F9C35AA6-0CBA-4139-BFAC-4FDA7DD0E42B}" name="Quality_Flag" dataDxfId="8">
      <calculatedColumnFormula>_xlfn.TEXTJOIN("; ",TRUE,IF($B2="","MISSING_QR",""),IF(N($E2)&gt;1,"DUPLICATE_QR",""),IF($F2="","MISSING_NO",""),IF($G2="UNKNOWN","MISSING_LOCATION",""),IF($J2="UNKNOWN","MISSING_DEPARTMENT",""),IF($N2="UNKNOWN","MISSING_SECTION",""),IF($O2="NOT_SPECIFIED","MISSING_RESPONSIBLE",""),IF($P2="","MISSING_COST_CENTER",""),IF($Q2="UNKNOWN","MISSING_CATEGORY",""),IF($R2="","MISSING_DESCRIPTION",""))</calculatedColumnFormula>
    </tableColumn>
    <tableColumn id="25" xr3:uid="{65B6CC7E-4542-4432-909C-12426416D1C1}" name="Info_Note" dataDxfId="7">
      <calculatedColumnFormula>_xlfn.TEXTJOIN("; ",TRUE,IF($V2="NOT_SPECIFIED","MISSING_STATUS",""),IF($Q2="OTHER","CATEGORY_NOT_USEFUL",""),IF($T2="","MISSING_PRODUCTION_NAME",""),IF($N2="DERIVED","SECTION_DERIVED",""))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B39B36-28BA-4D85-B7D8-2E47BED8F355}" name="Table_query__2" displayName="Table_query__2" ref="A1:M974" tableType="queryTable" totalsRowShown="0">
  <autoFilter ref="A1:M974" xr:uid="{AEB39B36-28BA-4D85-B7D8-2E47BED8F355}"/>
  <tableColumns count="13">
    <tableColumn id="1" xr3:uid="{67E41A4C-733E-495F-8854-F819FFABA56C}" uniqueName="Title" name="No" queryTableFieldId="1" dataDxfId="41"/>
    <tableColumn id="2" xr3:uid="{7F91EBAA-5AD4-4913-B25D-0D40194EBF8B}" uniqueName="field_1" name="QR_Code_List" queryTableFieldId="4" dataDxfId="40"/>
    <tableColumn id="3" xr3:uid="{B0979EDC-7C58-41A7-9412-65A69A527F9F}" uniqueName="field_2" name="Location_List" queryTableFieldId="5" dataDxfId="39"/>
    <tableColumn id="4" xr3:uid="{E28BF7E4-9CE2-4C30-9D45-1A37B0BCDCE0}" uniqueName="field_3" name="Department_List" queryTableFieldId="6" dataDxfId="38"/>
    <tableColumn id="5" xr3:uid="{34E61F61-9071-4392-AF9F-53EE1AA54DE6}" uniqueName="RESPONSIBLE" name="RESPONSIBLE" queryTableFieldId="11" dataDxfId="37"/>
    <tableColumn id="6" xr3:uid="{D1F0C6E1-D42D-4260-8454-EE3D3858C573}" uniqueName="Cost_Center" name="Cost_Center" queryTableFieldId="13" dataDxfId="36"/>
    <tableColumn id="7" xr3:uid="{1FE9E66F-1DD6-4F8C-A44B-408538D95B87}" uniqueName="field_4" name="Name_List" queryTableFieldId="7" dataDxfId="35"/>
    <tableColumn id="8" xr3:uid="{A4764FFE-146D-4CC8-B330-752DB68360CC}" uniqueName="field_5" name="Remark_List" queryTableFieldId="8" dataDxfId="34"/>
    <tableColumn id="9" xr3:uid="{4DAA0E52-E24E-4908-9110-29E41B75821C}" uniqueName="Section" name="Section" queryTableFieldId="9" dataDxfId="33"/>
    <tableColumn id="10" xr3:uid="{95C1F632-9825-4D16-80A2-29DC3CDA9B9E}" uniqueName="Name_Machine_Production" name="Name_Machine_Production" queryTableFieldId="10" dataDxfId="32"/>
    <tableColumn id="11" xr3:uid="{C9AF4048-B594-43BD-992A-7100B668D224}" uniqueName="Status" name="Status" queryTableFieldId="12" dataDxfId="31"/>
    <tableColumn id="12" xr3:uid="{DBC48BB1-34C2-4B4E-A097-FD840CB27E9D}" uniqueName="FSObjType" name="Item Type" queryTableFieldId="3" dataDxfId="30"/>
    <tableColumn id="13" xr3:uid="{29038CBE-45BA-4707-A0D4-DBBAB8F0A3BF}" uniqueName="FileDirRef" name="Path" queryTableFieldId="2" dataDxfId="2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86B0919-D6CA-499A-8296-BB61DE667DB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48484d1-df23-4456-9301-f2b8e1bbe52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3FE0F-60A1-49AF-8848-F98DDC43B1DD}">
  <dimension ref="A1:Y974"/>
  <sheetViews>
    <sheetView tabSelected="1" workbookViewId="0">
      <pane ySplit="1" topLeftCell="A2" activePane="bottomLeft" state="frozen"/>
      <selection pane="bottomLeft" activeCell="E18" sqref="E18"/>
    </sheetView>
  </sheetViews>
  <sheetFormatPr defaultRowHeight="14.4" x14ac:dyDescent="0.3"/>
  <cols>
    <col min="1" max="17" width="20.33203125" customWidth="1"/>
    <col min="18" max="19" width="42.5546875" customWidth="1"/>
    <col min="20" max="22" width="20.33203125" customWidth="1"/>
    <col min="23" max="23" width="55.5546875" customWidth="1"/>
    <col min="24" max="25" width="37" customWidth="1"/>
  </cols>
  <sheetData>
    <row r="1" spans="1:25" x14ac:dyDescent="0.3">
      <c r="A1" s="3" t="s">
        <v>2806</v>
      </c>
      <c r="B1" s="3" t="s">
        <v>2821</v>
      </c>
      <c r="C1" s="3" t="s">
        <v>2822</v>
      </c>
      <c r="D1" s="3" t="s">
        <v>2808</v>
      </c>
      <c r="E1" s="3" t="s">
        <v>2809</v>
      </c>
      <c r="F1" s="3" t="s">
        <v>2823</v>
      </c>
      <c r="G1" s="3" t="s">
        <v>2824</v>
      </c>
      <c r="H1" s="3" t="s">
        <v>2825</v>
      </c>
      <c r="I1" s="3" t="s">
        <v>2813</v>
      </c>
      <c r="J1" s="3" t="s">
        <v>2826</v>
      </c>
      <c r="K1" s="3" t="s">
        <v>2827</v>
      </c>
      <c r="L1" s="3" t="s">
        <v>2828</v>
      </c>
      <c r="M1" s="3" t="s">
        <v>2829</v>
      </c>
      <c r="N1" s="3" t="s">
        <v>2830</v>
      </c>
      <c r="O1" s="3" t="s">
        <v>2831</v>
      </c>
      <c r="P1" s="3" t="s">
        <v>2832</v>
      </c>
      <c r="Q1" s="3" t="s">
        <v>2833</v>
      </c>
      <c r="R1" s="3" t="s">
        <v>2815</v>
      </c>
      <c r="S1" s="3" t="s">
        <v>2834</v>
      </c>
      <c r="T1" s="3" t="s">
        <v>2835</v>
      </c>
      <c r="U1" s="3" t="s">
        <v>2816</v>
      </c>
      <c r="V1" s="3" t="s">
        <v>2836</v>
      </c>
      <c r="W1" s="3" t="s">
        <v>2817</v>
      </c>
      <c r="X1" s="3" t="s">
        <v>2819</v>
      </c>
      <c r="Y1" s="3" t="s">
        <v>2837</v>
      </c>
    </row>
    <row r="2" spans="1:25" x14ac:dyDescent="0.3">
      <c r="A2" s="24" t="str">
        <f>IF($B2="","NO_QR#"&amp;TEXT(ROW()-1,"0000"),$B2&amp;"#"&amp;TEXT(ROW()-1,"0000"))</f>
        <v>AS-955#0001</v>
      </c>
      <c r="B2" s="24" t="str">
        <f>IF('query (2)'!B2="","",TRIM(UPPER('query (2)'!B2)))</f>
        <v>AS-955</v>
      </c>
      <c r="C2" s="25" t="str">
        <f>IF('query (2)'!B2="","",'query (2)'!B2)</f>
        <v>AS-955</v>
      </c>
      <c r="D2" s="24" t="str">
        <f>IF($B2="","",IFERROR(_xlfn.TEXTBEFORE($B2,"-"),"NO_PREFIX"))</f>
        <v>AS</v>
      </c>
      <c r="E2" s="24">
        <f>IF($B2="","",COUNTIF($B$2:$B$974,$B2))</f>
        <v>1</v>
      </c>
      <c r="F2" s="24">
        <f>IF('query (2)'!A2="","",IFERROR(VALUE('query (2)'!A2),""))</f>
        <v>1</v>
      </c>
      <c r="G2" s="24" t="str">
        <f>IF('query (2)'!C2="","UNKNOWN",IFERROR(INDEX(Cleaning_Rules!$B$15:$B$20,MATCH(TRIM(UPPER('query (2)'!C2)),Cleaning_Rules!$A$15:$A$20,0)),"UNKNOWN"))</f>
        <v>FACTORY3</v>
      </c>
      <c r="H2" s="25" t="str">
        <f>IF('query (2)'!C2="","",'query (2)'!C2)</f>
        <v>FACTORY3</v>
      </c>
      <c r="I2" s="24" t="str" cm="1">
        <f t="array" ref="I2">_xlfn.IFS($G2="UNKNOWN","UNKNOWN",OR($G2="FACTORY1",$G2="FACTORY2",$G2="FACTORY3"),"PLANT",TRUE,"SHARED")</f>
        <v>PLANT</v>
      </c>
      <c r="J2" s="24" t="str">
        <f>IF('query (2)'!D2="","UNKNOWN",IF(COUNTIF(Cleaning_Rules!$A$6:$A$11,TRIM('query (2)'!D2))&gt;0,"UNKNOWN",IFERROR(INDEX(Cleaning_Rules!$B$24:$B$28,MATCH(TRIM(UPPER('query (2)'!D2)),Cleaning_Rules!$A$24:$A$28,0)),TRIM(UPPER('query (2)'!D2)))))</f>
        <v>KWD5</v>
      </c>
      <c r="K2" s="25" t="str">
        <f>IF('query (2)'!D2="","",'query (2)'!D2)</f>
        <v>KWD5</v>
      </c>
      <c r="L2" s="24" t="str">
        <f>IF($J2="UNKNOWN","",_xlfn.TEXTBEFORE($J2,{"0","1","2","3","4","5","6","7","8","9"," ","-","."},1,,,$J2))</f>
        <v>KWD</v>
      </c>
      <c r="M2" s="24" t="str">
        <f>IF('query (2)'!I2&lt;&gt;"",TRIM(UPPER('query (2)'!I2)),IF($L2="","UNKNOWN",$L2))</f>
        <v>KWD</v>
      </c>
      <c r="N2" s="24" t="str">
        <f>IF('query (2)'!I2&lt;&gt;"","SOURCE",IF($L2="","UNKNOWN","DERIVED"))</f>
        <v>SOURCE</v>
      </c>
      <c r="O2" s="24" t="str">
        <f>IF('query (2)'!E2="","NOT_SPECIFIED",TRIM(UPPER('query (2)'!E2)))</f>
        <v>ASSEMBLY</v>
      </c>
      <c r="P2" s="24" t="str">
        <f>IF('query (2)'!F2="","",TRIM(UPPER('query (2)'!F2)))</f>
        <v>1016-KW5AI</v>
      </c>
      <c r="Q2" s="24" t="str">
        <f>IF('query (2)'!G2="","UNKNOWN",IFERROR(INDEX(Cleaning_Rules!$B$38:$B$46,MATCH(TRIM(UPPER('query (2)'!G2)),Cleaning_Rules!$A$38:$A$46,0)),"UNKNOWN"))</f>
        <v>ASSEMBLY</v>
      </c>
      <c r="R2" s="24" t="str">
        <f>IF('query (2)'!H2="","",TRIM(UPPER('query (2)'!H2)))</f>
        <v>AUTO BUSH PRESS MACHINE</v>
      </c>
      <c r="S2" s="25" t="str">
        <f>IF('query (2)'!H2="","",'query (2)'!H2)</f>
        <v>Auto bush press machine</v>
      </c>
      <c r="T2" s="24" t="str">
        <f>IF('query (2)'!J2="","",TRIM(UPPER('query (2)'!J2)))</f>
        <v>AUTO BUSH PRESS</v>
      </c>
      <c r="U2" s="24" t="str">
        <f>IFERROR(IF(ISNUMBER(VALUE(MID($R2,SEARCH("(??-???)",$R2)+4,3))),MID($R2,SEARCH("(??-???)",$R2)+1,6),""),"")</f>
        <v/>
      </c>
      <c r="V2" s="24" t="str">
        <f>IF('query (2)'!K2="","NOT_SPECIFIED",IFERROR(INDEX(Cleaning_Rules!$B$32:$B$34,MATCH(TRIM(UPPER('query (2)'!K2)),Cleaning_Rules!$A$32:$A$34,0)),"UNKNOWN"))</f>
        <v>NOT_SPECIFIED</v>
      </c>
      <c r="W2" s="24" t="str">
        <f>_xlfn.TEXTJOIN(" | ",TRUE,$B2,$G2,$J2,$M2,$O2,$P2,$Q2,$R2,$T2,$V2)</f>
        <v>AS-955 | FACTORY3 | KWD5 | KWD | ASSEMBLY | 1016-KW5AI | ASSEMBLY | AUTO BUSH PRESS MACHINE | AUTO BUSH PRESS | NOT_SPECIFIED</v>
      </c>
      <c r="X2" s="24" t="str">
        <f>_xlfn.TEXTJOIN("; ",TRUE,IF($B2="","MISSING_QR",""),IF(N($E2)&gt;1,"DUPLICATE_QR",""),IF($F2="","MISSING_NO",""),IF($G2="UNKNOWN","MISSING_LOCATION",""),IF($J2="UNKNOWN","MISSING_DEPARTMENT",""),IF($N2="UNKNOWN","MISSING_SECTION",""),IF($O2="NOT_SPECIFIED","MISSING_RESPONSIBLE",""),IF($P2="","MISSING_COST_CENTER",""),IF($Q2="UNKNOWN","MISSING_CATEGORY",""),IF($R2="","MISSING_DESCRIPTION",""))</f>
        <v/>
      </c>
      <c r="Y2" s="24" t="str">
        <f>_xlfn.TEXTJOIN("; ",TRUE,IF($V2="NOT_SPECIFIED","MISSING_STATUS",""),IF($Q2="OTHER","CATEGORY_NOT_USEFUL",""),IF($T2="","MISSING_PRODUCTION_NAME",""),IF($N2="DERIVED","SECTION_DERIVED",""))</f>
        <v>MISSING_STATUS</v>
      </c>
    </row>
    <row r="3" spans="1:25" x14ac:dyDescent="0.3">
      <c r="A3" s="24" t="str">
        <f t="shared" ref="A3:A66" si="0">IF($B3="","NO_QR#"&amp;TEXT(ROW()-1,"0000"),$B3&amp;"#"&amp;TEXT(ROW()-1,"0000"))</f>
        <v>AS-962#0002</v>
      </c>
      <c r="B3" s="24" t="str">
        <f>IF('query (2)'!B3="","",TRIM(UPPER('query (2)'!B3)))</f>
        <v>AS-962</v>
      </c>
      <c r="C3" s="25" t="str">
        <f>IF('query (2)'!B3="","",'query (2)'!B3)</f>
        <v>AS-962</v>
      </c>
      <c r="D3" s="24" t="str">
        <f t="shared" ref="D3:D66" si="1">IF($B3="","",IFERROR(_xlfn.TEXTBEFORE($B3,"-"),"NO_PREFIX"))</f>
        <v>AS</v>
      </c>
      <c r="E3" s="24">
        <f t="shared" ref="E3:E66" si="2">IF($B3="","",COUNTIF($B$2:$B$974,$B3))</f>
        <v>1</v>
      </c>
      <c r="F3" s="24">
        <f>IF('query (2)'!A3="","",IFERROR(VALUE('query (2)'!A3),""))</f>
        <v>2</v>
      </c>
      <c r="G3" s="24" t="str">
        <f>IF('query (2)'!C3="","UNKNOWN",IFERROR(INDEX(Cleaning_Rules!$B$15:$B$20,MATCH(TRIM(UPPER('query (2)'!C3)),Cleaning_Rules!$A$15:$A$20,0)),"UNKNOWN"))</f>
        <v>FACTORY3</v>
      </c>
      <c r="H3" s="25" t="str">
        <f>IF('query (2)'!C3="","",'query (2)'!C3)</f>
        <v>FACTORY3</v>
      </c>
      <c r="I3" s="24" t="str" cm="1">
        <f t="array" ref="I3">_xlfn.IFS($G3="UNKNOWN","UNKNOWN",OR($G3="FACTORY1",$G3="FACTORY2",$G3="FACTORY3"),"PLANT",TRUE,"SHARED")</f>
        <v>PLANT</v>
      </c>
      <c r="J3" s="24" t="str">
        <f>IF('query (2)'!D3="","UNKNOWN",IF(COUNTIF(Cleaning_Rules!$A$6:$A$11,TRIM('query (2)'!D3))&gt;0,"UNKNOWN",IFERROR(INDEX(Cleaning_Rules!$B$24:$B$28,MATCH(TRIM(UPPER('query (2)'!D3)),Cleaning_Rules!$A$24:$A$28,0)),TRIM(UPPER('query (2)'!D3)))))</f>
        <v>KWD7</v>
      </c>
      <c r="K3" s="25" t="str">
        <f>IF('query (2)'!D3="","",'query (2)'!D3)</f>
        <v>KWD7</v>
      </c>
      <c r="L3" s="24" t="str">
        <f>IF($J3="UNKNOWN","",_xlfn.TEXTBEFORE($J3,{"0","1","2","3","4","5","6","7","8","9"," ","-","."},1,,,$J3))</f>
        <v>KWD</v>
      </c>
      <c r="M3" s="24" t="str">
        <f>IF('query (2)'!I3&lt;&gt;"",TRIM(UPPER('query (2)'!I3)),IF($L3="","UNKNOWN",$L3))</f>
        <v>KWD</v>
      </c>
      <c r="N3" s="24" t="str">
        <f>IF('query (2)'!I3&lt;&gt;"","SOURCE",IF($L3="","UNKNOWN","DERIVED"))</f>
        <v>SOURCE</v>
      </c>
      <c r="O3" s="24" t="str">
        <f>IF('query (2)'!E3="","NOT_SPECIFIED",TRIM(UPPER('query (2)'!E3)))</f>
        <v>ASSEMBLY</v>
      </c>
      <c r="P3" s="24" t="str">
        <f>IF('query (2)'!F3="","",TRIM(UPPER('query (2)'!F3)))</f>
        <v>1025-KW7AI</v>
      </c>
      <c r="Q3" s="24" t="str">
        <f>IF('query (2)'!G3="","UNKNOWN",IFERROR(INDEX(Cleaning_Rules!$B$38:$B$46,MATCH(TRIM(UPPER('query (2)'!G3)),Cleaning_Rules!$A$38:$A$46,0)),"UNKNOWN"))</f>
        <v>ASSEMBLY</v>
      </c>
      <c r="R3" s="24" t="str">
        <f>IF('query (2)'!H3="","",TRIM(UPPER('query (2)'!H3)))</f>
        <v>AUTO BUSH PRESS MACHINE</v>
      </c>
      <c r="S3" s="25" t="str">
        <f>IF('query (2)'!H3="","",'query (2)'!H3)</f>
        <v>Auto bush press machine</v>
      </c>
      <c r="T3" s="24" t="str">
        <f>IF('query (2)'!J3="","",TRIM(UPPER('query (2)'!J3)))</f>
        <v>AUTO BUSH PRESS</v>
      </c>
      <c r="U3" s="24" t="str">
        <f t="shared" ref="U3:U66" si="3">IFERROR(IF(ISNUMBER(VALUE(MID($R3,SEARCH("(??-???)",$R3)+4,3))),MID($R3,SEARCH("(??-???)",$R3)+1,6),""),"")</f>
        <v/>
      </c>
      <c r="V3" s="24" t="str">
        <f>IF('query (2)'!K3="","NOT_SPECIFIED",IFERROR(INDEX(Cleaning_Rules!$B$32:$B$34,MATCH(TRIM(UPPER('query (2)'!K3)),Cleaning_Rules!$A$32:$A$34,0)),"UNKNOWN"))</f>
        <v>NOT_SPECIFIED</v>
      </c>
      <c r="W3" s="24" t="str">
        <f t="shared" ref="W3:W66" si="4">_xlfn.TEXTJOIN(" | ",TRUE,$B3,$G3,$J3,$M3,$O3,$P3,$Q3,$R3,$T3,$V3)</f>
        <v>AS-962 | FACTORY3 | KWD7 | KWD | ASSEMBLY | 1025-KW7AI | ASSEMBLY | AUTO BUSH PRESS MACHINE | AUTO BUSH PRESS | NOT_SPECIFIED</v>
      </c>
      <c r="X3" s="24" t="str">
        <f t="shared" ref="X3:X66" si="5">_xlfn.TEXTJOIN("; ",TRUE,IF($B3="","MISSING_QR",""),IF(N($E3)&gt;1,"DUPLICATE_QR",""),IF($F3="","MISSING_NO",""),IF($G3="UNKNOWN","MISSING_LOCATION",""),IF($J3="UNKNOWN","MISSING_DEPARTMENT",""),IF($N3="UNKNOWN","MISSING_SECTION",""),IF($O3="NOT_SPECIFIED","MISSING_RESPONSIBLE",""),IF($P3="","MISSING_COST_CENTER",""),IF($Q3="UNKNOWN","MISSING_CATEGORY",""),IF($R3="","MISSING_DESCRIPTION",""))</f>
        <v/>
      </c>
      <c r="Y3" s="24" t="str">
        <f t="shared" ref="Y3:Y66" si="6">_xlfn.TEXTJOIN("; ",TRUE,IF($V3="NOT_SPECIFIED","MISSING_STATUS",""),IF($Q3="OTHER","CATEGORY_NOT_USEFUL",""),IF($T3="","MISSING_PRODUCTION_NAME",""),IF($N3="DERIVED","SECTION_DERIVED",""))</f>
        <v>MISSING_STATUS</v>
      </c>
    </row>
    <row r="4" spans="1:25" x14ac:dyDescent="0.3">
      <c r="A4" s="24" t="str">
        <f t="shared" si="0"/>
        <v>AS-909#0003</v>
      </c>
      <c r="B4" s="24" t="str">
        <f>IF('query (2)'!B4="","",TRIM(UPPER('query (2)'!B4)))</f>
        <v>AS-909</v>
      </c>
      <c r="C4" s="25" t="str">
        <f>IF('query (2)'!B4="","",'query (2)'!B4)</f>
        <v>AS-909</v>
      </c>
      <c r="D4" s="24" t="str">
        <f t="shared" si="1"/>
        <v>AS</v>
      </c>
      <c r="E4" s="24">
        <f t="shared" si="2"/>
        <v>1</v>
      </c>
      <c r="F4" s="24">
        <f>IF('query (2)'!A4="","",IFERROR(VALUE('query (2)'!A4),""))</f>
        <v>3</v>
      </c>
      <c r="G4" s="24" t="str">
        <f>IF('query (2)'!C4="","UNKNOWN",IFERROR(INDEX(Cleaning_Rules!$B$15:$B$20,MATCH(TRIM(UPPER('query (2)'!C4)),Cleaning_Rules!$A$15:$A$20,0)),"UNKNOWN"))</f>
        <v>FACTORY3</v>
      </c>
      <c r="H4" s="25" t="str">
        <f>IF('query (2)'!C4="","",'query (2)'!C4)</f>
        <v>FACTORY3</v>
      </c>
      <c r="I4" s="24" t="str" cm="1">
        <f t="array" ref="I4">_xlfn.IFS($G4="UNKNOWN","UNKNOWN",OR($G4="FACTORY1",$G4="FACTORY2",$G4="FACTORY3"),"PLANT",TRUE,"SHARED")</f>
        <v>PLANT</v>
      </c>
      <c r="J4" s="24" t="str">
        <f>IF('query (2)'!D4="","UNKNOWN",IF(COUNTIF(Cleaning_Rules!$A$6:$A$11,TRIM('query (2)'!D4))&gt;0,"UNKNOWN",IFERROR(INDEX(Cleaning_Rules!$B$24:$B$28,MATCH(TRIM(UPPER('query (2)'!D4)),Cleaning_Rules!$A$24:$A$28,0)),TRIM(UPPER('query (2)'!D4)))))</f>
        <v>KWD4</v>
      </c>
      <c r="K4" s="25" t="str">
        <f>IF('query (2)'!D4="","",'query (2)'!D4)</f>
        <v>KWD4</v>
      </c>
      <c r="L4" s="24" t="str">
        <f>IF($J4="UNKNOWN","",_xlfn.TEXTBEFORE($J4,{"0","1","2","3","4","5","6","7","8","9"," ","-","."},1,,,$J4))</f>
        <v>KWD</v>
      </c>
      <c r="M4" s="24" t="str">
        <f>IF('query (2)'!I4&lt;&gt;"",TRIM(UPPER('query (2)'!I4)),IF($L4="","UNKNOWN",$L4))</f>
        <v>KWD</v>
      </c>
      <c r="N4" s="24" t="str">
        <f>IF('query (2)'!I4&lt;&gt;"","SOURCE",IF($L4="","UNKNOWN","DERIVED"))</f>
        <v>SOURCE</v>
      </c>
      <c r="O4" s="24" t="str">
        <f>IF('query (2)'!E4="","NOT_SPECIFIED",TRIM(UPPER('query (2)'!E4)))</f>
        <v>ASSEMBLY</v>
      </c>
      <c r="P4" s="24" t="str">
        <f>IF('query (2)'!F4="","",TRIM(UPPER('query (2)'!F4)))</f>
        <v>1013-KW4AI</v>
      </c>
      <c r="Q4" s="24" t="str">
        <f>IF('query (2)'!G4="","UNKNOWN",IFERROR(INDEX(Cleaning_Rules!$B$38:$B$46,MATCH(TRIM(UPPER('query (2)'!G4)),Cleaning_Rules!$A$38:$A$46,0)),"UNKNOWN"))</f>
        <v>ASSEMBLY</v>
      </c>
      <c r="R4" s="24" t="str">
        <f>IF('query (2)'!H4="","",TRIM(UPPER('query (2)'!H4)))</f>
        <v>AUTOMATIC ASSEMBLY MACHINE</v>
      </c>
      <c r="S4" s="25" t="str">
        <f>IF('query (2)'!H4="","",'query (2)'!H4)</f>
        <v>Automatic assembly machine</v>
      </c>
      <c r="T4" s="24" t="str">
        <f>IF('query (2)'!J4="","",TRIM(UPPER('query (2)'!J4)))</f>
        <v>AUTOMATIC ASSEMBLY</v>
      </c>
      <c r="U4" s="24" t="str">
        <f t="shared" si="3"/>
        <v/>
      </c>
      <c r="V4" s="24" t="str">
        <f>IF('query (2)'!K4="","NOT_SPECIFIED",IFERROR(INDEX(Cleaning_Rules!$B$32:$B$34,MATCH(TRIM(UPPER('query (2)'!K4)),Cleaning_Rules!$A$32:$A$34,0)),"UNKNOWN"))</f>
        <v>NOT_SPECIFIED</v>
      </c>
      <c r="W4" s="24" t="str">
        <f t="shared" si="4"/>
        <v>AS-909 | FACTORY3 | KWD4 | KWD | ASSEMBLY | 1013-KW4AI | ASSEMBLY | AUTOMATIC ASSEMBLY MACHINE | AUTOMATIC ASSEMBLY | NOT_SPECIFIED</v>
      </c>
      <c r="X4" s="24" t="str">
        <f t="shared" si="5"/>
        <v/>
      </c>
      <c r="Y4" s="24" t="str">
        <f t="shared" si="6"/>
        <v>MISSING_STATUS</v>
      </c>
    </row>
    <row r="5" spans="1:25" x14ac:dyDescent="0.3">
      <c r="A5" s="24" t="str">
        <f t="shared" si="0"/>
        <v>AS-956#0004</v>
      </c>
      <c r="B5" s="24" t="str">
        <f>IF('query (2)'!B5="","",TRIM(UPPER('query (2)'!B5)))</f>
        <v>AS-956</v>
      </c>
      <c r="C5" s="25" t="str">
        <f>IF('query (2)'!B5="","",'query (2)'!B5)</f>
        <v>AS-956</v>
      </c>
      <c r="D5" s="24" t="str">
        <f t="shared" si="1"/>
        <v>AS</v>
      </c>
      <c r="E5" s="24">
        <f t="shared" si="2"/>
        <v>1</v>
      </c>
      <c r="F5" s="24">
        <f>IF('query (2)'!A5="","",IFERROR(VALUE('query (2)'!A5),""))</f>
        <v>4</v>
      </c>
      <c r="G5" s="24" t="str">
        <f>IF('query (2)'!C5="","UNKNOWN",IFERROR(INDEX(Cleaning_Rules!$B$15:$B$20,MATCH(TRIM(UPPER('query (2)'!C5)),Cleaning_Rules!$A$15:$A$20,0)),"UNKNOWN"))</f>
        <v>FACTORY3</v>
      </c>
      <c r="H5" s="25" t="str">
        <f>IF('query (2)'!C5="","",'query (2)'!C5)</f>
        <v>FACTORY3</v>
      </c>
      <c r="I5" s="24" t="str" cm="1">
        <f t="array" ref="I5">_xlfn.IFS($G5="UNKNOWN","UNKNOWN",OR($G5="FACTORY1",$G5="FACTORY2",$G5="FACTORY3"),"PLANT",TRUE,"SHARED")</f>
        <v>PLANT</v>
      </c>
      <c r="J5" s="24" t="str">
        <f>IF('query (2)'!D5="","UNKNOWN",IF(COUNTIF(Cleaning_Rules!$A$6:$A$11,TRIM('query (2)'!D5))&gt;0,"UNKNOWN",IFERROR(INDEX(Cleaning_Rules!$B$24:$B$28,MATCH(TRIM(UPPER('query (2)'!D5)),Cleaning_Rules!$A$24:$A$28,0)),TRIM(UPPER('query (2)'!D5)))))</f>
        <v>KWD1</v>
      </c>
      <c r="K5" s="25" t="str">
        <f>IF('query (2)'!D5="","",'query (2)'!D5)</f>
        <v>KWD1</v>
      </c>
      <c r="L5" s="24" t="str">
        <f>IF($J5="UNKNOWN","",_xlfn.TEXTBEFORE($J5,{"0","1","2","3","4","5","6","7","8","9"," ","-","."},1,,,$J5))</f>
        <v>KWD</v>
      </c>
      <c r="M5" s="24" t="str">
        <f>IF('query (2)'!I5&lt;&gt;"",TRIM(UPPER('query (2)'!I5)),IF($L5="","UNKNOWN",$L5))</f>
        <v>KWD</v>
      </c>
      <c r="N5" s="24" t="str">
        <f>IF('query (2)'!I5&lt;&gt;"","SOURCE",IF($L5="","UNKNOWN","DERIVED"))</f>
        <v>SOURCE</v>
      </c>
      <c r="O5" s="24" t="str">
        <f>IF('query (2)'!E5="","NOT_SPECIFIED",TRIM(UPPER('query (2)'!E5)))</f>
        <v>ASSEMBLY</v>
      </c>
      <c r="P5" s="24" t="str">
        <f>IF('query (2)'!F5="","",TRIM(UPPER('query (2)'!F5)))</f>
        <v>1004-KW1AI</v>
      </c>
      <c r="Q5" s="24" t="str">
        <f>IF('query (2)'!G5="","UNKNOWN",IFERROR(INDEX(Cleaning_Rules!$B$38:$B$46,MATCH(TRIM(UPPER('query (2)'!G5)),Cleaning_Rules!$A$38:$A$46,0)),"UNKNOWN"))</f>
        <v>ASSEMBLY</v>
      </c>
      <c r="R5" s="24" t="str">
        <f>IF('query (2)'!H5="","",TRIM(UPPER('query (2)'!H5)))</f>
        <v>AUTOMATIC ASSEMBLY MACHINE</v>
      </c>
      <c r="S5" s="25" t="str">
        <f>IF('query (2)'!H5="","",'query (2)'!H5)</f>
        <v>Automatic assembly machine</v>
      </c>
      <c r="T5" s="24" t="str">
        <f>IF('query (2)'!J5="","",TRIM(UPPER('query (2)'!J5)))</f>
        <v>AUTOMATIC ASSEMBLY</v>
      </c>
      <c r="U5" s="24" t="str">
        <f t="shared" si="3"/>
        <v/>
      </c>
      <c r="V5" s="24" t="str">
        <f>IF('query (2)'!K5="","NOT_SPECIFIED",IFERROR(INDEX(Cleaning_Rules!$B$32:$B$34,MATCH(TRIM(UPPER('query (2)'!K5)),Cleaning_Rules!$A$32:$A$34,0)),"UNKNOWN"))</f>
        <v>NOT_SPECIFIED</v>
      </c>
      <c r="W5" s="24" t="str">
        <f t="shared" si="4"/>
        <v>AS-956 | FACTORY3 | KWD1 | KWD | ASSEMBLY | 1004-KW1AI | ASSEMBLY | AUTOMATIC ASSEMBLY MACHINE | AUTOMATIC ASSEMBLY | NOT_SPECIFIED</v>
      </c>
      <c r="X5" s="24" t="str">
        <f t="shared" si="5"/>
        <v/>
      </c>
      <c r="Y5" s="24" t="str">
        <f t="shared" si="6"/>
        <v>MISSING_STATUS</v>
      </c>
    </row>
    <row r="6" spans="1:25" x14ac:dyDescent="0.3">
      <c r="A6" s="24" t="str">
        <f t="shared" si="0"/>
        <v>AS-924#0005</v>
      </c>
      <c r="B6" s="24" t="str">
        <f>IF('query (2)'!B6="","",TRIM(UPPER('query (2)'!B6)))</f>
        <v>AS-924</v>
      </c>
      <c r="C6" s="25" t="str">
        <f>IF('query (2)'!B6="","",'query (2)'!B6)</f>
        <v>AS-924</v>
      </c>
      <c r="D6" s="24" t="str">
        <f t="shared" si="1"/>
        <v>AS</v>
      </c>
      <c r="E6" s="24">
        <f t="shared" si="2"/>
        <v>1</v>
      </c>
      <c r="F6" s="24">
        <f>IF('query (2)'!A6="","",IFERROR(VALUE('query (2)'!A6),""))</f>
        <v>5</v>
      </c>
      <c r="G6" s="24" t="str">
        <f>IF('query (2)'!C6="","UNKNOWN",IFERROR(INDEX(Cleaning_Rules!$B$15:$B$20,MATCH(TRIM(UPPER('query (2)'!C6)),Cleaning_Rules!$A$15:$A$20,0)),"UNKNOWN"))</f>
        <v>FACTORY3</v>
      </c>
      <c r="H6" s="25" t="str">
        <f>IF('query (2)'!C6="","",'query (2)'!C6)</f>
        <v>FACTORY3</v>
      </c>
      <c r="I6" s="24" t="str" cm="1">
        <f t="array" ref="I6">_xlfn.IFS($G6="UNKNOWN","UNKNOWN",OR($G6="FACTORY1",$G6="FACTORY2",$G6="FACTORY3"),"PLANT",TRUE,"SHARED")</f>
        <v>PLANT</v>
      </c>
      <c r="J6" s="24" t="str">
        <f>IF('query (2)'!D6="","UNKNOWN",IF(COUNTIF(Cleaning_Rules!$A$6:$A$11,TRIM('query (2)'!D6))&gt;0,"UNKNOWN",IFERROR(INDEX(Cleaning_Rules!$B$24:$B$28,MATCH(TRIM(UPPER('query (2)'!D6)),Cleaning_Rules!$A$24:$A$28,0)),TRIM(UPPER('query (2)'!D6)))))</f>
        <v>KWD5</v>
      </c>
      <c r="K6" s="25" t="str">
        <f>IF('query (2)'!D6="","",'query (2)'!D6)</f>
        <v>KWD5</v>
      </c>
      <c r="L6" s="24" t="str">
        <f>IF($J6="UNKNOWN","",_xlfn.TEXTBEFORE($J6,{"0","1","2","3","4","5","6","7","8","9"," ","-","."},1,,,$J6))</f>
        <v>KWD</v>
      </c>
      <c r="M6" s="24" t="str">
        <f>IF('query (2)'!I6&lt;&gt;"",TRIM(UPPER('query (2)'!I6)),IF($L6="","UNKNOWN",$L6))</f>
        <v>KWD</v>
      </c>
      <c r="N6" s="24" t="str">
        <f>IF('query (2)'!I6&lt;&gt;"","SOURCE",IF($L6="","UNKNOWN","DERIVED"))</f>
        <v>SOURCE</v>
      </c>
      <c r="O6" s="24" t="str">
        <f>IF('query (2)'!E6="","NOT_SPECIFIED",TRIM(UPPER('query (2)'!E6)))</f>
        <v>ASSEMBLY</v>
      </c>
      <c r="P6" s="24" t="str">
        <f>IF('query (2)'!F6="","",TRIM(UPPER('query (2)'!F6)))</f>
        <v>1016-KW5AI</v>
      </c>
      <c r="Q6" s="24" t="str">
        <f>IF('query (2)'!G6="","UNKNOWN",IFERROR(INDEX(Cleaning_Rules!$B$38:$B$46,MATCH(TRIM(UPPER('query (2)'!G6)),Cleaning_Rules!$A$38:$A$46,0)),"UNKNOWN"))</f>
        <v>ASSEMBLY</v>
      </c>
      <c r="R6" s="24" t="str">
        <f>IF('query (2)'!H6="","",TRIM(UPPER('query (2)'!H6)))</f>
        <v>AUTOMATIC ASSEMBLY MACHINE</v>
      </c>
      <c r="S6" s="25" t="str">
        <f>IF('query (2)'!H6="","",'query (2)'!H6)</f>
        <v>Automatic assembly machine</v>
      </c>
      <c r="T6" s="24" t="str">
        <f>IF('query (2)'!J6="","",TRIM(UPPER('query (2)'!J6)))</f>
        <v>AUTOMATIC ASSEMBLY</v>
      </c>
      <c r="U6" s="24" t="str">
        <f t="shared" si="3"/>
        <v/>
      </c>
      <c r="V6" s="24" t="str">
        <f>IF('query (2)'!K6="","NOT_SPECIFIED",IFERROR(INDEX(Cleaning_Rules!$B$32:$B$34,MATCH(TRIM(UPPER('query (2)'!K6)),Cleaning_Rules!$A$32:$A$34,0)),"UNKNOWN"))</f>
        <v>NOT_SPECIFIED</v>
      </c>
      <c r="W6" s="24" t="str">
        <f t="shared" si="4"/>
        <v>AS-924 | FACTORY3 | KWD5 | KWD | ASSEMBLY | 1016-KW5AI | ASSEMBLY | AUTOMATIC ASSEMBLY MACHINE | AUTOMATIC ASSEMBLY | NOT_SPECIFIED</v>
      </c>
      <c r="X6" s="24" t="str">
        <f t="shared" si="5"/>
        <v/>
      </c>
      <c r="Y6" s="24" t="str">
        <f t="shared" si="6"/>
        <v>MISSING_STATUS</v>
      </c>
    </row>
    <row r="7" spans="1:25" x14ac:dyDescent="0.3">
      <c r="A7" s="24" t="str">
        <f t="shared" si="0"/>
        <v>AS-700#0006</v>
      </c>
      <c r="B7" s="24" t="str">
        <f>IF('query (2)'!B7="","",TRIM(UPPER('query (2)'!B7)))</f>
        <v>AS-700</v>
      </c>
      <c r="C7" s="25" t="str">
        <f>IF('query (2)'!B7="","",'query (2)'!B7)</f>
        <v>AS-700</v>
      </c>
      <c r="D7" s="24" t="str">
        <f t="shared" si="1"/>
        <v>AS</v>
      </c>
      <c r="E7" s="24">
        <f t="shared" si="2"/>
        <v>1</v>
      </c>
      <c r="F7" s="24">
        <f>IF('query (2)'!A7="","",IFERROR(VALUE('query (2)'!A7),""))</f>
        <v>6</v>
      </c>
      <c r="G7" s="24" t="str">
        <f>IF('query (2)'!C7="","UNKNOWN",IFERROR(INDEX(Cleaning_Rules!$B$15:$B$20,MATCH(TRIM(UPPER('query (2)'!C7)),Cleaning_Rules!$A$15:$A$20,0)),"UNKNOWN"))</f>
        <v>FACTORY3</v>
      </c>
      <c r="H7" s="25" t="str">
        <f>IF('query (2)'!C7="","",'query (2)'!C7)</f>
        <v>FACTORY3</v>
      </c>
      <c r="I7" s="24" t="str" cm="1">
        <f t="array" ref="I7">_xlfn.IFS($G7="UNKNOWN","UNKNOWN",OR($G7="FACTORY1",$G7="FACTORY2",$G7="FACTORY3"),"PLANT",TRUE,"SHARED")</f>
        <v>PLANT</v>
      </c>
      <c r="J7" s="24" t="str">
        <f>IF('query (2)'!D7="","UNKNOWN",IF(COUNTIF(Cleaning_Rules!$A$6:$A$11,TRIM('query (2)'!D7))&gt;0,"UNKNOWN",IFERROR(INDEX(Cleaning_Rules!$B$24:$B$28,MATCH(TRIM(UPPER('query (2)'!D7)),Cleaning_Rules!$A$24:$A$28,0)),TRIM(UPPER('query (2)'!D7)))))</f>
        <v>KWD6</v>
      </c>
      <c r="K7" s="25" t="str">
        <f>IF('query (2)'!D7="","",'query (2)'!D7)</f>
        <v>KWD6</v>
      </c>
      <c r="L7" s="24" t="str">
        <f>IF($J7="UNKNOWN","",_xlfn.TEXTBEFORE($J7,{"0","1","2","3","4","5","6","7","8","9"," ","-","."},1,,,$J7))</f>
        <v>KWD</v>
      </c>
      <c r="M7" s="24" t="str">
        <f>IF('query (2)'!I7&lt;&gt;"",TRIM(UPPER('query (2)'!I7)),IF($L7="","UNKNOWN",$L7))</f>
        <v>KWD</v>
      </c>
      <c r="N7" s="24" t="str">
        <f>IF('query (2)'!I7&lt;&gt;"","SOURCE",IF($L7="","UNKNOWN","DERIVED"))</f>
        <v>SOURCE</v>
      </c>
      <c r="O7" s="24" t="str">
        <f>IF('query (2)'!E7="","NOT_SPECIFIED",TRIM(UPPER('query (2)'!E7)))</f>
        <v>ASSEMBLY</v>
      </c>
      <c r="P7" s="24" t="str">
        <f>IF('query (2)'!F7="","",TRIM(UPPER('query (2)'!F7)))</f>
        <v>1019-KW6AI</v>
      </c>
      <c r="Q7" s="24" t="str">
        <f>IF('query (2)'!G7="","UNKNOWN",IFERROR(INDEX(Cleaning_Rules!$B$38:$B$46,MATCH(TRIM(UPPER('query (2)'!G7)),Cleaning_Rules!$A$38:$A$46,0)),"UNKNOWN"))</f>
        <v>ASSEMBLY</v>
      </c>
      <c r="R7" s="24" t="str">
        <f>IF('query (2)'!H7="","",TRIM(UPPER('query (2)'!H7)))</f>
        <v>AUTOMATIC ASSEMBLY MACHINE</v>
      </c>
      <c r="S7" s="25" t="str">
        <f>IF('query (2)'!H7="","",'query (2)'!H7)</f>
        <v>Automatic assembly machine</v>
      </c>
      <c r="T7" s="24" t="str">
        <f>IF('query (2)'!J7="","",TRIM(UPPER('query (2)'!J7)))</f>
        <v>AUTOMATIC ASSEMBLY</v>
      </c>
      <c r="U7" s="24" t="str">
        <f t="shared" si="3"/>
        <v/>
      </c>
      <c r="V7" s="24" t="str">
        <f>IF('query (2)'!K7="","NOT_SPECIFIED",IFERROR(INDEX(Cleaning_Rules!$B$32:$B$34,MATCH(TRIM(UPPER('query (2)'!K7)),Cleaning_Rules!$A$32:$A$34,0)),"UNKNOWN"))</f>
        <v>NOT_SPECIFIED</v>
      </c>
      <c r="W7" s="24" t="str">
        <f t="shared" si="4"/>
        <v>AS-700 | FACTORY3 | KWD6 | KWD | ASSEMBLY | 1019-KW6AI | ASSEMBLY | AUTOMATIC ASSEMBLY MACHINE | AUTOMATIC ASSEMBLY | NOT_SPECIFIED</v>
      </c>
      <c r="X7" s="24" t="str">
        <f t="shared" si="5"/>
        <v/>
      </c>
      <c r="Y7" s="24" t="str">
        <f t="shared" si="6"/>
        <v>MISSING_STATUS</v>
      </c>
    </row>
    <row r="8" spans="1:25" x14ac:dyDescent="0.3">
      <c r="A8" s="24" t="str">
        <f t="shared" si="0"/>
        <v>AS-833#0007</v>
      </c>
      <c r="B8" s="24" t="str">
        <f>IF('query (2)'!B8="","",TRIM(UPPER('query (2)'!B8)))</f>
        <v>AS-833</v>
      </c>
      <c r="C8" s="25" t="str">
        <f>IF('query (2)'!B8="","",'query (2)'!B8)</f>
        <v>AS-833</v>
      </c>
      <c r="D8" s="24" t="str">
        <f t="shared" si="1"/>
        <v>AS</v>
      </c>
      <c r="E8" s="24">
        <f t="shared" si="2"/>
        <v>1</v>
      </c>
      <c r="F8" s="24">
        <f>IF('query (2)'!A8="","",IFERROR(VALUE('query (2)'!A8),""))</f>
        <v>7</v>
      </c>
      <c r="G8" s="24" t="str">
        <f>IF('query (2)'!C8="","UNKNOWN",IFERROR(INDEX(Cleaning_Rules!$B$15:$B$20,MATCH(TRIM(UPPER('query (2)'!C8)),Cleaning_Rules!$A$15:$A$20,0)),"UNKNOWN"))</f>
        <v>FACTORY3</v>
      </c>
      <c r="H8" s="25" t="str">
        <f>IF('query (2)'!C8="","",'query (2)'!C8)</f>
        <v>FACTORY3</v>
      </c>
      <c r="I8" s="24" t="str" cm="1">
        <f t="array" ref="I8">_xlfn.IFS($G8="UNKNOWN","UNKNOWN",OR($G8="FACTORY1",$G8="FACTORY2",$G8="FACTORY3"),"PLANT",TRUE,"SHARED")</f>
        <v>PLANT</v>
      </c>
      <c r="J8" s="24" t="str">
        <f>IF('query (2)'!D8="","UNKNOWN",IF(COUNTIF(Cleaning_Rules!$A$6:$A$11,TRIM('query (2)'!D8))&gt;0,"UNKNOWN",IFERROR(INDEX(Cleaning_Rules!$B$24:$B$28,MATCH(TRIM(UPPER('query (2)'!D8)),Cleaning_Rules!$A$24:$A$28,0)),TRIM(UPPER('query (2)'!D8)))))</f>
        <v>KWD7</v>
      </c>
      <c r="K8" s="25" t="str">
        <f>IF('query (2)'!D8="","",'query (2)'!D8)</f>
        <v>KWD7</v>
      </c>
      <c r="L8" s="24" t="str">
        <f>IF($J8="UNKNOWN","",_xlfn.TEXTBEFORE($J8,{"0","1","2","3","4","5","6","7","8","9"," ","-","."},1,,,$J8))</f>
        <v>KWD</v>
      </c>
      <c r="M8" s="24" t="str">
        <f>IF('query (2)'!I8&lt;&gt;"",TRIM(UPPER('query (2)'!I8)),IF($L8="","UNKNOWN",$L8))</f>
        <v>KWD</v>
      </c>
      <c r="N8" s="24" t="str">
        <f>IF('query (2)'!I8&lt;&gt;"","SOURCE",IF($L8="","UNKNOWN","DERIVED"))</f>
        <v>SOURCE</v>
      </c>
      <c r="O8" s="24" t="str">
        <f>IF('query (2)'!E8="","NOT_SPECIFIED",TRIM(UPPER('query (2)'!E8)))</f>
        <v>ASSEMBLY</v>
      </c>
      <c r="P8" s="24" t="str">
        <f>IF('query (2)'!F8="","",TRIM(UPPER('query (2)'!F8)))</f>
        <v>1025-KW7AI</v>
      </c>
      <c r="Q8" s="24" t="str">
        <f>IF('query (2)'!G8="","UNKNOWN",IFERROR(INDEX(Cleaning_Rules!$B$38:$B$46,MATCH(TRIM(UPPER('query (2)'!G8)),Cleaning_Rules!$A$38:$A$46,0)),"UNKNOWN"))</f>
        <v>ASSEMBLY</v>
      </c>
      <c r="R8" s="24" t="str">
        <f>IF('query (2)'!H8="","",TRIM(UPPER('query (2)'!H8)))</f>
        <v>AUTOMATIC ASSEMBLY MACHINE</v>
      </c>
      <c r="S8" s="25" t="str">
        <f>IF('query (2)'!H8="","",'query (2)'!H8)</f>
        <v>Automatic assembly machine</v>
      </c>
      <c r="T8" s="24" t="str">
        <f>IF('query (2)'!J8="","",TRIM(UPPER('query (2)'!J8)))</f>
        <v>AUTOMATIC ASSEMBLY</v>
      </c>
      <c r="U8" s="24" t="str">
        <f t="shared" si="3"/>
        <v/>
      </c>
      <c r="V8" s="24" t="str">
        <f>IF('query (2)'!K8="","NOT_SPECIFIED",IFERROR(INDEX(Cleaning_Rules!$B$32:$B$34,MATCH(TRIM(UPPER('query (2)'!K8)),Cleaning_Rules!$A$32:$A$34,0)),"UNKNOWN"))</f>
        <v>NOT_SPECIFIED</v>
      </c>
      <c r="W8" s="24" t="str">
        <f t="shared" si="4"/>
        <v>AS-833 | FACTORY3 | KWD7 | KWD | ASSEMBLY | 1025-KW7AI | ASSEMBLY | AUTOMATIC ASSEMBLY MACHINE | AUTOMATIC ASSEMBLY | NOT_SPECIFIED</v>
      </c>
      <c r="X8" s="24" t="str">
        <f t="shared" si="5"/>
        <v/>
      </c>
      <c r="Y8" s="24" t="str">
        <f t="shared" si="6"/>
        <v>MISSING_STATUS</v>
      </c>
    </row>
    <row r="9" spans="1:25" x14ac:dyDescent="0.3">
      <c r="A9" s="24" t="str">
        <f t="shared" si="0"/>
        <v>AS-950#0008</v>
      </c>
      <c r="B9" s="24" t="str">
        <f>IF('query (2)'!B9="","",TRIM(UPPER('query (2)'!B9)))</f>
        <v>AS-950</v>
      </c>
      <c r="C9" s="25" t="str">
        <f>IF('query (2)'!B9="","",'query (2)'!B9)</f>
        <v>AS-950</v>
      </c>
      <c r="D9" s="24" t="str">
        <f t="shared" si="1"/>
        <v>AS</v>
      </c>
      <c r="E9" s="24">
        <f t="shared" si="2"/>
        <v>1</v>
      </c>
      <c r="F9" s="24">
        <f>IF('query (2)'!A9="","",IFERROR(VALUE('query (2)'!A9),""))</f>
        <v>8</v>
      </c>
      <c r="G9" s="24" t="str">
        <f>IF('query (2)'!C9="","UNKNOWN",IFERROR(INDEX(Cleaning_Rules!$B$15:$B$20,MATCH(TRIM(UPPER('query (2)'!C9)),Cleaning_Rules!$A$15:$A$20,0)),"UNKNOWN"))</f>
        <v>FACTORY3</v>
      </c>
      <c r="H9" s="25" t="str">
        <f>IF('query (2)'!C9="","",'query (2)'!C9)</f>
        <v>FACTORY3</v>
      </c>
      <c r="I9" s="24" t="str" cm="1">
        <f t="array" ref="I9">_xlfn.IFS($G9="UNKNOWN","UNKNOWN",OR($G9="FACTORY1",$G9="FACTORY2",$G9="FACTORY3"),"PLANT",TRUE,"SHARED")</f>
        <v>PLANT</v>
      </c>
      <c r="J9" s="24" t="str">
        <f>IF('query (2)'!D9="","UNKNOWN",IF(COUNTIF(Cleaning_Rules!$A$6:$A$11,TRIM('query (2)'!D9))&gt;0,"UNKNOWN",IFERROR(INDEX(Cleaning_Rules!$B$24:$B$28,MATCH(TRIM(UPPER('query (2)'!D9)),Cleaning_Rules!$A$24:$A$28,0)),TRIM(UPPER('query (2)'!D9)))))</f>
        <v>KWD3</v>
      </c>
      <c r="K9" s="25" t="str">
        <f>IF('query (2)'!D9="","",'query (2)'!D9)</f>
        <v>KWD3</v>
      </c>
      <c r="L9" s="24" t="str">
        <f>IF($J9="UNKNOWN","",_xlfn.TEXTBEFORE($J9,{"0","1","2","3","4","5","6","7","8","9"," ","-","."},1,,,$J9))</f>
        <v>KWD</v>
      </c>
      <c r="M9" s="24" t="str">
        <f>IF('query (2)'!I9&lt;&gt;"",TRIM(UPPER('query (2)'!I9)),IF($L9="","UNKNOWN",$L9))</f>
        <v>KWD</v>
      </c>
      <c r="N9" s="24" t="str">
        <f>IF('query (2)'!I9&lt;&gt;"","SOURCE",IF($L9="","UNKNOWN","DERIVED"))</f>
        <v>SOURCE</v>
      </c>
      <c r="O9" s="24" t="str">
        <f>IF('query (2)'!E9="","NOT_SPECIFIED",TRIM(UPPER('query (2)'!E9)))</f>
        <v>ASSEMBLY</v>
      </c>
      <c r="P9" s="24" t="str">
        <f>IF('query (2)'!F9="","",TRIM(UPPER('query (2)'!F9)))</f>
        <v>1010-KW3AI</v>
      </c>
      <c r="Q9" s="24" t="str">
        <f>IF('query (2)'!G9="","UNKNOWN",IFERROR(INDEX(Cleaning_Rules!$B$38:$B$46,MATCH(TRIM(UPPER('query (2)'!G9)),Cleaning_Rules!$A$38:$A$46,0)),"UNKNOWN"))</f>
        <v>ASSEMBLY</v>
      </c>
      <c r="R9" s="24" t="str">
        <f>IF('query (2)'!H9="","",TRIM(UPPER('query (2)'!H9)))</f>
        <v>AUTOMATIC ASSEMBLY MACHINE</v>
      </c>
      <c r="S9" s="25" t="str">
        <f>IF('query (2)'!H9="","",'query (2)'!H9)</f>
        <v>Automatic assembly machine</v>
      </c>
      <c r="T9" s="24" t="str">
        <f>IF('query (2)'!J9="","",TRIM(UPPER('query (2)'!J9)))</f>
        <v>AUTOMATIC ASSEMBLY</v>
      </c>
      <c r="U9" s="24" t="str">
        <f t="shared" si="3"/>
        <v/>
      </c>
      <c r="V9" s="24" t="str">
        <f>IF('query (2)'!K9="","NOT_SPECIFIED",IFERROR(INDEX(Cleaning_Rules!$B$32:$B$34,MATCH(TRIM(UPPER('query (2)'!K9)),Cleaning_Rules!$A$32:$A$34,0)),"UNKNOWN"))</f>
        <v>NOT_SPECIFIED</v>
      </c>
      <c r="W9" s="24" t="str">
        <f t="shared" si="4"/>
        <v>AS-950 | FACTORY3 | KWD3 | KWD | ASSEMBLY | 1010-KW3AI | ASSEMBLY | AUTOMATIC ASSEMBLY MACHINE | AUTOMATIC ASSEMBLY | NOT_SPECIFIED</v>
      </c>
      <c r="X9" s="24" t="str">
        <f t="shared" si="5"/>
        <v/>
      </c>
      <c r="Y9" s="24" t="str">
        <f t="shared" si="6"/>
        <v>MISSING_STATUS</v>
      </c>
    </row>
    <row r="10" spans="1:25" x14ac:dyDescent="0.3">
      <c r="A10" s="24" t="str">
        <f t="shared" si="0"/>
        <v>AS-949#0009</v>
      </c>
      <c r="B10" s="24" t="str">
        <f>IF('query (2)'!B10="","",TRIM(UPPER('query (2)'!B10)))</f>
        <v>AS-949</v>
      </c>
      <c r="C10" s="25" t="str">
        <f>IF('query (2)'!B10="","",'query (2)'!B10)</f>
        <v>AS-949</v>
      </c>
      <c r="D10" s="24" t="str">
        <f t="shared" si="1"/>
        <v>AS</v>
      </c>
      <c r="E10" s="24">
        <f t="shared" si="2"/>
        <v>1</v>
      </c>
      <c r="F10" s="24">
        <f>IF('query (2)'!A10="","",IFERROR(VALUE('query (2)'!A10),""))</f>
        <v>9</v>
      </c>
      <c r="G10" s="24" t="str">
        <f>IF('query (2)'!C10="","UNKNOWN",IFERROR(INDEX(Cleaning_Rules!$B$15:$B$20,MATCH(TRIM(UPPER('query (2)'!C10)),Cleaning_Rules!$A$15:$A$20,0)),"UNKNOWN"))</f>
        <v>FACTORY3</v>
      </c>
      <c r="H10" s="25" t="str">
        <f>IF('query (2)'!C10="","",'query (2)'!C10)</f>
        <v>FACTORY3</v>
      </c>
      <c r="I10" s="24" t="str" cm="1">
        <f t="array" ref="I10">_xlfn.IFS($G10="UNKNOWN","UNKNOWN",OR($G10="FACTORY1",$G10="FACTORY2",$G10="FACTORY3"),"PLANT",TRUE,"SHARED")</f>
        <v>PLANT</v>
      </c>
      <c r="J10" s="24" t="str">
        <f>IF('query (2)'!D10="","UNKNOWN",IF(COUNTIF(Cleaning_Rules!$A$6:$A$11,TRIM('query (2)'!D10))&gt;0,"UNKNOWN",IFERROR(INDEX(Cleaning_Rules!$B$24:$B$28,MATCH(TRIM(UPPER('query (2)'!D10)),Cleaning_Rules!$A$24:$A$28,0)),TRIM(UPPER('query (2)'!D10)))))</f>
        <v>KWD2</v>
      </c>
      <c r="K10" s="25" t="str">
        <f>IF('query (2)'!D10="","",'query (2)'!D10)</f>
        <v>KWD2</v>
      </c>
      <c r="L10" s="24" t="str">
        <f>IF($J10="UNKNOWN","",_xlfn.TEXTBEFORE($J10,{"0","1","2","3","4","5","6","7","8","9"," ","-","."},1,,,$J10))</f>
        <v>KWD</v>
      </c>
      <c r="M10" s="24" t="str">
        <f>IF('query (2)'!I10&lt;&gt;"",TRIM(UPPER('query (2)'!I10)),IF($L10="","UNKNOWN",$L10))</f>
        <v>KWD</v>
      </c>
      <c r="N10" s="24" t="str">
        <f>IF('query (2)'!I10&lt;&gt;"","SOURCE",IF($L10="","UNKNOWN","DERIVED"))</f>
        <v>SOURCE</v>
      </c>
      <c r="O10" s="24" t="str">
        <f>IF('query (2)'!E10="","NOT_SPECIFIED",TRIM(UPPER('query (2)'!E10)))</f>
        <v>ASSEMBLY</v>
      </c>
      <c r="P10" s="24" t="str">
        <f>IF('query (2)'!F10="","",TRIM(UPPER('query (2)'!F10)))</f>
        <v>1007-KW2AI</v>
      </c>
      <c r="Q10" s="24" t="str">
        <f>IF('query (2)'!G10="","UNKNOWN",IFERROR(INDEX(Cleaning_Rules!$B$38:$B$46,MATCH(TRIM(UPPER('query (2)'!G10)),Cleaning_Rules!$A$38:$A$46,0)),"UNKNOWN"))</f>
        <v>ASSEMBLY</v>
      </c>
      <c r="R10" s="24" t="str">
        <f>IF('query (2)'!H10="","",TRIM(UPPER('query (2)'!H10)))</f>
        <v>AUTOMATIC ASSEMBLY MACHINE</v>
      </c>
      <c r="S10" s="25" t="str">
        <f>IF('query (2)'!H10="","",'query (2)'!H10)</f>
        <v>Automatic assembly machine</v>
      </c>
      <c r="T10" s="24" t="str">
        <f>IF('query (2)'!J10="","",TRIM(UPPER('query (2)'!J10)))</f>
        <v>AUTOMATIC ASSEMBLY</v>
      </c>
      <c r="U10" s="24" t="str">
        <f t="shared" si="3"/>
        <v/>
      </c>
      <c r="V10" s="24" t="str">
        <f>IF('query (2)'!K10="","NOT_SPECIFIED",IFERROR(INDEX(Cleaning_Rules!$B$32:$B$34,MATCH(TRIM(UPPER('query (2)'!K10)),Cleaning_Rules!$A$32:$A$34,0)),"UNKNOWN"))</f>
        <v>NOT_SPECIFIED</v>
      </c>
      <c r="W10" s="24" t="str">
        <f t="shared" si="4"/>
        <v>AS-949 | FACTORY3 | KWD2 | KWD | ASSEMBLY | 1007-KW2AI | ASSEMBLY | AUTOMATIC ASSEMBLY MACHINE | AUTOMATIC ASSEMBLY | NOT_SPECIFIED</v>
      </c>
      <c r="X10" s="24" t="str">
        <f t="shared" si="5"/>
        <v/>
      </c>
      <c r="Y10" s="24" t="str">
        <f t="shared" si="6"/>
        <v>MISSING_STATUS</v>
      </c>
    </row>
    <row r="11" spans="1:25" x14ac:dyDescent="0.3">
      <c r="A11" s="24" t="str">
        <f t="shared" si="0"/>
        <v>CH-014#0010</v>
      </c>
      <c r="B11" s="24" t="str">
        <f>IF('query (2)'!B11="","",TRIM(UPPER('query (2)'!B11)))</f>
        <v>CH-014</v>
      </c>
      <c r="C11" s="25" t="str">
        <f>IF('query (2)'!B11="","",'query (2)'!B11)</f>
        <v>CH-014</v>
      </c>
      <c r="D11" s="24" t="str">
        <f t="shared" si="1"/>
        <v>CH</v>
      </c>
      <c r="E11" s="24">
        <f t="shared" si="2"/>
        <v>1</v>
      </c>
      <c r="F11" s="24">
        <f>IF('query (2)'!A11="","",IFERROR(VALUE('query (2)'!A11),""))</f>
        <v>10</v>
      </c>
      <c r="G11" s="24" t="str">
        <f>IF('query (2)'!C11="","UNKNOWN",IFERROR(INDEX(Cleaning_Rules!$B$15:$B$20,MATCH(TRIM(UPPER('query (2)'!C11)),Cleaning_Rules!$A$15:$A$20,0)),"UNKNOWN"))</f>
        <v>FACTORY3</v>
      </c>
      <c r="H11" s="25" t="str">
        <f>IF('query (2)'!C11="","",'query (2)'!C11)</f>
        <v>FACTORY3</v>
      </c>
      <c r="I11" s="24" t="str" cm="1">
        <f t="array" ref="I11">_xlfn.IFS($G11="UNKNOWN","UNKNOWN",OR($G11="FACTORY1",$G11="FACTORY2",$G11="FACTORY3"),"PLANT",TRUE,"SHARED")</f>
        <v>PLANT</v>
      </c>
      <c r="J11" s="24" t="str">
        <f>IF('query (2)'!D11="","UNKNOWN",IF(COUNTIF(Cleaning_Rules!$A$6:$A$11,TRIM('query (2)'!D11))&gt;0,"UNKNOWN",IFERROR(INDEX(Cleaning_Rules!$B$24:$B$28,MATCH(TRIM(UPPER('query (2)'!D11)),Cleaning_Rules!$A$24:$A$28,0)),TRIM(UPPER('query (2)'!D11)))))</f>
        <v>KWD1</v>
      </c>
      <c r="K11" s="25" t="str">
        <f>IF('query (2)'!D11="","",'query (2)'!D11)</f>
        <v>KWD1</v>
      </c>
      <c r="L11" s="24" t="str">
        <f>IF($J11="UNKNOWN","",_xlfn.TEXTBEFORE($J11,{"0","1","2","3","4","5","6","7","8","9"," ","-","."},1,,,$J11))</f>
        <v>KWD</v>
      </c>
      <c r="M11" s="24" t="str">
        <f>IF('query (2)'!I11&lt;&gt;"",TRIM(UPPER('query (2)'!I11)),IF($L11="","UNKNOWN",$L11))</f>
        <v>KWD</v>
      </c>
      <c r="N11" s="24" t="str">
        <f>IF('query (2)'!I11&lt;&gt;"","SOURCE",IF($L11="","UNKNOWN","DERIVED"))</f>
        <v>SOURCE</v>
      </c>
      <c r="O11" s="24" t="str">
        <f>IF('query (2)'!E11="","NOT_SPECIFIED",TRIM(UPPER('query (2)'!E11)))</f>
        <v>ASSEMBLY</v>
      </c>
      <c r="P11" s="24" t="str">
        <f>IF('query (2)'!F11="","",TRIM(UPPER('query (2)'!F11)))</f>
        <v>1004-KW1AI</v>
      </c>
      <c r="Q11" s="24" t="str">
        <f>IF('query (2)'!G11="","UNKNOWN",IFERROR(INDEX(Cleaning_Rules!$B$38:$B$46,MATCH(TRIM(UPPER('query (2)'!G11)),Cleaning_Rules!$A$38:$A$46,0)),"UNKNOWN"))</f>
        <v>CHECK</v>
      </c>
      <c r="R11" s="24" t="str">
        <f>IF('query (2)'!H11="","",TRIM(UPPER('query (2)'!H11)))</f>
        <v>AUTOMATION VIBRATION TESTING MACHINE</v>
      </c>
      <c r="S11" s="25" t="str">
        <f>IF('query (2)'!H11="","",'query (2)'!H11)</f>
        <v>Automation vibration testing machine</v>
      </c>
      <c r="T11" s="24" t="str">
        <f>IF('query (2)'!J11="","",TRIM(UPPER('query (2)'!J11)))</f>
        <v>NOISE INSPECTION AUTO</v>
      </c>
      <c r="U11" s="24" t="str">
        <f t="shared" si="3"/>
        <v/>
      </c>
      <c r="V11" s="24" t="str">
        <f>IF('query (2)'!K11="","NOT_SPECIFIED",IFERROR(INDEX(Cleaning_Rules!$B$32:$B$34,MATCH(TRIM(UPPER('query (2)'!K11)),Cleaning_Rules!$A$32:$A$34,0)),"UNKNOWN"))</f>
        <v>NOT_SPECIFIED</v>
      </c>
      <c r="W11" s="24" t="str">
        <f t="shared" si="4"/>
        <v>CH-014 | FACTORY3 | KWD1 | KWD | ASSEMBLY | 1004-KW1AI | CHECK | AUTOMATION VIBRATION TESTING MACHINE | NOISE INSPECTION AUTO | NOT_SPECIFIED</v>
      </c>
      <c r="X11" s="24" t="str">
        <f t="shared" si="5"/>
        <v/>
      </c>
      <c r="Y11" s="24" t="str">
        <f t="shared" si="6"/>
        <v>MISSING_STATUS</v>
      </c>
    </row>
    <row r="12" spans="1:25" x14ac:dyDescent="0.3">
      <c r="A12" s="24" t="str">
        <f t="shared" si="0"/>
        <v>CH-263#0011</v>
      </c>
      <c r="B12" s="24" t="str">
        <f>IF('query (2)'!B12="","",TRIM(UPPER('query (2)'!B12)))</f>
        <v>CH-263</v>
      </c>
      <c r="C12" s="25" t="str">
        <f>IF('query (2)'!B12="","",'query (2)'!B12)</f>
        <v>CH-263</v>
      </c>
      <c r="D12" s="24" t="str">
        <f t="shared" si="1"/>
        <v>CH</v>
      </c>
      <c r="E12" s="24">
        <f t="shared" si="2"/>
        <v>1</v>
      </c>
      <c r="F12" s="24">
        <f>IF('query (2)'!A12="","",IFERROR(VALUE('query (2)'!A12),""))</f>
        <v>11</v>
      </c>
      <c r="G12" s="24" t="str">
        <f>IF('query (2)'!C12="","UNKNOWN",IFERROR(INDEX(Cleaning_Rules!$B$15:$B$20,MATCH(TRIM(UPPER('query (2)'!C12)),Cleaning_Rules!$A$15:$A$20,0)),"UNKNOWN"))</f>
        <v>FACTORY3</v>
      </c>
      <c r="H12" s="25" t="str">
        <f>IF('query (2)'!C12="","",'query (2)'!C12)</f>
        <v>FACTORY3</v>
      </c>
      <c r="I12" s="24" t="str" cm="1">
        <f t="array" ref="I12">_xlfn.IFS($G12="UNKNOWN","UNKNOWN",OR($G12="FACTORY1",$G12="FACTORY2",$G12="FACTORY3"),"PLANT",TRUE,"SHARED")</f>
        <v>PLANT</v>
      </c>
      <c r="J12" s="24" t="str">
        <f>IF('query (2)'!D12="","UNKNOWN",IF(COUNTIF(Cleaning_Rules!$A$6:$A$11,TRIM('query (2)'!D12))&gt;0,"UNKNOWN",IFERROR(INDEX(Cleaning_Rules!$B$24:$B$28,MATCH(TRIM(UPPER('query (2)'!D12)),Cleaning_Rules!$A$24:$A$28,0)),TRIM(UPPER('query (2)'!D12)))))</f>
        <v>KWD2</v>
      </c>
      <c r="K12" s="25" t="str">
        <f>IF('query (2)'!D12="","",'query (2)'!D12)</f>
        <v>KWD2</v>
      </c>
      <c r="L12" s="24" t="str">
        <f>IF($J12="UNKNOWN","",_xlfn.TEXTBEFORE($J12,{"0","1","2","3","4","5","6","7","8","9"," ","-","."},1,,,$J12))</f>
        <v>KWD</v>
      </c>
      <c r="M12" s="24" t="str">
        <f>IF('query (2)'!I12&lt;&gt;"",TRIM(UPPER('query (2)'!I12)),IF($L12="","UNKNOWN",$L12))</f>
        <v>KWD</v>
      </c>
      <c r="N12" s="24" t="str">
        <f>IF('query (2)'!I12&lt;&gt;"","SOURCE",IF($L12="","UNKNOWN","DERIVED"))</f>
        <v>SOURCE</v>
      </c>
      <c r="O12" s="24" t="str">
        <f>IF('query (2)'!E12="","NOT_SPECIFIED",TRIM(UPPER('query (2)'!E12)))</f>
        <v>ASSEMBLY</v>
      </c>
      <c r="P12" s="24" t="str">
        <f>IF('query (2)'!F12="","",TRIM(UPPER('query (2)'!F12)))</f>
        <v>1007-KW2AI</v>
      </c>
      <c r="Q12" s="24" t="str">
        <f>IF('query (2)'!G12="","UNKNOWN",IFERROR(INDEX(Cleaning_Rules!$B$38:$B$46,MATCH(TRIM(UPPER('query (2)'!G12)),Cleaning_Rules!$A$38:$A$46,0)),"UNKNOWN"))</f>
        <v>CHECK</v>
      </c>
      <c r="R12" s="24" t="str">
        <f>IF('query (2)'!H12="","",TRIM(UPPER('query (2)'!H12)))</f>
        <v>AUTOMATION VIBRATION TESTING MACHINE</v>
      </c>
      <c r="S12" s="25" t="str">
        <f>IF('query (2)'!H12="","",'query (2)'!H12)</f>
        <v>Automation vibration testing machine</v>
      </c>
      <c r="T12" s="24" t="str">
        <f>IF('query (2)'!J12="","",TRIM(UPPER('query (2)'!J12)))</f>
        <v>NOISE INSPECTION AUTO</v>
      </c>
      <c r="U12" s="24" t="str">
        <f t="shared" si="3"/>
        <v/>
      </c>
      <c r="V12" s="24" t="str">
        <f>IF('query (2)'!K12="","NOT_SPECIFIED",IFERROR(INDEX(Cleaning_Rules!$B$32:$B$34,MATCH(TRIM(UPPER('query (2)'!K12)),Cleaning_Rules!$A$32:$A$34,0)),"UNKNOWN"))</f>
        <v>NOT_SPECIFIED</v>
      </c>
      <c r="W12" s="24" t="str">
        <f t="shared" si="4"/>
        <v>CH-263 | FACTORY3 | KWD2 | KWD | ASSEMBLY | 1007-KW2AI | CHECK | AUTOMATION VIBRATION TESTING MACHINE | NOISE INSPECTION AUTO | NOT_SPECIFIED</v>
      </c>
      <c r="X12" s="24" t="str">
        <f t="shared" si="5"/>
        <v/>
      </c>
      <c r="Y12" s="24" t="str">
        <f t="shared" si="6"/>
        <v>MISSING_STATUS</v>
      </c>
    </row>
    <row r="13" spans="1:25" x14ac:dyDescent="0.3">
      <c r="A13" s="24" t="str">
        <f t="shared" si="0"/>
        <v>CH-349#0012</v>
      </c>
      <c r="B13" s="24" t="str">
        <f>IF('query (2)'!B13="","",TRIM(UPPER('query (2)'!B13)))</f>
        <v>CH-349</v>
      </c>
      <c r="C13" s="25" t="str">
        <f>IF('query (2)'!B13="","",'query (2)'!B13)</f>
        <v>CH-349</v>
      </c>
      <c r="D13" s="24" t="str">
        <f t="shared" si="1"/>
        <v>CH</v>
      </c>
      <c r="E13" s="24">
        <f t="shared" si="2"/>
        <v>1</v>
      </c>
      <c r="F13" s="24">
        <f>IF('query (2)'!A13="","",IFERROR(VALUE('query (2)'!A13),""))</f>
        <v>12</v>
      </c>
      <c r="G13" s="24" t="str">
        <f>IF('query (2)'!C13="","UNKNOWN",IFERROR(INDEX(Cleaning_Rules!$B$15:$B$20,MATCH(TRIM(UPPER('query (2)'!C13)),Cleaning_Rules!$A$15:$A$20,0)),"UNKNOWN"))</f>
        <v>FACTORY3</v>
      </c>
      <c r="H13" s="25" t="str">
        <f>IF('query (2)'!C13="","",'query (2)'!C13)</f>
        <v>FACTORY3</v>
      </c>
      <c r="I13" s="24" t="str" cm="1">
        <f t="array" ref="I13">_xlfn.IFS($G13="UNKNOWN","UNKNOWN",OR($G13="FACTORY1",$G13="FACTORY2",$G13="FACTORY3"),"PLANT",TRUE,"SHARED")</f>
        <v>PLANT</v>
      </c>
      <c r="J13" s="24" t="str">
        <f>IF('query (2)'!D13="","UNKNOWN",IF(COUNTIF(Cleaning_Rules!$A$6:$A$11,TRIM('query (2)'!D13))&gt;0,"UNKNOWN",IFERROR(INDEX(Cleaning_Rules!$B$24:$B$28,MATCH(TRIM(UPPER('query (2)'!D13)),Cleaning_Rules!$A$24:$A$28,0)),TRIM(UPPER('query (2)'!D13)))))</f>
        <v>KWD3</v>
      </c>
      <c r="K13" s="25" t="str">
        <f>IF('query (2)'!D13="","",'query (2)'!D13)</f>
        <v>KWD3</v>
      </c>
      <c r="L13" s="24" t="str">
        <f>IF($J13="UNKNOWN","",_xlfn.TEXTBEFORE($J13,{"0","1","2","3","4","5","6","7","8","9"," ","-","."},1,,,$J13))</f>
        <v>KWD</v>
      </c>
      <c r="M13" s="24" t="str">
        <f>IF('query (2)'!I13&lt;&gt;"",TRIM(UPPER('query (2)'!I13)),IF($L13="","UNKNOWN",$L13))</f>
        <v>KWD</v>
      </c>
      <c r="N13" s="24" t="str">
        <f>IF('query (2)'!I13&lt;&gt;"","SOURCE",IF($L13="","UNKNOWN","DERIVED"))</f>
        <v>SOURCE</v>
      </c>
      <c r="O13" s="24" t="str">
        <f>IF('query (2)'!E13="","NOT_SPECIFIED",TRIM(UPPER('query (2)'!E13)))</f>
        <v>ASSEMBLY</v>
      </c>
      <c r="P13" s="24" t="str">
        <f>IF('query (2)'!F13="","",TRIM(UPPER('query (2)'!F13)))</f>
        <v>1010-KW3AI</v>
      </c>
      <c r="Q13" s="24" t="str">
        <f>IF('query (2)'!G13="","UNKNOWN",IFERROR(INDEX(Cleaning_Rules!$B$38:$B$46,MATCH(TRIM(UPPER('query (2)'!G13)),Cleaning_Rules!$A$38:$A$46,0)),"UNKNOWN"))</f>
        <v>CHECK</v>
      </c>
      <c r="R13" s="24" t="str">
        <f>IF('query (2)'!H13="","",TRIM(UPPER('query (2)'!H13)))</f>
        <v>AUTOMATION VIBRATION TESTING MACHINE</v>
      </c>
      <c r="S13" s="25" t="str">
        <f>IF('query (2)'!H13="","",'query (2)'!H13)</f>
        <v>Automation vibration testing machine</v>
      </c>
      <c r="T13" s="24" t="str">
        <f>IF('query (2)'!J13="","",TRIM(UPPER('query (2)'!J13)))</f>
        <v>NOISE INSPECTION AUTO</v>
      </c>
      <c r="U13" s="24" t="str">
        <f t="shared" si="3"/>
        <v/>
      </c>
      <c r="V13" s="24" t="str">
        <f>IF('query (2)'!K13="","NOT_SPECIFIED",IFERROR(INDEX(Cleaning_Rules!$B$32:$B$34,MATCH(TRIM(UPPER('query (2)'!K13)),Cleaning_Rules!$A$32:$A$34,0)),"UNKNOWN"))</f>
        <v>NOT_SPECIFIED</v>
      </c>
      <c r="W13" s="24" t="str">
        <f t="shared" si="4"/>
        <v>CH-349 | FACTORY3 | KWD3 | KWD | ASSEMBLY | 1010-KW3AI | CHECK | AUTOMATION VIBRATION TESTING MACHINE | NOISE INSPECTION AUTO | NOT_SPECIFIED</v>
      </c>
      <c r="X13" s="24" t="str">
        <f t="shared" si="5"/>
        <v/>
      </c>
      <c r="Y13" s="24" t="str">
        <f t="shared" si="6"/>
        <v>MISSING_STATUS</v>
      </c>
    </row>
    <row r="14" spans="1:25" x14ac:dyDescent="0.3">
      <c r="A14" s="24" t="str">
        <f t="shared" si="0"/>
        <v>CH-471#0013</v>
      </c>
      <c r="B14" s="24" t="str">
        <f>IF('query (2)'!B14="","",TRIM(UPPER('query (2)'!B14)))</f>
        <v>CH-471</v>
      </c>
      <c r="C14" s="25" t="str">
        <f>IF('query (2)'!B14="","",'query (2)'!B14)</f>
        <v>CH-471</v>
      </c>
      <c r="D14" s="24" t="str">
        <f t="shared" si="1"/>
        <v>CH</v>
      </c>
      <c r="E14" s="24">
        <f t="shared" si="2"/>
        <v>1</v>
      </c>
      <c r="F14" s="24">
        <f>IF('query (2)'!A14="","",IFERROR(VALUE('query (2)'!A14),""))</f>
        <v>13</v>
      </c>
      <c r="G14" s="24" t="str">
        <f>IF('query (2)'!C14="","UNKNOWN",IFERROR(INDEX(Cleaning_Rules!$B$15:$B$20,MATCH(TRIM(UPPER('query (2)'!C14)),Cleaning_Rules!$A$15:$A$20,0)),"UNKNOWN"))</f>
        <v>FACTORY3</v>
      </c>
      <c r="H14" s="25" t="str">
        <f>IF('query (2)'!C14="","",'query (2)'!C14)</f>
        <v>FACTORY3</v>
      </c>
      <c r="I14" s="24" t="str" cm="1">
        <f t="array" ref="I14">_xlfn.IFS($G14="UNKNOWN","UNKNOWN",OR($G14="FACTORY1",$G14="FACTORY2",$G14="FACTORY3"),"PLANT",TRUE,"SHARED")</f>
        <v>PLANT</v>
      </c>
      <c r="J14" s="24" t="str">
        <f>IF('query (2)'!D14="","UNKNOWN",IF(COUNTIF(Cleaning_Rules!$A$6:$A$11,TRIM('query (2)'!D14))&gt;0,"UNKNOWN",IFERROR(INDEX(Cleaning_Rules!$B$24:$B$28,MATCH(TRIM(UPPER('query (2)'!D14)),Cleaning_Rules!$A$24:$A$28,0)),TRIM(UPPER('query (2)'!D14)))))</f>
        <v>KWD4</v>
      </c>
      <c r="K14" s="25" t="str">
        <f>IF('query (2)'!D14="","",'query (2)'!D14)</f>
        <v>KWD4</v>
      </c>
      <c r="L14" s="24" t="str">
        <f>IF($J14="UNKNOWN","",_xlfn.TEXTBEFORE($J14,{"0","1","2","3","4","5","6","7","8","9"," ","-","."},1,,,$J14))</f>
        <v>KWD</v>
      </c>
      <c r="M14" s="24" t="str">
        <f>IF('query (2)'!I14&lt;&gt;"",TRIM(UPPER('query (2)'!I14)),IF($L14="","UNKNOWN",$L14))</f>
        <v>KWD</v>
      </c>
      <c r="N14" s="24" t="str">
        <f>IF('query (2)'!I14&lt;&gt;"","SOURCE",IF($L14="","UNKNOWN","DERIVED"))</f>
        <v>SOURCE</v>
      </c>
      <c r="O14" s="24" t="str">
        <f>IF('query (2)'!E14="","NOT_SPECIFIED",TRIM(UPPER('query (2)'!E14)))</f>
        <v>ASSEMBLY</v>
      </c>
      <c r="P14" s="24" t="str">
        <f>IF('query (2)'!F14="","",TRIM(UPPER('query (2)'!F14)))</f>
        <v>1013-KW4AI</v>
      </c>
      <c r="Q14" s="24" t="str">
        <f>IF('query (2)'!G14="","UNKNOWN",IFERROR(INDEX(Cleaning_Rules!$B$38:$B$46,MATCH(TRIM(UPPER('query (2)'!G14)),Cleaning_Rules!$A$38:$A$46,0)),"UNKNOWN"))</f>
        <v>CHECK</v>
      </c>
      <c r="R14" s="24" t="str">
        <f>IF('query (2)'!H14="","",TRIM(UPPER('query (2)'!H14)))</f>
        <v>AUTOMATION VIBRATION TESTING MACHINE</v>
      </c>
      <c r="S14" s="25" t="str">
        <f>IF('query (2)'!H14="","",'query (2)'!H14)</f>
        <v>Automation vibration testing machine</v>
      </c>
      <c r="T14" s="24" t="str">
        <f>IF('query (2)'!J14="","",TRIM(UPPER('query (2)'!J14)))</f>
        <v>NOISE INSPECTION AUTO</v>
      </c>
      <c r="U14" s="24" t="str">
        <f t="shared" si="3"/>
        <v/>
      </c>
      <c r="V14" s="24" t="str">
        <f>IF('query (2)'!K14="","NOT_SPECIFIED",IFERROR(INDEX(Cleaning_Rules!$B$32:$B$34,MATCH(TRIM(UPPER('query (2)'!K14)),Cleaning_Rules!$A$32:$A$34,0)),"UNKNOWN"))</f>
        <v>NOT_SPECIFIED</v>
      </c>
      <c r="W14" s="24" t="str">
        <f t="shared" si="4"/>
        <v>CH-471 | FACTORY3 | KWD4 | KWD | ASSEMBLY | 1013-KW4AI | CHECK | AUTOMATION VIBRATION TESTING MACHINE | NOISE INSPECTION AUTO | NOT_SPECIFIED</v>
      </c>
      <c r="X14" s="24" t="str">
        <f t="shared" si="5"/>
        <v/>
      </c>
      <c r="Y14" s="24" t="str">
        <f t="shared" si="6"/>
        <v>MISSING_STATUS</v>
      </c>
    </row>
    <row r="15" spans="1:25" x14ac:dyDescent="0.3">
      <c r="A15" s="24" t="str">
        <f t="shared" si="0"/>
        <v>CH-587#0014</v>
      </c>
      <c r="B15" s="24" t="str">
        <f>IF('query (2)'!B15="","",TRIM(UPPER('query (2)'!B15)))</f>
        <v>CH-587</v>
      </c>
      <c r="C15" s="25" t="str">
        <f>IF('query (2)'!B15="","",'query (2)'!B15)</f>
        <v>CH-587</v>
      </c>
      <c r="D15" s="24" t="str">
        <f t="shared" si="1"/>
        <v>CH</v>
      </c>
      <c r="E15" s="24">
        <f t="shared" si="2"/>
        <v>1</v>
      </c>
      <c r="F15" s="24">
        <f>IF('query (2)'!A15="","",IFERROR(VALUE('query (2)'!A15),""))</f>
        <v>14</v>
      </c>
      <c r="G15" s="24" t="str">
        <f>IF('query (2)'!C15="","UNKNOWN",IFERROR(INDEX(Cleaning_Rules!$B$15:$B$20,MATCH(TRIM(UPPER('query (2)'!C15)),Cleaning_Rules!$A$15:$A$20,0)),"UNKNOWN"))</f>
        <v>FACTORY3</v>
      </c>
      <c r="H15" s="25" t="str">
        <f>IF('query (2)'!C15="","",'query (2)'!C15)</f>
        <v>FACTORY3</v>
      </c>
      <c r="I15" s="24" t="str" cm="1">
        <f t="array" ref="I15">_xlfn.IFS($G15="UNKNOWN","UNKNOWN",OR($G15="FACTORY1",$G15="FACTORY2",$G15="FACTORY3"),"PLANT",TRUE,"SHARED")</f>
        <v>PLANT</v>
      </c>
      <c r="J15" s="24" t="str">
        <f>IF('query (2)'!D15="","UNKNOWN",IF(COUNTIF(Cleaning_Rules!$A$6:$A$11,TRIM('query (2)'!D15))&gt;0,"UNKNOWN",IFERROR(INDEX(Cleaning_Rules!$B$24:$B$28,MATCH(TRIM(UPPER('query (2)'!D15)),Cleaning_Rules!$A$24:$A$28,0)),TRIM(UPPER('query (2)'!D15)))))</f>
        <v>KWD5</v>
      </c>
      <c r="K15" s="25" t="str">
        <f>IF('query (2)'!D15="","",'query (2)'!D15)</f>
        <v>KWD5</v>
      </c>
      <c r="L15" s="24" t="str">
        <f>IF($J15="UNKNOWN","",_xlfn.TEXTBEFORE($J15,{"0","1","2","3","4","5","6","7","8","9"," ","-","."},1,,,$J15))</f>
        <v>KWD</v>
      </c>
      <c r="M15" s="24" t="str">
        <f>IF('query (2)'!I15&lt;&gt;"",TRIM(UPPER('query (2)'!I15)),IF($L15="","UNKNOWN",$L15))</f>
        <v>KWD</v>
      </c>
      <c r="N15" s="24" t="str">
        <f>IF('query (2)'!I15&lt;&gt;"","SOURCE",IF($L15="","UNKNOWN","DERIVED"))</f>
        <v>SOURCE</v>
      </c>
      <c r="O15" s="24" t="str">
        <f>IF('query (2)'!E15="","NOT_SPECIFIED",TRIM(UPPER('query (2)'!E15)))</f>
        <v>ASSEMBLY</v>
      </c>
      <c r="P15" s="24" t="str">
        <f>IF('query (2)'!F15="","",TRIM(UPPER('query (2)'!F15)))</f>
        <v>1016-KW5AI</v>
      </c>
      <c r="Q15" s="24" t="str">
        <f>IF('query (2)'!G15="","UNKNOWN",IFERROR(INDEX(Cleaning_Rules!$B$38:$B$46,MATCH(TRIM(UPPER('query (2)'!G15)),Cleaning_Rules!$A$38:$A$46,0)),"UNKNOWN"))</f>
        <v>CHECK</v>
      </c>
      <c r="R15" s="24" t="str">
        <f>IF('query (2)'!H15="","",TRIM(UPPER('query (2)'!H15)))</f>
        <v>AUTOMATION VIBRATION TESTING MACHINE</v>
      </c>
      <c r="S15" s="25" t="str">
        <f>IF('query (2)'!H15="","",'query (2)'!H15)</f>
        <v>Automation vibration testing machine</v>
      </c>
      <c r="T15" s="24" t="str">
        <f>IF('query (2)'!J15="","",TRIM(UPPER('query (2)'!J15)))</f>
        <v>NOISE INSPECTION AUTO</v>
      </c>
      <c r="U15" s="24" t="str">
        <f t="shared" si="3"/>
        <v/>
      </c>
      <c r="V15" s="24" t="str">
        <f>IF('query (2)'!K15="","NOT_SPECIFIED",IFERROR(INDEX(Cleaning_Rules!$B$32:$B$34,MATCH(TRIM(UPPER('query (2)'!K15)),Cleaning_Rules!$A$32:$A$34,0)),"UNKNOWN"))</f>
        <v>NOT_SPECIFIED</v>
      </c>
      <c r="W15" s="24" t="str">
        <f t="shared" si="4"/>
        <v>CH-587 | FACTORY3 | KWD5 | KWD | ASSEMBLY | 1016-KW5AI | CHECK | AUTOMATION VIBRATION TESTING MACHINE | NOISE INSPECTION AUTO | NOT_SPECIFIED</v>
      </c>
      <c r="X15" s="24" t="str">
        <f t="shared" si="5"/>
        <v/>
      </c>
      <c r="Y15" s="24" t="str">
        <f t="shared" si="6"/>
        <v>MISSING_STATUS</v>
      </c>
    </row>
    <row r="16" spans="1:25" x14ac:dyDescent="0.3">
      <c r="A16" s="24" t="str">
        <f t="shared" si="0"/>
        <v>CH-711#0015</v>
      </c>
      <c r="B16" s="24" t="str">
        <f>IF('query (2)'!B16="","",TRIM(UPPER('query (2)'!B16)))</f>
        <v>CH-711</v>
      </c>
      <c r="C16" s="25" t="str">
        <f>IF('query (2)'!B16="","",'query (2)'!B16)</f>
        <v>CH-711</v>
      </c>
      <c r="D16" s="24" t="str">
        <f t="shared" si="1"/>
        <v>CH</v>
      </c>
      <c r="E16" s="24">
        <f t="shared" si="2"/>
        <v>1</v>
      </c>
      <c r="F16" s="24">
        <f>IF('query (2)'!A16="","",IFERROR(VALUE('query (2)'!A16),""))</f>
        <v>15</v>
      </c>
      <c r="G16" s="24" t="str">
        <f>IF('query (2)'!C16="","UNKNOWN",IFERROR(INDEX(Cleaning_Rules!$B$15:$B$20,MATCH(TRIM(UPPER('query (2)'!C16)),Cleaning_Rules!$A$15:$A$20,0)),"UNKNOWN"))</f>
        <v>FACTORY3</v>
      </c>
      <c r="H16" s="25" t="str">
        <f>IF('query (2)'!C16="","",'query (2)'!C16)</f>
        <v>FACTORY3</v>
      </c>
      <c r="I16" s="24" t="str" cm="1">
        <f t="array" ref="I16">_xlfn.IFS($G16="UNKNOWN","UNKNOWN",OR($G16="FACTORY1",$G16="FACTORY2",$G16="FACTORY3"),"PLANT",TRUE,"SHARED")</f>
        <v>PLANT</v>
      </c>
      <c r="J16" s="24" t="str">
        <f>IF('query (2)'!D16="","UNKNOWN",IF(COUNTIF(Cleaning_Rules!$A$6:$A$11,TRIM('query (2)'!D16))&gt;0,"UNKNOWN",IFERROR(INDEX(Cleaning_Rules!$B$24:$B$28,MATCH(TRIM(UPPER('query (2)'!D16)),Cleaning_Rules!$A$24:$A$28,0)),TRIM(UPPER('query (2)'!D16)))))</f>
        <v>KWD6</v>
      </c>
      <c r="K16" s="25" t="str">
        <f>IF('query (2)'!D16="","",'query (2)'!D16)</f>
        <v>KWD6</v>
      </c>
      <c r="L16" s="24" t="str">
        <f>IF($J16="UNKNOWN","",_xlfn.TEXTBEFORE($J16,{"0","1","2","3","4","5","6","7","8","9"," ","-","."},1,,,$J16))</f>
        <v>KWD</v>
      </c>
      <c r="M16" s="24" t="str">
        <f>IF('query (2)'!I16&lt;&gt;"",TRIM(UPPER('query (2)'!I16)),IF($L16="","UNKNOWN",$L16))</f>
        <v>KWD</v>
      </c>
      <c r="N16" s="24" t="str">
        <f>IF('query (2)'!I16&lt;&gt;"","SOURCE",IF($L16="","UNKNOWN","DERIVED"))</f>
        <v>SOURCE</v>
      </c>
      <c r="O16" s="24" t="str">
        <f>IF('query (2)'!E16="","NOT_SPECIFIED",TRIM(UPPER('query (2)'!E16)))</f>
        <v>ASSEMBLY</v>
      </c>
      <c r="P16" s="24" t="str">
        <f>IF('query (2)'!F16="","",TRIM(UPPER('query (2)'!F16)))</f>
        <v>1019-KW6AI</v>
      </c>
      <c r="Q16" s="24" t="str">
        <f>IF('query (2)'!G16="","UNKNOWN",IFERROR(INDEX(Cleaning_Rules!$B$38:$B$46,MATCH(TRIM(UPPER('query (2)'!G16)),Cleaning_Rules!$A$38:$A$46,0)),"UNKNOWN"))</f>
        <v>CHECK</v>
      </c>
      <c r="R16" s="24" t="str">
        <f>IF('query (2)'!H16="","",TRIM(UPPER('query (2)'!H16)))</f>
        <v>AUTOMATION VIBRATION TESTING MACHINE</v>
      </c>
      <c r="S16" s="25" t="str">
        <f>IF('query (2)'!H16="","",'query (2)'!H16)</f>
        <v>Automation vibration testing machine</v>
      </c>
      <c r="T16" s="24" t="str">
        <f>IF('query (2)'!J16="","",TRIM(UPPER('query (2)'!J16)))</f>
        <v>NOISE INSPECTION AUTO</v>
      </c>
      <c r="U16" s="24" t="str">
        <f t="shared" si="3"/>
        <v/>
      </c>
      <c r="V16" s="24" t="str">
        <f>IF('query (2)'!K16="","NOT_SPECIFIED",IFERROR(INDEX(Cleaning_Rules!$B$32:$B$34,MATCH(TRIM(UPPER('query (2)'!K16)),Cleaning_Rules!$A$32:$A$34,0)),"UNKNOWN"))</f>
        <v>NOT_SPECIFIED</v>
      </c>
      <c r="W16" s="24" t="str">
        <f t="shared" si="4"/>
        <v>CH-711 | FACTORY3 | KWD6 | KWD | ASSEMBLY | 1019-KW6AI | CHECK | AUTOMATION VIBRATION TESTING MACHINE | NOISE INSPECTION AUTO | NOT_SPECIFIED</v>
      </c>
      <c r="X16" s="24" t="str">
        <f t="shared" si="5"/>
        <v/>
      </c>
      <c r="Y16" s="24" t="str">
        <f t="shared" si="6"/>
        <v>MISSING_STATUS</v>
      </c>
    </row>
    <row r="17" spans="1:25" x14ac:dyDescent="0.3">
      <c r="A17" s="24" t="str">
        <f t="shared" si="0"/>
        <v>CH-836#0016</v>
      </c>
      <c r="B17" s="24" t="str">
        <f>IF('query (2)'!B17="","",TRIM(UPPER('query (2)'!B17)))</f>
        <v>CH-836</v>
      </c>
      <c r="C17" s="25" t="str">
        <f>IF('query (2)'!B17="","",'query (2)'!B17)</f>
        <v>CH-836</v>
      </c>
      <c r="D17" s="24" t="str">
        <f t="shared" si="1"/>
        <v>CH</v>
      </c>
      <c r="E17" s="24">
        <f t="shared" si="2"/>
        <v>1</v>
      </c>
      <c r="F17" s="24">
        <f>IF('query (2)'!A17="","",IFERROR(VALUE('query (2)'!A17),""))</f>
        <v>16</v>
      </c>
      <c r="G17" s="24" t="str">
        <f>IF('query (2)'!C17="","UNKNOWN",IFERROR(INDEX(Cleaning_Rules!$B$15:$B$20,MATCH(TRIM(UPPER('query (2)'!C17)),Cleaning_Rules!$A$15:$A$20,0)),"UNKNOWN"))</f>
        <v>FACTORY3</v>
      </c>
      <c r="H17" s="25" t="str">
        <f>IF('query (2)'!C17="","",'query (2)'!C17)</f>
        <v>FACTORY3</v>
      </c>
      <c r="I17" s="24" t="str" cm="1">
        <f t="array" ref="I17">_xlfn.IFS($G17="UNKNOWN","UNKNOWN",OR($G17="FACTORY1",$G17="FACTORY2",$G17="FACTORY3"),"PLANT",TRUE,"SHARED")</f>
        <v>PLANT</v>
      </c>
      <c r="J17" s="24" t="str">
        <f>IF('query (2)'!D17="","UNKNOWN",IF(COUNTIF(Cleaning_Rules!$A$6:$A$11,TRIM('query (2)'!D17))&gt;0,"UNKNOWN",IFERROR(INDEX(Cleaning_Rules!$B$24:$B$28,MATCH(TRIM(UPPER('query (2)'!D17)),Cleaning_Rules!$A$24:$A$28,0)),TRIM(UPPER('query (2)'!D17)))))</f>
        <v>KWD7</v>
      </c>
      <c r="K17" s="25" t="str">
        <f>IF('query (2)'!D17="","",'query (2)'!D17)</f>
        <v>KWD7</v>
      </c>
      <c r="L17" s="24" t="str">
        <f>IF($J17="UNKNOWN","",_xlfn.TEXTBEFORE($J17,{"0","1","2","3","4","5","6","7","8","9"," ","-","."},1,,,$J17))</f>
        <v>KWD</v>
      </c>
      <c r="M17" s="24" t="str">
        <f>IF('query (2)'!I17&lt;&gt;"",TRIM(UPPER('query (2)'!I17)),IF($L17="","UNKNOWN",$L17))</f>
        <v>KWD</v>
      </c>
      <c r="N17" s="24" t="str">
        <f>IF('query (2)'!I17&lt;&gt;"","SOURCE",IF($L17="","UNKNOWN","DERIVED"))</f>
        <v>SOURCE</v>
      </c>
      <c r="O17" s="24" t="str">
        <f>IF('query (2)'!E17="","NOT_SPECIFIED",TRIM(UPPER('query (2)'!E17)))</f>
        <v>ASSEMBLY</v>
      </c>
      <c r="P17" s="24" t="str">
        <f>IF('query (2)'!F17="","",TRIM(UPPER('query (2)'!F17)))</f>
        <v>1025-KW7AI</v>
      </c>
      <c r="Q17" s="24" t="str">
        <f>IF('query (2)'!G17="","UNKNOWN",IFERROR(INDEX(Cleaning_Rules!$B$38:$B$46,MATCH(TRIM(UPPER('query (2)'!G17)),Cleaning_Rules!$A$38:$A$46,0)),"UNKNOWN"))</f>
        <v>CHECK</v>
      </c>
      <c r="R17" s="24" t="str">
        <f>IF('query (2)'!H17="","",TRIM(UPPER('query (2)'!H17)))</f>
        <v>AUTOMATION VIBRATION TESTING MACHINE</v>
      </c>
      <c r="S17" s="25" t="str">
        <f>IF('query (2)'!H17="","",'query (2)'!H17)</f>
        <v>Automation vibration testing machine</v>
      </c>
      <c r="T17" s="24" t="str">
        <f>IF('query (2)'!J17="","",TRIM(UPPER('query (2)'!J17)))</f>
        <v>NOISE INSPECTION AUTO</v>
      </c>
      <c r="U17" s="24" t="str">
        <f t="shared" si="3"/>
        <v/>
      </c>
      <c r="V17" s="24" t="str">
        <f>IF('query (2)'!K17="","NOT_SPECIFIED",IFERROR(INDEX(Cleaning_Rules!$B$32:$B$34,MATCH(TRIM(UPPER('query (2)'!K17)),Cleaning_Rules!$A$32:$A$34,0)),"UNKNOWN"))</f>
        <v>NOT_SPECIFIED</v>
      </c>
      <c r="W17" s="24" t="str">
        <f t="shared" si="4"/>
        <v>CH-836 | FACTORY3 | KWD7 | KWD | ASSEMBLY | 1025-KW7AI | CHECK | AUTOMATION VIBRATION TESTING MACHINE | NOISE INSPECTION AUTO | NOT_SPECIFIED</v>
      </c>
      <c r="X17" s="24" t="str">
        <f t="shared" si="5"/>
        <v/>
      </c>
      <c r="Y17" s="24" t="str">
        <f t="shared" si="6"/>
        <v>MISSING_STATUS</v>
      </c>
    </row>
    <row r="18" spans="1:25" x14ac:dyDescent="0.3">
      <c r="A18" s="24" t="str">
        <f t="shared" si="0"/>
        <v>CH-022#0017</v>
      </c>
      <c r="B18" s="24" t="str">
        <f>IF('query (2)'!B18="","",TRIM(UPPER('query (2)'!B18)))</f>
        <v>CH-022</v>
      </c>
      <c r="C18" s="25" t="str">
        <f>IF('query (2)'!B18="","",'query (2)'!B18)</f>
        <v>CH-022</v>
      </c>
      <c r="D18" s="24" t="str">
        <f t="shared" si="1"/>
        <v>CH</v>
      </c>
      <c r="E18" s="24">
        <f t="shared" si="2"/>
        <v>1</v>
      </c>
      <c r="F18" s="24">
        <f>IF('query (2)'!A18="","",IFERROR(VALUE('query (2)'!A18),""))</f>
        <v>17</v>
      </c>
      <c r="G18" s="24" t="str">
        <f>IF('query (2)'!C18="","UNKNOWN",IFERROR(INDEX(Cleaning_Rules!$B$15:$B$20,MATCH(TRIM(UPPER('query (2)'!C18)),Cleaning_Rules!$A$15:$A$20,0)),"UNKNOWN"))</f>
        <v>FACTORY3</v>
      </c>
      <c r="H18" s="25" t="str">
        <f>IF('query (2)'!C18="","",'query (2)'!C18)</f>
        <v>FACTORY3</v>
      </c>
      <c r="I18" s="24" t="str" cm="1">
        <f t="array" ref="I18">_xlfn.IFS($G18="UNKNOWN","UNKNOWN",OR($G18="FACTORY1",$G18="FACTORY2",$G18="FACTORY3"),"PLANT",TRUE,"SHARED")</f>
        <v>PLANT</v>
      </c>
      <c r="J18" s="24" t="str">
        <f>IF('query (2)'!D18="","UNKNOWN",IF(COUNTIF(Cleaning_Rules!$A$6:$A$11,TRIM('query (2)'!D18))&gt;0,"UNKNOWN",IFERROR(INDEX(Cleaning_Rules!$B$24:$B$28,MATCH(TRIM(UPPER('query (2)'!D18)),Cleaning_Rules!$A$24:$A$28,0)),TRIM(UPPER('query (2)'!D18)))))</f>
        <v>KWD1</v>
      </c>
      <c r="K18" s="25" t="str">
        <f>IF('query (2)'!D18="","",'query (2)'!D18)</f>
        <v>KWD1</v>
      </c>
      <c r="L18" s="24" t="str">
        <f>IF($J18="UNKNOWN","",_xlfn.TEXTBEFORE($J18,{"0","1","2","3","4","5","6","7","8","9"," ","-","."},1,,,$J18))</f>
        <v>KWD</v>
      </c>
      <c r="M18" s="24" t="str">
        <f>IF('query (2)'!I18&lt;&gt;"",TRIM(UPPER('query (2)'!I18)),IF($L18="","UNKNOWN",$L18))</f>
        <v>KWD</v>
      </c>
      <c r="N18" s="24" t="str">
        <f>IF('query (2)'!I18&lt;&gt;"","SOURCE",IF($L18="","UNKNOWN","DERIVED"))</f>
        <v>SOURCE</v>
      </c>
      <c r="O18" s="24" t="str">
        <f>IF('query (2)'!E18="","NOT_SPECIFIED",TRIM(UPPER('query (2)'!E18)))</f>
        <v>ASSEMBLY</v>
      </c>
      <c r="P18" s="24" t="str">
        <f>IF('query (2)'!F18="","",TRIM(UPPER('query (2)'!F18)))</f>
        <v>1004-KW1AI</v>
      </c>
      <c r="Q18" s="24" t="str">
        <f>IF('query (2)'!G18="","UNKNOWN",IFERROR(INDEX(Cleaning_Rules!$B$38:$B$46,MATCH(TRIM(UPPER('query (2)'!G18)),Cleaning_Rules!$A$38:$A$46,0)),"UNKNOWN"))</f>
        <v>CHECK</v>
      </c>
      <c r="R18" s="24" t="str">
        <f>IF('query (2)'!H18="","",TRIM(UPPER('query (2)'!H18)))</f>
        <v>AXIAL CLEARANCE INSPECTION MACHINE</v>
      </c>
      <c r="S18" s="25" t="str">
        <f>IF('query (2)'!H18="","",'query (2)'!H18)</f>
        <v>Axial clearance inspection machine</v>
      </c>
      <c r="T18" s="24" t="str">
        <f>IF('query (2)'!J18="","",TRIM(UPPER('query (2)'!J18)))</f>
        <v>AXIAL CLEARANCE AUTO</v>
      </c>
      <c r="U18" s="24" t="str">
        <f t="shared" si="3"/>
        <v/>
      </c>
      <c r="V18" s="24" t="str">
        <f>IF('query (2)'!K18="","NOT_SPECIFIED",IFERROR(INDEX(Cleaning_Rules!$B$32:$B$34,MATCH(TRIM(UPPER('query (2)'!K18)),Cleaning_Rules!$A$32:$A$34,0)),"UNKNOWN"))</f>
        <v>NOT_SPECIFIED</v>
      </c>
      <c r="W18" s="24" t="str">
        <f t="shared" si="4"/>
        <v>CH-022 | FACTORY3 | KWD1 | KWD | ASSEMBLY | 1004-KW1AI | CHECK | AXIAL CLEARANCE INSPECTION MACHINE | AXIAL CLEARANCE AUTO | NOT_SPECIFIED</v>
      </c>
      <c r="X18" s="24" t="str">
        <f t="shared" si="5"/>
        <v/>
      </c>
      <c r="Y18" s="24" t="str">
        <f t="shared" si="6"/>
        <v>MISSING_STATUS</v>
      </c>
    </row>
    <row r="19" spans="1:25" x14ac:dyDescent="0.3">
      <c r="A19" s="24" t="str">
        <f t="shared" si="0"/>
        <v>CH-271#0018</v>
      </c>
      <c r="B19" s="24" t="str">
        <f>IF('query (2)'!B19="","",TRIM(UPPER('query (2)'!B19)))</f>
        <v>CH-271</v>
      </c>
      <c r="C19" s="25" t="str">
        <f>IF('query (2)'!B19="","",'query (2)'!B19)</f>
        <v>CH-271</v>
      </c>
      <c r="D19" s="24" t="str">
        <f t="shared" si="1"/>
        <v>CH</v>
      </c>
      <c r="E19" s="24">
        <f t="shared" si="2"/>
        <v>1</v>
      </c>
      <c r="F19" s="24">
        <f>IF('query (2)'!A19="","",IFERROR(VALUE('query (2)'!A19),""))</f>
        <v>18</v>
      </c>
      <c r="G19" s="24" t="str">
        <f>IF('query (2)'!C19="","UNKNOWN",IFERROR(INDEX(Cleaning_Rules!$B$15:$B$20,MATCH(TRIM(UPPER('query (2)'!C19)),Cleaning_Rules!$A$15:$A$20,0)),"UNKNOWN"))</f>
        <v>FACTORY3</v>
      </c>
      <c r="H19" s="25" t="str">
        <f>IF('query (2)'!C19="","",'query (2)'!C19)</f>
        <v>FACTORY3</v>
      </c>
      <c r="I19" s="24" t="str" cm="1">
        <f t="array" ref="I19">_xlfn.IFS($G19="UNKNOWN","UNKNOWN",OR($G19="FACTORY1",$G19="FACTORY2",$G19="FACTORY3"),"PLANT",TRUE,"SHARED")</f>
        <v>PLANT</v>
      </c>
      <c r="J19" s="24" t="str">
        <f>IF('query (2)'!D19="","UNKNOWN",IF(COUNTIF(Cleaning_Rules!$A$6:$A$11,TRIM('query (2)'!D19))&gt;0,"UNKNOWN",IFERROR(INDEX(Cleaning_Rules!$B$24:$B$28,MATCH(TRIM(UPPER('query (2)'!D19)),Cleaning_Rules!$A$24:$A$28,0)),TRIM(UPPER('query (2)'!D19)))))</f>
        <v>KWD2</v>
      </c>
      <c r="K19" s="25" t="str">
        <f>IF('query (2)'!D19="","",'query (2)'!D19)</f>
        <v>KWD2</v>
      </c>
      <c r="L19" s="24" t="str">
        <f>IF($J19="UNKNOWN","",_xlfn.TEXTBEFORE($J19,{"0","1","2","3","4","5","6","7","8","9"," ","-","."},1,,,$J19))</f>
        <v>KWD</v>
      </c>
      <c r="M19" s="24" t="str">
        <f>IF('query (2)'!I19&lt;&gt;"",TRIM(UPPER('query (2)'!I19)),IF($L19="","UNKNOWN",$L19))</f>
        <v>KWD</v>
      </c>
      <c r="N19" s="24" t="str">
        <f>IF('query (2)'!I19&lt;&gt;"","SOURCE",IF($L19="","UNKNOWN","DERIVED"))</f>
        <v>SOURCE</v>
      </c>
      <c r="O19" s="24" t="str">
        <f>IF('query (2)'!E19="","NOT_SPECIFIED",TRIM(UPPER('query (2)'!E19)))</f>
        <v>ASSEMBLY</v>
      </c>
      <c r="P19" s="24" t="str">
        <f>IF('query (2)'!F19="","",TRIM(UPPER('query (2)'!F19)))</f>
        <v>1007-KW2AI</v>
      </c>
      <c r="Q19" s="24" t="str">
        <f>IF('query (2)'!G19="","UNKNOWN",IFERROR(INDEX(Cleaning_Rules!$B$38:$B$46,MATCH(TRIM(UPPER('query (2)'!G19)),Cleaning_Rules!$A$38:$A$46,0)),"UNKNOWN"))</f>
        <v>CHECK</v>
      </c>
      <c r="R19" s="24" t="str">
        <f>IF('query (2)'!H19="","",TRIM(UPPER('query (2)'!H19)))</f>
        <v>AXIAL CLEARANCE INSPECTION MACHINE</v>
      </c>
      <c r="S19" s="25" t="str">
        <f>IF('query (2)'!H19="","",'query (2)'!H19)</f>
        <v>Axial clearance inspection machine</v>
      </c>
      <c r="T19" s="24" t="str">
        <f>IF('query (2)'!J19="","",TRIM(UPPER('query (2)'!J19)))</f>
        <v>AXIAL CLEARANCE AUTO</v>
      </c>
      <c r="U19" s="24" t="str">
        <f t="shared" si="3"/>
        <v/>
      </c>
      <c r="V19" s="24" t="str">
        <f>IF('query (2)'!K19="","NOT_SPECIFIED",IFERROR(INDEX(Cleaning_Rules!$B$32:$B$34,MATCH(TRIM(UPPER('query (2)'!K19)),Cleaning_Rules!$A$32:$A$34,0)),"UNKNOWN"))</f>
        <v>NOT_SPECIFIED</v>
      </c>
      <c r="W19" s="24" t="str">
        <f t="shared" si="4"/>
        <v>CH-271 | FACTORY3 | KWD2 | KWD | ASSEMBLY | 1007-KW2AI | CHECK | AXIAL CLEARANCE INSPECTION MACHINE | AXIAL CLEARANCE AUTO | NOT_SPECIFIED</v>
      </c>
      <c r="X19" s="24" t="str">
        <f t="shared" si="5"/>
        <v/>
      </c>
      <c r="Y19" s="24" t="str">
        <f t="shared" si="6"/>
        <v>MISSING_STATUS</v>
      </c>
    </row>
    <row r="20" spans="1:25" x14ac:dyDescent="0.3">
      <c r="A20" s="24" t="str">
        <f t="shared" si="0"/>
        <v>CH-357#0019</v>
      </c>
      <c r="B20" s="24" t="str">
        <f>IF('query (2)'!B20="","",TRIM(UPPER('query (2)'!B20)))</f>
        <v>CH-357</v>
      </c>
      <c r="C20" s="25" t="str">
        <f>IF('query (2)'!B20="","",'query (2)'!B20)</f>
        <v>CH-357</v>
      </c>
      <c r="D20" s="24" t="str">
        <f t="shared" si="1"/>
        <v>CH</v>
      </c>
      <c r="E20" s="24">
        <f t="shared" si="2"/>
        <v>1</v>
      </c>
      <c r="F20" s="24">
        <f>IF('query (2)'!A20="","",IFERROR(VALUE('query (2)'!A20),""))</f>
        <v>19</v>
      </c>
      <c r="G20" s="24" t="str">
        <f>IF('query (2)'!C20="","UNKNOWN",IFERROR(INDEX(Cleaning_Rules!$B$15:$B$20,MATCH(TRIM(UPPER('query (2)'!C20)),Cleaning_Rules!$A$15:$A$20,0)),"UNKNOWN"))</f>
        <v>FACTORY3</v>
      </c>
      <c r="H20" s="25" t="str">
        <f>IF('query (2)'!C20="","",'query (2)'!C20)</f>
        <v>FACTORY3</v>
      </c>
      <c r="I20" s="24" t="str" cm="1">
        <f t="array" ref="I20">_xlfn.IFS($G20="UNKNOWN","UNKNOWN",OR($G20="FACTORY1",$G20="FACTORY2",$G20="FACTORY3"),"PLANT",TRUE,"SHARED")</f>
        <v>PLANT</v>
      </c>
      <c r="J20" s="24" t="str">
        <f>IF('query (2)'!D20="","UNKNOWN",IF(COUNTIF(Cleaning_Rules!$A$6:$A$11,TRIM('query (2)'!D20))&gt;0,"UNKNOWN",IFERROR(INDEX(Cleaning_Rules!$B$24:$B$28,MATCH(TRIM(UPPER('query (2)'!D20)),Cleaning_Rules!$A$24:$A$28,0)),TRIM(UPPER('query (2)'!D20)))))</f>
        <v>KWD3</v>
      </c>
      <c r="K20" s="25" t="str">
        <f>IF('query (2)'!D20="","",'query (2)'!D20)</f>
        <v>KWD3</v>
      </c>
      <c r="L20" s="24" t="str">
        <f>IF($J20="UNKNOWN","",_xlfn.TEXTBEFORE($J20,{"0","1","2","3","4","5","6","7","8","9"," ","-","."},1,,,$J20))</f>
        <v>KWD</v>
      </c>
      <c r="M20" s="24" t="str">
        <f>IF('query (2)'!I20&lt;&gt;"",TRIM(UPPER('query (2)'!I20)),IF($L20="","UNKNOWN",$L20))</f>
        <v>KWD</v>
      </c>
      <c r="N20" s="24" t="str">
        <f>IF('query (2)'!I20&lt;&gt;"","SOURCE",IF($L20="","UNKNOWN","DERIVED"))</f>
        <v>SOURCE</v>
      </c>
      <c r="O20" s="24" t="str">
        <f>IF('query (2)'!E20="","NOT_SPECIFIED",TRIM(UPPER('query (2)'!E20)))</f>
        <v>ASSEMBLY</v>
      </c>
      <c r="P20" s="24" t="str">
        <f>IF('query (2)'!F20="","",TRIM(UPPER('query (2)'!F20)))</f>
        <v>1010-KW3AI</v>
      </c>
      <c r="Q20" s="24" t="str">
        <f>IF('query (2)'!G20="","UNKNOWN",IFERROR(INDEX(Cleaning_Rules!$B$38:$B$46,MATCH(TRIM(UPPER('query (2)'!G20)),Cleaning_Rules!$A$38:$A$46,0)),"UNKNOWN"))</f>
        <v>CHECK</v>
      </c>
      <c r="R20" s="24" t="str">
        <f>IF('query (2)'!H20="","",TRIM(UPPER('query (2)'!H20)))</f>
        <v>AXIAL CLEARANCE INSPECTION MACHINE</v>
      </c>
      <c r="S20" s="25" t="str">
        <f>IF('query (2)'!H20="","",'query (2)'!H20)</f>
        <v>Axial clearance inspection machine</v>
      </c>
      <c r="T20" s="24" t="str">
        <f>IF('query (2)'!J20="","",TRIM(UPPER('query (2)'!J20)))</f>
        <v>AXIAL CLEARANCE AUTO</v>
      </c>
      <c r="U20" s="24" t="str">
        <f t="shared" si="3"/>
        <v/>
      </c>
      <c r="V20" s="24" t="str">
        <f>IF('query (2)'!K20="","NOT_SPECIFIED",IFERROR(INDEX(Cleaning_Rules!$B$32:$B$34,MATCH(TRIM(UPPER('query (2)'!K20)),Cleaning_Rules!$A$32:$A$34,0)),"UNKNOWN"))</f>
        <v>NOT_SPECIFIED</v>
      </c>
      <c r="W20" s="24" t="str">
        <f t="shared" si="4"/>
        <v>CH-357 | FACTORY3 | KWD3 | KWD | ASSEMBLY | 1010-KW3AI | CHECK | AXIAL CLEARANCE INSPECTION MACHINE | AXIAL CLEARANCE AUTO | NOT_SPECIFIED</v>
      </c>
      <c r="X20" s="24" t="str">
        <f t="shared" si="5"/>
        <v/>
      </c>
      <c r="Y20" s="24" t="str">
        <f t="shared" si="6"/>
        <v>MISSING_STATUS</v>
      </c>
    </row>
    <row r="21" spans="1:25" x14ac:dyDescent="0.3">
      <c r="A21" s="24" t="str">
        <f t="shared" si="0"/>
        <v>CH-479#0020</v>
      </c>
      <c r="B21" s="24" t="str">
        <f>IF('query (2)'!B21="","",TRIM(UPPER('query (2)'!B21)))</f>
        <v>CH-479</v>
      </c>
      <c r="C21" s="25" t="str">
        <f>IF('query (2)'!B21="","",'query (2)'!B21)</f>
        <v>CH-479</v>
      </c>
      <c r="D21" s="24" t="str">
        <f t="shared" si="1"/>
        <v>CH</v>
      </c>
      <c r="E21" s="24">
        <f t="shared" si="2"/>
        <v>1</v>
      </c>
      <c r="F21" s="24">
        <f>IF('query (2)'!A21="","",IFERROR(VALUE('query (2)'!A21),""))</f>
        <v>20</v>
      </c>
      <c r="G21" s="24" t="str">
        <f>IF('query (2)'!C21="","UNKNOWN",IFERROR(INDEX(Cleaning_Rules!$B$15:$B$20,MATCH(TRIM(UPPER('query (2)'!C21)),Cleaning_Rules!$A$15:$A$20,0)),"UNKNOWN"))</f>
        <v>FACTORY3</v>
      </c>
      <c r="H21" s="25" t="str">
        <f>IF('query (2)'!C21="","",'query (2)'!C21)</f>
        <v>FACTORY3</v>
      </c>
      <c r="I21" s="24" t="str" cm="1">
        <f t="array" ref="I21">_xlfn.IFS($G21="UNKNOWN","UNKNOWN",OR($G21="FACTORY1",$G21="FACTORY2",$G21="FACTORY3"),"PLANT",TRUE,"SHARED")</f>
        <v>PLANT</v>
      </c>
      <c r="J21" s="24" t="str">
        <f>IF('query (2)'!D21="","UNKNOWN",IF(COUNTIF(Cleaning_Rules!$A$6:$A$11,TRIM('query (2)'!D21))&gt;0,"UNKNOWN",IFERROR(INDEX(Cleaning_Rules!$B$24:$B$28,MATCH(TRIM(UPPER('query (2)'!D21)),Cleaning_Rules!$A$24:$A$28,0)),TRIM(UPPER('query (2)'!D21)))))</f>
        <v>KWD4</v>
      </c>
      <c r="K21" s="25" t="str">
        <f>IF('query (2)'!D21="","",'query (2)'!D21)</f>
        <v>KWD4</v>
      </c>
      <c r="L21" s="24" t="str">
        <f>IF($J21="UNKNOWN","",_xlfn.TEXTBEFORE($J21,{"0","1","2","3","4","5","6","7","8","9"," ","-","."},1,,,$J21))</f>
        <v>KWD</v>
      </c>
      <c r="M21" s="24" t="str">
        <f>IF('query (2)'!I21&lt;&gt;"",TRIM(UPPER('query (2)'!I21)),IF($L21="","UNKNOWN",$L21))</f>
        <v>KWD</v>
      </c>
      <c r="N21" s="24" t="str">
        <f>IF('query (2)'!I21&lt;&gt;"","SOURCE",IF($L21="","UNKNOWN","DERIVED"))</f>
        <v>SOURCE</v>
      </c>
      <c r="O21" s="24" t="str">
        <f>IF('query (2)'!E21="","NOT_SPECIFIED",TRIM(UPPER('query (2)'!E21)))</f>
        <v>ASSEMBLY</v>
      </c>
      <c r="P21" s="24" t="str">
        <f>IF('query (2)'!F21="","",TRIM(UPPER('query (2)'!F21)))</f>
        <v>1013-KW4AI</v>
      </c>
      <c r="Q21" s="24" t="str">
        <f>IF('query (2)'!G21="","UNKNOWN",IFERROR(INDEX(Cleaning_Rules!$B$38:$B$46,MATCH(TRIM(UPPER('query (2)'!G21)),Cleaning_Rules!$A$38:$A$46,0)),"UNKNOWN"))</f>
        <v>CHECK</v>
      </c>
      <c r="R21" s="24" t="str">
        <f>IF('query (2)'!H21="","",TRIM(UPPER('query (2)'!H21)))</f>
        <v>AXIAL CLEARANCE INSPECTION MACHINE</v>
      </c>
      <c r="S21" s="25" t="str">
        <f>IF('query (2)'!H21="","",'query (2)'!H21)</f>
        <v>Axial clearance inspection machine</v>
      </c>
      <c r="T21" s="24" t="str">
        <f>IF('query (2)'!J21="","",TRIM(UPPER('query (2)'!J21)))</f>
        <v>AXIAL CLEARANCE AUTO</v>
      </c>
      <c r="U21" s="24" t="str">
        <f t="shared" si="3"/>
        <v/>
      </c>
      <c r="V21" s="24" t="str">
        <f>IF('query (2)'!K21="","NOT_SPECIFIED",IFERROR(INDEX(Cleaning_Rules!$B$32:$B$34,MATCH(TRIM(UPPER('query (2)'!K21)),Cleaning_Rules!$A$32:$A$34,0)),"UNKNOWN"))</f>
        <v>NOT_SPECIFIED</v>
      </c>
      <c r="W21" s="24" t="str">
        <f t="shared" si="4"/>
        <v>CH-479 | FACTORY3 | KWD4 | KWD | ASSEMBLY | 1013-KW4AI | CHECK | AXIAL CLEARANCE INSPECTION MACHINE | AXIAL CLEARANCE AUTO | NOT_SPECIFIED</v>
      </c>
      <c r="X21" s="24" t="str">
        <f t="shared" si="5"/>
        <v/>
      </c>
      <c r="Y21" s="24" t="str">
        <f t="shared" si="6"/>
        <v>MISSING_STATUS</v>
      </c>
    </row>
    <row r="22" spans="1:25" x14ac:dyDescent="0.3">
      <c r="A22" s="24" t="str">
        <f t="shared" si="0"/>
        <v>CH-596#0021</v>
      </c>
      <c r="B22" s="24" t="str">
        <f>IF('query (2)'!B22="","",TRIM(UPPER('query (2)'!B22)))</f>
        <v>CH-596</v>
      </c>
      <c r="C22" s="25" t="str">
        <f>IF('query (2)'!B22="","",'query (2)'!B22)</f>
        <v>CH-596</v>
      </c>
      <c r="D22" s="24" t="str">
        <f t="shared" si="1"/>
        <v>CH</v>
      </c>
      <c r="E22" s="24">
        <f t="shared" si="2"/>
        <v>1</v>
      </c>
      <c r="F22" s="24">
        <f>IF('query (2)'!A22="","",IFERROR(VALUE('query (2)'!A22),""))</f>
        <v>21</v>
      </c>
      <c r="G22" s="24" t="str">
        <f>IF('query (2)'!C22="","UNKNOWN",IFERROR(INDEX(Cleaning_Rules!$B$15:$B$20,MATCH(TRIM(UPPER('query (2)'!C22)),Cleaning_Rules!$A$15:$A$20,0)),"UNKNOWN"))</f>
        <v>FACTORY3</v>
      </c>
      <c r="H22" s="25" t="str">
        <f>IF('query (2)'!C22="","",'query (2)'!C22)</f>
        <v>FACTORY3</v>
      </c>
      <c r="I22" s="24" t="str" cm="1">
        <f t="array" ref="I22">_xlfn.IFS($G22="UNKNOWN","UNKNOWN",OR($G22="FACTORY1",$G22="FACTORY2",$G22="FACTORY3"),"PLANT",TRUE,"SHARED")</f>
        <v>PLANT</v>
      </c>
      <c r="J22" s="24" t="str">
        <f>IF('query (2)'!D22="","UNKNOWN",IF(COUNTIF(Cleaning_Rules!$A$6:$A$11,TRIM('query (2)'!D22))&gt;0,"UNKNOWN",IFERROR(INDEX(Cleaning_Rules!$B$24:$B$28,MATCH(TRIM(UPPER('query (2)'!D22)),Cleaning_Rules!$A$24:$A$28,0)),TRIM(UPPER('query (2)'!D22)))))</f>
        <v>KWD5</v>
      </c>
      <c r="K22" s="25" t="str">
        <f>IF('query (2)'!D22="","",'query (2)'!D22)</f>
        <v>KWD5</v>
      </c>
      <c r="L22" s="24" t="str">
        <f>IF($J22="UNKNOWN","",_xlfn.TEXTBEFORE($J22,{"0","1","2","3","4","5","6","7","8","9"," ","-","."},1,,,$J22))</f>
        <v>KWD</v>
      </c>
      <c r="M22" s="24" t="str">
        <f>IF('query (2)'!I22&lt;&gt;"",TRIM(UPPER('query (2)'!I22)),IF($L22="","UNKNOWN",$L22))</f>
        <v>KWD</v>
      </c>
      <c r="N22" s="24" t="str">
        <f>IF('query (2)'!I22&lt;&gt;"","SOURCE",IF($L22="","UNKNOWN","DERIVED"))</f>
        <v>SOURCE</v>
      </c>
      <c r="O22" s="24" t="str">
        <f>IF('query (2)'!E22="","NOT_SPECIFIED",TRIM(UPPER('query (2)'!E22)))</f>
        <v>ASSEMBLY</v>
      </c>
      <c r="P22" s="24" t="str">
        <f>IF('query (2)'!F22="","",TRIM(UPPER('query (2)'!F22)))</f>
        <v>1016-KW5AI</v>
      </c>
      <c r="Q22" s="24" t="str">
        <f>IF('query (2)'!G22="","UNKNOWN",IFERROR(INDEX(Cleaning_Rules!$B$38:$B$46,MATCH(TRIM(UPPER('query (2)'!G22)),Cleaning_Rules!$A$38:$A$46,0)),"UNKNOWN"))</f>
        <v>CHECK</v>
      </c>
      <c r="R22" s="24" t="str">
        <f>IF('query (2)'!H22="","",TRIM(UPPER('query (2)'!H22)))</f>
        <v>AXIAL CLEARANCE INSPECTION MACHINE</v>
      </c>
      <c r="S22" s="25" t="str">
        <f>IF('query (2)'!H22="","",'query (2)'!H22)</f>
        <v>Axial clearance inspection machine</v>
      </c>
      <c r="T22" s="24" t="str">
        <f>IF('query (2)'!J22="","",TRIM(UPPER('query (2)'!J22)))</f>
        <v>AXIAL CLEARANCE AUTO</v>
      </c>
      <c r="U22" s="24" t="str">
        <f t="shared" si="3"/>
        <v/>
      </c>
      <c r="V22" s="24" t="str">
        <f>IF('query (2)'!K22="","NOT_SPECIFIED",IFERROR(INDEX(Cleaning_Rules!$B$32:$B$34,MATCH(TRIM(UPPER('query (2)'!K22)),Cleaning_Rules!$A$32:$A$34,0)),"UNKNOWN"))</f>
        <v>NOT_SPECIFIED</v>
      </c>
      <c r="W22" s="24" t="str">
        <f t="shared" si="4"/>
        <v>CH-596 | FACTORY3 | KWD5 | KWD | ASSEMBLY | 1016-KW5AI | CHECK | AXIAL CLEARANCE INSPECTION MACHINE | AXIAL CLEARANCE AUTO | NOT_SPECIFIED</v>
      </c>
      <c r="X22" s="24" t="str">
        <f t="shared" si="5"/>
        <v/>
      </c>
      <c r="Y22" s="24" t="str">
        <f t="shared" si="6"/>
        <v>MISSING_STATUS</v>
      </c>
    </row>
    <row r="23" spans="1:25" x14ac:dyDescent="0.3">
      <c r="A23" s="24" t="str">
        <f t="shared" si="0"/>
        <v>CH-705#0022</v>
      </c>
      <c r="B23" s="24" t="str">
        <f>IF('query (2)'!B23="","",TRIM(UPPER('query (2)'!B23)))</f>
        <v>CH-705</v>
      </c>
      <c r="C23" s="25" t="str">
        <f>IF('query (2)'!B23="","",'query (2)'!B23)</f>
        <v>CH-705</v>
      </c>
      <c r="D23" s="24" t="str">
        <f t="shared" si="1"/>
        <v>CH</v>
      </c>
      <c r="E23" s="24">
        <f t="shared" si="2"/>
        <v>1</v>
      </c>
      <c r="F23" s="24">
        <f>IF('query (2)'!A23="","",IFERROR(VALUE('query (2)'!A23),""))</f>
        <v>22</v>
      </c>
      <c r="G23" s="24" t="str">
        <f>IF('query (2)'!C23="","UNKNOWN",IFERROR(INDEX(Cleaning_Rules!$B$15:$B$20,MATCH(TRIM(UPPER('query (2)'!C23)),Cleaning_Rules!$A$15:$A$20,0)),"UNKNOWN"))</f>
        <v>FACTORY3</v>
      </c>
      <c r="H23" s="25" t="str">
        <f>IF('query (2)'!C23="","",'query (2)'!C23)</f>
        <v>FACTORY3</v>
      </c>
      <c r="I23" s="24" t="str" cm="1">
        <f t="array" ref="I23">_xlfn.IFS($G23="UNKNOWN","UNKNOWN",OR($G23="FACTORY1",$G23="FACTORY2",$G23="FACTORY3"),"PLANT",TRUE,"SHARED")</f>
        <v>PLANT</v>
      </c>
      <c r="J23" s="24" t="str">
        <f>IF('query (2)'!D23="","UNKNOWN",IF(COUNTIF(Cleaning_Rules!$A$6:$A$11,TRIM('query (2)'!D23))&gt;0,"UNKNOWN",IFERROR(INDEX(Cleaning_Rules!$B$24:$B$28,MATCH(TRIM(UPPER('query (2)'!D23)),Cleaning_Rules!$A$24:$A$28,0)),TRIM(UPPER('query (2)'!D23)))))</f>
        <v>KWD6</v>
      </c>
      <c r="K23" s="25" t="str">
        <f>IF('query (2)'!D23="","",'query (2)'!D23)</f>
        <v>KWD6</v>
      </c>
      <c r="L23" s="24" t="str">
        <f>IF($J23="UNKNOWN","",_xlfn.TEXTBEFORE($J23,{"0","1","2","3","4","5","6","7","8","9"," ","-","."},1,,,$J23))</f>
        <v>KWD</v>
      </c>
      <c r="M23" s="24" t="str">
        <f>IF('query (2)'!I23&lt;&gt;"",TRIM(UPPER('query (2)'!I23)),IF($L23="","UNKNOWN",$L23))</f>
        <v>KWD</v>
      </c>
      <c r="N23" s="24" t="str">
        <f>IF('query (2)'!I23&lt;&gt;"","SOURCE",IF($L23="","UNKNOWN","DERIVED"))</f>
        <v>SOURCE</v>
      </c>
      <c r="O23" s="24" t="str">
        <f>IF('query (2)'!E23="","NOT_SPECIFIED",TRIM(UPPER('query (2)'!E23)))</f>
        <v>ASSEMBLY</v>
      </c>
      <c r="P23" s="24" t="str">
        <f>IF('query (2)'!F23="","",TRIM(UPPER('query (2)'!F23)))</f>
        <v>1019-KW6AI</v>
      </c>
      <c r="Q23" s="24" t="str">
        <f>IF('query (2)'!G23="","UNKNOWN",IFERROR(INDEX(Cleaning_Rules!$B$38:$B$46,MATCH(TRIM(UPPER('query (2)'!G23)),Cleaning_Rules!$A$38:$A$46,0)),"UNKNOWN"))</f>
        <v>CHECK</v>
      </c>
      <c r="R23" s="24" t="str">
        <f>IF('query (2)'!H23="","",TRIM(UPPER('query (2)'!H23)))</f>
        <v>AXIAL CLEARANCE INSPECTION MACHINE</v>
      </c>
      <c r="S23" s="25" t="str">
        <f>IF('query (2)'!H23="","",'query (2)'!H23)</f>
        <v>Axial clearance inspection machine</v>
      </c>
      <c r="T23" s="24" t="str">
        <f>IF('query (2)'!J23="","",TRIM(UPPER('query (2)'!J23)))</f>
        <v>AXIAL CLEARANCE AUTO</v>
      </c>
      <c r="U23" s="24" t="str">
        <f t="shared" si="3"/>
        <v/>
      </c>
      <c r="V23" s="24" t="str">
        <f>IF('query (2)'!K23="","NOT_SPECIFIED",IFERROR(INDEX(Cleaning_Rules!$B$32:$B$34,MATCH(TRIM(UPPER('query (2)'!K23)),Cleaning_Rules!$A$32:$A$34,0)),"UNKNOWN"))</f>
        <v>NOT_SPECIFIED</v>
      </c>
      <c r="W23" s="24" t="str">
        <f t="shared" si="4"/>
        <v>CH-705 | FACTORY3 | KWD6 | KWD | ASSEMBLY | 1019-KW6AI | CHECK | AXIAL CLEARANCE INSPECTION MACHINE | AXIAL CLEARANCE AUTO | NOT_SPECIFIED</v>
      </c>
      <c r="X23" s="24" t="str">
        <f t="shared" si="5"/>
        <v/>
      </c>
      <c r="Y23" s="24" t="str">
        <f t="shared" si="6"/>
        <v>MISSING_STATUS</v>
      </c>
    </row>
    <row r="24" spans="1:25" x14ac:dyDescent="0.3">
      <c r="A24" s="24" t="str">
        <f t="shared" si="0"/>
        <v>CH-844#0023</v>
      </c>
      <c r="B24" s="24" t="str">
        <f>IF('query (2)'!B24="","",TRIM(UPPER('query (2)'!B24)))</f>
        <v>CH-844</v>
      </c>
      <c r="C24" s="25" t="str">
        <f>IF('query (2)'!B24="","",'query (2)'!B24)</f>
        <v>CH-844</v>
      </c>
      <c r="D24" s="24" t="str">
        <f t="shared" si="1"/>
        <v>CH</v>
      </c>
      <c r="E24" s="24">
        <f t="shared" si="2"/>
        <v>1</v>
      </c>
      <c r="F24" s="24">
        <f>IF('query (2)'!A24="","",IFERROR(VALUE('query (2)'!A24),""))</f>
        <v>23</v>
      </c>
      <c r="G24" s="24" t="str">
        <f>IF('query (2)'!C24="","UNKNOWN",IFERROR(INDEX(Cleaning_Rules!$B$15:$B$20,MATCH(TRIM(UPPER('query (2)'!C24)),Cleaning_Rules!$A$15:$A$20,0)),"UNKNOWN"))</f>
        <v>FACTORY3</v>
      </c>
      <c r="H24" s="25" t="str">
        <f>IF('query (2)'!C24="","",'query (2)'!C24)</f>
        <v>FACTORY3</v>
      </c>
      <c r="I24" s="24" t="str" cm="1">
        <f t="array" ref="I24">_xlfn.IFS($G24="UNKNOWN","UNKNOWN",OR($G24="FACTORY1",$G24="FACTORY2",$G24="FACTORY3"),"PLANT",TRUE,"SHARED")</f>
        <v>PLANT</v>
      </c>
      <c r="J24" s="24" t="str">
        <f>IF('query (2)'!D24="","UNKNOWN",IF(COUNTIF(Cleaning_Rules!$A$6:$A$11,TRIM('query (2)'!D24))&gt;0,"UNKNOWN",IFERROR(INDEX(Cleaning_Rules!$B$24:$B$28,MATCH(TRIM(UPPER('query (2)'!D24)),Cleaning_Rules!$A$24:$A$28,0)),TRIM(UPPER('query (2)'!D24)))))</f>
        <v>KWD7</v>
      </c>
      <c r="K24" s="25" t="str">
        <f>IF('query (2)'!D24="","",'query (2)'!D24)</f>
        <v>KWD7</v>
      </c>
      <c r="L24" s="24" t="str">
        <f>IF($J24="UNKNOWN","",_xlfn.TEXTBEFORE($J24,{"0","1","2","3","4","5","6","7","8","9"," ","-","."},1,,,$J24))</f>
        <v>KWD</v>
      </c>
      <c r="M24" s="24" t="str">
        <f>IF('query (2)'!I24&lt;&gt;"",TRIM(UPPER('query (2)'!I24)),IF($L24="","UNKNOWN",$L24))</f>
        <v>KWD</v>
      </c>
      <c r="N24" s="24" t="str">
        <f>IF('query (2)'!I24&lt;&gt;"","SOURCE",IF($L24="","UNKNOWN","DERIVED"))</f>
        <v>SOURCE</v>
      </c>
      <c r="O24" s="24" t="str">
        <f>IF('query (2)'!E24="","NOT_SPECIFIED",TRIM(UPPER('query (2)'!E24)))</f>
        <v>ASSEMBLY</v>
      </c>
      <c r="P24" s="24" t="str">
        <f>IF('query (2)'!F24="","",TRIM(UPPER('query (2)'!F24)))</f>
        <v>1025-KW7AI</v>
      </c>
      <c r="Q24" s="24" t="str">
        <f>IF('query (2)'!G24="","UNKNOWN",IFERROR(INDEX(Cleaning_Rules!$B$38:$B$46,MATCH(TRIM(UPPER('query (2)'!G24)),Cleaning_Rules!$A$38:$A$46,0)),"UNKNOWN"))</f>
        <v>CHECK</v>
      </c>
      <c r="R24" s="24" t="str">
        <f>IF('query (2)'!H24="","",TRIM(UPPER('query (2)'!H24)))</f>
        <v>AXIAL CLEARANCE INSPECTION MACHINE</v>
      </c>
      <c r="S24" s="25" t="str">
        <f>IF('query (2)'!H24="","",'query (2)'!H24)</f>
        <v>Axial clearance inspection machine</v>
      </c>
      <c r="T24" s="24" t="str">
        <f>IF('query (2)'!J24="","",TRIM(UPPER('query (2)'!J24)))</f>
        <v>AXIAL CLEARANCE AUTO</v>
      </c>
      <c r="U24" s="24" t="str">
        <f t="shared" si="3"/>
        <v/>
      </c>
      <c r="V24" s="24" t="str">
        <f>IF('query (2)'!K24="","NOT_SPECIFIED",IFERROR(INDEX(Cleaning_Rules!$B$32:$B$34,MATCH(TRIM(UPPER('query (2)'!K24)),Cleaning_Rules!$A$32:$A$34,0)),"UNKNOWN"))</f>
        <v>NOT_SPECIFIED</v>
      </c>
      <c r="W24" s="24" t="str">
        <f t="shared" si="4"/>
        <v>CH-844 | FACTORY3 | KWD7 | KWD | ASSEMBLY | 1025-KW7AI | CHECK | AXIAL CLEARANCE INSPECTION MACHINE | AXIAL CLEARANCE AUTO | NOT_SPECIFIED</v>
      </c>
      <c r="X24" s="24" t="str">
        <f t="shared" si="5"/>
        <v/>
      </c>
      <c r="Y24" s="24" t="str">
        <f t="shared" si="6"/>
        <v>MISSING_STATUS</v>
      </c>
    </row>
    <row r="25" spans="1:25" x14ac:dyDescent="0.3">
      <c r="A25" s="24" t="str">
        <f t="shared" si="0"/>
        <v>CH-274#0024</v>
      </c>
      <c r="B25" s="24" t="str">
        <f>IF('query (2)'!B25="","",TRIM(UPPER('query (2)'!B25)))</f>
        <v>CH-274</v>
      </c>
      <c r="C25" s="25" t="str">
        <f>IF('query (2)'!B25="","",'query (2)'!B25)</f>
        <v>CH-274</v>
      </c>
      <c r="D25" s="24" t="str">
        <f t="shared" si="1"/>
        <v>CH</v>
      </c>
      <c r="E25" s="24">
        <f t="shared" si="2"/>
        <v>1</v>
      </c>
      <c r="F25" s="24">
        <f>IF('query (2)'!A25="","",IFERROR(VALUE('query (2)'!A25),""))</f>
        <v>24</v>
      </c>
      <c r="G25" s="24" t="str">
        <f>IF('query (2)'!C25="","UNKNOWN",IFERROR(INDEX(Cleaning_Rules!$B$15:$B$20,MATCH(TRIM(UPPER('query (2)'!C25)),Cleaning_Rules!$A$15:$A$20,0)),"UNKNOWN"))</f>
        <v>FACTORY3</v>
      </c>
      <c r="H25" s="25" t="str">
        <f>IF('query (2)'!C25="","",'query (2)'!C25)</f>
        <v>FACTORY3</v>
      </c>
      <c r="I25" s="24" t="str" cm="1">
        <f t="array" ref="I25">_xlfn.IFS($G25="UNKNOWN","UNKNOWN",OR($G25="FACTORY1",$G25="FACTORY2",$G25="FACTORY3"),"PLANT",TRUE,"SHARED")</f>
        <v>PLANT</v>
      </c>
      <c r="J25" s="24" t="str">
        <f>IF('query (2)'!D25="","UNKNOWN",IF(COUNTIF(Cleaning_Rules!$A$6:$A$11,TRIM('query (2)'!D25))&gt;0,"UNKNOWN",IFERROR(INDEX(Cleaning_Rules!$B$24:$B$28,MATCH(TRIM(UPPER('query (2)'!D25)),Cleaning_Rules!$A$24:$A$28,0)),TRIM(UPPER('query (2)'!D25)))))</f>
        <v>KWD1</v>
      </c>
      <c r="K25" s="25" t="str">
        <f>IF('query (2)'!D25="","",'query (2)'!D25)</f>
        <v>KWD1</v>
      </c>
      <c r="L25" s="24" t="str">
        <f>IF($J25="UNKNOWN","",_xlfn.TEXTBEFORE($J25,{"0","1","2","3","4","5","6","7","8","9"," ","-","."},1,,,$J25))</f>
        <v>KWD</v>
      </c>
      <c r="M25" s="24" t="str">
        <f>IF('query (2)'!I25&lt;&gt;"",TRIM(UPPER('query (2)'!I25)),IF($L25="","UNKNOWN",$L25))</f>
        <v>KWD</v>
      </c>
      <c r="N25" s="24" t="str">
        <f>IF('query (2)'!I25&lt;&gt;"","SOURCE",IF($L25="","UNKNOWN","DERIVED"))</f>
        <v>SOURCE</v>
      </c>
      <c r="O25" s="24" t="str">
        <f>IF('query (2)'!E25="","NOT_SPECIFIED",TRIM(UPPER('query (2)'!E25)))</f>
        <v>ASSEMBLY</v>
      </c>
      <c r="P25" s="24" t="str">
        <f>IF('query (2)'!F25="","",TRIM(UPPER('query (2)'!F25)))</f>
        <v>1004-KW1AI</v>
      </c>
      <c r="Q25" s="24" t="str">
        <f>IF('query (2)'!G25="","UNKNOWN",IFERROR(INDEX(Cleaning_Rules!$B$38:$B$46,MATCH(TRIM(UPPER('query (2)'!G25)),Cleaning_Rules!$A$38:$A$46,0)),"UNKNOWN"))</f>
        <v>CHECK</v>
      </c>
      <c r="R25" s="24" t="str">
        <f>IF('query (2)'!H25="","",TRIM(UPPER('query (2)'!H25)))</f>
        <v>ENCODER SEAL INSPECTION EQUIPMENT</v>
      </c>
      <c r="S25" s="25" t="str">
        <f>IF('query (2)'!H25="","",'query (2)'!H25)</f>
        <v>Encoder  seal  inspection  equipment</v>
      </c>
      <c r="T25" s="24" t="str">
        <f>IF('query (2)'!J25="","",TRIM(UPPER('query (2)'!J25)))</f>
        <v>SEAL ENCODER HEIGHT CHECKING</v>
      </c>
      <c r="U25" s="24" t="str">
        <f t="shared" si="3"/>
        <v/>
      </c>
      <c r="V25" s="24" t="str">
        <f>IF('query (2)'!K25="","NOT_SPECIFIED",IFERROR(INDEX(Cleaning_Rules!$B$32:$B$34,MATCH(TRIM(UPPER('query (2)'!K25)),Cleaning_Rules!$A$32:$A$34,0)),"UNKNOWN"))</f>
        <v>NOT_SPECIFIED</v>
      </c>
      <c r="W25" s="24" t="str">
        <f t="shared" si="4"/>
        <v>CH-274 | FACTORY3 | KWD1 | KWD | ASSEMBLY | 1004-KW1AI | CHECK | ENCODER SEAL INSPECTION EQUIPMENT | SEAL ENCODER HEIGHT CHECKING | NOT_SPECIFIED</v>
      </c>
      <c r="X25" s="24" t="str">
        <f t="shared" si="5"/>
        <v/>
      </c>
      <c r="Y25" s="24" t="str">
        <f t="shared" si="6"/>
        <v>MISSING_STATUS</v>
      </c>
    </row>
    <row r="26" spans="1:25" x14ac:dyDescent="0.3">
      <c r="A26" s="24" t="str">
        <f t="shared" si="0"/>
        <v>CH-923#0025</v>
      </c>
      <c r="B26" s="24" t="str">
        <f>IF('query (2)'!B26="","",TRIM(UPPER('query (2)'!B26)))</f>
        <v>CH-923</v>
      </c>
      <c r="C26" s="25" t="str">
        <f>IF('query (2)'!B26="","",'query (2)'!B26)</f>
        <v>CH-923</v>
      </c>
      <c r="D26" s="24" t="str">
        <f t="shared" si="1"/>
        <v>CH</v>
      </c>
      <c r="E26" s="24">
        <f t="shared" si="2"/>
        <v>1</v>
      </c>
      <c r="F26" s="24">
        <f>IF('query (2)'!A26="","",IFERROR(VALUE('query (2)'!A26),""))</f>
        <v>25</v>
      </c>
      <c r="G26" s="24" t="str">
        <f>IF('query (2)'!C26="","UNKNOWN",IFERROR(INDEX(Cleaning_Rules!$B$15:$B$20,MATCH(TRIM(UPPER('query (2)'!C26)),Cleaning_Rules!$A$15:$A$20,0)),"UNKNOWN"))</f>
        <v>FACTORY3</v>
      </c>
      <c r="H26" s="25" t="str">
        <f>IF('query (2)'!C26="","",'query (2)'!C26)</f>
        <v>FACTORY3</v>
      </c>
      <c r="I26" s="24" t="str" cm="1">
        <f t="array" ref="I26">_xlfn.IFS($G26="UNKNOWN","UNKNOWN",OR($G26="FACTORY1",$G26="FACTORY2",$G26="FACTORY3"),"PLANT",TRUE,"SHARED")</f>
        <v>PLANT</v>
      </c>
      <c r="J26" s="24" t="str">
        <f>IF('query (2)'!D26="","UNKNOWN",IF(COUNTIF(Cleaning_Rules!$A$6:$A$11,TRIM('query (2)'!D26))&gt;0,"UNKNOWN",IFERROR(INDEX(Cleaning_Rules!$B$24:$B$28,MATCH(TRIM(UPPER('query (2)'!D26)),Cleaning_Rules!$A$24:$A$28,0)),TRIM(UPPER('query (2)'!D26)))))</f>
        <v>KWD5</v>
      </c>
      <c r="K26" s="25" t="str">
        <f>IF('query (2)'!D26="","",'query (2)'!D26)</f>
        <v>KWD5</v>
      </c>
      <c r="L26" s="24" t="str">
        <f>IF($J26="UNKNOWN","",_xlfn.TEXTBEFORE($J26,{"0","1","2","3","4","5","6","7","8","9"," ","-","."},1,,,$J26))</f>
        <v>KWD</v>
      </c>
      <c r="M26" s="24" t="str">
        <f>IF('query (2)'!I26&lt;&gt;"",TRIM(UPPER('query (2)'!I26)),IF($L26="","UNKNOWN",$L26))</f>
        <v>KWD</v>
      </c>
      <c r="N26" s="24" t="str">
        <f>IF('query (2)'!I26&lt;&gt;"","SOURCE",IF($L26="","UNKNOWN","DERIVED"))</f>
        <v>SOURCE</v>
      </c>
      <c r="O26" s="24" t="str">
        <f>IF('query (2)'!E26="","NOT_SPECIFIED",TRIM(UPPER('query (2)'!E26)))</f>
        <v>ASSEMBLY</v>
      </c>
      <c r="P26" s="24" t="str">
        <f>IF('query (2)'!F26="","",TRIM(UPPER('query (2)'!F26)))</f>
        <v>1016-KW5AI</v>
      </c>
      <c r="Q26" s="24" t="str">
        <f>IF('query (2)'!G26="","UNKNOWN",IFERROR(INDEX(Cleaning_Rules!$B$38:$B$46,MATCH(TRIM(UPPER('query (2)'!G26)),Cleaning_Rules!$A$38:$A$46,0)),"UNKNOWN"))</f>
        <v>CHECK</v>
      </c>
      <c r="R26" s="24" t="str">
        <f>IF('query (2)'!H26="","",TRIM(UPPER('query (2)'!H26)))</f>
        <v>ENCODER SEAL INSPECTION EQUIPMENT</v>
      </c>
      <c r="S26" s="25" t="str">
        <f>IF('query (2)'!H26="","",'query (2)'!H26)</f>
        <v>Encoder  seal  inspection  equipment</v>
      </c>
      <c r="T26" s="24" t="str">
        <f>IF('query (2)'!J26="","",TRIM(UPPER('query (2)'!J26)))</f>
        <v>SEAL ENCODER HEIGHT CHECKING</v>
      </c>
      <c r="U26" s="24" t="str">
        <f t="shared" si="3"/>
        <v/>
      </c>
      <c r="V26" s="24" t="str">
        <f>IF('query (2)'!K26="","NOT_SPECIFIED",IFERROR(INDEX(Cleaning_Rules!$B$32:$B$34,MATCH(TRIM(UPPER('query (2)'!K26)),Cleaning_Rules!$A$32:$A$34,0)),"UNKNOWN"))</f>
        <v>NOT_SPECIFIED</v>
      </c>
      <c r="W26" s="24" t="str">
        <f t="shared" si="4"/>
        <v>CH-923 | FACTORY3 | KWD5 | KWD | ASSEMBLY | 1016-KW5AI | CHECK | ENCODER SEAL INSPECTION EQUIPMENT | SEAL ENCODER HEIGHT CHECKING | NOT_SPECIFIED</v>
      </c>
      <c r="X26" s="24" t="str">
        <f t="shared" si="5"/>
        <v/>
      </c>
      <c r="Y26" s="24" t="str">
        <f t="shared" si="6"/>
        <v>MISSING_STATUS</v>
      </c>
    </row>
    <row r="27" spans="1:25" x14ac:dyDescent="0.3">
      <c r="A27" s="24" t="str">
        <f t="shared" si="0"/>
        <v>CH-849#0026</v>
      </c>
      <c r="B27" s="24" t="str">
        <f>IF('query (2)'!B27="","",TRIM(UPPER('query (2)'!B27)))</f>
        <v>CH-849</v>
      </c>
      <c r="C27" s="25" t="str">
        <f>IF('query (2)'!B27="","",'query (2)'!B27)</f>
        <v>CH-849</v>
      </c>
      <c r="D27" s="24" t="str">
        <f t="shared" si="1"/>
        <v>CH</v>
      </c>
      <c r="E27" s="24">
        <f t="shared" si="2"/>
        <v>1</v>
      </c>
      <c r="F27" s="24">
        <f>IF('query (2)'!A27="","",IFERROR(VALUE('query (2)'!A27),""))</f>
        <v>26</v>
      </c>
      <c r="G27" s="24" t="str">
        <f>IF('query (2)'!C27="","UNKNOWN",IFERROR(INDEX(Cleaning_Rules!$B$15:$B$20,MATCH(TRIM(UPPER('query (2)'!C27)),Cleaning_Rules!$A$15:$A$20,0)),"UNKNOWN"))</f>
        <v>FACTORY3</v>
      </c>
      <c r="H27" s="25" t="str">
        <f>IF('query (2)'!C27="","",'query (2)'!C27)</f>
        <v>FACTORY3</v>
      </c>
      <c r="I27" s="24" t="str" cm="1">
        <f t="array" ref="I27">_xlfn.IFS($G27="UNKNOWN","UNKNOWN",OR($G27="FACTORY1",$G27="FACTORY2",$G27="FACTORY3"),"PLANT",TRUE,"SHARED")</f>
        <v>PLANT</v>
      </c>
      <c r="J27" s="24" t="str">
        <f>IF('query (2)'!D27="","UNKNOWN",IF(COUNTIF(Cleaning_Rules!$A$6:$A$11,TRIM('query (2)'!D27))&gt;0,"UNKNOWN",IFERROR(INDEX(Cleaning_Rules!$B$24:$B$28,MATCH(TRIM(UPPER('query (2)'!D27)),Cleaning_Rules!$A$24:$A$28,0)),TRIM(UPPER('query (2)'!D27)))))</f>
        <v>KWD7</v>
      </c>
      <c r="K27" s="25" t="str">
        <f>IF('query (2)'!D27="","",'query (2)'!D27)</f>
        <v>KWD7</v>
      </c>
      <c r="L27" s="24" t="str">
        <f>IF($J27="UNKNOWN","",_xlfn.TEXTBEFORE($J27,{"0","1","2","3","4","5","6","7","8","9"," ","-","."},1,,,$J27))</f>
        <v>KWD</v>
      </c>
      <c r="M27" s="24" t="str">
        <f>IF('query (2)'!I27&lt;&gt;"",TRIM(UPPER('query (2)'!I27)),IF($L27="","UNKNOWN",$L27))</f>
        <v>KWD</v>
      </c>
      <c r="N27" s="24" t="str">
        <f>IF('query (2)'!I27&lt;&gt;"","SOURCE",IF($L27="","UNKNOWN","DERIVED"))</f>
        <v>SOURCE</v>
      </c>
      <c r="O27" s="24" t="str">
        <f>IF('query (2)'!E27="","NOT_SPECIFIED",TRIM(UPPER('query (2)'!E27)))</f>
        <v>ASSEMBLY</v>
      </c>
      <c r="P27" s="24" t="str">
        <f>IF('query (2)'!F27="","",TRIM(UPPER('query (2)'!F27)))</f>
        <v>1025-KW7AI</v>
      </c>
      <c r="Q27" s="24" t="str">
        <f>IF('query (2)'!G27="","UNKNOWN",IFERROR(INDEX(Cleaning_Rules!$B$38:$B$46,MATCH(TRIM(UPPER('query (2)'!G27)),Cleaning_Rules!$A$38:$A$46,0)),"UNKNOWN"))</f>
        <v>CHECK</v>
      </c>
      <c r="R27" s="24" t="str">
        <f>IF('query (2)'!H27="","",TRIM(UPPER('query (2)'!H27)))</f>
        <v>ENCORDER SEAL CHECKER WITH STANDARD</v>
      </c>
      <c r="S27" s="25" t="str">
        <f>IF('query (2)'!H27="","",'query (2)'!H27)</f>
        <v>Encorder Seal Checker With Standard</v>
      </c>
      <c r="T27" s="24" t="str">
        <f>IF('query (2)'!J27="","",TRIM(UPPER('query (2)'!J27)))</f>
        <v>SEAL ENCODER HEIGHT CHECKING</v>
      </c>
      <c r="U27" s="24" t="str">
        <f t="shared" si="3"/>
        <v/>
      </c>
      <c r="V27" s="24" t="str">
        <f>IF('query (2)'!K27="","NOT_SPECIFIED",IFERROR(INDEX(Cleaning_Rules!$B$32:$B$34,MATCH(TRIM(UPPER('query (2)'!K27)),Cleaning_Rules!$A$32:$A$34,0)),"UNKNOWN"))</f>
        <v>NOT_SPECIFIED</v>
      </c>
      <c r="W27" s="24" t="str">
        <f t="shared" si="4"/>
        <v>CH-849 | FACTORY3 | KWD7 | KWD | ASSEMBLY | 1025-KW7AI | CHECK | ENCORDER SEAL CHECKER WITH STANDARD | SEAL ENCODER HEIGHT CHECKING | NOT_SPECIFIED</v>
      </c>
      <c r="X27" s="24" t="str">
        <f t="shared" si="5"/>
        <v/>
      </c>
      <c r="Y27" s="24" t="str">
        <f t="shared" si="6"/>
        <v>MISSING_STATUS</v>
      </c>
    </row>
    <row r="28" spans="1:25" x14ac:dyDescent="0.3">
      <c r="A28" s="24" t="str">
        <f t="shared" si="0"/>
        <v>WA-013#0027</v>
      </c>
      <c r="B28" s="24" t="str">
        <f>IF('query (2)'!B28="","",TRIM(UPPER('query (2)'!B28)))</f>
        <v>WA-013</v>
      </c>
      <c r="C28" s="25" t="str">
        <f>IF('query (2)'!B28="","",'query (2)'!B28)</f>
        <v>WA-013</v>
      </c>
      <c r="D28" s="24" t="str">
        <f t="shared" si="1"/>
        <v>WA</v>
      </c>
      <c r="E28" s="24">
        <f t="shared" si="2"/>
        <v>1</v>
      </c>
      <c r="F28" s="24">
        <f>IF('query (2)'!A28="","",IFERROR(VALUE('query (2)'!A28),""))</f>
        <v>27</v>
      </c>
      <c r="G28" s="24" t="str">
        <f>IF('query (2)'!C28="","UNKNOWN",IFERROR(INDEX(Cleaning_Rules!$B$15:$B$20,MATCH(TRIM(UPPER('query (2)'!C28)),Cleaning_Rules!$A$15:$A$20,0)),"UNKNOWN"))</f>
        <v>FACTORY3</v>
      </c>
      <c r="H28" s="25" t="str">
        <f>IF('query (2)'!C28="","",'query (2)'!C28)</f>
        <v>FACTORY3</v>
      </c>
      <c r="I28" s="24" t="str" cm="1">
        <f t="array" ref="I28">_xlfn.IFS($G28="UNKNOWN","UNKNOWN",OR($G28="FACTORY1",$G28="FACTORY2",$G28="FACTORY3"),"PLANT",TRUE,"SHARED")</f>
        <v>PLANT</v>
      </c>
      <c r="J28" s="24" t="str">
        <f>IF('query (2)'!D28="","UNKNOWN",IF(COUNTIF(Cleaning_Rules!$A$6:$A$11,TRIM('query (2)'!D28))&gt;0,"UNKNOWN",IFERROR(INDEX(Cleaning_Rules!$B$24:$B$28,MATCH(TRIM(UPPER('query (2)'!D28)),Cleaning_Rules!$A$24:$A$28,0)),TRIM(UPPER('query (2)'!D28)))))</f>
        <v>KWD1</v>
      </c>
      <c r="K28" s="25" t="str">
        <f>IF('query (2)'!D28="","",'query (2)'!D28)</f>
        <v>KWD1</v>
      </c>
      <c r="L28" s="24" t="str">
        <f>IF($J28="UNKNOWN","",_xlfn.TEXTBEFORE($J28,{"0","1","2","3","4","5","6","7","8","9"," ","-","."},1,,,$J28))</f>
        <v>KWD</v>
      </c>
      <c r="M28" s="24" t="str">
        <f>IF('query (2)'!I28&lt;&gt;"",TRIM(UPPER('query (2)'!I28)),IF($L28="","UNKNOWN",$L28))</f>
        <v>KWD</v>
      </c>
      <c r="N28" s="24" t="str">
        <f>IF('query (2)'!I28&lt;&gt;"","SOURCE",IF($L28="","UNKNOWN","DERIVED"))</f>
        <v>SOURCE</v>
      </c>
      <c r="O28" s="24" t="str">
        <f>IF('query (2)'!E28="","NOT_SPECIFIED",TRIM(UPPER('query (2)'!E28)))</f>
        <v>ASSEMBLY</v>
      </c>
      <c r="P28" s="24" t="str">
        <f>IF('query (2)'!F28="","",TRIM(UPPER('query (2)'!F28)))</f>
        <v>1004-KW1AI</v>
      </c>
      <c r="Q28" s="24" t="str">
        <f>IF('query (2)'!G28="","UNKNOWN",IFERROR(INDEX(Cleaning_Rules!$B$38:$B$46,MATCH(TRIM(UPPER('query (2)'!G28)),Cleaning_Rules!$A$38:$A$46,0)),"UNKNOWN"))</f>
        <v>OTHER</v>
      </c>
      <c r="R28" s="24" t="str">
        <f>IF('query (2)'!H28="","",TRIM(UPPER('query (2)'!H28)))</f>
        <v>FINISH WASH EQUIPMENT</v>
      </c>
      <c r="S28" s="25" t="str">
        <f>IF('query (2)'!H28="","",'query (2)'!H28)</f>
        <v>Finish wash equipment</v>
      </c>
      <c r="T28" s="24" t="str">
        <f>IF('query (2)'!J28="","",TRIM(UPPER('query (2)'!J28)))</f>
        <v>FINISH WASH EQUIPMENT</v>
      </c>
      <c r="U28" s="24" t="str">
        <f t="shared" si="3"/>
        <v/>
      </c>
      <c r="V28" s="24" t="str">
        <f>IF('query (2)'!K28="","NOT_SPECIFIED",IFERROR(INDEX(Cleaning_Rules!$B$32:$B$34,MATCH(TRIM(UPPER('query (2)'!K28)),Cleaning_Rules!$A$32:$A$34,0)),"UNKNOWN"))</f>
        <v>NOT_SPECIFIED</v>
      </c>
      <c r="W28" s="24" t="str">
        <f t="shared" si="4"/>
        <v>WA-013 | FACTORY3 | KWD1 | KWD | ASSEMBLY | 1004-KW1AI | OTHER | FINISH WASH EQUIPMENT | FINISH WASH EQUIPMENT | NOT_SPECIFIED</v>
      </c>
      <c r="X28" s="24" t="str">
        <f t="shared" si="5"/>
        <v/>
      </c>
      <c r="Y28" s="24" t="str">
        <f t="shared" si="6"/>
        <v>MISSING_STATUS; CATEGORY_NOT_USEFUL</v>
      </c>
    </row>
    <row r="29" spans="1:25" x14ac:dyDescent="0.3">
      <c r="A29" s="24" t="str">
        <f t="shared" si="0"/>
        <v>WA-262#0028</v>
      </c>
      <c r="B29" s="24" t="str">
        <f>IF('query (2)'!B29="","",TRIM(UPPER('query (2)'!B29)))</f>
        <v>WA-262</v>
      </c>
      <c r="C29" s="25" t="str">
        <f>IF('query (2)'!B29="","",'query (2)'!B29)</f>
        <v>WA-262</v>
      </c>
      <c r="D29" s="24" t="str">
        <f t="shared" si="1"/>
        <v>WA</v>
      </c>
      <c r="E29" s="24">
        <f t="shared" si="2"/>
        <v>1</v>
      </c>
      <c r="F29" s="24">
        <f>IF('query (2)'!A29="","",IFERROR(VALUE('query (2)'!A29),""))</f>
        <v>28</v>
      </c>
      <c r="G29" s="24" t="str">
        <f>IF('query (2)'!C29="","UNKNOWN",IFERROR(INDEX(Cleaning_Rules!$B$15:$B$20,MATCH(TRIM(UPPER('query (2)'!C29)),Cleaning_Rules!$A$15:$A$20,0)),"UNKNOWN"))</f>
        <v>FACTORY3</v>
      </c>
      <c r="H29" s="25" t="str">
        <f>IF('query (2)'!C29="","",'query (2)'!C29)</f>
        <v>FACTORY3</v>
      </c>
      <c r="I29" s="24" t="str" cm="1">
        <f t="array" ref="I29">_xlfn.IFS($G29="UNKNOWN","UNKNOWN",OR($G29="FACTORY1",$G29="FACTORY2",$G29="FACTORY3"),"PLANT",TRUE,"SHARED")</f>
        <v>PLANT</v>
      </c>
      <c r="J29" s="24" t="str">
        <f>IF('query (2)'!D29="","UNKNOWN",IF(COUNTIF(Cleaning_Rules!$A$6:$A$11,TRIM('query (2)'!D29))&gt;0,"UNKNOWN",IFERROR(INDEX(Cleaning_Rules!$B$24:$B$28,MATCH(TRIM(UPPER('query (2)'!D29)),Cleaning_Rules!$A$24:$A$28,0)),TRIM(UPPER('query (2)'!D29)))))</f>
        <v>KWD2</v>
      </c>
      <c r="K29" s="25" t="str">
        <f>IF('query (2)'!D29="","",'query (2)'!D29)</f>
        <v>KWD2</v>
      </c>
      <c r="L29" s="24" t="str">
        <f>IF($J29="UNKNOWN","",_xlfn.TEXTBEFORE($J29,{"0","1","2","3","4","5","6","7","8","9"," ","-","."},1,,,$J29))</f>
        <v>KWD</v>
      </c>
      <c r="M29" s="24" t="str">
        <f>IF('query (2)'!I29&lt;&gt;"",TRIM(UPPER('query (2)'!I29)),IF($L29="","UNKNOWN",$L29))</f>
        <v>KWD</v>
      </c>
      <c r="N29" s="24" t="str">
        <f>IF('query (2)'!I29&lt;&gt;"","SOURCE",IF($L29="","UNKNOWN","DERIVED"))</f>
        <v>SOURCE</v>
      </c>
      <c r="O29" s="24" t="str">
        <f>IF('query (2)'!E29="","NOT_SPECIFIED",TRIM(UPPER('query (2)'!E29)))</f>
        <v>ASSEMBLY</v>
      </c>
      <c r="P29" s="24" t="str">
        <f>IF('query (2)'!F29="","",TRIM(UPPER('query (2)'!F29)))</f>
        <v>1007-KW2AI</v>
      </c>
      <c r="Q29" s="24" t="str">
        <f>IF('query (2)'!G29="","UNKNOWN",IFERROR(INDEX(Cleaning_Rules!$B$38:$B$46,MATCH(TRIM(UPPER('query (2)'!G29)),Cleaning_Rules!$A$38:$A$46,0)),"UNKNOWN"))</f>
        <v>OTHER</v>
      </c>
      <c r="R29" s="24" t="str">
        <f>IF('query (2)'!H29="","",TRIM(UPPER('query (2)'!H29)))</f>
        <v>FINISH WASH EQUIPMENT</v>
      </c>
      <c r="S29" s="25" t="str">
        <f>IF('query (2)'!H29="","",'query (2)'!H29)</f>
        <v>Finish wash equipment</v>
      </c>
      <c r="T29" s="24" t="str">
        <f>IF('query (2)'!J29="","",TRIM(UPPER('query (2)'!J29)))</f>
        <v>FINISH WASH EQUIPMENT</v>
      </c>
      <c r="U29" s="24" t="str">
        <f t="shared" si="3"/>
        <v/>
      </c>
      <c r="V29" s="24" t="str">
        <f>IF('query (2)'!K29="","NOT_SPECIFIED",IFERROR(INDEX(Cleaning_Rules!$B$32:$B$34,MATCH(TRIM(UPPER('query (2)'!K29)),Cleaning_Rules!$A$32:$A$34,0)),"UNKNOWN"))</f>
        <v>NOT_SPECIFIED</v>
      </c>
      <c r="W29" s="24" t="str">
        <f t="shared" si="4"/>
        <v>WA-262 | FACTORY3 | KWD2 | KWD | ASSEMBLY | 1007-KW2AI | OTHER | FINISH WASH EQUIPMENT | FINISH WASH EQUIPMENT | NOT_SPECIFIED</v>
      </c>
      <c r="X29" s="24" t="str">
        <f t="shared" si="5"/>
        <v/>
      </c>
      <c r="Y29" s="24" t="str">
        <f t="shared" si="6"/>
        <v>MISSING_STATUS; CATEGORY_NOT_USEFUL</v>
      </c>
    </row>
    <row r="30" spans="1:25" x14ac:dyDescent="0.3">
      <c r="A30" s="24" t="str">
        <f t="shared" si="0"/>
        <v>WA-348#0029</v>
      </c>
      <c r="B30" s="24" t="str">
        <f>IF('query (2)'!B30="","",TRIM(UPPER('query (2)'!B30)))</f>
        <v>WA-348</v>
      </c>
      <c r="C30" s="25" t="str">
        <f>IF('query (2)'!B30="","",'query (2)'!B30)</f>
        <v>WA-348</v>
      </c>
      <c r="D30" s="24" t="str">
        <f t="shared" si="1"/>
        <v>WA</v>
      </c>
      <c r="E30" s="24">
        <f t="shared" si="2"/>
        <v>1</v>
      </c>
      <c r="F30" s="24">
        <f>IF('query (2)'!A30="","",IFERROR(VALUE('query (2)'!A30),""))</f>
        <v>29</v>
      </c>
      <c r="G30" s="24" t="str">
        <f>IF('query (2)'!C30="","UNKNOWN",IFERROR(INDEX(Cleaning_Rules!$B$15:$B$20,MATCH(TRIM(UPPER('query (2)'!C30)),Cleaning_Rules!$A$15:$A$20,0)),"UNKNOWN"))</f>
        <v>FACTORY3</v>
      </c>
      <c r="H30" s="25" t="str">
        <f>IF('query (2)'!C30="","",'query (2)'!C30)</f>
        <v>FACTORY3</v>
      </c>
      <c r="I30" s="24" t="str" cm="1">
        <f t="array" ref="I30">_xlfn.IFS($G30="UNKNOWN","UNKNOWN",OR($G30="FACTORY1",$G30="FACTORY2",$G30="FACTORY3"),"PLANT",TRUE,"SHARED")</f>
        <v>PLANT</v>
      </c>
      <c r="J30" s="24" t="str">
        <f>IF('query (2)'!D30="","UNKNOWN",IF(COUNTIF(Cleaning_Rules!$A$6:$A$11,TRIM('query (2)'!D30))&gt;0,"UNKNOWN",IFERROR(INDEX(Cleaning_Rules!$B$24:$B$28,MATCH(TRIM(UPPER('query (2)'!D30)),Cleaning_Rules!$A$24:$A$28,0)),TRIM(UPPER('query (2)'!D30)))))</f>
        <v>KWD3</v>
      </c>
      <c r="K30" s="25" t="str">
        <f>IF('query (2)'!D30="","",'query (2)'!D30)</f>
        <v>KWD3</v>
      </c>
      <c r="L30" s="24" t="str">
        <f>IF($J30="UNKNOWN","",_xlfn.TEXTBEFORE($J30,{"0","1","2","3","4","5","6","7","8","9"," ","-","."},1,,,$J30))</f>
        <v>KWD</v>
      </c>
      <c r="M30" s="24" t="str">
        <f>IF('query (2)'!I30&lt;&gt;"",TRIM(UPPER('query (2)'!I30)),IF($L30="","UNKNOWN",$L30))</f>
        <v>KWD</v>
      </c>
      <c r="N30" s="24" t="str">
        <f>IF('query (2)'!I30&lt;&gt;"","SOURCE",IF($L30="","UNKNOWN","DERIVED"))</f>
        <v>SOURCE</v>
      </c>
      <c r="O30" s="24" t="str">
        <f>IF('query (2)'!E30="","NOT_SPECIFIED",TRIM(UPPER('query (2)'!E30)))</f>
        <v>ASSEMBLY</v>
      </c>
      <c r="P30" s="24" t="str">
        <f>IF('query (2)'!F30="","",TRIM(UPPER('query (2)'!F30)))</f>
        <v>1010-KW3AI</v>
      </c>
      <c r="Q30" s="24" t="str">
        <f>IF('query (2)'!G30="","UNKNOWN",IFERROR(INDEX(Cleaning_Rules!$B$38:$B$46,MATCH(TRIM(UPPER('query (2)'!G30)),Cleaning_Rules!$A$38:$A$46,0)),"UNKNOWN"))</f>
        <v>OTHER</v>
      </c>
      <c r="R30" s="24" t="str">
        <f>IF('query (2)'!H30="","",TRIM(UPPER('query (2)'!H30)))</f>
        <v>FINISH WASH EQUIPMENT</v>
      </c>
      <c r="S30" s="25" t="str">
        <f>IF('query (2)'!H30="","",'query (2)'!H30)</f>
        <v>Finish wash equipment</v>
      </c>
      <c r="T30" s="24" t="str">
        <f>IF('query (2)'!J30="","",TRIM(UPPER('query (2)'!J30)))</f>
        <v>FINISH WASH EQUIPMENT</v>
      </c>
      <c r="U30" s="24" t="str">
        <f t="shared" si="3"/>
        <v/>
      </c>
      <c r="V30" s="24" t="str">
        <f>IF('query (2)'!K30="","NOT_SPECIFIED",IFERROR(INDEX(Cleaning_Rules!$B$32:$B$34,MATCH(TRIM(UPPER('query (2)'!K30)),Cleaning_Rules!$A$32:$A$34,0)),"UNKNOWN"))</f>
        <v>NOT_SPECIFIED</v>
      </c>
      <c r="W30" s="24" t="str">
        <f t="shared" si="4"/>
        <v>WA-348 | FACTORY3 | KWD3 | KWD | ASSEMBLY | 1010-KW3AI | OTHER | FINISH WASH EQUIPMENT | FINISH WASH EQUIPMENT | NOT_SPECIFIED</v>
      </c>
      <c r="X30" s="24" t="str">
        <f t="shared" si="5"/>
        <v/>
      </c>
      <c r="Y30" s="24" t="str">
        <f t="shared" si="6"/>
        <v>MISSING_STATUS; CATEGORY_NOT_USEFUL</v>
      </c>
    </row>
    <row r="31" spans="1:25" x14ac:dyDescent="0.3">
      <c r="A31" s="24" t="str">
        <f t="shared" si="0"/>
        <v>WA-470#0030</v>
      </c>
      <c r="B31" s="24" t="str">
        <f>IF('query (2)'!B31="","",TRIM(UPPER('query (2)'!B31)))</f>
        <v>WA-470</v>
      </c>
      <c r="C31" s="25" t="str">
        <f>IF('query (2)'!B31="","",'query (2)'!B31)</f>
        <v>WA-470</v>
      </c>
      <c r="D31" s="24" t="str">
        <f t="shared" si="1"/>
        <v>WA</v>
      </c>
      <c r="E31" s="24">
        <f t="shared" si="2"/>
        <v>1</v>
      </c>
      <c r="F31" s="24">
        <f>IF('query (2)'!A31="","",IFERROR(VALUE('query (2)'!A31),""))</f>
        <v>30</v>
      </c>
      <c r="G31" s="24" t="str">
        <f>IF('query (2)'!C31="","UNKNOWN",IFERROR(INDEX(Cleaning_Rules!$B$15:$B$20,MATCH(TRIM(UPPER('query (2)'!C31)),Cleaning_Rules!$A$15:$A$20,0)),"UNKNOWN"))</f>
        <v>FACTORY3</v>
      </c>
      <c r="H31" s="25" t="str">
        <f>IF('query (2)'!C31="","",'query (2)'!C31)</f>
        <v>FACTORY3</v>
      </c>
      <c r="I31" s="24" t="str" cm="1">
        <f t="array" ref="I31">_xlfn.IFS($G31="UNKNOWN","UNKNOWN",OR($G31="FACTORY1",$G31="FACTORY2",$G31="FACTORY3"),"PLANT",TRUE,"SHARED")</f>
        <v>PLANT</v>
      </c>
      <c r="J31" s="24" t="str">
        <f>IF('query (2)'!D31="","UNKNOWN",IF(COUNTIF(Cleaning_Rules!$A$6:$A$11,TRIM('query (2)'!D31))&gt;0,"UNKNOWN",IFERROR(INDEX(Cleaning_Rules!$B$24:$B$28,MATCH(TRIM(UPPER('query (2)'!D31)),Cleaning_Rules!$A$24:$A$28,0)),TRIM(UPPER('query (2)'!D31)))))</f>
        <v>KWD4</v>
      </c>
      <c r="K31" s="25" t="str">
        <f>IF('query (2)'!D31="","",'query (2)'!D31)</f>
        <v>KWD4</v>
      </c>
      <c r="L31" s="24" t="str">
        <f>IF($J31="UNKNOWN","",_xlfn.TEXTBEFORE($J31,{"0","1","2","3","4","5","6","7","8","9"," ","-","."},1,,,$J31))</f>
        <v>KWD</v>
      </c>
      <c r="M31" s="24" t="str">
        <f>IF('query (2)'!I31&lt;&gt;"",TRIM(UPPER('query (2)'!I31)),IF($L31="","UNKNOWN",$L31))</f>
        <v>KWD</v>
      </c>
      <c r="N31" s="24" t="str">
        <f>IF('query (2)'!I31&lt;&gt;"","SOURCE",IF($L31="","UNKNOWN","DERIVED"))</f>
        <v>SOURCE</v>
      </c>
      <c r="O31" s="24" t="str">
        <f>IF('query (2)'!E31="","NOT_SPECIFIED",TRIM(UPPER('query (2)'!E31)))</f>
        <v>ASSEMBLY</v>
      </c>
      <c r="P31" s="24" t="str">
        <f>IF('query (2)'!F31="","",TRIM(UPPER('query (2)'!F31)))</f>
        <v>1013-KW4AI</v>
      </c>
      <c r="Q31" s="24" t="str">
        <f>IF('query (2)'!G31="","UNKNOWN",IFERROR(INDEX(Cleaning_Rules!$B$38:$B$46,MATCH(TRIM(UPPER('query (2)'!G31)),Cleaning_Rules!$A$38:$A$46,0)),"UNKNOWN"))</f>
        <v>OTHER</v>
      </c>
      <c r="R31" s="24" t="str">
        <f>IF('query (2)'!H31="","",TRIM(UPPER('query (2)'!H31)))</f>
        <v>FINISH WASH EQUIPMENT</v>
      </c>
      <c r="S31" s="25" t="str">
        <f>IF('query (2)'!H31="","",'query (2)'!H31)</f>
        <v>Finish wash equipment</v>
      </c>
      <c r="T31" s="24" t="str">
        <f>IF('query (2)'!J31="","",TRIM(UPPER('query (2)'!J31)))</f>
        <v>FINISH WASH EQUIPMENT</v>
      </c>
      <c r="U31" s="24" t="str">
        <f t="shared" si="3"/>
        <v/>
      </c>
      <c r="V31" s="24" t="str">
        <f>IF('query (2)'!K31="","NOT_SPECIFIED",IFERROR(INDEX(Cleaning_Rules!$B$32:$B$34,MATCH(TRIM(UPPER('query (2)'!K31)),Cleaning_Rules!$A$32:$A$34,0)),"UNKNOWN"))</f>
        <v>NOT_SPECIFIED</v>
      </c>
      <c r="W31" s="24" t="str">
        <f t="shared" si="4"/>
        <v>WA-470 | FACTORY3 | KWD4 | KWD | ASSEMBLY | 1013-KW4AI | OTHER | FINISH WASH EQUIPMENT | FINISH WASH EQUIPMENT | NOT_SPECIFIED</v>
      </c>
      <c r="X31" s="24" t="str">
        <f t="shared" si="5"/>
        <v/>
      </c>
      <c r="Y31" s="24" t="str">
        <f t="shared" si="6"/>
        <v>MISSING_STATUS; CATEGORY_NOT_USEFUL</v>
      </c>
    </row>
    <row r="32" spans="1:25" x14ac:dyDescent="0.3">
      <c r="A32" s="24" t="str">
        <f t="shared" si="0"/>
        <v>WA-586#0031</v>
      </c>
      <c r="B32" s="24" t="str">
        <f>IF('query (2)'!B32="","",TRIM(UPPER('query (2)'!B32)))</f>
        <v>WA-586</v>
      </c>
      <c r="C32" s="25" t="str">
        <f>IF('query (2)'!B32="","",'query (2)'!B32)</f>
        <v>WA-586</v>
      </c>
      <c r="D32" s="24" t="str">
        <f t="shared" si="1"/>
        <v>WA</v>
      </c>
      <c r="E32" s="24">
        <f t="shared" si="2"/>
        <v>1</v>
      </c>
      <c r="F32" s="24">
        <f>IF('query (2)'!A32="","",IFERROR(VALUE('query (2)'!A32),""))</f>
        <v>31</v>
      </c>
      <c r="G32" s="24" t="str">
        <f>IF('query (2)'!C32="","UNKNOWN",IFERROR(INDEX(Cleaning_Rules!$B$15:$B$20,MATCH(TRIM(UPPER('query (2)'!C32)),Cleaning_Rules!$A$15:$A$20,0)),"UNKNOWN"))</f>
        <v>FACTORY3</v>
      </c>
      <c r="H32" s="25" t="str">
        <f>IF('query (2)'!C32="","",'query (2)'!C32)</f>
        <v>FACTORY3</v>
      </c>
      <c r="I32" s="24" t="str" cm="1">
        <f t="array" ref="I32">_xlfn.IFS($G32="UNKNOWN","UNKNOWN",OR($G32="FACTORY1",$G32="FACTORY2",$G32="FACTORY3"),"PLANT",TRUE,"SHARED")</f>
        <v>PLANT</v>
      </c>
      <c r="J32" s="24" t="str">
        <f>IF('query (2)'!D32="","UNKNOWN",IF(COUNTIF(Cleaning_Rules!$A$6:$A$11,TRIM('query (2)'!D32))&gt;0,"UNKNOWN",IFERROR(INDEX(Cleaning_Rules!$B$24:$B$28,MATCH(TRIM(UPPER('query (2)'!D32)),Cleaning_Rules!$A$24:$A$28,0)),TRIM(UPPER('query (2)'!D32)))))</f>
        <v>KWD5</v>
      </c>
      <c r="K32" s="25" t="str">
        <f>IF('query (2)'!D32="","",'query (2)'!D32)</f>
        <v>KWD5</v>
      </c>
      <c r="L32" s="24" t="str">
        <f>IF($J32="UNKNOWN","",_xlfn.TEXTBEFORE($J32,{"0","1","2","3","4","5","6","7","8","9"," ","-","."},1,,,$J32))</f>
        <v>KWD</v>
      </c>
      <c r="M32" s="24" t="str">
        <f>IF('query (2)'!I32&lt;&gt;"",TRIM(UPPER('query (2)'!I32)),IF($L32="","UNKNOWN",$L32))</f>
        <v>KWD</v>
      </c>
      <c r="N32" s="24" t="str">
        <f>IF('query (2)'!I32&lt;&gt;"","SOURCE",IF($L32="","UNKNOWN","DERIVED"))</f>
        <v>SOURCE</v>
      </c>
      <c r="O32" s="24" t="str">
        <f>IF('query (2)'!E32="","NOT_SPECIFIED",TRIM(UPPER('query (2)'!E32)))</f>
        <v>ASSEMBLY</v>
      </c>
      <c r="P32" s="24" t="str">
        <f>IF('query (2)'!F32="","",TRIM(UPPER('query (2)'!F32)))</f>
        <v>1016-KW5AI</v>
      </c>
      <c r="Q32" s="24" t="str">
        <f>IF('query (2)'!G32="","UNKNOWN",IFERROR(INDEX(Cleaning_Rules!$B$38:$B$46,MATCH(TRIM(UPPER('query (2)'!G32)),Cleaning_Rules!$A$38:$A$46,0)),"UNKNOWN"))</f>
        <v>OTHER</v>
      </c>
      <c r="R32" s="24" t="str">
        <f>IF('query (2)'!H32="","",TRIM(UPPER('query (2)'!H32)))</f>
        <v>FINISH WASH EQUIPMENT</v>
      </c>
      <c r="S32" s="25" t="str">
        <f>IF('query (2)'!H32="","",'query (2)'!H32)</f>
        <v>Finish wash equipment</v>
      </c>
      <c r="T32" s="24" t="str">
        <f>IF('query (2)'!J32="","",TRIM(UPPER('query (2)'!J32)))</f>
        <v>FINISH WASH EQUIPMENT</v>
      </c>
      <c r="U32" s="24" t="str">
        <f t="shared" si="3"/>
        <v/>
      </c>
      <c r="V32" s="24" t="str">
        <f>IF('query (2)'!K32="","NOT_SPECIFIED",IFERROR(INDEX(Cleaning_Rules!$B$32:$B$34,MATCH(TRIM(UPPER('query (2)'!K32)),Cleaning_Rules!$A$32:$A$34,0)),"UNKNOWN"))</f>
        <v>NOT_SPECIFIED</v>
      </c>
      <c r="W32" s="24" t="str">
        <f t="shared" si="4"/>
        <v>WA-586 | FACTORY3 | KWD5 | KWD | ASSEMBLY | 1016-KW5AI | OTHER | FINISH WASH EQUIPMENT | FINISH WASH EQUIPMENT | NOT_SPECIFIED</v>
      </c>
      <c r="X32" s="24" t="str">
        <f t="shared" si="5"/>
        <v/>
      </c>
      <c r="Y32" s="24" t="str">
        <f t="shared" si="6"/>
        <v>MISSING_STATUS; CATEGORY_NOT_USEFUL</v>
      </c>
    </row>
    <row r="33" spans="1:25" x14ac:dyDescent="0.3">
      <c r="A33" s="24" t="str">
        <f t="shared" si="0"/>
        <v>WA-702#0032</v>
      </c>
      <c r="B33" s="24" t="str">
        <f>IF('query (2)'!B33="","",TRIM(UPPER('query (2)'!B33)))</f>
        <v>WA-702</v>
      </c>
      <c r="C33" s="25" t="str">
        <f>IF('query (2)'!B33="","",'query (2)'!B33)</f>
        <v>WA-702</v>
      </c>
      <c r="D33" s="24" t="str">
        <f t="shared" si="1"/>
        <v>WA</v>
      </c>
      <c r="E33" s="24">
        <f t="shared" si="2"/>
        <v>1</v>
      </c>
      <c r="F33" s="24">
        <f>IF('query (2)'!A33="","",IFERROR(VALUE('query (2)'!A33),""))</f>
        <v>32</v>
      </c>
      <c r="G33" s="24" t="str">
        <f>IF('query (2)'!C33="","UNKNOWN",IFERROR(INDEX(Cleaning_Rules!$B$15:$B$20,MATCH(TRIM(UPPER('query (2)'!C33)),Cleaning_Rules!$A$15:$A$20,0)),"UNKNOWN"))</f>
        <v>FACTORY3</v>
      </c>
      <c r="H33" s="25" t="str">
        <f>IF('query (2)'!C33="","",'query (2)'!C33)</f>
        <v>FACTORY3</v>
      </c>
      <c r="I33" s="24" t="str" cm="1">
        <f t="array" ref="I33">_xlfn.IFS($G33="UNKNOWN","UNKNOWN",OR($G33="FACTORY1",$G33="FACTORY2",$G33="FACTORY3"),"PLANT",TRUE,"SHARED")</f>
        <v>PLANT</v>
      </c>
      <c r="J33" s="24" t="str">
        <f>IF('query (2)'!D33="","UNKNOWN",IF(COUNTIF(Cleaning_Rules!$A$6:$A$11,TRIM('query (2)'!D33))&gt;0,"UNKNOWN",IFERROR(INDEX(Cleaning_Rules!$B$24:$B$28,MATCH(TRIM(UPPER('query (2)'!D33)),Cleaning_Rules!$A$24:$A$28,0)),TRIM(UPPER('query (2)'!D33)))))</f>
        <v>KWD6</v>
      </c>
      <c r="K33" s="25" t="str">
        <f>IF('query (2)'!D33="","",'query (2)'!D33)</f>
        <v>KWD6</v>
      </c>
      <c r="L33" s="24" t="str">
        <f>IF($J33="UNKNOWN","",_xlfn.TEXTBEFORE($J33,{"0","1","2","3","4","5","6","7","8","9"," ","-","."},1,,,$J33))</f>
        <v>KWD</v>
      </c>
      <c r="M33" s="24" t="str">
        <f>IF('query (2)'!I33&lt;&gt;"",TRIM(UPPER('query (2)'!I33)),IF($L33="","UNKNOWN",$L33))</f>
        <v>KWD</v>
      </c>
      <c r="N33" s="24" t="str">
        <f>IF('query (2)'!I33&lt;&gt;"","SOURCE",IF($L33="","UNKNOWN","DERIVED"))</f>
        <v>SOURCE</v>
      </c>
      <c r="O33" s="24" t="str">
        <f>IF('query (2)'!E33="","NOT_SPECIFIED",TRIM(UPPER('query (2)'!E33)))</f>
        <v>ASSEMBLY</v>
      </c>
      <c r="P33" s="24" t="str">
        <f>IF('query (2)'!F33="","",TRIM(UPPER('query (2)'!F33)))</f>
        <v>1019-KW6AI</v>
      </c>
      <c r="Q33" s="24" t="str">
        <f>IF('query (2)'!G33="","UNKNOWN",IFERROR(INDEX(Cleaning_Rules!$B$38:$B$46,MATCH(TRIM(UPPER('query (2)'!G33)),Cleaning_Rules!$A$38:$A$46,0)),"UNKNOWN"))</f>
        <v>OTHER</v>
      </c>
      <c r="R33" s="24" t="str">
        <f>IF('query (2)'!H33="","",TRIM(UPPER('query (2)'!H33)))</f>
        <v>FINISH WASH EQUIPMENT</v>
      </c>
      <c r="S33" s="25" t="str">
        <f>IF('query (2)'!H33="","",'query (2)'!H33)</f>
        <v>Finish wash equipment</v>
      </c>
      <c r="T33" s="24" t="str">
        <f>IF('query (2)'!J33="","",TRIM(UPPER('query (2)'!J33)))</f>
        <v>FINISH WASH EQUIPMENT</v>
      </c>
      <c r="U33" s="24" t="str">
        <f t="shared" si="3"/>
        <v/>
      </c>
      <c r="V33" s="24" t="str">
        <f>IF('query (2)'!K33="","NOT_SPECIFIED",IFERROR(INDEX(Cleaning_Rules!$B$32:$B$34,MATCH(TRIM(UPPER('query (2)'!K33)),Cleaning_Rules!$A$32:$A$34,0)),"UNKNOWN"))</f>
        <v>NOT_SPECIFIED</v>
      </c>
      <c r="W33" s="24" t="str">
        <f t="shared" si="4"/>
        <v>WA-702 | FACTORY3 | KWD6 | KWD | ASSEMBLY | 1019-KW6AI | OTHER | FINISH WASH EQUIPMENT | FINISH WASH EQUIPMENT | NOT_SPECIFIED</v>
      </c>
      <c r="X33" s="24" t="str">
        <f t="shared" si="5"/>
        <v/>
      </c>
      <c r="Y33" s="24" t="str">
        <f t="shared" si="6"/>
        <v>MISSING_STATUS; CATEGORY_NOT_USEFUL</v>
      </c>
    </row>
    <row r="34" spans="1:25" x14ac:dyDescent="0.3">
      <c r="A34" s="24" t="str">
        <f t="shared" si="0"/>
        <v>WA-835#0033</v>
      </c>
      <c r="B34" s="24" t="str">
        <f>IF('query (2)'!B34="","",TRIM(UPPER('query (2)'!B34)))</f>
        <v>WA-835</v>
      </c>
      <c r="C34" s="25" t="str">
        <f>IF('query (2)'!B34="","",'query (2)'!B34)</f>
        <v>WA-835</v>
      </c>
      <c r="D34" s="24" t="str">
        <f t="shared" si="1"/>
        <v>WA</v>
      </c>
      <c r="E34" s="24">
        <f t="shared" si="2"/>
        <v>1</v>
      </c>
      <c r="F34" s="24">
        <f>IF('query (2)'!A34="","",IFERROR(VALUE('query (2)'!A34),""))</f>
        <v>33</v>
      </c>
      <c r="G34" s="24" t="str">
        <f>IF('query (2)'!C34="","UNKNOWN",IFERROR(INDEX(Cleaning_Rules!$B$15:$B$20,MATCH(TRIM(UPPER('query (2)'!C34)),Cleaning_Rules!$A$15:$A$20,0)),"UNKNOWN"))</f>
        <v>FACTORY3</v>
      </c>
      <c r="H34" s="25" t="str">
        <f>IF('query (2)'!C34="","",'query (2)'!C34)</f>
        <v>FACTORY3</v>
      </c>
      <c r="I34" s="24" t="str" cm="1">
        <f t="array" ref="I34">_xlfn.IFS($G34="UNKNOWN","UNKNOWN",OR($G34="FACTORY1",$G34="FACTORY2",$G34="FACTORY3"),"PLANT",TRUE,"SHARED")</f>
        <v>PLANT</v>
      </c>
      <c r="J34" s="24" t="str">
        <f>IF('query (2)'!D34="","UNKNOWN",IF(COUNTIF(Cleaning_Rules!$A$6:$A$11,TRIM('query (2)'!D34))&gt;0,"UNKNOWN",IFERROR(INDEX(Cleaning_Rules!$B$24:$B$28,MATCH(TRIM(UPPER('query (2)'!D34)),Cleaning_Rules!$A$24:$A$28,0)),TRIM(UPPER('query (2)'!D34)))))</f>
        <v>KWD7</v>
      </c>
      <c r="K34" s="25" t="str">
        <f>IF('query (2)'!D34="","",'query (2)'!D34)</f>
        <v>KWD7</v>
      </c>
      <c r="L34" s="24" t="str">
        <f>IF($J34="UNKNOWN","",_xlfn.TEXTBEFORE($J34,{"0","1","2","3","4","5","6","7","8","9"," ","-","."},1,,,$J34))</f>
        <v>KWD</v>
      </c>
      <c r="M34" s="24" t="str">
        <f>IF('query (2)'!I34&lt;&gt;"",TRIM(UPPER('query (2)'!I34)),IF($L34="","UNKNOWN",$L34))</f>
        <v>KWD</v>
      </c>
      <c r="N34" s="24" t="str">
        <f>IF('query (2)'!I34&lt;&gt;"","SOURCE",IF($L34="","UNKNOWN","DERIVED"))</f>
        <v>SOURCE</v>
      </c>
      <c r="O34" s="24" t="str">
        <f>IF('query (2)'!E34="","NOT_SPECIFIED",TRIM(UPPER('query (2)'!E34)))</f>
        <v>ASSEMBLY</v>
      </c>
      <c r="P34" s="24" t="str">
        <f>IF('query (2)'!F34="","",TRIM(UPPER('query (2)'!F34)))</f>
        <v>1025-KW7AI</v>
      </c>
      <c r="Q34" s="24" t="str">
        <f>IF('query (2)'!G34="","UNKNOWN",IFERROR(INDEX(Cleaning_Rules!$B$38:$B$46,MATCH(TRIM(UPPER('query (2)'!G34)),Cleaning_Rules!$A$38:$A$46,0)),"UNKNOWN"))</f>
        <v>OTHER</v>
      </c>
      <c r="R34" s="24" t="str">
        <f>IF('query (2)'!H34="","",TRIM(UPPER('query (2)'!H34)))</f>
        <v>FINISH WASH EQUIPMENT</v>
      </c>
      <c r="S34" s="25" t="str">
        <f>IF('query (2)'!H34="","",'query (2)'!H34)</f>
        <v>Finish wash equipment</v>
      </c>
      <c r="T34" s="24" t="str">
        <f>IF('query (2)'!J34="","",TRIM(UPPER('query (2)'!J34)))</f>
        <v>FINISH WASH EQUIPMENT</v>
      </c>
      <c r="U34" s="24" t="str">
        <f t="shared" si="3"/>
        <v/>
      </c>
      <c r="V34" s="24" t="str">
        <f>IF('query (2)'!K34="","NOT_SPECIFIED",IFERROR(INDEX(Cleaning_Rules!$B$32:$B$34,MATCH(TRIM(UPPER('query (2)'!K34)),Cleaning_Rules!$A$32:$A$34,0)),"UNKNOWN"))</f>
        <v>NOT_SPECIFIED</v>
      </c>
      <c r="W34" s="24" t="str">
        <f t="shared" si="4"/>
        <v>WA-835 | FACTORY3 | KWD7 | KWD | ASSEMBLY | 1025-KW7AI | OTHER | FINISH WASH EQUIPMENT | FINISH WASH EQUIPMENT | NOT_SPECIFIED</v>
      </c>
      <c r="X34" s="24" t="str">
        <f t="shared" si="5"/>
        <v/>
      </c>
      <c r="Y34" s="24" t="str">
        <f t="shared" si="6"/>
        <v>MISSING_STATUS; CATEGORY_NOT_USEFUL</v>
      </c>
    </row>
    <row r="35" spans="1:25" x14ac:dyDescent="0.3">
      <c r="A35" s="24" t="str">
        <f t="shared" si="0"/>
        <v>AS-272#0034</v>
      </c>
      <c r="B35" s="24" t="str">
        <f>IF('query (2)'!B35="","",TRIM(UPPER('query (2)'!B35)))</f>
        <v>AS-272</v>
      </c>
      <c r="C35" s="25" t="str">
        <f>IF('query (2)'!B35="","",'query (2)'!B35)</f>
        <v>AS-272</v>
      </c>
      <c r="D35" s="24" t="str">
        <f t="shared" si="1"/>
        <v>AS</v>
      </c>
      <c r="E35" s="24">
        <f t="shared" si="2"/>
        <v>1</v>
      </c>
      <c r="F35" s="24">
        <f>IF('query (2)'!A35="","",IFERROR(VALUE('query (2)'!A35),""))</f>
        <v>34</v>
      </c>
      <c r="G35" s="24" t="str">
        <f>IF('query (2)'!C35="","UNKNOWN",IFERROR(INDEX(Cleaning_Rules!$B$15:$B$20,MATCH(TRIM(UPPER('query (2)'!C35)),Cleaning_Rules!$A$15:$A$20,0)),"UNKNOWN"))</f>
        <v>FACTORY3</v>
      </c>
      <c r="H35" s="25" t="str">
        <f>IF('query (2)'!C35="","",'query (2)'!C35)</f>
        <v>FACTORY3</v>
      </c>
      <c r="I35" s="24" t="str" cm="1">
        <f t="array" ref="I35">_xlfn.IFS($G35="UNKNOWN","UNKNOWN",OR($G35="FACTORY1",$G35="FACTORY2",$G35="FACTORY3"),"PLANT",TRUE,"SHARED")</f>
        <v>PLANT</v>
      </c>
      <c r="J35" s="24" t="str">
        <f>IF('query (2)'!D35="","UNKNOWN",IF(COUNTIF(Cleaning_Rules!$A$6:$A$11,TRIM('query (2)'!D35))&gt;0,"UNKNOWN",IFERROR(INDEX(Cleaning_Rules!$B$24:$B$28,MATCH(TRIM(UPPER('query (2)'!D35)),Cleaning_Rules!$A$24:$A$28,0)),TRIM(UPPER('query (2)'!D35)))))</f>
        <v>KWD1</v>
      </c>
      <c r="K35" s="25" t="str">
        <f>IF('query (2)'!D35="","",'query (2)'!D35)</f>
        <v>KWD1</v>
      </c>
      <c r="L35" s="24" t="str">
        <f>IF($J35="UNKNOWN","",_xlfn.TEXTBEFORE($J35,{"0","1","2","3","4","5","6","7","8","9"," ","-","."},1,,,$J35))</f>
        <v>KWD</v>
      </c>
      <c r="M35" s="24" t="str">
        <f>IF('query (2)'!I35&lt;&gt;"",TRIM(UPPER('query (2)'!I35)),IF($L35="","UNKNOWN",$L35))</f>
        <v>KWD</v>
      </c>
      <c r="N35" s="24" t="str">
        <f>IF('query (2)'!I35&lt;&gt;"","SOURCE",IF($L35="","UNKNOWN","DERIVED"))</f>
        <v>SOURCE</v>
      </c>
      <c r="O35" s="24" t="str">
        <f>IF('query (2)'!E35="","NOT_SPECIFIED",TRIM(UPPER('query (2)'!E35)))</f>
        <v>ASSEMBLY</v>
      </c>
      <c r="P35" s="24" t="str">
        <f>IF('query (2)'!F35="","",TRIM(UPPER('query (2)'!F35)))</f>
        <v>1004-KW1AI</v>
      </c>
      <c r="Q35" s="24" t="str">
        <f>IF('query (2)'!G35="","UNKNOWN",IFERROR(INDEX(Cleaning_Rules!$B$38:$B$46,MATCH(TRIM(UPPER('query (2)'!G35)),Cleaning_Rules!$A$38:$A$46,0)),"UNKNOWN"))</f>
        <v>OTHER</v>
      </c>
      <c r="R35" s="24" t="str">
        <f>IF('query (2)'!H35="","",TRIM(UPPER('query (2)'!H35)))</f>
        <v>GREASE INJECTION MACHINE</v>
      </c>
      <c r="S35" s="25" t="str">
        <f>IF('query (2)'!H35="","",'query (2)'!H35)</f>
        <v>Grease injection machine</v>
      </c>
      <c r="T35" s="24" t="str">
        <f>IF('query (2)'!J35="","",TRIM(UPPER('query (2)'!J35)))</f>
        <v>GREASE INJECTION</v>
      </c>
      <c r="U35" s="24" t="str">
        <f t="shared" si="3"/>
        <v/>
      </c>
      <c r="V35" s="24" t="str">
        <f>IF('query (2)'!K35="","NOT_SPECIFIED",IFERROR(INDEX(Cleaning_Rules!$B$32:$B$34,MATCH(TRIM(UPPER('query (2)'!K35)),Cleaning_Rules!$A$32:$A$34,0)),"UNKNOWN"))</f>
        <v>NOT_SPECIFIED</v>
      </c>
      <c r="W35" s="24" t="str">
        <f t="shared" si="4"/>
        <v>AS-272 | FACTORY3 | KWD1 | KWD | ASSEMBLY | 1004-KW1AI | OTHER | GREASE INJECTION MACHINE | GREASE INJECTION | NOT_SPECIFIED</v>
      </c>
      <c r="X35" s="24" t="str">
        <f t="shared" si="5"/>
        <v/>
      </c>
      <c r="Y35" s="24" t="str">
        <f t="shared" si="6"/>
        <v>MISSING_STATUS; CATEGORY_NOT_USEFUL</v>
      </c>
    </row>
    <row r="36" spans="1:25" x14ac:dyDescent="0.3">
      <c r="A36" s="24" t="str">
        <f t="shared" si="0"/>
        <v>AS-023#0035</v>
      </c>
      <c r="B36" s="24" t="str">
        <f>IF('query (2)'!B36="","",TRIM(UPPER('query (2)'!B36)))</f>
        <v>AS-023</v>
      </c>
      <c r="C36" s="25" t="str">
        <f>IF('query (2)'!B36="","",'query (2)'!B36)</f>
        <v>AS-023</v>
      </c>
      <c r="D36" s="24" t="str">
        <f t="shared" si="1"/>
        <v>AS</v>
      </c>
      <c r="E36" s="24">
        <f t="shared" si="2"/>
        <v>1</v>
      </c>
      <c r="F36" s="24">
        <f>IF('query (2)'!A36="","",IFERROR(VALUE('query (2)'!A36),""))</f>
        <v>35</v>
      </c>
      <c r="G36" s="24" t="str">
        <f>IF('query (2)'!C36="","UNKNOWN",IFERROR(INDEX(Cleaning_Rules!$B$15:$B$20,MATCH(TRIM(UPPER('query (2)'!C36)),Cleaning_Rules!$A$15:$A$20,0)),"UNKNOWN"))</f>
        <v>FACTORY3</v>
      </c>
      <c r="H36" s="25" t="str">
        <f>IF('query (2)'!C36="","",'query (2)'!C36)</f>
        <v>FACTORY3</v>
      </c>
      <c r="I36" s="24" t="str" cm="1">
        <f t="array" ref="I36">_xlfn.IFS($G36="UNKNOWN","UNKNOWN",OR($G36="FACTORY1",$G36="FACTORY2",$G36="FACTORY3"),"PLANT",TRUE,"SHARED")</f>
        <v>PLANT</v>
      </c>
      <c r="J36" s="24" t="str">
        <f>IF('query (2)'!D36="","UNKNOWN",IF(COUNTIF(Cleaning_Rules!$A$6:$A$11,TRIM('query (2)'!D36))&gt;0,"UNKNOWN",IFERROR(INDEX(Cleaning_Rules!$B$24:$B$28,MATCH(TRIM(UPPER('query (2)'!D36)),Cleaning_Rules!$A$24:$A$28,0)),TRIM(UPPER('query (2)'!D36)))))</f>
        <v>KWD2</v>
      </c>
      <c r="K36" s="25" t="str">
        <f>IF('query (2)'!D36="","",'query (2)'!D36)</f>
        <v>KWD2</v>
      </c>
      <c r="L36" s="24" t="str">
        <f>IF($J36="UNKNOWN","",_xlfn.TEXTBEFORE($J36,{"0","1","2","3","4","5","6","7","8","9"," ","-","."},1,,,$J36))</f>
        <v>KWD</v>
      </c>
      <c r="M36" s="24" t="str">
        <f>IF('query (2)'!I36&lt;&gt;"",TRIM(UPPER('query (2)'!I36)),IF($L36="","UNKNOWN",$L36))</f>
        <v>KWD</v>
      </c>
      <c r="N36" s="24" t="str">
        <f>IF('query (2)'!I36&lt;&gt;"","SOURCE",IF($L36="","UNKNOWN","DERIVED"))</f>
        <v>SOURCE</v>
      </c>
      <c r="O36" s="24" t="str">
        <f>IF('query (2)'!E36="","NOT_SPECIFIED",TRIM(UPPER('query (2)'!E36)))</f>
        <v>ASSEMBLY</v>
      </c>
      <c r="P36" s="24" t="str">
        <f>IF('query (2)'!F36="","",TRIM(UPPER('query (2)'!F36)))</f>
        <v>1007-KW2AI</v>
      </c>
      <c r="Q36" s="24" t="str">
        <f>IF('query (2)'!G36="","UNKNOWN",IFERROR(INDEX(Cleaning_Rules!$B$38:$B$46,MATCH(TRIM(UPPER('query (2)'!G36)),Cleaning_Rules!$A$38:$A$46,0)),"UNKNOWN"))</f>
        <v>OTHER</v>
      </c>
      <c r="R36" s="24" t="str">
        <f>IF('query (2)'!H36="","",TRIM(UPPER('query (2)'!H36)))</f>
        <v>GREASE INJECTION MACHINE</v>
      </c>
      <c r="S36" s="25" t="str">
        <f>IF('query (2)'!H36="","",'query (2)'!H36)</f>
        <v>Grease injection machine</v>
      </c>
      <c r="T36" s="24" t="str">
        <f>IF('query (2)'!J36="","",TRIM(UPPER('query (2)'!J36)))</f>
        <v>GREASE INJECTION</v>
      </c>
      <c r="U36" s="24" t="str">
        <f t="shared" si="3"/>
        <v/>
      </c>
      <c r="V36" s="24" t="str">
        <f>IF('query (2)'!K36="","NOT_SPECIFIED",IFERROR(INDEX(Cleaning_Rules!$B$32:$B$34,MATCH(TRIM(UPPER('query (2)'!K36)),Cleaning_Rules!$A$32:$A$34,0)),"UNKNOWN"))</f>
        <v>NOT_SPECIFIED</v>
      </c>
      <c r="W36" s="24" t="str">
        <f t="shared" si="4"/>
        <v>AS-023 | FACTORY3 | KWD2 | KWD | ASSEMBLY | 1007-KW2AI | OTHER | GREASE INJECTION MACHINE | GREASE INJECTION | NOT_SPECIFIED</v>
      </c>
      <c r="X36" s="24" t="str">
        <f t="shared" si="5"/>
        <v/>
      </c>
      <c r="Y36" s="24" t="str">
        <f t="shared" si="6"/>
        <v>MISSING_STATUS; CATEGORY_NOT_USEFUL</v>
      </c>
    </row>
    <row r="37" spans="1:25" x14ac:dyDescent="0.3">
      <c r="A37" s="24" t="str">
        <f t="shared" si="0"/>
        <v>AS-358#0036</v>
      </c>
      <c r="B37" s="24" t="str">
        <f>IF('query (2)'!B37="","",TRIM(UPPER('query (2)'!B37)))</f>
        <v>AS-358</v>
      </c>
      <c r="C37" s="25" t="str">
        <f>IF('query (2)'!B37="","",'query (2)'!B37)</f>
        <v>AS-358</v>
      </c>
      <c r="D37" s="24" t="str">
        <f t="shared" si="1"/>
        <v>AS</v>
      </c>
      <c r="E37" s="24">
        <f t="shared" si="2"/>
        <v>1</v>
      </c>
      <c r="F37" s="24">
        <f>IF('query (2)'!A37="","",IFERROR(VALUE('query (2)'!A37),""))</f>
        <v>36</v>
      </c>
      <c r="G37" s="24" t="str">
        <f>IF('query (2)'!C37="","UNKNOWN",IFERROR(INDEX(Cleaning_Rules!$B$15:$B$20,MATCH(TRIM(UPPER('query (2)'!C37)),Cleaning_Rules!$A$15:$A$20,0)),"UNKNOWN"))</f>
        <v>FACTORY3</v>
      </c>
      <c r="H37" s="25" t="str">
        <f>IF('query (2)'!C37="","",'query (2)'!C37)</f>
        <v>FACTORY3</v>
      </c>
      <c r="I37" s="24" t="str" cm="1">
        <f t="array" ref="I37">_xlfn.IFS($G37="UNKNOWN","UNKNOWN",OR($G37="FACTORY1",$G37="FACTORY2",$G37="FACTORY3"),"PLANT",TRUE,"SHARED")</f>
        <v>PLANT</v>
      </c>
      <c r="J37" s="24" t="str">
        <f>IF('query (2)'!D37="","UNKNOWN",IF(COUNTIF(Cleaning_Rules!$A$6:$A$11,TRIM('query (2)'!D37))&gt;0,"UNKNOWN",IFERROR(INDEX(Cleaning_Rules!$B$24:$B$28,MATCH(TRIM(UPPER('query (2)'!D37)),Cleaning_Rules!$A$24:$A$28,0)),TRIM(UPPER('query (2)'!D37)))))</f>
        <v>KWD3</v>
      </c>
      <c r="K37" s="25" t="str">
        <f>IF('query (2)'!D37="","",'query (2)'!D37)</f>
        <v>KWD3</v>
      </c>
      <c r="L37" s="24" t="str">
        <f>IF($J37="UNKNOWN","",_xlfn.TEXTBEFORE($J37,{"0","1","2","3","4","5","6","7","8","9"," ","-","."},1,,,$J37))</f>
        <v>KWD</v>
      </c>
      <c r="M37" s="24" t="str">
        <f>IF('query (2)'!I37&lt;&gt;"",TRIM(UPPER('query (2)'!I37)),IF($L37="","UNKNOWN",$L37))</f>
        <v>KWD</v>
      </c>
      <c r="N37" s="24" t="str">
        <f>IF('query (2)'!I37&lt;&gt;"","SOURCE",IF($L37="","UNKNOWN","DERIVED"))</f>
        <v>SOURCE</v>
      </c>
      <c r="O37" s="24" t="str">
        <f>IF('query (2)'!E37="","NOT_SPECIFIED",TRIM(UPPER('query (2)'!E37)))</f>
        <v>ASSEMBLY</v>
      </c>
      <c r="P37" s="24" t="str">
        <f>IF('query (2)'!F37="","",TRIM(UPPER('query (2)'!F37)))</f>
        <v>1010-KW3AI</v>
      </c>
      <c r="Q37" s="24" t="str">
        <f>IF('query (2)'!G37="","UNKNOWN",IFERROR(INDEX(Cleaning_Rules!$B$38:$B$46,MATCH(TRIM(UPPER('query (2)'!G37)),Cleaning_Rules!$A$38:$A$46,0)),"UNKNOWN"))</f>
        <v>OTHER</v>
      </c>
      <c r="R37" s="24" t="str">
        <f>IF('query (2)'!H37="","",TRIM(UPPER('query (2)'!H37)))</f>
        <v>GREASE INJECTION MACHINE</v>
      </c>
      <c r="S37" s="25" t="str">
        <f>IF('query (2)'!H37="","",'query (2)'!H37)</f>
        <v>Grease injection machine</v>
      </c>
      <c r="T37" s="24" t="str">
        <f>IF('query (2)'!J37="","",TRIM(UPPER('query (2)'!J37)))</f>
        <v>GREASE INJECTION</v>
      </c>
      <c r="U37" s="24" t="str">
        <f t="shared" si="3"/>
        <v/>
      </c>
      <c r="V37" s="24" t="str">
        <f>IF('query (2)'!K37="","NOT_SPECIFIED",IFERROR(INDEX(Cleaning_Rules!$B$32:$B$34,MATCH(TRIM(UPPER('query (2)'!K37)),Cleaning_Rules!$A$32:$A$34,0)),"UNKNOWN"))</f>
        <v>NOT_SPECIFIED</v>
      </c>
      <c r="W37" s="24" t="str">
        <f t="shared" si="4"/>
        <v>AS-358 | FACTORY3 | KWD3 | KWD | ASSEMBLY | 1010-KW3AI | OTHER | GREASE INJECTION MACHINE | GREASE INJECTION | NOT_SPECIFIED</v>
      </c>
      <c r="X37" s="24" t="str">
        <f t="shared" si="5"/>
        <v/>
      </c>
      <c r="Y37" s="24" t="str">
        <f t="shared" si="6"/>
        <v>MISSING_STATUS; CATEGORY_NOT_USEFUL</v>
      </c>
    </row>
    <row r="38" spans="1:25" x14ac:dyDescent="0.3">
      <c r="A38" s="24" t="str">
        <f t="shared" si="0"/>
        <v>AS-480#0037</v>
      </c>
      <c r="B38" s="24" t="str">
        <f>IF('query (2)'!B38="","",TRIM(UPPER('query (2)'!B38)))</f>
        <v>AS-480</v>
      </c>
      <c r="C38" s="25" t="str">
        <f>IF('query (2)'!B38="","",'query (2)'!B38)</f>
        <v>AS-480</v>
      </c>
      <c r="D38" s="24" t="str">
        <f t="shared" si="1"/>
        <v>AS</v>
      </c>
      <c r="E38" s="24">
        <f t="shared" si="2"/>
        <v>1</v>
      </c>
      <c r="F38" s="24">
        <f>IF('query (2)'!A38="","",IFERROR(VALUE('query (2)'!A38),""))</f>
        <v>37</v>
      </c>
      <c r="G38" s="24" t="str">
        <f>IF('query (2)'!C38="","UNKNOWN",IFERROR(INDEX(Cleaning_Rules!$B$15:$B$20,MATCH(TRIM(UPPER('query (2)'!C38)),Cleaning_Rules!$A$15:$A$20,0)),"UNKNOWN"))</f>
        <v>FACTORY3</v>
      </c>
      <c r="H38" s="25" t="str">
        <f>IF('query (2)'!C38="","",'query (2)'!C38)</f>
        <v>FACTORY3</v>
      </c>
      <c r="I38" s="24" t="str" cm="1">
        <f t="array" ref="I38">_xlfn.IFS($G38="UNKNOWN","UNKNOWN",OR($G38="FACTORY1",$G38="FACTORY2",$G38="FACTORY3"),"PLANT",TRUE,"SHARED")</f>
        <v>PLANT</v>
      </c>
      <c r="J38" s="24" t="str">
        <f>IF('query (2)'!D38="","UNKNOWN",IF(COUNTIF(Cleaning_Rules!$A$6:$A$11,TRIM('query (2)'!D38))&gt;0,"UNKNOWN",IFERROR(INDEX(Cleaning_Rules!$B$24:$B$28,MATCH(TRIM(UPPER('query (2)'!D38)),Cleaning_Rules!$A$24:$A$28,0)),TRIM(UPPER('query (2)'!D38)))))</f>
        <v>KWD4</v>
      </c>
      <c r="K38" s="25" t="str">
        <f>IF('query (2)'!D38="","",'query (2)'!D38)</f>
        <v>KWD4</v>
      </c>
      <c r="L38" s="24" t="str">
        <f>IF($J38="UNKNOWN","",_xlfn.TEXTBEFORE($J38,{"0","1","2","3","4","5","6","7","8","9"," ","-","."},1,,,$J38))</f>
        <v>KWD</v>
      </c>
      <c r="M38" s="24" t="str">
        <f>IF('query (2)'!I38&lt;&gt;"",TRIM(UPPER('query (2)'!I38)),IF($L38="","UNKNOWN",$L38))</f>
        <v>KWD</v>
      </c>
      <c r="N38" s="24" t="str">
        <f>IF('query (2)'!I38&lt;&gt;"","SOURCE",IF($L38="","UNKNOWN","DERIVED"))</f>
        <v>SOURCE</v>
      </c>
      <c r="O38" s="24" t="str">
        <f>IF('query (2)'!E38="","NOT_SPECIFIED",TRIM(UPPER('query (2)'!E38)))</f>
        <v>ASSEMBLY</v>
      </c>
      <c r="P38" s="24" t="str">
        <f>IF('query (2)'!F38="","",TRIM(UPPER('query (2)'!F38)))</f>
        <v>1013-KW4AI</v>
      </c>
      <c r="Q38" s="24" t="str">
        <f>IF('query (2)'!G38="","UNKNOWN",IFERROR(INDEX(Cleaning_Rules!$B$38:$B$46,MATCH(TRIM(UPPER('query (2)'!G38)),Cleaning_Rules!$A$38:$A$46,0)),"UNKNOWN"))</f>
        <v>OTHER</v>
      </c>
      <c r="R38" s="24" t="str">
        <f>IF('query (2)'!H38="","",TRIM(UPPER('query (2)'!H38)))</f>
        <v>GREASE INJECTION MACHINE</v>
      </c>
      <c r="S38" s="25" t="str">
        <f>IF('query (2)'!H38="","",'query (2)'!H38)</f>
        <v>Grease injection machine</v>
      </c>
      <c r="T38" s="24" t="str">
        <f>IF('query (2)'!J38="","",TRIM(UPPER('query (2)'!J38)))</f>
        <v>GREASE INJECTION</v>
      </c>
      <c r="U38" s="24" t="str">
        <f t="shared" si="3"/>
        <v/>
      </c>
      <c r="V38" s="24" t="str">
        <f>IF('query (2)'!K38="","NOT_SPECIFIED",IFERROR(INDEX(Cleaning_Rules!$B$32:$B$34,MATCH(TRIM(UPPER('query (2)'!K38)),Cleaning_Rules!$A$32:$A$34,0)),"UNKNOWN"))</f>
        <v>NOT_SPECIFIED</v>
      </c>
      <c r="W38" s="24" t="str">
        <f t="shared" si="4"/>
        <v>AS-480 | FACTORY3 | KWD4 | KWD | ASSEMBLY | 1013-KW4AI | OTHER | GREASE INJECTION MACHINE | GREASE INJECTION | NOT_SPECIFIED</v>
      </c>
      <c r="X38" s="24" t="str">
        <f t="shared" si="5"/>
        <v/>
      </c>
      <c r="Y38" s="24" t="str">
        <f t="shared" si="6"/>
        <v>MISSING_STATUS; CATEGORY_NOT_USEFUL</v>
      </c>
    </row>
    <row r="39" spans="1:25" x14ac:dyDescent="0.3">
      <c r="A39" s="24" t="str">
        <f t="shared" si="0"/>
        <v>AS-597#0038</v>
      </c>
      <c r="B39" s="24" t="str">
        <f>IF('query (2)'!B39="","",TRIM(UPPER('query (2)'!B39)))</f>
        <v>AS-597</v>
      </c>
      <c r="C39" s="25" t="str">
        <f>IF('query (2)'!B39="","",'query (2)'!B39)</f>
        <v>AS-597</v>
      </c>
      <c r="D39" s="24" t="str">
        <f t="shared" si="1"/>
        <v>AS</v>
      </c>
      <c r="E39" s="24">
        <f t="shared" si="2"/>
        <v>1</v>
      </c>
      <c r="F39" s="24">
        <f>IF('query (2)'!A39="","",IFERROR(VALUE('query (2)'!A39),""))</f>
        <v>38</v>
      </c>
      <c r="G39" s="24" t="str">
        <f>IF('query (2)'!C39="","UNKNOWN",IFERROR(INDEX(Cleaning_Rules!$B$15:$B$20,MATCH(TRIM(UPPER('query (2)'!C39)),Cleaning_Rules!$A$15:$A$20,0)),"UNKNOWN"))</f>
        <v>FACTORY3</v>
      </c>
      <c r="H39" s="25" t="str">
        <f>IF('query (2)'!C39="","",'query (2)'!C39)</f>
        <v>FACTORY3</v>
      </c>
      <c r="I39" s="24" t="str" cm="1">
        <f t="array" ref="I39">_xlfn.IFS($G39="UNKNOWN","UNKNOWN",OR($G39="FACTORY1",$G39="FACTORY2",$G39="FACTORY3"),"PLANT",TRUE,"SHARED")</f>
        <v>PLANT</v>
      </c>
      <c r="J39" s="24" t="str">
        <f>IF('query (2)'!D39="","UNKNOWN",IF(COUNTIF(Cleaning_Rules!$A$6:$A$11,TRIM('query (2)'!D39))&gt;0,"UNKNOWN",IFERROR(INDEX(Cleaning_Rules!$B$24:$B$28,MATCH(TRIM(UPPER('query (2)'!D39)),Cleaning_Rules!$A$24:$A$28,0)),TRIM(UPPER('query (2)'!D39)))))</f>
        <v>KWD5</v>
      </c>
      <c r="K39" s="25" t="str">
        <f>IF('query (2)'!D39="","",'query (2)'!D39)</f>
        <v>KWD5</v>
      </c>
      <c r="L39" s="24" t="str">
        <f>IF($J39="UNKNOWN","",_xlfn.TEXTBEFORE($J39,{"0","1","2","3","4","5","6","7","8","9"," ","-","."},1,,,$J39))</f>
        <v>KWD</v>
      </c>
      <c r="M39" s="24" t="str">
        <f>IF('query (2)'!I39&lt;&gt;"",TRIM(UPPER('query (2)'!I39)),IF($L39="","UNKNOWN",$L39))</f>
        <v>KWD</v>
      </c>
      <c r="N39" s="24" t="str">
        <f>IF('query (2)'!I39&lt;&gt;"","SOURCE",IF($L39="","UNKNOWN","DERIVED"))</f>
        <v>SOURCE</v>
      </c>
      <c r="O39" s="24" t="str">
        <f>IF('query (2)'!E39="","NOT_SPECIFIED",TRIM(UPPER('query (2)'!E39)))</f>
        <v>ASSEMBLY</v>
      </c>
      <c r="P39" s="24" t="str">
        <f>IF('query (2)'!F39="","",TRIM(UPPER('query (2)'!F39)))</f>
        <v>1016-KW5AI</v>
      </c>
      <c r="Q39" s="24" t="str">
        <f>IF('query (2)'!G39="","UNKNOWN",IFERROR(INDEX(Cleaning_Rules!$B$38:$B$46,MATCH(TRIM(UPPER('query (2)'!G39)),Cleaning_Rules!$A$38:$A$46,0)),"UNKNOWN"))</f>
        <v>OTHER</v>
      </c>
      <c r="R39" s="24" t="str">
        <f>IF('query (2)'!H39="","",TRIM(UPPER('query (2)'!H39)))</f>
        <v>GREASE INJECTION MACHINE</v>
      </c>
      <c r="S39" s="25" t="str">
        <f>IF('query (2)'!H39="","",'query (2)'!H39)</f>
        <v>Grease injection machine</v>
      </c>
      <c r="T39" s="24" t="str">
        <f>IF('query (2)'!J39="","",TRIM(UPPER('query (2)'!J39)))</f>
        <v>GREASE INJECTION</v>
      </c>
      <c r="U39" s="24" t="str">
        <f t="shared" si="3"/>
        <v/>
      </c>
      <c r="V39" s="24" t="str">
        <f>IF('query (2)'!K39="","NOT_SPECIFIED",IFERROR(INDEX(Cleaning_Rules!$B$32:$B$34,MATCH(TRIM(UPPER('query (2)'!K39)),Cleaning_Rules!$A$32:$A$34,0)),"UNKNOWN"))</f>
        <v>NOT_SPECIFIED</v>
      </c>
      <c r="W39" s="24" t="str">
        <f t="shared" si="4"/>
        <v>AS-597 | FACTORY3 | KWD5 | KWD | ASSEMBLY | 1016-KW5AI | OTHER | GREASE INJECTION MACHINE | GREASE INJECTION | NOT_SPECIFIED</v>
      </c>
      <c r="X39" s="24" t="str">
        <f t="shared" si="5"/>
        <v/>
      </c>
      <c r="Y39" s="24" t="str">
        <f t="shared" si="6"/>
        <v>MISSING_STATUS; CATEGORY_NOT_USEFUL</v>
      </c>
    </row>
    <row r="40" spans="1:25" x14ac:dyDescent="0.3">
      <c r="A40" s="24" t="str">
        <f t="shared" si="0"/>
        <v>AS-706#0039</v>
      </c>
      <c r="B40" s="24" t="str">
        <f>IF('query (2)'!B40="","",TRIM(UPPER('query (2)'!B40)))</f>
        <v>AS-706</v>
      </c>
      <c r="C40" s="25" t="str">
        <f>IF('query (2)'!B40="","",'query (2)'!B40)</f>
        <v>AS-706</v>
      </c>
      <c r="D40" s="24" t="str">
        <f t="shared" si="1"/>
        <v>AS</v>
      </c>
      <c r="E40" s="24">
        <f t="shared" si="2"/>
        <v>1</v>
      </c>
      <c r="F40" s="24">
        <f>IF('query (2)'!A40="","",IFERROR(VALUE('query (2)'!A40),""))</f>
        <v>39</v>
      </c>
      <c r="G40" s="24" t="str">
        <f>IF('query (2)'!C40="","UNKNOWN",IFERROR(INDEX(Cleaning_Rules!$B$15:$B$20,MATCH(TRIM(UPPER('query (2)'!C40)),Cleaning_Rules!$A$15:$A$20,0)),"UNKNOWN"))</f>
        <v>FACTORY3</v>
      </c>
      <c r="H40" s="25" t="str">
        <f>IF('query (2)'!C40="","",'query (2)'!C40)</f>
        <v>FACTORY3</v>
      </c>
      <c r="I40" s="24" t="str" cm="1">
        <f t="array" ref="I40">_xlfn.IFS($G40="UNKNOWN","UNKNOWN",OR($G40="FACTORY1",$G40="FACTORY2",$G40="FACTORY3"),"PLANT",TRUE,"SHARED")</f>
        <v>PLANT</v>
      </c>
      <c r="J40" s="24" t="str">
        <f>IF('query (2)'!D40="","UNKNOWN",IF(COUNTIF(Cleaning_Rules!$A$6:$A$11,TRIM('query (2)'!D40))&gt;0,"UNKNOWN",IFERROR(INDEX(Cleaning_Rules!$B$24:$B$28,MATCH(TRIM(UPPER('query (2)'!D40)),Cleaning_Rules!$A$24:$A$28,0)),TRIM(UPPER('query (2)'!D40)))))</f>
        <v>KWD6</v>
      </c>
      <c r="K40" s="25" t="str">
        <f>IF('query (2)'!D40="","",'query (2)'!D40)</f>
        <v>KWD6</v>
      </c>
      <c r="L40" s="24" t="str">
        <f>IF($J40="UNKNOWN","",_xlfn.TEXTBEFORE($J40,{"0","1","2","3","4","5","6","7","8","9"," ","-","."},1,,,$J40))</f>
        <v>KWD</v>
      </c>
      <c r="M40" s="24" t="str">
        <f>IF('query (2)'!I40&lt;&gt;"",TRIM(UPPER('query (2)'!I40)),IF($L40="","UNKNOWN",$L40))</f>
        <v>KWD</v>
      </c>
      <c r="N40" s="24" t="str">
        <f>IF('query (2)'!I40&lt;&gt;"","SOURCE",IF($L40="","UNKNOWN","DERIVED"))</f>
        <v>SOURCE</v>
      </c>
      <c r="O40" s="24" t="str">
        <f>IF('query (2)'!E40="","NOT_SPECIFIED",TRIM(UPPER('query (2)'!E40)))</f>
        <v>ASSEMBLY</v>
      </c>
      <c r="P40" s="24" t="str">
        <f>IF('query (2)'!F40="","",TRIM(UPPER('query (2)'!F40)))</f>
        <v>1019-KW6AI</v>
      </c>
      <c r="Q40" s="24" t="str">
        <f>IF('query (2)'!G40="","UNKNOWN",IFERROR(INDEX(Cleaning_Rules!$B$38:$B$46,MATCH(TRIM(UPPER('query (2)'!G40)),Cleaning_Rules!$A$38:$A$46,0)),"UNKNOWN"))</f>
        <v>OTHER</v>
      </c>
      <c r="R40" s="24" t="str">
        <f>IF('query (2)'!H40="","",TRIM(UPPER('query (2)'!H40)))</f>
        <v>GREASE INJECTION MACHINE</v>
      </c>
      <c r="S40" s="25" t="str">
        <f>IF('query (2)'!H40="","",'query (2)'!H40)</f>
        <v>Grease injection machine</v>
      </c>
      <c r="T40" s="24" t="str">
        <f>IF('query (2)'!J40="","",TRIM(UPPER('query (2)'!J40)))</f>
        <v>GREASE INJECTION</v>
      </c>
      <c r="U40" s="24" t="str">
        <f t="shared" si="3"/>
        <v/>
      </c>
      <c r="V40" s="24" t="str">
        <f>IF('query (2)'!K40="","NOT_SPECIFIED",IFERROR(INDEX(Cleaning_Rules!$B$32:$B$34,MATCH(TRIM(UPPER('query (2)'!K40)),Cleaning_Rules!$A$32:$A$34,0)),"UNKNOWN"))</f>
        <v>NOT_SPECIFIED</v>
      </c>
      <c r="W40" s="24" t="str">
        <f t="shared" si="4"/>
        <v>AS-706 | FACTORY3 | KWD6 | KWD | ASSEMBLY | 1019-KW6AI | OTHER | GREASE INJECTION MACHINE | GREASE INJECTION | NOT_SPECIFIED</v>
      </c>
      <c r="X40" s="24" t="str">
        <f t="shared" si="5"/>
        <v/>
      </c>
      <c r="Y40" s="24" t="str">
        <f t="shared" si="6"/>
        <v>MISSING_STATUS; CATEGORY_NOT_USEFUL</v>
      </c>
    </row>
    <row r="41" spans="1:25" x14ac:dyDescent="0.3">
      <c r="A41" s="24" t="str">
        <f t="shared" si="0"/>
        <v>AS-845#0040</v>
      </c>
      <c r="B41" s="24" t="str">
        <f>IF('query (2)'!B41="","",TRIM(UPPER('query (2)'!B41)))</f>
        <v>AS-845</v>
      </c>
      <c r="C41" s="25" t="str">
        <f>IF('query (2)'!B41="","",'query (2)'!B41)</f>
        <v>AS-845</v>
      </c>
      <c r="D41" s="24" t="str">
        <f t="shared" si="1"/>
        <v>AS</v>
      </c>
      <c r="E41" s="24">
        <f t="shared" si="2"/>
        <v>1</v>
      </c>
      <c r="F41" s="24">
        <f>IF('query (2)'!A41="","",IFERROR(VALUE('query (2)'!A41),""))</f>
        <v>40</v>
      </c>
      <c r="G41" s="24" t="str">
        <f>IF('query (2)'!C41="","UNKNOWN",IFERROR(INDEX(Cleaning_Rules!$B$15:$B$20,MATCH(TRIM(UPPER('query (2)'!C41)),Cleaning_Rules!$A$15:$A$20,0)),"UNKNOWN"))</f>
        <v>FACTORY3</v>
      </c>
      <c r="H41" s="25" t="str">
        <f>IF('query (2)'!C41="","",'query (2)'!C41)</f>
        <v>FACTORY3</v>
      </c>
      <c r="I41" s="24" t="str" cm="1">
        <f t="array" ref="I41">_xlfn.IFS($G41="UNKNOWN","UNKNOWN",OR($G41="FACTORY1",$G41="FACTORY2",$G41="FACTORY3"),"PLANT",TRUE,"SHARED")</f>
        <v>PLANT</v>
      </c>
      <c r="J41" s="24" t="str">
        <f>IF('query (2)'!D41="","UNKNOWN",IF(COUNTIF(Cleaning_Rules!$A$6:$A$11,TRIM('query (2)'!D41))&gt;0,"UNKNOWN",IFERROR(INDEX(Cleaning_Rules!$B$24:$B$28,MATCH(TRIM(UPPER('query (2)'!D41)),Cleaning_Rules!$A$24:$A$28,0)),TRIM(UPPER('query (2)'!D41)))))</f>
        <v>KWD7</v>
      </c>
      <c r="K41" s="25" t="str">
        <f>IF('query (2)'!D41="","",'query (2)'!D41)</f>
        <v>KWD7</v>
      </c>
      <c r="L41" s="24" t="str">
        <f>IF($J41="UNKNOWN","",_xlfn.TEXTBEFORE($J41,{"0","1","2","3","4","5","6","7","8","9"," ","-","."},1,,,$J41))</f>
        <v>KWD</v>
      </c>
      <c r="M41" s="24" t="str">
        <f>IF('query (2)'!I41&lt;&gt;"",TRIM(UPPER('query (2)'!I41)),IF($L41="","UNKNOWN",$L41))</f>
        <v>KWD</v>
      </c>
      <c r="N41" s="24" t="str">
        <f>IF('query (2)'!I41&lt;&gt;"","SOURCE",IF($L41="","UNKNOWN","DERIVED"))</f>
        <v>SOURCE</v>
      </c>
      <c r="O41" s="24" t="str">
        <f>IF('query (2)'!E41="","NOT_SPECIFIED",TRIM(UPPER('query (2)'!E41)))</f>
        <v>ASSEMBLY</v>
      </c>
      <c r="P41" s="24" t="str">
        <f>IF('query (2)'!F41="","",TRIM(UPPER('query (2)'!F41)))</f>
        <v>1025-KW7AI</v>
      </c>
      <c r="Q41" s="24" t="str">
        <f>IF('query (2)'!G41="","UNKNOWN",IFERROR(INDEX(Cleaning_Rules!$B$38:$B$46,MATCH(TRIM(UPPER('query (2)'!G41)),Cleaning_Rules!$A$38:$A$46,0)),"UNKNOWN"))</f>
        <v>OTHER</v>
      </c>
      <c r="R41" s="24" t="str">
        <f>IF('query (2)'!H41="","",TRIM(UPPER('query (2)'!H41)))</f>
        <v>GREASE INJECTION MACHINE</v>
      </c>
      <c r="S41" s="25" t="str">
        <f>IF('query (2)'!H41="","",'query (2)'!H41)</f>
        <v>Grease injection machine</v>
      </c>
      <c r="T41" s="24" t="str">
        <f>IF('query (2)'!J41="","",TRIM(UPPER('query (2)'!J41)))</f>
        <v>GREASE INJECTION</v>
      </c>
      <c r="U41" s="24" t="str">
        <f t="shared" si="3"/>
        <v/>
      </c>
      <c r="V41" s="24" t="str">
        <f>IF('query (2)'!K41="","NOT_SPECIFIED",IFERROR(INDEX(Cleaning_Rules!$B$32:$B$34,MATCH(TRIM(UPPER('query (2)'!K41)),Cleaning_Rules!$A$32:$A$34,0)),"UNKNOWN"))</f>
        <v>NOT_SPECIFIED</v>
      </c>
      <c r="W41" s="24" t="str">
        <f t="shared" si="4"/>
        <v>AS-845 | FACTORY3 | KWD7 | KWD | ASSEMBLY | 1025-KW7AI | OTHER | GREASE INJECTION MACHINE | GREASE INJECTION | NOT_SPECIFIED</v>
      </c>
      <c r="X41" s="24" t="str">
        <f t="shared" si="5"/>
        <v/>
      </c>
      <c r="Y41" s="24" t="str">
        <f t="shared" si="6"/>
        <v>MISSING_STATUS; CATEGORY_NOT_USEFUL</v>
      </c>
    </row>
    <row r="42" spans="1:25" x14ac:dyDescent="0.3">
      <c r="A42" s="24" t="str">
        <f t="shared" si="0"/>
        <v>SU-650#0041</v>
      </c>
      <c r="B42" s="24" t="str">
        <f>IF('query (2)'!B42="","",TRIM(UPPER('query (2)'!B42)))</f>
        <v>SU-650</v>
      </c>
      <c r="C42" s="25" t="str">
        <f>IF('query (2)'!B42="","",'query (2)'!B42)</f>
        <v>SU-650</v>
      </c>
      <c r="D42" s="24" t="str">
        <f t="shared" si="1"/>
        <v>SU</v>
      </c>
      <c r="E42" s="24">
        <f t="shared" si="2"/>
        <v>1</v>
      </c>
      <c r="F42" s="24">
        <f>IF('query (2)'!A42="","",IFERROR(VALUE('query (2)'!A42),""))</f>
        <v>41</v>
      </c>
      <c r="G42" s="24" t="str">
        <f>IF('query (2)'!C42="","UNKNOWN",IFERROR(INDEX(Cleaning_Rules!$B$15:$B$20,MATCH(TRIM(UPPER('query (2)'!C42)),Cleaning_Rules!$A$15:$A$20,0)),"UNKNOWN"))</f>
        <v>FACTORY3</v>
      </c>
      <c r="H42" s="25" t="str">
        <f>IF('query (2)'!C42="","",'query (2)'!C42)</f>
        <v>FACTORY3</v>
      </c>
      <c r="I42" s="24" t="str" cm="1">
        <f t="array" ref="I42">_xlfn.IFS($G42="UNKNOWN","UNKNOWN",OR($G42="FACTORY1",$G42="FACTORY2",$G42="FACTORY3"),"PLANT",TRUE,"SHARED")</f>
        <v>PLANT</v>
      </c>
      <c r="J42" s="24" t="str">
        <f>IF('query (2)'!D42="","UNKNOWN",IF(COUNTIF(Cleaning_Rules!$A$6:$A$11,TRIM('query (2)'!D42))&gt;0,"UNKNOWN",IFERROR(INDEX(Cleaning_Rules!$B$24:$B$28,MATCH(TRIM(UPPER('query (2)'!D42)),Cleaning_Rules!$A$24:$A$28,0)),TRIM(UPPER('query (2)'!D42)))))</f>
        <v>KWD4</v>
      </c>
      <c r="K42" s="25" t="str">
        <f>IF('query (2)'!D42="","",'query (2)'!D42)</f>
        <v>KWD4</v>
      </c>
      <c r="L42" s="24" t="str">
        <f>IF($J42="UNKNOWN","",_xlfn.TEXTBEFORE($J42,{"0","1","2","3","4","5","6","7","8","9"," ","-","."},1,,,$J42))</f>
        <v>KWD</v>
      </c>
      <c r="M42" s="24" t="str">
        <f>IF('query (2)'!I42&lt;&gt;"",TRIM(UPPER('query (2)'!I42)),IF($L42="","UNKNOWN",$L42))</f>
        <v>KWD</v>
      </c>
      <c r="N42" s="24" t="str">
        <f>IF('query (2)'!I42&lt;&gt;"","SOURCE",IF($L42="","UNKNOWN","DERIVED"))</f>
        <v>SOURCE</v>
      </c>
      <c r="O42" s="24" t="str">
        <f>IF('query (2)'!E42="","NOT_SPECIFIED",TRIM(UPPER('query (2)'!E42)))</f>
        <v>GRINDING 2</v>
      </c>
      <c r="P42" s="24" t="str">
        <f>IF('query (2)'!F42="","",TRIM(UPPER('query (2)'!F42)))</f>
        <v>1012-KW4G</v>
      </c>
      <c r="Q42" s="24" t="str">
        <f>IF('query (2)'!G42="","UNKNOWN",IFERROR(INDEX(Cleaning_Rules!$B$38:$B$46,MATCH(TRIM(UPPER('query (2)'!G42)),Cleaning_Rules!$A$38:$A$46,0)),"UNKNOWN"))</f>
        <v>OTHER</v>
      </c>
      <c r="R42" s="24" t="str">
        <f>IF('query (2)'!H42="","",TRIM(UPPER('query (2)'!H42)))</f>
        <v>INNER RING AUTO SUPPLY PART MACHINE</v>
      </c>
      <c r="S42" s="25" t="str">
        <f>IF('query (2)'!H42="","",'query (2)'!H42)</f>
        <v>Inner ring auto supply part machine</v>
      </c>
      <c r="T42" s="24" t="str">
        <f>IF('query (2)'!J42="","",TRIM(UPPER('query (2)'!J42)))</f>
        <v>B - AUTO SUPPLY PART</v>
      </c>
      <c r="U42" s="24" t="str">
        <f t="shared" si="3"/>
        <v/>
      </c>
      <c r="V42" s="24" t="str">
        <f>IF('query (2)'!K42="","NOT_SPECIFIED",IFERROR(INDEX(Cleaning_Rules!$B$32:$B$34,MATCH(TRIM(UPPER('query (2)'!K42)),Cleaning_Rules!$A$32:$A$34,0)),"UNKNOWN"))</f>
        <v>NOT_SPECIFIED</v>
      </c>
      <c r="W42" s="24" t="str">
        <f t="shared" si="4"/>
        <v>SU-650 | FACTORY3 | KWD4 | KWD | GRINDING 2 | 1012-KW4G | OTHER | INNER RING AUTO SUPPLY PART MACHINE | B - AUTO SUPPLY PART | NOT_SPECIFIED</v>
      </c>
      <c r="X42" s="24" t="str">
        <f t="shared" si="5"/>
        <v/>
      </c>
      <c r="Y42" s="24" t="str">
        <f t="shared" si="6"/>
        <v>MISSING_STATUS; CATEGORY_NOT_USEFUL</v>
      </c>
    </row>
    <row r="43" spans="1:25" x14ac:dyDescent="0.3">
      <c r="A43" s="24" t="str">
        <f t="shared" si="0"/>
        <v>SU-576#0042</v>
      </c>
      <c r="B43" s="24" t="str">
        <f>IF('query (2)'!B43="","",TRIM(UPPER('query (2)'!B43)))</f>
        <v>SU-576</v>
      </c>
      <c r="C43" s="25" t="str">
        <f>IF('query (2)'!B43="","",'query (2)'!B43)</f>
        <v>SU-576</v>
      </c>
      <c r="D43" s="24" t="str">
        <f t="shared" si="1"/>
        <v>SU</v>
      </c>
      <c r="E43" s="24">
        <f t="shared" si="2"/>
        <v>1</v>
      </c>
      <c r="F43" s="24">
        <f>IF('query (2)'!A43="","",IFERROR(VALUE('query (2)'!A43),""))</f>
        <v>42</v>
      </c>
      <c r="G43" s="24" t="str">
        <f>IF('query (2)'!C43="","UNKNOWN",IFERROR(INDEX(Cleaning_Rules!$B$15:$B$20,MATCH(TRIM(UPPER('query (2)'!C43)),Cleaning_Rules!$A$15:$A$20,0)),"UNKNOWN"))</f>
        <v>FACTORY3</v>
      </c>
      <c r="H43" s="25" t="str">
        <f>IF('query (2)'!C43="","",'query (2)'!C43)</f>
        <v>FACTORY3</v>
      </c>
      <c r="I43" s="24" t="str" cm="1">
        <f t="array" ref="I43">_xlfn.IFS($G43="UNKNOWN","UNKNOWN",OR($G43="FACTORY1",$G43="FACTORY2",$G43="FACTORY3"),"PLANT",TRUE,"SHARED")</f>
        <v>PLANT</v>
      </c>
      <c r="J43" s="24" t="str">
        <f>IF('query (2)'!D43="","UNKNOWN",IF(COUNTIF(Cleaning_Rules!$A$6:$A$11,TRIM('query (2)'!D43))&gt;0,"UNKNOWN",IFERROR(INDEX(Cleaning_Rules!$B$24:$B$28,MATCH(TRIM(UPPER('query (2)'!D43)),Cleaning_Rules!$A$24:$A$28,0)),TRIM(UPPER('query (2)'!D43)))))</f>
        <v>KWD5</v>
      </c>
      <c r="K43" s="25" t="str">
        <f>IF('query (2)'!D43="","",'query (2)'!D43)</f>
        <v>KWD5</v>
      </c>
      <c r="L43" s="24" t="str">
        <f>IF($J43="UNKNOWN","",_xlfn.TEXTBEFORE($J43,{"0","1","2","3","4","5","6","7","8","9"," ","-","."},1,,,$J43))</f>
        <v>KWD</v>
      </c>
      <c r="M43" s="24" t="str">
        <f>IF('query (2)'!I43&lt;&gt;"",TRIM(UPPER('query (2)'!I43)),IF($L43="","UNKNOWN",$L43))</f>
        <v>KWD</v>
      </c>
      <c r="N43" s="24" t="str">
        <f>IF('query (2)'!I43&lt;&gt;"","SOURCE",IF($L43="","UNKNOWN","DERIVED"))</f>
        <v>SOURCE</v>
      </c>
      <c r="O43" s="24" t="str">
        <f>IF('query (2)'!E43="","NOT_SPECIFIED",TRIM(UPPER('query (2)'!E43)))</f>
        <v>GRINDING 2</v>
      </c>
      <c r="P43" s="24" t="str">
        <f>IF('query (2)'!F43="","",TRIM(UPPER('query (2)'!F43)))</f>
        <v>1015-KW5G</v>
      </c>
      <c r="Q43" s="24" t="str">
        <f>IF('query (2)'!G43="","UNKNOWN",IFERROR(INDEX(Cleaning_Rules!$B$38:$B$46,MATCH(TRIM(UPPER('query (2)'!G43)),Cleaning_Rules!$A$38:$A$46,0)),"UNKNOWN"))</f>
        <v>OTHER</v>
      </c>
      <c r="R43" s="24" t="str">
        <f>IF('query (2)'!H43="","",TRIM(UPPER('query (2)'!H43)))</f>
        <v>INNER RING AUTO SUPPLY PART MACHINE</v>
      </c>
      <c r="S43" s="25" t="str">
        <f>IF('query (2)'!H43="","",'query (2)'!H43)</f>
        <v>Inner ring auto supply part machine</v>
      </c>
      <c r="T43" s="24" t="str">
        <f>IF('query (2)'!J43="","",TRIM(UPPER('query (2)'!J43)))</f>
        <v>B - AUTO SUPPLY PART</v>
      </c>
      <c r="U43" s="24" t="str">
        <f t="shared" si="3"/>
        <v/>
      </c>
      <c r="V43" s="24" t="str">
        <f>IF('query (2)'!K43="","NOT_SPECIFIED",IFERROR(INDEX(Cleaning_Rules!$B$32:$B$34,MATCH(TRIM(UPPER('query (2)'!K43)),Cleaning_Rules!$A$32:$A$34,0)),"UNKNOWN"))</f>
        <v>NOT_SPECIFIED</v>
      </c>
      <c r="W43" s="24" t="str">
        <f t="shared" si="4"/>
        <v>SU-576 | FACTORY3 | KWD5 | KWD | GRINDING 2 | 1015-KW5G | OTHER | INNER RING AUTO SUPPLY PART MACHINE | B - AUTO SUPPLY PART | NOT_SPECIFIED</v>
      </c>
      <c r="X43" s="24" t="str">
        <f t="shared" si="5"/>
        <v/>
      </c>
      <c r="Y43" s="24" t="str">
        <f t="shared" si="6"/>
        <v>MISSING_STATUS; CATEGORY_NOT_USEFUL</v>
      </c>
    </row>
    <row r="44" spans="1:25" x14ac:dyDescent="0.3">
      <c r="A44" s="24" t="str">
        <f t="shared" si="0"/>
        <v>SU-714#0043</v>
      </c>
      <c r="B44" s="24" t="str">
        <f>IF('query (2)'!B44="","",TRIM(UPPER('query (2)'!B44)))</f>
        <v>SU-714</v>
      </c>
      <c r="C44" s="25" t="str">
        <f>IF('query (2)'!B44="","",'query (2)'!B44)</f>
        <v>SU-714</v>
      </c>
      <c r="D44" s="24" t="str">
        <f t="shared" si="1"/>
        <v>SU</v>
      </c>
      <c r="E44" s="24">
        <f t="shared" si="2"/>
        <v>1</v>
      </c>
      <c r="F44" s="24">
        <f>IF('query (2)'!A44="","",IFERROR(VALUE('query (2)'!A44),""))</f>
        <v>43</v>
      </c>
      <c r="G44" s="24" t="str">
        <f>IF('query (2)'!C44="","UNKNOWN",IFERROR(INDEX(Cleaning_Rules!$B$15:$B$20,MATCH(TRIM(UPPER('query (2)'!C44)),Cleaning_Rules!$A$15:$A$20,0)),"UNKNOWN"))</f>
        <v>FACTORY3</v>
      </c>
      <c r="H44" s="25" t="str">
        <f>IF('query (2)'!C44="","",'query (2)'!C44)</f>
        <v>FACTORY3</v>
      </c>
      <c r="I44" s="24" t="str" cm="1">
        <f t="array" ref="I44">_xlfn.IFS($G44="UNKNOWN","UNKNOWN",OR($G44="FACTORY1",$G44="FACTORY2",$G44="FACTORY3"),"PLANT",TRUE,"SHARED")</f>
        <v>PLANT</v>
      </c>
      <c r="J44" s="24" t="str">
        <f>IF('query (2)'!D44="","UNKNOWN",IF(COUNTIF(Cleaning_Rules!$A$6:$A$11,TRIM('query (2)'!D44))&gt;0,"UNKNOWN",IFERROR(INDEX(Cleaning_Rules!$B$24:$B$28,MATCH(TRIM(UPPER('query (2)'!D44)),Cleaning_Rules!$A$24:$A$28,0)),TRIM(UPPER('query (2)'!D44)))))</f>
        <v>KWD6</v>
      </c>
      <c r="K44" s="25" t="str">
        <f>IF('query (2)'!D44="","",'query (2)'!D44)</f>
        <v>KWD6</v>
      </c>
      <c r="L44" s="24" t="str">
        <f>IF($J44="UNKNOWN","",_xlfn.TEXTBEFORE($J44,{"0","1","2","3","4","5","6","7","8","9"," ","-","."},1,,,$J44))</f>
        <v>KWD</v>
      </c>
      <c r="M44" s="24" t="str">
        <f>IF('query (2)'!I44&lt;&gt;"",TRIM(UPPER('query (2)'!I44)),IF($L44="","UNKNOWN",$L44))</f>
        <v>KWD</v>
      </c>
      <c r="N44" s="24" t="str">
        <f>IF('query (2)'!I44&lt;&gt;"","SOURCE",IF($L44="","UNKNOWN","DERIVED"))</f>
        <v>SOURCE</v>
      </c>
      <c r="O44" s="24" t="str">
        <f>IF('query (2)'!E44="","NOT_SPECIFIED",TRIM(UPPER('query (2)'!E44)))</f>
        <v>GRINDING 2</v>
      </c>
      <c r="P44" s="24" t="str">
        <f>IF('query (2)'!F44="","",TRIM(UPPER('query (2)'!F44)))</f>
        <v xml:space="preserve">1018-KW6G
</v>
      </c>
      <c r="Q44" s="24" t="str">
        <f>IF('query (2)'!G44="","UNKNOWN",IFERROR(INDEX(Cleaning_Rules!$B$38:$B$46,MATCH(TRIM(UPPER('query (2)'!G44)),Cleaning_Rules!$A$38:$A$46,0)),"UNKNOWN"))</f>
        <v>OTHER</v>
      </c>
      <c r="R44" s="24" t="str">
        <f>IF('query (2)'!H44="","",TRIM(UPPER('query (2)'!H44)))</f>
        <v>INNER RING AUTO SUPPLY PART MACHINE</v>
      </c>
      <c r="S44" s="25" t="str">
        <f>IF('query (2)'!H44="","",'query (2)'!H44)</f>
        <v>Inner ring auto supply part machine</v>
      </c>
      <c r="T44" s="24" t="str">
        <f>IF('query (2)'!J44="","",TRIM(UPPER('query (2)'!J44)))</f>
        <v>B - AUTO SUPPLY PART</v>
      </c>
      <c r="U44" s="24" t="str">
        <f t="shared" si="3"/>
        <v/>
      </c>
      <c r="V44" s="24" t="str">
        <f>IF('query (2)'!K44="","NOT_SPECIFIED",IFERROR(INDEX(Cleaning_Rules!$B$32:$B$34,MATCH(TRIM(UPPER('query (2)'!K44)),Cleaning_Rules!$A$32:$A$34,0)),"UNKNOWN"))</f>
        <v>NOT_SPECIFIED</v>
      </c>
      <c r="W44" s="24" t="str">
        <f t="shared" si="4"/>
        <v>SU-714 | FACTORY3 | KWD6 | KWD | GRINDING 2 | 1018-KW6G
 | OTHER | INNER RING AUTO SUPPLY PART MACHINE | B - AUTO SUPPLY PART | NOT_SPECIFIED</v>
      </c>
      <c r="X44" s="24" t="str">
        <f t="shared" si="5"/>
        <v/>
      </c>
      <c r="Y44" s="24" t="str">
        <f t="shared" si="6"/>
        <v>MISSING_STATUS; CATEGORY_NOT_USEFUL</v>
      </c>
    </row>
    <row r="45" spans="1:25" x14ac:dyDescent="0.3">
      <c r="A45" s="24" t="str">
        <f t="shared" si="0"/>
        <v>SU-853#0044</v>
      </c>
      <c r="B45" s="24" t="str">
        <f>IF('query (2)'!B45="","",TRIM(UPPER('query (2)'!B45)))</f>
        <v>SU-853</v>
      </c>
      <c r="C45" s="25" t="str">
        <f>IF('query (2)'!B45="","",'query (2)'!B45)</f>
        <v>SU-853</v>
      </c>
      <c r="D45" s="24" t="str">
        <f t="shared" si="1"/>
        <v>SU</v>
      </c>
      <c r="E45" s="24">
        <f t="shared" si="2"/>
        <v>1</v>
      </c>
      <c r="F45" s="24">
        <f>IF('query (2)'!A45="","",IFERROR(VALUE('query (2)'!A45),""))</f>
        <v>44</v>
      </c>
      <c r="G45" s="24" t="str">
        <f>IF('query (2)'!C45="","UNKNOWN",IFERROR(INDEX(Cleaning_Rules!$B$15:$B$20,MATCH(TRIM(UPPER('query (2)'!C45)),Cleaning_Rules!$A$15:$A$20,0)),"UNKNOWN"))</f>
        <v>FACTORY3</v>
      </c>
      <c r="H45" s="25" t="str">
        <f>IF('query (2)'!C45="","",'query (2)'!C45)</f>
        <v>FACTORY3</v>
      </c>
      <c r="I45" s="24" t="str" cm="1">
        <f t="array" ref="I45">_xlfn.IFS($G45="UNKNOWN","UNKNOWN",OR($G45="FACTORY1",$G45="FACTORY2",$G45="FACTORY3"),"PLANT",TRUE,"SHARED")</f>
        <v>PLANT</v>
      </c>
      <c r="J45" s="24" t="str">
        <f>IF('query (2)'!D45="","UNKNOWN",IF(COUNTIF(Cleaning_Rules!$A$6:$A$11,TRIM('query (2)'!D45))&gt;0,"UNKNOWN",IFERROR(INDEX(Cleaning_Rules!$B$24:$B$28,MATCH(TRIM(UPPER('query (2)'!D45)),Cleaning_Rules!$A$24:$A$28,0)),TRIM(UPPER('query (2)'!D45)))))</f>
        <v>KWD7</v>
      </c>
      <c r="K45" s="25" t="str">
        <f>IF('query (2)'!D45="","",'query (2)'!D45)</f>
        <v>KWD7</v>
      </c>
      <c r="L45" s="24" t="str">
        <f>IF($J45="UNKNOWN","",_xlfn.TEXTBEFORE($J45,{"0","1","2","3","4","5","6","7","8","9"," ","-","."},1,,,$J45))</f>
        <v>KWD</v>
      </c>
      <c r="M45" s="24" t="str">
        <f>IF('query (2)'!I45&lt;&gt;"",TRIM(UPPER('query (2)'!I45)),IF($L45="","UNKNOWN",$L45))</f>
        <v>KWD</v>
      </c>
      <c r="N45" s="24" t="str">
        <f>IF('query (2)'!I45&lt;&gt;"","SOURCE",IF($L45="","UNKNOWN","DERIVED"))</f>
        <v>SOURCE</v>
      </c>
      <c r="O45" s="24" t="str">
        <f>IF('query (2)'!E45="","NOT_SPECIFIED",TRIM(UPPER('query (2)'!E45)))</f>
        <v>GRINDING 2</v>
      </c>
      <c r="P45" s="24" t="str">
        <f>IF('query (2)'!F45="","",TRIM(UPPER('query (2)'!F45)))</f>
        <v>1024-KW7G</v>
      </c>
      <c r="Q45" s="24" t="str">
        <f>IF('query (2)'!G45="","UNKNOWN",IFERROR(INDEX(Cleaning_Rules!$B$38:$B$46,MATCH(TRIM(UPPER('query (2)'!G45)),Cleaning_Rules!$A$38:$A$46,0)),"UNKNOWN"))</f>
        <v>OTHER</v>
      </c>
      <c r="R45" s="24" t="str">
        <f>IF('query (2)'!H45="","",TRIM(UPPER('query (2)'!H45)))</f>
        <v>INNER RING AUTO SUPPLY PART MACHINE</v>
      </c>
      <c r="S45" s="25" t="str">
        <f>IF('query (2)'!H45="","",'query (2)'!H45)</f>
        <v>Inner ring auto supply part machine</v>
      </c>
      <c r="T45" s="24" t="str">
        <f>IF('query (2)'!J45="","",TRIM(UPPER('query (2)'!J45)))</f>
        <v>B - AUTO SUPPLY PART</v>
      </c>
      <c r="U45" s="24" t="str">
        <f t="shared" si="3"/>
        <v/>
      </c>
      <c r="V45" s="24" t="str">
        <f>IF('query (2)'!K45="","NOT_SPECIFIED",IFERROR(INDEX(Cleaning_Rules!$B$32:$B$34,MATCH(TRIM(UPPER('query (2)'!K45)),Cleaning_Rules!$A$32:$A$34,0)),"UNKNOWN"))</f>
        <v>NOT_SPECIFIED</v>
      </c>
      <c r="W45" s="24" t="str">
        <f t="shared" si="4"/>
        <v>SU-853 | FACTORY3 | KWD7 | KWD | GRINDING 2 | 1024-KW7G | OTHER | INNER RING AUTO SUPPLY PART MACHINE | B - AUTO SUPPLY PART | NOT_SPECIFIED</v>
      </c>
      <c r="X45" s="24" t="str">
        <f t="shared" si="5"/>
        <v/>
      </c>
      <c r="Y45" s="24" t="str">
        <f t="shared" si="6"/>
        <v>MISSING_STATUS; CATEGORY_NOT_USEFUL</v>
      </c>
    </row>
    <row r="46" spans="1:25" x14ac:dyDescent="0.3">
      <c r="A46" s="24" t="str">
        <f t="shared" si="0"/>
        <v>GR-004#0045</v>
      </c>
      <c r="B46" s="24" t="str">
        <f>IF('query (2)'!B46="","",TRIM(UPPER('query (2)'!B46)))</f>
        <v>GR-004</v>
      </c>
      <c r="C46" s="25" t="str">
        <f>IF('query (2)'!B46="","",'query (2)'!B46)</f>
        <v>GR-004</v>
      </c>
      <c r="D46" s="24" t="str">
        <f t="shared" si="1"/>
        <v>GR</v>
      </c>
      <c r="E46" s="24">
        <f t="shared" si="2"/>
        <v>1</v>
      </c>
      <c r="F46" s="24">
        <f>IF('query (2)'!A46="","",IFERROR(VALUE('query (2)'!A46),""))</f>
        <v>45</v>
      </c>
      <c r="G46" s="24" t="str">
        <f>IF('query (2)'!C46="","UNKNOWN",IFERROR(INDEX(Cleaning_Rules!$B$15:$B$20,MATCH(TRIM(UPPER('query (2)'!C46)),Cleaning_Rules!$A$15:$A$20,0)),"UNKNOWN"))</f>
        <v>FACTORY3</v>
      </c>
      <c r="H46" s="25" t="str">
        <f>IF('query (2)'!C46="","",'query (2)'!C46)</f>
        <v>FACTORY3</v>
      </c>
      <c r="I46" s="24" t="str" cm="1">
        <f t="array" ref="I46">_xlfn.IFS($G46="UNKNOWN","UNKNOWN",OR($G46="FACTORY1",$G46="FACTORY2",$G46="FACTORY3"),"PLANT",TRUE,"SHARED")</f>
        <v>PLANT</v>
      </c>
      <c r="J46" s="24" t="str">
        <f>IF('query (2)'!D46="","UNKNOWN",IF(COUNTIF(Cleaning_Rules!$A$6:$A$11,TRIM('query (2)'!D46))&gt;0,"UNKNOWN",IFERROR(INDEX(Cleaning_Rules!$B$24:$B$28,MATCH(TRIM(UPPER('query (2)'!D46)),Cleaning_Rules!$A$24:$A$28,0)),TRIM(UPPER('query (2)'!D46)))))</f>
        <v>KWD1</v>
      </c>
      <c r="K46" s="25" t="str">
        <f>IF('query (2)'!D46="","",'query (2)'!D46)</f>
        <v>KWD1</v>
      </c>
      <c r="L46" s="24" t="str">
        <f>IF($J46="UNKNOWN","",_xlfn.TEXTBEFORE($J46,{"0","1","2","3","4","5","6","7","8","9"," ","-","."},1,,,$J46))</f>
        <v>KWD</v>
      </c>
      <c r="M46" s="24" t="str">
        <f>IF('query (2)'!I46&lt;&gt;"",TRIM(UPPER('query (2)'!I46)),IF($L46="","UNKNOWN",$L46))</f>
        <v>KWD</v>
      </c>
      <c r="N46" s="24" t="str">
        <f>IF('query (2)'!I46&lt;&gt;"","SOURCE",IF($L46="","UNKNOWN","DERIVED"))</f>
        <v>SOURCE</v>
      </c>
      <c r="O46" s="24" t="str">
        <f>IF('query (2)'!E46="","NOT_SPECIFIED",TRIM(UPPER('query (2)'!E46)))</f>
        <v>GRINDING 2</v>
      </c>
      <c r="P46" s="24" t="str">
        <f>IF('query (2)'!F46="","",TRIM(UPPER('query (2)'!F46)))</f>
        <v>1003-KW1G</v>
      </c>
      <c r="Q46" s="24" t="str">
        <f>IF('query (2)'!G46="","UNKNOWN",IFERROR(INDEX(Cleaning_Rules!$B$38:$B$46,MATCH(TRIM(UPPER('query (2)'!G46)),Cleaning_Rules!$A$38:$A$46,0)),"UNKNOWN"))</f>
        <v>GRINDING</v>
      </c>
      <c r="R46" s="24" t="str">
        <f>IF('query (2)'!H46="","",TRIM(UPPER('query (2)'!H46)))</f>
        <v>INNER RING BORE GRINDING MACHINE</v>
      </c>
      <c r="S46" s="25" t="str">
        <f>IF('query (2)'!H46="","",'query (2)'!H46)</f>
        <v>Inner ring bore grinding machine</v>
      </c>
      <c r="T46" s="24" t="str">
        <f>IF('query (2)'!J46="","",TRIM(UPPER('query (2)'!J46)))</f>
        <v>B - BORE GRINDING</v>
      </c>
      <c r="U46" s="24" t="str">
        <f t="shared" si="3"/>
        <v/>
      </c>
      <c r="V46" s="24" t="str">
        <f>IF('query (2)'!K46="","NOT_SPECIFIED",IFERROR(INDEX(Cleaning_Rules!$B$32:$B$34,MATCH(TRIM(UPPER('query (2)'!K46)),Cleaning_Rules!$A$32:$A$34,0)),"UNKNOWN"))</f>
        <v>NOT_SPECIFIED</v>
      </c>
      <c r="W46" s="24" t="str">
        <f t="shared" si="4"/>
        <v>GR-004 | FACTORY3 | KWD1 | KWD | GRINDING 2 | 1003-KW1G | GRINDING | INNER RING BORE GRINDING MACHINE | B - BORE GRINDING | NOT_SPECIFIED</v>
      </c>
      <c r="X46" s="24" t="str">
        <f t="shared" si="5"/>
        <v/>
      </c>
      <c r="Y46" s="24" t="str">
        <f t="shared" si="6"/>
        <v>MISSING_STATUS</v>
      </c>
    </row>
    <row r="47" spans="1:25" x14ac:dyDescent="0.3">
      <c r="A47" s="24" t="str">
        <f t="shared" si="0"/>
        <v>GR-254#0046</v>
      </c>
      <c r="B47" s="24" t="str">
        <f>IF('query (2)'!B47="","",TRIM(UPPER('query (2)'!B47)))</f>
        <v>GR-254</v>
      </c>
      <c r="C47" s="25" t="str">
        <f>IF('query (2)'!B47="","",'query (2)'!B47)</f>
        <v>GR-254</v>
      </c>
      <c r="D47" s="24" t="str">
        <f t="shared" si="1"/>
        <v>GR</v>
      </c>
      <c r="E47" s="24">
        <f t="shared" si="2"/>
        <v>1</v>
      </c>
      <c r="F47" s="24">
        <f>IF('query (2)'!A47="","",IFERROR(VALUE('query (2)'!A47),""))</f>
        <v>46</v>
      </c>
      <c r="G47" s="24" t="str">
        <f>IF('query (2)'!C47="","UNKNOWN",IFERROR(INDEX(Cleaning_Rules!$B$15:$B$20,MATCH(TRIM(UPPER('query (2)'!C47)),Cleaning_Rules!$A$15:$A$20,0)),"UNKNOWN"))</f>
        <v>FACTORY3</v>
      </c>
      <c r="H47" s="25" t="str">
        <f>IF('query (2)'!C47="","",'query (2)'!C47)</f>
        <v>FACTORY3</v>
      </c>
      <c r="I47" s="24" t="str" cm="1">
        <f t="array" ref="I47">_xlfn.IFS($G47="UNKNOWN","UNKNOWN",OR($G47="FACTORY1",$G47="FACTORY2",$G47="FACTORY3"),"PLANT",TRUE,"SHARED")</f>
        <v>PLANT</v>
      </c>
      <c r="J47" s="24" t="str">
        <f>IF('query (2)'!D47="","UNKNOWN",IF(COUNTIF(Cleaning_Rules!$A$6:$A$11,TRIM('query (2)'!D47))&gt;0,"UNKNOWN",IFERROR(INDEX(Cleaning_Rules!$B$24:$B$28,MATCH(TRIM(UPPER('query (2)'!D47)),Cleaning_Rules!$A$24:$A$28,0)),TRIM(UPPER('query (2)'!D47)))))</f>
        <v>KWD2</v>
      </c>
      <c r="K47" s="25" t="str">
        <f>IF('query (2)'!D47="","",'query (2)'!D47)</f>
        <v>KWD2</v>
      </c>
      <c r="L47" s="24" t="str">
        <f>IF($J47="UNKNOWN","",_xlfn.TEXTBEFORE($J47,{"0","1","2","3","4","5","6","7","8","9"," ","-","."},1,,,$J47))</f>
        <v>KWD</v>
      </c>
      <c r="M47" s="24" t="str">
        <f>IF('query (2)'!I47&lt;&gt;"",TRIM(UPPER('query (2)'!I47)),IF($L47="","UNKNOWN",$L47))</f>
        <v>KWD</v>
      </c>
      <c r="N47" s="24" t="str">
        <f>IF('query (2)'!I47&lt;&gt;"","SOURCE",IF($L47="","UNKNOWN","DERIVED"))</f>
        <v>SOURCE</v>
      </c>
      <c r="O47" s="24" t="str">
        <f>IF('query (2)'!E47="","NOT_SPECIFIED",TRIM(UPPER('query (2)'!E47)))</f>
        <v>GRINDING 2</v>
      </c>
      <c r="P47" s="24" t="str">
        <f>IF('query (2)'!F47="","",TRIM(UPPER('query (2)'!F47)))</f>
        <v>1006-KW2G</v>
      </c>
      <c r="Q47" s="24" t="str">
        <f>IF('query (2)'!G47="","UNKNOWN",IFERROR(INDEX(Cleaning_Rules!$B$38:$B$46,MATCH(TRIM(UPPER('query (2)'!G47)),Cleaning_Rules!$A$38:$A$46,0)),"UNKNOWN"))</f>
        <v>GRINDING</v>
      </c>
      <c r="R47" s="24" t="str">
        <f>IF('query (2)'!H47="","",TRIM(UPPER('query (2)'!H47)))</f>
        <v>INNER RING BORE GRINDING MACHINE</v>
      </c>
      <c r="S47" s="25" t="str">
        <f>IF('query (2)'!H47="","",'query (2)'!H47)</f>
        <v>Inner ring bore grinding machine</v>
      </c>
      <c r="T47" s="24" t="str">
        <f>IF('query (2)'!J47="","",TRIM(UPPER('query (2)'!J47)))</f>
        <v>B - BORE GRINDING</v>
      </c>
      <c r="U47" s="24" t="str">
        <f t="shared" si="3"/>
        <v/>
      </c>
      <c r="V47" s="24" t="str">
        <f>IF('query (2)'!K47="","NOT_SPECIFIED",IFERROR(INDEX(Cleaning_Rules!$B$32:$B$34,MATCH(TRIM(UPPER('query (2)'!K47)),Cleaning_Rules!$A$32:$A$34,0)),"UNKNOWN"))</f>
        <v>NOT_SPECIFIED</v>
      </c>
      <c r="W47" s="24" t="str">
        <f t="shared" si="4"/>
        <v>GR-254 | FACTORY3 | KWD2 | KWD | GRINDING 2 | 1006-KW2G | GRINDING | INNER RING BORE GRINDING MACHINE | B - BORE GRINDING | NOT_SPECIFIED</v>
      </c>
      <c r="X47" s="24" t="str">
        <f t="shared" si="5"/>
        <v/>
      </c>
      <c r="Y47" s="24" t="str">
        <f t="shared" si="6"/>
        <v>MISSING_STATUS</v>
      </c>
    </row>
    <row r="48" spans="1:25" x14ac:dyDescent="0.3">
      <c r="A48" s="24" t="str">
        <f t="shared" si="0"/>
        <v>GR-462#0047</v>
      </c>
      <c r="B48" s="24" t="str">
        <f>IF('query (2)'!B48="","",TRIM(UPPER('query (2)'!B48)))</f>
        <v>GR-462</v>
      </c>
      <c r="C48" s="25" t="str">
        <f>IF('query (2)'!B48="","",'query (2)'!B48)</f>
        <v>GR-462</v>
      </c>
      <c r="D48" s="24" t="str">
        <f t="shared" si="1"/>
        <v>GR</v>
      </c>
      <c r="E48" s="24">
        <f t="shared" si="2"/>
        <v>1</v>
      </c>
      <c r="F48" s="24">
        <f>IF('query (2)'!A48="","",IFERROR(VALUE('query (2)'!A48),""))</f>
        <v>47</v>
      </c>
      <c r="G48" s="24" t="str">
        <f>IF('query (2)'!C48="","UNKNOWN",IFERROR(INDEX(Cleaning_Rules!$B$15:$B$20,MATCH(TRIM(UPPER('query (2)'!C48)),Cleaning_Rules!$A$15:$A$20,0)),"UNKNOWN"))</f>
        <v>FACTORY3</v>
      </c>
      <c r="H48" s="25" t="str">
        <f>IF('query (2)'!C48="","",'query (2)'!C48)</f>
        <v>FACTORY3</v>
      </c>
      <c r="I48" s="24" t="str" cm="1">
        <f t="array" ref="I48">_xlfn.IFS($G48="UNKNOWN","UNKNOWN",OR($G48="FACTORY1",$G48="FACTORY2",$G48="FACTORY3"),"PLANT",TRUE,"SHARED")</f>
        <v>PLANT</v>
      </c>
      <c r="J48" s="24" t="str">
        <f>IF('query (2)'!D48="","UNKNOWN",IF(COUNTIF(Cleaning_Rules!$A$6:$A$11,TRIM('query (2)'!D48))&gt;0,"UNKNOWN",IFERROR(INDEX(Cleaning_Rules!$B$24:$B$28,MATCH(TRIM(UPPER('query (2)'!D48)),Cleaning_Rules!$A$24:$A$28,0)),TRIM(UPPER('query (2)'!D48)))))</f>
        <v>KWD4</v>
      </c>
      <c r="K48" s="25" t="str">
        <f>IF('query (2)'!D48="","",'query (2)'!D48)</f>
        <v>KWD4</v>
      </c>
      <c r="L48" s="24" t="str">
        <f>IF($J48="UNKNOWN","",_xlfn.TEXTBEFORE($J48,{"0","1","2","3","4","5","6","7","8","9"," ","-","."},1,,,$J48))</f>
        <v>KWD</v>
      </c>
      <c r="M48" s="24" t="str">
        <f>IF('query (2)'!I48&lt;&gt;"",TRIM(UPPER('query (2)'!I48)),IF($L48="","UNKNOWN",$L48))</f>
        <v>KWD</v>
      </c>
      <c r="N48" s="24" t="str">
        <f>IF('query (2)'!I48&lt;&gt;"","SOURCE",IF($L48="","UNKNOWN","DERIVED"))</f>
        <v>SOURCE</v>
      </c>
      <c r="O48" s="24" t="str">
        <f>IF('query (2)'!E48="","NOT_SPECIFIED",TRIM(UPPER('query (2)'!E48)))</f>
        <v>GRINDING 2</v>
      </c>
      <c r="P48" s="24" t="str">
        <f>IF('query (2)'!F48="","",TRIM(UPPER('query (2)'!F48)))</f>
        <v>1012-KW4G</v>
      </c>
      <c r="Q48" s="24" t="str">
        <f>IF('query (2)'!G48="","UNKNOWN",IFERROR(INDEX(Cleaning_Rules!$B$38:$B$46,MATCH(TRIM(UPPER('query (2)'!G48)),Cleaning_Rules!$A$38:$A$46,0)),"UNKNOWN"))</f>
        <v>GRINDING</v>
      </c>
      <c r="R48" s="24" t="str">
        <f>IF('query (2)'!H48="","",TRIM(UPPER('query (2)'!H48)))</f>
        <v>INNER RING BORE GRINDING MACHINE</v>
      </c>
      <c r="S48" s="25" t="str">
        <f>IF('query (2)'!H48="","",'query (2)'!H48)</f>
        <v>Inner ring bore grinding machine</v>
      </c>
      <c r="T48" s="24" t="str">
        <f>IF('query (2)'!J48="","",TRIM(UPPER('query (2)'!J48)))</f>
        <v>B - BORE GRINDING</v>
      </c>
      <c r="U48" s="24" t="str">
        <f t="shared" si="3"/>
        <v/>
      </c>
      <c r="V48" s="24" t="str">
        <f>IF('query (2)'!K48="","NOT_SPECIFIED",IFERROR(INDEX(Cleaning_Rules!$B$32:$B$34,MATCH(TRIM(UPPER('query (2)'!K48)),Cleaning_Rules!$A$32:$A$34,0)),"UNKNOWN"))</f>
        <v>NOT_SPECIFIED</v>
      </c>
      <c r="W48" s="24" t="str">
        <f t="shared" si="4"/>
        <v>GR-462 | FACTORY3 | KWD4 | KWD | GRINDING 2 | 1012-KW4G | GRINDING | INNER RING BORE GRINDING MACHINE | B - BORE GRINDING | NOT_SPECIFIED</v>
      </c>
      <c r="X48" s="24" t="str">
        <f t="shared" si="5"/>
        <v/>
      </c>
      <c r="Y48" s="24" t="str">
        <f t="shared" si="6"/>
        <v>MISSING_STATUS</v>
      </c>
    </row>
    <row r="49" spans="1:25" x14ac:dyDescent="0.3">
      <c r="A49" s="24" t="str">
        <f t="shared" si="0"/>
        <v>GR-579#0048</v>
      </c>
      <c r="B49" s="24" t="str">
        <f>IF('query (2)'!B49="","",TRIM(UPPER('query (2)'!B49)))</f>
        <v>GR-579</v>
      </c>
      <c r="C49" s="25" t="str">
        <f>IF('query (2)'!B49="","",'query (2)'!B49)</f>
        <v>GR-579</v>
      </c>
      <c r="D49" s="24" t="str">
        <f t="shared" si="1"/>
        <v>GR</v>
      </c>
      <c r="E49" s="24">
        <f t="shared" si="2"/>
        <v>1</v>
      </c>
      <c r="F49" s="24">
        <f>IF('query (2)'!A49="","",IFERROR(VALUE('query (2)'!A49),""))</f>
        <v>48</v>
      </c>
      <c r="G49" s="24" t="str">
        <f>IF('query (2)'!C49="","UNKNOWN",IFERROR(INDEX(Cleaning_Rules!$B$15:$B$20,MATCH(TRIM(UPPER('query (2)'!C49)),Cleaning_Rules!$A$15:$A$20,0)),"UNKNOWN"))</f>
        <v>FACTORY3</v>
      </c>
      <c r="H49" s="25" t="str">
        <f>IF('query (2)'!C49="","",'query (2)'!C49)</f>
        <v>FACTORY3</v>
      </c>
      <c r="I49" s="24" t="str" cm="1">
        <f t="array" ref="I49">_xlfn.IFS($G49="UNKNOWN","UNKNOWN",OR($G49="FACTORY1",$G49="FACTORY2",$G49="FACTORY3"),"PLANT",TRUE,"SHARED")</f>
        <v>PLANT</v>
      </c>
      <c r="J49" s="24" t="str">
        <f>IF('query (2)'!D49="","UNKNOWN",IF(COUNTIF(Cleaning_Rules!$A$6:$A$11,TRIM('query (2)'!D49))&gt;0,"UNKNOWN",IFERROR(INDEX(Cleaning_Rules!$B$24:$B$28,MATCH(TRIM(UPPER('query (2)'!D49)),Cleaning_Rules!$A$24:$A$28,0)),TRIM(UPPER('query (2)'!D49)))))</f>
        <v>KWD5</v>
      </c>
      <c r="K49" s="25" t="str">
        <f>IF('query (2)'!D49="","",'query (2)'!D49)</f>
        <v>KWD5</v>
      </c>
      <c r="L49" s="24" t="str">
        <f>IF($J49="UNKNOWN","",_xlfn.TEXTBEFORE($J49,{"0","1","2","3","4","5","6","7","8","9"," ","-","."},1,,,$J49))</f>
        <v>KWD</v>
      </c>
      <c r="M49" s="24" t="str">
        <f>IF('query (2)'!I49&lt;&gt;"",TRIM(UPPER('query (2)'!I49)),IF($L49="","UNKNOWN",$L49))</f>
        <v>KWD</v>
      </c>
      <c r="N49" s="24" t="str">
        <f>IF('query (2)'!I49&lt;&gt;"","SOURCE",IF($L49="","UNKNOWN","DERIVED"))</f>
        <v>SOURCE</v>
      </c>
      <c r="O49" s="24" t="str">
        <f>IF('query (2)'!E49="","NOT_SPECIFIED",TRIM(UPPER('query (2)'!E49)))</f>
        <v>GRINDING 2</v>
      </c>
      <c r="P49" s="24" t="str">
        <f>IF('query (2)'!F49="","",TRIM(UPPER('query (2)'!F49)))</f>
        <v>1015-KW5G</v>
      </c>
      <c r="Q49" s="24" t="str">
        <f>IF('query (2)'!G49="","UNKNOWN",IFERROR(INDEX(Cleaning_Rules!$B$38:$B$46,MATCH(TRIM(UPPER('query (2)'!G49)),Cleaning_Rules!$A$38:$A$46,0)),"UNKNOWN"))</f>
        <v>GRINDING</v>
      </c>
      <c r="R49" s="24" t="str">
        <f>IF('query (2)'!H49="","",TRIM(UPPER('query (2)'!H49)))</f>
        <v>INNER RING BORE GRINDING MACHINE</v>
      </c>
      <c r="S49" s="25" t="str">
        <f>IF('query (2)'!H49="","",'query (2)'!H49)</f>
        <v>Inner ring bore grinding machine</v>
      </c>
      <c r="T49" s="24" t="str">
        <f>IF('query (2)'!J49="","",TRIM(UPPER('query (2)'!J49)))</f>
        <v>B - BORE GRINDING</v>
      </c>
      <c r="U49" s="24" t="str">
        <f t="shared" si="3"/>
        <v/>
      </c>
      <c r="V49" s="24" t="str">
        <f>IF('query (2)'!K49="","NOT_SPECIFIED",IFERROR(INDEX(Cleaning_Rules!$B$32:$B$34,MATCH(TRIM(UPPER('query (2)'!K49)),Cleaning_Rules!$A$32:$A$34,0)),"UNKNOWN"))</f>
        <v>NOT_SPECIFIED</v>
      </c>
      <c r="W49" s="24" t="str">
        <f t="shared" si="4"/>
        <v>GR-579 | FACTORY3 | KWD5 | KWD | GRINDING 2 | 1015-KW5G | GRINDING | INNER RING BORE GRINDING MACHINE | B - BORE GRINDING | NOT_SPECIFIED</v>
      </c>
      <c r="X49" s="24" t="str">
        <f t="shared" si="5"/>
        <v/>
      </c>
      <c r="Y49" s="24" t="str">
        <f t="shared" si="6"/>
        <v>MISSING_STATUS</v>
      </c>
    </row>
    <row r="50" spans="1:25" x14ac:dyDescent="0.3">
      <c r="A50" s="24" t="str">
        <f t="shared" si="0"/>
        <v>GR-691#0049</v>
      </c>
      <c r="B50" s="24" t="str">
        <f>IF('query (2)'!B50="","",TRIM(UPPER('query (2)'!B50)))</f>
        <v>GR-691</v>
      </c>
      <c r="C50" s="25" t="str">
        <f>IF('query (2)'!B50="","",'query (2)'!B50)</f>
        <v>GR-691</v>
      </c>
      <c r="D50" s="24" t="str">
        <f t="shared" si="1"/>
        <v>GR</v>
      </c>
      <c r="E50" s="24">
        <f t="shared" si="2"/>
        <v>1</v>
      </c>
      <c r="F50" s="24">
        <f>IF('query (2)'!A50="","",IFERROR(VALUE('query (2)'!A50),""))</f>
        <v>49</v>
      </c>
      <c r="G50" s="24" t="str">
        <f>IF('query (2)'!C50="","UNKNOWN",IFERROR(INDEX(Cleaning_Rules!$B$15:$B$20,MATCH(TRIM(UPPER('query (2)'!C50)),Cleaning_Rules!$A$15:$A$20,0)),"UNKNOWN"))</f>
        <v>FACTORY3</v>
      </c>
      <c r="H50" s="25" t="str">
        <f>IF('query (2)'!C50="","",'query (2)'!C50)</f>
        <v>FACTORY3</v>
      </c>
      <c r="I50" s="24" t="str" cm="1">
        <f t="array" ref="I50">_xlfn.IFS($G50="UNKNOWN","UNKNOWN",OR($G50="FACTORY1",$G50="FACTORY2",$G50="FACTORY3"),"PLANT",TRUE,"SHARED")</f>
        <v>PLANT</v>
      </c>
      <c r="J50" s="24" t="str">
        <f>IF('query (2)'!D50="","UNKNOWN",IF(COUNTIF(Cleaning_Rules!$A$6:$A$11,TRIM('query (2)'!D50))&gt;0,"UNKNOWN",IFERROR(INDEX(Cleaning_Rules!$B$24:$B$28,MATCH(TRIM(UPPER('query (2)'!D50)),Cleaning_Rules!$A$24:$A$28,0)),TRIM(UPPER('query (2)'!D50)))))</f>
        <v>KWD6</v>
      </c>
      <c r="K50" s="25" t="str">
        <f>IF('query (2)'!D50="","",'query (2)'!D50)</f>
        <v>KWD6</v>
      </c>
      <c r="L50" s="24" t="str">
        <f>IF($J50="UNKNOWN","",_xlfn.TEXTBEFORE($J50,{"0","1","2","3","4","5","6","7","8","9"," ","-","."},1,,,$J50))</f>
        <v>KWD</v>
      </c>
      <c r="M50" s="24" t="str">
        <f>IF('query (2)'!I50&lt;&gt;"",TRIM(UPPER('query (2)'!I50)),IF($L50="","UNKNOWN",$L50))</f>
        <v>KWD</v>
      </c>
      <c r="N50" s="24" t="str">
        <f>IF('query (2)'!I50&lt;&gt;"","SOURCE",IF($L50="","UNKNOWN","DERIVED"))</f>
        <v>SOURCE</v>
      </c>
      <c r="O50" s="24" t="str">
        <f>IF('query (2)'!E50="","NOT_SPECIFIED",TRIM(UPPER('query (2)'!E50)))</f>
        <v>GRINDING 2</v>
      </c>
      <c r="P50" s="24" t="str">
        <f>IF('query (2)'!F50="","",TRIM(UPPER('query (2)'!F50)))</f>
        <v xml:space="preserve">1018-KW6G
</v>
      </c>
      <c r="Q50" s="24" t="str">
        <f>IF('query (2)'!G50="","UNKNOWN",IFERROR(INDEX(Cleaning_Rules!$B$38:$B$46,MATCH(TRIM(UPPER('query (2)'!G50)),Cleaning_Rules!$A$38:$A$46,0)),"UNKNOWN"))</f>
        <v>GRINDING</v>
      </c>
      <c r="R50" s="24" t="str">
        <f>IF('query (2)'!H50="","",TRIM(UPPER('query (2)'!H50)))</f>
        <v>INNER RING BORE GRINDING MACHINE</v>
      </c>
      <c r="S50" s="25" t="str">
        <f>IF('query (2)'!H50="","",'query (2)'!H50)</f>
        <v>Inner ring bore grinding machine</v>
      </c>
      <c r="T50" s="24" t="str">
        <f>IF('query (2)'!J50="","",TRIM(UPPER('query (2)'!J50)))</f>
        <v>B - BORE GRINDING</v>
      </c>
      <c r="U50" s="24" t="str">
        <f t="shared" si="3"/>
        <v/>
      </c>
      <c r="V50" s="24" t="str">
        <f>IF('query (2)'!K50="","NOT_SPECIFIED",IFERROR(INDEX(Cleaning_Rules!$B$32:$B$34,MATCH(TRIM(UPPER('query (2)'!K50)),Cleaning_Rules!$A$32:$A$34,0)),"UNKNOWN"))</f>
        <v>NOT_SPECIFIED</v>
      </c>
      <c r="W50" s="24" t="str">
        <f t="shared" si="4"/>
        <v>GR-691 | FACTORY3 | KWD6 | KWD | GRINDING 2 | 1018-KW6G
 | GRINDING | INNER RING BORE GRINDING MACHINE | B - BORE GRINDING | NOT_SPECIFIED</v>
      </c>
      <c r="X50" s="24" t="str">
        <f t="shared" si="5"/>
        <v/>
      </c>
      <c r="Y50" s="24" t="str">
        <f t="shared" si="6"/>
        <v>MISSING_STATUS</v>
      </c>
    </row>
    <row r="51" spans="1:25" x14ac:dyDescent="0.3">
      <c r="A51" s="24" t="str">
        <f t="shared" si="0"/>
        <v>GR-828#0050</v>
      </c>
      <c r="B51" s="24" t="str">
        <f>IF('query (2)'!B51="","",TRIM(UPPER('query (2)'!B51)))</f>
        <v>GR-828</v>
      </c>
      <c r="C51" s="25" t="str">
        <f>IF('query (2)'!B51="","",'query (2)'!B51)</f>
        <v>GR-828</v>
      </c>
      <c r="D51" s="24" t="str">
        <f t="shared" si="1"/>
        <v>GR</v>
      </c>
      <c r="E51" s="24">
        <f t="shared" si="2"/>
        <v>1</v>
      </c>
      <c r="F51" s="24">
        <f>IF('query (2)'!A51="","",IFERROR(VALUE('query (2)'!A51),""))</f>
        <v>50</v>
      </c>
      <c r="G51" s="24" t="str">
        <f>IF('query (2)'!C51="","UNKNOWN",IFERROR(INDEX(Cleaning_Rules!$B$15:$B$20,MATCH(TRIM(UPPER('query (2)'!C51)),Cleaning_Rules!$A$15:$A$20,0)),"UNKNOWN"))</f>
        <v>FACTORY3</v>
      </c>
      <c r="H51" s="25" t="str">
        <f>IF('query (2)'!C51="","",'query (2)'!C51)</f>
        <v>FACTORY3</v>
      </c>
      <c r="I51" s="24" t="str" cm="1">
        <f t="array" ref="I51">_xlfn.IFS($G51="UNKNOWN","UNKNOWN",OR($G51="FACTORY1",$G51="FACTORY2",$G51="FACTORY3"),"PLANT",TRUE,"SHARED")</f>
        <v>PLANT</v>
      </c>
      <c r="J51" s="24" t="str">
        <f>IF('query (2)'!D51="","UNKNOWN",IF(COUNTIF(Cleaning_Rules!$A$6:$A$11,TRIM('query (2)'!D51))&gt;0,"UNKNOWN",IFERROR(INDEX(Cleaning_Rules!$B$24:$B$28,MATCH(TRIM(UPPER('query (2)'!D51)),Cleaning_Rules!$A$24:$A$28,0)),TRIM(UPPER('query (2)'!D51)))))</f>
        <v>KWD7</v>
      </c>
      <c r="K51" s="25" t="str">
        <f>IF('query (2)'!D51="","",'query (2)'!D51)</f>
        <v>KWD7</v>
      </c>
      <c r="L51" s="24" t="str">
        <f>IF($J51="UNKNOWN","",_xlfn.TEXTBEFORE($J51,{"0","1","2","3","4","5","6","7","8","9"," ","-","."},1,,,$J51))</f>
        <v>KWD</v>
      </c>
      <c r="M51" s="24" t="str">
        <f>IF('query (2)'!I51&lt;&gt;"",TRIM(UPPER('query (2)'!I51)),IF($L51="","UNKNOWN",$L51))</f>
        <v>KWD</v>
      </c>
      <c r="N51" s="24" t="str">
        <f>IF('query (2)'!I51&lt;&gt;"","SOURCE",IF($L51="","UNKNOWN","DERIVED"))</f>
        <v>SOURCE</v>
      </c>
      <c r="O51" s="24" t="str">
        <f>IF('query (2)'!E51="","NOT_SPECIFIED",TRIM(UPPER('query (2)'!E51)))</f>
        <v>GRINDING 2</v>
      </c>
      <c r="P51" s="24" t="str">
        <f>IF('query (2)'!F51="","",TRIM(UPPER('query (2)'!F51)))</f>
        <v>1024-KW7G</v>
      </c>
      <c r="Q51" s="24" t="str">
        <f>IF('query (2)'!G51="","UNKNOWN",IFERROR(INDEX(Cleaning_Rules!$B$38:$B$46,MATCH(TRIM(UPPER('query (2)'!G51)),Cleaning_Rules!$A$38:$A$46,0)),"UNKNOWN"))</f>
        <v>GRINDING</v>
      </c>
      <c r="R51" s="24" t="str">
        <f>IF('query (2)'!H51="","",TRIM(UPPER('query (2)'!H51)))</f>
        <v>INNER RING BORE GRINDING MACHINE</v>
      </c>
      <c r="S51" s="25" t="str">
        <f>IF('query (2)'!H51="","",'query (2)'!H51)</f>
        <v>Inner ring bore grinding machine</v>
      </c>
      <c r="T51" s="24" t="str">
        <f>IF('query (2)'!J51="","",TRIM(UPPER('query (2)'!J51)))</f>
        <v>B - BORE GRINDING</v>
      </c>
      <c r="U51" s="24" t="str">
        <f t="shared" si="3"/>
        <v/>
      </c>
      <c r="V51" s="24" t="str">
        <f>IF('query (2)'!K51="","NOT_SPECIFIED",IFERROR(INDEX(Cleaning_Rules!$B$32:$B$34,MATCH(TRIM(UPPER('query (2)'!K51)),Cleaning_Rules!$A$32:$A$34,0)),"UNKNOWN"))</f>
        <v>NOT_SPECIFIED</v>
      </c>
      <c r="W51" s="24" t="str">
        <f t="shared" si="4"/>
        <v>GR-828 | FACTORY3 | KWD7 | KWD | GRINDING 2 | 1024-KW7G | GRINDING | INNER RING BORE GRINDING MACHINE | B - BORE GRINDING | NOT_SPECIFIED</v>
      </c>
      <c r="X51" s="24" t="str">
        <f t="shared" si="5"/>
        <v/>
      </c>
      <c r="Y51" s="24" t="str">
        <f t="shared" si="6"/>
        <v>MISSING_STATUS</v>
      </c>
    </row>
    <row r="52" spans="1:25" x14ac:dyDescent="0.3">
      <c r="A52" s="24" t="str">
        <f t="shared" si="0"/>
        <v>GR-340#0051</v>
      </c>
      <c r="B52" s="24" t="str">
        <f>IF('query (2)'!B52="","",TRIM(UPPER('query (2)'!B52)))</f>
        <v>GR-340</v>
      </c>
      <c r="C52" s="25" t="str">
        <f>IF('query (2)'!B52="","",'query (2)'!B52)</f>
        <v>GR-340</v>
      </c>
      <c r="D52" s="24" t="str">
        <f t="shared" si="1"/>
        <v>GR</v>
      </c>
      <c r="E52" s="24">
        <f t="shared" si="2"/>
        <v>1</v>
      </c>
      <c r="F52" s="24">
        <f>IF('query (2)'!A52="","",IFERROR(VALUE('query (2)'!A52),""))</f>
        <v>51</v>
      </c>
      <c r="G52" s="24" t="str">
        <f>IF('query (2)'!C52="","UNKNOWN",IFERROR(INDEX(Cleaning_Rules!$B$15:$B$20,MATCH(TRIM(UPPER('query (2)'!C52)),Cleaning_Rules!$A$15:$A$20,0)),"UNKNOWN"))</f>
        <v>FACTORY3</v>
      </c>
      <c r="H52" s="25" t="str">
        <f>IF('query (2)'!C52="","",'query (2)'!C52)</f>
        <v>FACTORY3</v>
      </c>
      <c r="I52" s="24" t="str" cm="1">
        <f t="array" ref="I52">_xlfn.IFS($G52="UNKNOWN","UNKNOWN",OR($G52="FACTORY1",$G52="FACTORY2",$G52="FACTORY3"),"PLANT",TRUE,"SHARED")</f>
        <v>PLANT</v>
      </c>
      <c r="J52" s="24" t="str">
        <f>IF('query (2)'!D52="","UNKNOWN",IF(COUNTIF(Cleaning_Rules!$A$6:$A$11,TRIM('query (2)'!D52))&gt;0,"UNKNOWN",IFERROR(INDEX(Cleaning_Rules!$B$24:$B$28,MATCH(TRIM(UPPER('query (2)'!D52)),Cleaning_Rules!$A$24:$A$28,0)),TRIM(UPPER('query (2)'!D52)))))</f>
        <v>KWD3</v>
      </c>
      <c r="K52" s="25" t="str">
        <f>IF('query (2)'!D52="","",'query (2)'!D52)</f>
        <v>KWD3</v>
      </c>
      <c r="L52" s="24" t="str">
        <f>IF($J52="UNKNOWN","",_xlfn.TEXTBEFORE($J52,{"0","1","2","3","4","5","6","7","8","9"," ","-","."},1,,,$J52))</f>
        <v>KWD</v>
      </c>
      <c r="M52" s="24" t="str">
        <f>IF('query (2)'!I52&lt;&gt;"",TRIM(UPPER('query (2)'!I52)),IF($L52="","UNKNOWN",$L52))</f>
        <v>KWD</v>
      </c>
      <c r="N52" s="24" t="str">
        <f>IF('query (2)'!I52&lt;&gt;"","SOURCE",IF($L52="","UNKNOWN","DERIVED"))</f>
        <v>SOURCE</v>
      </c>
      <c r="O52" s="24" t="str">
        <f>IF('query (2)'!E52="","NOT_SPECIFIED",TRIM(UPPER('query (2)'!E52)))</f>
        <v>GRINDING 2</v>
      </c>
      <c r="P52" s="24" t="str">
        <f>IF('query (2)'!F52="","",TRIM(UPPER('query (2)'!F52)))</f>
        <v>1009-KW3G</v>
      </c>
      <c r="Q52" s="24" t="str">
        <f>IF('query (2)'!G52="","UNKNOWN",IFERROR(INDEX(Cleaning_Rules!$B$38:$B$46,MATCH(TRIM(UPPER('query (2)'!G52)),Cleaning_Rules!$A$38:$A$46,0)),"UNKNOWN"))</f>
        <v>GRINDING</v>
      </c>
      <c r="R52" s="24" t="str">
        <f>IF('query (2)'!H52="","",TRIM(UPPER('query (2)'!H52)))</f>
        <v>INNER RING BORE GRINDING MACHINE</v>
      </c>
      <c r="S52" s="25" t="str">
        <f>IF('query (2)'!H52="","",'query (2)'!H52)</f>
        <v>Inner ring bore grinding machine</v>
      </c>
      <c r="T52" s="24" t="str">
        <f>IF('query (2)'!J52="","",TRIM(UPPER('query (2)'!J52)))</f>
        <v>B - BORE GRINDING</v>
      </c>
      <c r="U52" s="24" t="str">
        <f t="shared" si="3"/>
        <v/>
      </c>
      <c r="V52" s="24" t="str">
        <f>IF('query (2)'!K52="","NOT_SPECIFIED",IFERROR(INDEX(Cleaning_Rules!$B$32:$B$34,MATCH(TRIM(UPPER('query (2)'!K52)),Cleaning_Rules!$A$32:$A$34,0)),"UNKNOWN"))</f>
        <v>NOT_SPECIFIED</v>
      </c>
      <c r="W52" s="24" t="str">
        <f t="shared" si="4"/>
        <v>GR-340 | FACTORY3 | KWD3 | KWD | GRINDING 2 | 1009-KW3G | GRINDING | INNER RING BORE GRINDING MACHINE | B - BORE GRINDING | NOT_SPECIFIED</v>
      </c>
      <c r="X52" s="24" t="str">
        <f t="shared" si="5"/>
        <v/>
      </c>
      <c r="Y52" s="24" t="str">
        <f t="shared" si="6"/>
        <v>MISSING_STATUS</v>
      </c>
    </row>
    <row r="53" spans="1:25" x14ac:dyDescent="0.3">
      <c r="A53" s="24" t="str">
        <f t="shared" si="0"/>
        <v>DE-343#0052</v>
      </c>
      <c r="B53" s="24" t="str">
        <f>IF('query (2)'!B53="","",TRIM(UPPER('query (2)'!B53)))</f>
        <v>DE-343</v>
      </c>
      <c r="C53" s="25" t="str">
        <f>IF('query (2)'!B53="","",'query (2)'!B53)</f>
        <v>DE-343</v>
      </c>
      <c r="D53" s="24" t="str">
        <f t="shared" si="1"/>
        <v>DE</v>
      </c>
      <c r="E53" s="24">
        <f t="shared" si="2"/>
        <v>1</v>
      </c>
      <c r="F53" s="24">
        <f>IF('query (2)'!A53="","",IFERROR(VALUE('query (2)'!A53),""))</f>
        <v>52</v>
      </c>
      <c r="G53" s="24" t="str">
        <f>IF('query (2)'!C53="","UNKNOWN",IFERROR(INDEX(Cleaning_Rules!$B$15:$B$20,MATCH(TRIM(UPPER('query (2)'!C53)),Cleaning_Rules!$A$15:$A$20,0)),"UNKNOWN"))</f>
        <v>FACTORY3</v>
      </c>
      <c r="H53" s="25" t="str">
        <f>IF('query (2)'!C53="","",'query (2)'!C53)</f>
        <v>FACTORY3</v>
      </c>
      <c r="I53" s="24" t="str" cm="1">
        <f t="array" ref="I53">_xlfn.IFS($G53="UNKNOWN","UNKNOWN",OR($G53="FACTORY1",$G53="FACTORY2",$G53="FACTORY3"),"PLANT",TRUE,"SHARED")</f>
        <v>PLANT</v>
      </c>
      <c r="J53" s="24" t="str">
        <f>IF('query (2)'!D53="","UNKNOWN",IF(COUNTIF(Cleaning_Rules!$A$6:$A$11,TRIM('query (2)'!D53))&gt;0,"UNKNOWN",IFERROR(INDEX(Cleaning_Rules!$B$24:$B$28,MATCH(TRIM(UPPER('query (2)'!D53)),Cleaning_Rules!$A$24:$A$28,0)),TRIM(UPPER('query (2)'!D53)))))</f>
        <v>KWD3</v>
      </c>
      <c r="K53" s="25" t="str">
        <f>IF('query (2)'!D53="","",'query (2)'!D53)</f>
        <v>KWD3</v>
      </c>
      <c r="L53" s="24" t="str">
        <f>IF($J53="UNKNOWN","",_xlfn.TEXTBEFORE($J53,{"0","1","2","3","4","5","6","7","8","9"," ","-","."},1,,,$J53))</f>
        <v>KWD</v>
      </c>
      <c r="M53" s="24" t="str">
        <f>IF('query (2)'!I53&lt;&gt;"",TRIM(UPPER('query (2)'!I53)),IF($L53="","UNKNOWN",$L53))</f>
        <v>KWD</v>
      </c>
      <c r="N53" s="24" t="str">
        <f>IF('query (2)'!I53&lt;&gt;"","SOURCE",IF($L53="","UNKNOWN","DERIVED"))</f>
        <v>SOURCE</v>
      </c>
      <c r="O53" s="24" t="str">
        <f>IF('query (2)'!E53="","NOT_SPECIFIED",TRIM(UPPER('query (2)'!E53)))</f>
        <v>GRINDING 2</v>
      </c>
      <c r="P53" s="24" t="str">
        <f>IF('query (2)'!F53="","",TRIM(UPPER('query (2)'!F53)))</f>
        <v>1009-KW3G</v>
      </c>
      <c r="Q53" s="24" t="str">
        <f>IF('query (2)'!G53="","UNKNOWN",IFERROR(INDEX(Cleaning_Rules!$B$38:$B$46,MATCH(TRIM(UPPER('query (2)'!G53)),Cleaning_Rules!$A$38:$A$46,0)),"UNKNOWN"))</f>
        <v>DEMAGNETIZING MACHINE</v>
      </c>
      <c r="R53" s="24" t="str">
        <f>IF('query (2)'!H53="","",TRIM(UPPER('query (2)'!H53)))</f>
        <v>INNER RING DEMAGNETIZING MACHINE</v>
      </c>
      <c r="S53" s="25" t="str">
        <f>IF('query (2)'!H53="","",'query (2)'!H53)</f>
        <v>Inner ring demagnetizing machine</v>
      </c>
      <c r="T53" s="24" t="str">
        <f>IF('query (2)'!J53="","",TRIM(UPPER('query (2)'!J53)))</f>
        <v>B - DEMAGNETIZING</v>
      </c>
      <c r="U53" s="24" t="str">
        <f t="shared" si="3"/>
        <v/>
      </c>
      <c r="V53" s="24" t="str">
        <f>IF('query (2)'!K53="","NOT_SPECIFIED",IFERROR(INDEX(Cleaning_Rules!$B$32:$B$34,MATCH(TRIM(UPPER('query (2)'!K53)),Cleaning_Rules!$A$32:$A$34,0)),"UNKNOWN"))</f>
        <v>NOT_SPECIFIED</v>
      </c>
      <c r="W53" s="24" t="str">
        <f t="shared" si="4"/>
        <v>DE-343 | FACTORY3 | KWD3 | KWD | GRINDING 2 | 1009-KW3G | DEMAGNETIZING MACHINE | INNER RING DEMAGNETIZING MACHINE | B - DEMAGNETIZING | NOT_SPECIFIED</v>
      </c>
      <c r="X53" s="24" t="str">
        <f t="shared" si="5"/>
        <v/>
      </c>
      <c r="Y53" s="24" t="str">
        <f t="shared" si="6"/>
        <v>MISSING_STATUS</v>
      </c>
    </row>
    <row r="54" spans="1:25" x14ac:dyDescent="0.3">
      <c r="A54" s="24" t="str">
        <f t="shared" si="0"/>
        <v>DE-005#0053</v>
      </c>
      <c r="B54" s="24" t="str">
        <f>IF('query (2)'!B54="","",TRIM(UPPER('query (2)'!B54)))</f>
        <v>DE-005</v>
      </c>
      <c r="C54" s="25" t="str">
        <f>IF('query (2)'!B54="","",'query (2)'!B54)</f>
        <v>DE-005</v>
      </c>
      <c r="D54" s="24" t="str">
        <f t="shared" si="1"/>
        <v>DE</v>
      </c>
      <c r="E54" s="24">
        <f t="shared" si="2"/>
        <v>1</v>
      </c>
      <c r="F54" s="24">
        <f>IF('query (2)'!A54="","",IFERROR(VALUE('query (2)'!A54),""))</f>
        <v>53</v>
      </c>
      <c r="G54" s="24" t="str">
        <f>IF('query (2)'!C54="","UNKNOWN",IFERROR(INDEX(Cleaning_Rules!$B$15:$B$20,MATCH(TRIM(UPPER('query (2)'!C54)),Cleaning_Rules!$A$15:$A$20,0)),"UNKNOWN"))</f>
        <v>FACTORY3</v>
      </c>
      <c r="H54" s="25" t="str">
        <f>IF('query (2)'!C54="","",'query (2)'!C54)</f>
        <v>FACTORY3</v>
      </c>
      <c r="I54" s="24" t="str" cm="1">
        <f t="array" ref="I54">_xlfn.IFS($G54="UNKNOWN","UNKNOWN",OR($G54="FACTORY1",$G54="FACTORY2",$G54="FACTORY3"),"PLANT",TRUE,"SHARED")</f>
        <v>PLANT</v>
      </c>
      <c r="J54" s="24" t="str">
        <f>IF('query (2)'!D54="","UNKNOWN",IF(COUNTIF(Cleaning_Rules!$A$6:$A$11,TRIM('query (2)'!D54))&gt;0,"UNKNOWN",IFERROR(INDEX(Cleaning_Rules!$B$24:$B$28,MATCH(TRIM(UPPER('query (2)'!D54)),Cleaning_Rules!$A$24:$A$28,0)),TRIM(UPPER('query (2)'!D54)))))</f>
        <v>KWD1</v>
      </c>
      <c r="K54" s="25" t="str">
        <f>IF('query (2)'!D54="","",'query (2)'!D54)</f>
        <v>KWD1</v>
      </c>
      <c r="L54" s="24" t="str">
        <f>IF($J54="UNKNOWN","",_xlfn.TEXTBEFORE($J54,{"0","1","2","3","4","5","6","7","8","9"," ","-","."},1,,,$J54))</f>
        <v>KWD</v>
      </c>
      <c r="M54" s="24" t="str">
        <f>IF('query (2)'!I54&lt;&gt;"",TRIM(UPPER('query (2)'!I54)),IF($L54="","UNKNOWN",$L54))</f>
        <v>KWD</v>
      </c>
      <c r="N54" s="24" t="str">
        <f>IF('query (2)'!I54&lt;&gt;"","SOURCE",IF($L54="","UNKNOWN","DERIVED"))</f>
        <v>SOURCE</v>
      </c>
      <c r="O54" s="24" t="str">
        <f>IF('query (2)'!E54="","NOT_SPECIFIED",TRIM(UPPER('query (2)'!E54)))</f>
        <v>GRINDING 2</v>
      </c>
      <c r="P54" s="24" t="str">
        <f>IF('query (2)'!F54="","",TRIM(UPPER('query (2)'!F54)))</f>
        <v>1003-KW1G</v>
      </c>
      <c r="Q54" s="24" t="str">
        <f>IF('query (2)'!G54="","UNKNOWN",IFERROR(INDEX(Cleaning_Rules!$B$38:$B$46,MATCH(TRIM(UPPER('query (2)'!G54)),Cleaning_Rules!$A$38:$A$46,0)),"UNKNOWN"))</f>
        <v>DEMAGNETIZING MACHINE</v>
      </c>
      <c r="R54" s="24" t="str">
        <f>IF('query (2)'!H54="","",TRIM(UPPER('query (2)'!H54)))</f>
        <v>INNER RING DEMAGNETIZING MACHINE</v>
      </c>
      <c r="S54" s="25" t="str">
        <f>IF('query (2)'!H54="","",'query (2)'!H54)</f>
        <v>Inner ring demagnetizing machine</v>
      </c>
      <c r="T54" s="24" t="str">
        <f>IF('query (2)'!J54="","",TRIM(UPPER('query (2)'!J54)))</f>
        <v>B - DEMAGNETIZING</v>
      </c>
      <c r="U54" s="24" t="str">
        <f t="shared" si="3"/>
        <v/>
      </c>
      <c r="V54" s="24" t="str">
        <f>IF('query (2)'!K54="","NOT_SPECIFIED",IFERROR(INDEX(Cleaning_Rules!$B$32:$B$34,MATCH(TRIM(UPPER('query (2)'!K54)),Cleaning_Rules!$A$32:$A$34,0)),"UNKNOWN"))</f>
        <v>NOT_SPECIFIED</v>
      </c>
      <c r="W54" s="24" t="str">
        <f t="shared" si="4"/>
        <v>DE-005 | FACTORY3 | KWD1 | KWD | GRINDING 2 | 1003-KW1G | DEMAGNETIZING MACHINE | INNER RING DEMAGNETIZING MACHINE | B - DEMAGNETIZING | NOT_SPECIFIED</v>
      </c>
      <c r="X54" s="24" t="str">
        <f t="shared" si="5"/>
        <v/>
      </c>
      <c r="Y54" s="24" t="str">
        <f t="shared" si="6"/>
        <v>MISSING_STATUS</v>
      </c>
    </row>
    <row r="55" spans="1:25" x14ac:dyDescent="0.3">
      <c r="A55" s="24" t="str">
        <f t="shared" si="0"/>
        <v>DE-256#0054</v>
      </c>
      <c r="B55" s="24" t="str">
        <f>IF('query (2)'!B55="","",TRIM(UPPER('query (2)'!B55)))</f>
        <v>DE-256</v>
      </c>
      <c r="C55" s="25" t="str">
        <f>IF('query (2)'!B55="","",'query (2)'!B55)</f>
        <v>DE-256</v>
      </c>
      <c r="D55" s="24" t="str">
        <f t="shared" si="1"/>
        <v>DE</v>
      </c>
      <c r="E55" s="24">
        <f t="shared" si="2"/>
        <v>1</v>
      </c>
      <c r="F55" s="24">
        <f>IF('query (2)'!A55="","",IFERROR(VALUE('query (2)'!A55),""))</f>
        <v>54</v>
      </c>
      <c r="G55" s="24" t="str">
        <f>IF('query (2)'!C55="","UNKNOWN",IFERROR(INDEX(Cleaning_Rules!$B$15:$B$20,MATCH(TRIM(UPPER('query (2)'!C55)),Cleaning_Rules!$A$15:$A$20,0)),"UNKNOWN"))</f>
        <v>FACTORY3</v>
      </c>
      <c r="H55" s="25" t="str">
        <f>IF('query (2)'!C55="","",'query (2)'!C55)</f>
        <v>FACTORY3</v>
      </c>
      <c r="I55" s="24" t="str" cm="1">
        <f t="array" ref="I55">_xlfn.IFS($G55="UNKNOWN","UNKNOWN",OR($G55="FACTORY1",$G55="FACTORY2",$G55="FACTORY3"),"PLANT",TRUE,"SHARED")</f>
        <v>PLANT</v>
      </c>
      <c r="J55" s="24" t="str">
        <f>IF('query (2)'!D55="","UNKNOWN",IF(COUNTIF(Cleaning_Rules!$A$6:$A$11,TRIM('query (2)'!D55))&gt;0,"UNKNOWN",IFERROR(INDEX(Cleaning_Rules!$B$24:$B$28,MATCH(TRIM(UPPER('query (2)'!D55)),Cleaning_Rules!$A$24:$A$28,0)),TRIM(UPPER('query (2)'!D55)))))</f>
        <v>KWD2</v>
      </c>
      <c r="K55" s="25" t="str">
        <f>IF('query (2)'!D55="","",'query (2)'!D55)</f>
        <v>KWD2</v>
      </c>
      <c r="L55" s="24" t="str">
        <f>IF($J55="UNKNOWN","",_xlfn.TEXTBEFORE($J55,{"0","1","2","3","4","5","6","7","8","9"," ","-","."},1,,,$J55))</f>
        <v>KWD</v>
      </c>
      <c r="M55" s="24" t="str">
        <f>IF('query (2)'!I55&lt;&gt;"",TRIM(UPPER('query (2)'!I55)),IF($L55="","UNKNOWN",$L55))</f>
        <v>KWD</v>
      </c>
      <c r="N55" s="24" t="str">
        <f>IF('query (2)'!I55&lt;&gt;"","SOURCE",IF($L55="","UNKNOWN","DERIVED"))</f>
        <v>SOURCE</v>
      </c>
      <c r="O55" s="24" t="str">
        <f>IF('query (2)'!E55="","NOT_SPECIFIED",TRIM(UPPER('query (2)'!E55)))</f>
        <v>GRINDING 2</v>
      </c>
      <c r="P55" s="24" t="str">
        <f>IF('query (2)'!F55="","",TRIM(UPPER('query (2)'!F55)))</f>
        <v>1006-KW2G</v>
      </c>
      <c r="Q55" s="24" t="str">
        <f>IF('query (2)'!G55="","UNKNOWN",IFERROR(INDEX(Cleaning_Rules!$B$38:$B$46,MATCH(TRIM(UPPER('query (2)'!G55)),Cleaning_Rules!$A$38:$A$46,0)),"UNKNOWN"))</f>
        <v>DEMAGNETIZING MACHINE</v>
      </c>
      <c r="R55" s="24" t="str">
        <f>IF('query (2)'!H55="","",TRIM(UPPER('query (2)'!H55)))</f>
        <v>INNER RING DEMAGNETIZING MACHINE</v>
      </c>
      <c r="S55" s="25" t="str">
        <f>IF('query (2)'!H55="","",'query (2)'!H55)</f>
        <v>Inner ring demagnetizing machine</v>
      </c>
      <c r="T55" s="24" t="str">
        <f>IF('query (2)'!J55="","",TRIM(UPPER('query (2)'!J55)))</f>
        <v>B - DEMAGNETIZING</v>
      </c>
      <c r="U55" s="24" t="str">
        <f t="shared" si="3"/>
        <v/>
      </c>
      <c r="V55" s="24" t="str">
        <f>IF('query (2)'!K55="","NOT_SPECIFIED",IFERROR(INDEX(Cleaning_Rules!$B$32:$B$34,MATCH(TRIM(UPPER('query (2)'!K55)),Cleaning_Rules!$A$32:$A$34,0)),"UNKNOWN"))</f>
        <v>NOT_SPECIFIED</v>
      </c>
      <c r="W55" s="24" t="str">
        <f t="shared" si="4"/>
        <v>DE-256 | FACTORY3 | KWD2 | KWD | GRINDING 2 | 1006-KW2G | DEMAGNETIZING MACHINE | INNER RING DEMAGNETIZING MACHINE | B - DEMAGNETIZING | NOT_SPECIFIED</v>
      </c>
      <c r="X55" s="24" t="str">
        <f t="shared" si="5"/>
        <v/>
      </c>
      <c r="Y55" s="24" t="str">
        <f t="shared" si="6"/>
        <v>MISSING_STATUS</v>
      </c>
    </row>
    <row r="56" spans="1:25" x14ac:dyDescent="0.3">
      <c r="A56" s="24" t="str">
        <f t="shared" si="0"/>
        <v>DE-465#0055</v>
      </c>
      <c r="B56" s="24" t="str">
        <f>IF('query (2)'!B56="","",TRIM(UPPER('query (2)'!B56)))</f>
        <v>DE-465</v>
      </c>
      <c r="C56" s="25" t="str">
        <f>IF('query (2)'!B56="","",'query (2)'!B56)</f>
        <v>DE-465</v>
      </c>
      <c r="D56" s="24" t="str">
        <f t="shared" si="1"/>
        <v>DE</v>
      </c>
      <c r="E56" s="24">
        <f t="shared" si="2"/>
        <v>1</v>
      </c>
      <c r="F56" s="24">
        <f>IF('query (2)'!A56="","",IFERROR(VALUE('query (2)'!A56),""))</f>
        <v>55</v>
      </c>
      <c r="G56" s="24" t="str">
        <f>IF('query (2)'!C56="","UNKNOWN",IFERROR(INDEX(Cleaning_Rules!$B$15:$B$20,MATCH(TRIM(UPPER('query (2)'!C56)),Cleaning_Rules!$A$15:$A$20,0)),"UNKNOWN"))</f>
        <v>FACTORY3</v>
      </c>
      <c r="H56" s="25" t="str">
        <f>IF('query (2)'!C56="","",'query (2)'!C56)</f>
        <v>FACTORY3</v>
      </c>
      <c r="I56" s="24" t="str" cm="1">
        <f t="array" ref="I56">_xlfn.IFS($G56="UNKNOWN","UNKNOWN",OR($G56="FACTORY1",$G56="FACTORY2",$G56="FACTORY3"),"PLANT",TRUE,"SHARED")</f>
        <v>PLANT</v>
      </c>
      <c r="J56" s="24" t="str">
        <f>IF('query (2)'!D56="","UNKNOWN",IF(COUNTIF(Cleaning_Rules!$A$6:$A$11,TRIM('query (2)'!D56))&gt;0,"UNKNOWN",IFERROR(INDEX(Cleaning_Rules!$B$24:$B$28,MATCH(TRIM(UPPER('query (2)'!D56)),Cleaning_Rules!$A$24:$A$28,0)),TRIM(UPPER('query (2)'!D56)))))</f>
        <v>KWD4</v>
      </c>
      <c r="K56" s="25" t="str">
        <f>IF('query (2)'!D56="","",'query (2)'!D56)</f>
        <v>KWD4</v>
      </c>
      <c r="L56" s="24" t="str">
        <f>IF($J56="UNKNOWN","",_xlfn.TEXTBEFORE($J56,{"0","1","2","3","4","5","6","7","8","9"," ","-","."},1,,,$J56))</f>
        <v>KWD</v>
      </c>
      <c r="M56" s="24" t="str">
        <f>IF('query (2)'!I56&lt;&gt;"",TRIM(UPPER('query (2)'!I56)),IF($L56="","UNKNOWN",$L56))</f>
        <v>KWD</v>
      </c>
      <c r="N56" s="24" t="str">
        <f>IF('query (2)'!I56&lt;&gt;"","SOURCE",IF($L56="","UNKNOWN","DERIVED"))</f>
        <v>SOURCE</v>
      </c>
      <c r="O56" s="24" t="str">
        <f>IF('query (2)'!E56="","NOT_SPECIFIED",TRIM(UPPER('query (2)'!E56)))</f>
        <v>GRINDING 2</v>
      </c>
      <c r="P56" s="24" t="str">
        <f>IF('query (2)'!F56="","",TRIM(UPPER('query (2)'!F56)))</f>
        <v>1012-KW4G</v>
      </c>
      <c r="Q56" s="24" t="str">
        <f>IF('query (2)'!G56="","UNKNOWN",IFERROR(INDEX(Cleaning_Rules!$B$38:$B$46,MATCH(TRIM(UPPER('query (2)'!G56)),Cleaning_Rules!$A$38:$A$46,0)),"UNKNOWN"))</f>
        <v>DEMAGNETIZING MACHINE</v>
      </c>
      <c r="R56" s="24" t="str">
        <f>IF('query (2)'!H56="","",TRIM(UPPER('query (2)'!H56)))</f>
        <v>INNER RING DEMAGNETIZING MACHINE</v>
      </c>
      <c r="S56" s="25" t="str">
        <f>IF('query (2)'!H56="","",'query (2)'!H56)</f>
        <v>Inner ring demagnetizing machine</v>
      </c>
      <c r="T56" s="24" t="str">
        <f>IF('query (2)'!J56="","",TRIM(UPPER('query (2)'!J56)))</f>
        <v>B - DEMAGNETIZING</v>
      </c>
      <c r="U56" s="24" t="str">
        <f t="shared" si="3"/>
        <v/>
      </c>
      <c r="V56" s="24" t="str">
        <f>IF('query (2)'!K56="","NOT_SPECIFIED",IFERROR(INDEX(Cleaning_Rules!$B$32:$B$34,MATCH(TRIM(UPPER('query (2)'!K56)),Cleaning_Rules!$A$32:$A$34,0)),"UNKNOWN"))</f>
        <v>NOT_SPECIFIED</v>
      </c>
      <c r="W56" s="24" t="str">
        <f t="shared" si="4"/>
        <v>DE-465 | FACTORY3 | KWD4 | KWD | GRINDING 2 | 1012-KW4G | DEMAGNETIZING MACHINE | INNER RING DEMAGNETIZING MACHINE | B - DEMAGNETIZING | NOT_SPECIFIED</v>
      </c>
      <c r="X56" s="24" t="str">
        <f t="shared" si="5"/>
        <v/>
      </c>
      <c r="Y56" s="24" t="str">
        <f t="shared" si="6"/>
        <v>MISSING_STATUS</v>
      </c>
    </row>
    <row r="57" spans="1:25" x14ac:dyDescent="0.3">
      <c r="A57" s="24" t="str">
        <f t="shared" si="0"/>
        <v>DE-580#0056</v>
      </c>
      <c r="B57" s="24" t="str">
        <f>IF('query (2)'!B57="","",TRIM(UPPER('query (2)'!B57)))</f>
        <v>DE-580</v>
      </c>
      <c r="C57" s="25" t="str">
        <f>IF('query (2)'!B57="","",'query (2)'!B57)</f>
        <v>DE-580</v>
      </c>
      <c r="D57" s="24" t="str">
        <f t="shared" si="1"/>
        <v>DE</v>
      </c>
      <c r="E57" s="24">
        <f t="shared" si="2"/>
        <v>1</v>
      </c>
      <c r="F57" s="24">
        <f>IF('query (2)'!A57="","",IFERROR(VALUE('query (2)'!A57),""))</f>
        <v>56</v>
      </c>
      <c r="G57" s="24" t="str">
        <f>IF('query (2)'!C57="","UNKNOWN",IFERROR(INDEX(Cleaning_Rules!$B$15:$B$20,MATCH(TRIM(UPPER('query (2)'!C57)),Cleaning_Rules!$A$15:$A$20,0)),"UNKNOWN"))</f>
        <v>FACTORY3</v>
      </c>
      <c r="H57" s="25" t="str">
        <f>IF('query (2)'!C57="","",'query (2)'!C57)</f>
        <v>FACTORY3</v>
      </c>
      <c r="I57" s="24" t="str" cm="1">
        <f t="array" ref="I57">_xlfn.IFS($G57="UNKNOWN","UNKNOWN",OR($G57="FACTORY1",$G57="FACTORY2",$G57="FACTORY3"),"PLANT",TRUE,"SHARED")</f>
        <v>PLANT</v>
      </c>
      <c r="J57" s="24" t="str">
        <f>IF('query (2)'!D57="","UNKNOWN",IF(COUNTIF(Cleaning_Rules!$A$6:$A$11,TRIM('query (2)'!D57))&gt;0,"UNKNOWN",IFERROR(INDEX(Cleaning_Rules!$B$24:$B$28,MATCH(TRIM(UPPER('query (2)'!D57)),Cleaning_Rules!$A$24:$A$28,0)),TRIM(UPPER('query (2)'!D57)))))</f>
        <v>KWD5</v>
      </c>
      <c r="K57" s="25" t="str">
        <f>IF('query (2)'!D57="","",'query (2)'!D57)</f>
        <v>KWD5</v>
      </c>
      <c r="L57" s="24" t="str">
        <f>IF($J57="UNKNOWN","",_xlfn.TEXTBEFORE($J57,{"0","1","2","3","4","5","6","7","8","9"," ","-","."},1,,,$J57))</f>
        <v>KWD</v>
      </c>
      <c r="M57" s="24" t="str">
        <f>IF('query (2)'!I57&lt;&gt;"",TRIM(UPPER('query (2)'!I57)),IF($L57="","UNKNOWN",$L57))</f>
        <v>KWD</v>
      </c>
      <c r="N57" s="24" t="str">
        <f>IF('query (2)'!I57&lt;&gt;"","SOURCE",IF($L57="","UNKNOWN","DERIVED"))</f>
        <v>SOURCE</v>
      </c>
      <c r="O57" s="24" t="str">
        <f>IF('query (2)'!E57="","NOT_SPECIFIED",TRIM(UPPER('query (2)'!E57)))</f>
        <v>GRINDING 2</v>
      </c>
      <c r="P57" s="24" t="str">
        <f>IF('query (2)'!F57="","",TRIM(UPPER('query (2)'!F57)))</f>
        <v>1015-KW5G</v>
      </c>
      <c r="Q57" s="24" t="str">
        <f>IF('query (2)'!G57="","UNKNOWN",IFERROR(INDEX(Cleaning_Rules!$B$38:$B$46,MATCH(TRIM(UPPER('query (2)'!G57)),Cleaning_Rules!$A$38:$A$46,0)),"UNKNOWN"))</f>
        <v>DEMAGNETIZING MACHINE</v>
      </c>
      <c r="R57" s="24" t="str">
        <f>IF('query (2)'!H57="","",TRIM(UPPER('query (2)'!H57)))</f>
        <v>INNER RING DEMAGNETIZING MACHINE</v>
      </c>
      <c r="S57" s="25" t="str">
        <f>IF('query (2)'!H57="","",'query (2)'!H57)</f>
        <v>Inner ring demagnetizing machine</v>
      </c>
      <c r="T57" s="24" t="str">
        <f>IF('query (2)'!J57="","",TRIM(UPPER('query (2)'!J57)))</f>
        <v>B - DEMAGNETIZING</v>
      </c>
      <c r="U57" s="24" t="str">
        <f t="shared" si="3"/>
        <v/>
      </c>
      <c r="V57" s="24" t="str">
        <f>IF('query (2)'!K57="","NOT_SPECIFIED",IFERROR(INDEX(Cleaning_Rules!$B$32:$B$34,MATCH(TRIM(UPPER('query (2)'!K57)),Cleaning_Rules!$A$32:$A$34,0)),"UNKNOWN"))</f>
        <v>NOT_SPECIFIED</v>
      </c>
      <c r="W57" s="24" t="str">
        <f t="shared" si="4"/>
        <v>DE-580 | FACTORY3 | KWD5 | KWD | GRINDING 2 | 1015-KW5G | DEMAGNETIZING MACHINE | INNER RING DEMAGNETIZING MACHINE | B - DEMAGNETIZING | NOT_SPECIFIED</v>
      </c>
      <c r="X57" s="24" t="str">
        <f t="shared" si="5"/>
        <v/>
      </c>
      <c r="Y57" s="24" t="str">
        <f t="shared" si="6"/>
        <v>MISSING_STATUS</v>
      </c>
    </row>
    <row r="58" spans="1:25" x14ac:dyDescent="0.3">
      <c r="A58" s="24" t="str">
        <f t="shared" si="0"/>
        <v>DE-692#0057</v>
      </c>
      <c r="B58" s="24" t="str">
        <f>IF('query (2)'!B58="","",TRIM(UPPER('query (2)'!B58)))</f>
        <v>DE-692</v>
      </c>
      <c r="C58" s="25" t="str">
        <f>IF('query (2)'!B58="","",'query (2)'!B58)</f>
        <v>DE-692</v>
      </c>
      <c r="D58" s="24" t="str">
        <f t="shared" si="1"/>
        <v>DE</v>
      </c>
      <c r="E58" s="24">
        <f t="shared" si="2"/>
        <v>1</v>
      </c>
      <c r="F58" s="24">
        <f>IF('query (2)'!A58="","",IFERROR(VALUE('query (2)'!A58),""))</f>
        <v>57</v>
      </c>
      <c r="G58" s="24" t="str">
        <f>IF('query (2)'!C58="","UNKNOWN",IFERROR(INDEX(Cleaning_Rules!$B$15:$B$20,MATCH(TRIM(UPPER('query (2)'!C58)),Cleaning_Rules!$A$15:$A$20,0)),"UNKNOWN"))</f>
        <v>FACTORY3</v>
      </c>
      <c r="H58" s="25" t="str">
        <f>IF('query (2)'!C58="","",'query (2)'!C58)</f>
        <v>FACTORY3</v>
      </c>
      <c r="I58" s="24" t="str" cm="1">
        <f t="array" ref="I58">_xlfn.IFS($G58="UNKNOWN","UNKNOWN",OR($G58="FACTORY1",$G58="FACTORY2",$G58="FACTORY3"),"PLANT",TRUE,"SHARED")</f>
        <v>PLANT</v>
      </c>
      <c r="J58" s="24" t="str">
        <f>IF('query (2)'!D58="","UNKNOWN",IF(COUNTIF(Cleaning_Rules!$A$6:$A$11,TRIM('query (2)'!D58))&gt;0,"UNKNOWN",IFERROR(INDEX(Cleaning_Rules!$B$24:$B$28,MATCH(TRIM(UPPER('query (2)'!D58)),Cleaning_Rules!$A$24:$A$28,0)),TRIM(UPPER('query (2)'!D58)))))</f>
        <v>KWD6</v>
      </c>
      <c r="K58" s="25" t="str">
        <f>IF('query (2)'!D58="","",'query (2)'!D58)</f>
        <v>KWD6</v>
      </c>
      <c r="L58" s="24" t="str">
        <f>IF($J58="UNKNOWN","",_xlfn.TEXTBEFORE($J58,{"0","1","2","3","4","5","6","7","8","9"," ","-","."},1,,,$J58))</f>
        <v>KWD</v>
      </c>
      <c r="M58" s="24" t="str">
        <f>IF('query (2)'!I58&lt;&gt;"",TRIM(UPPER('query (2)'!I58)),IF($L58="","UNKNOWN",$L58))</f>
        <v>KWD</v>
      </c>
      <c r="N58" s="24" t="str">
        <f>IF('query (2)'!I58&lt;&gt;"","SOURCE",IF($L58="","UNKNOWN","DERIVED"))</f>
        <v>SOURCE</v>
      </c>
      <c r="O58" s="24" t="str">
        <f>IF('query (2)'!E58="","NOT_SPECIFIED",TRIM(UPPER('query (2)'!E58)))</f>
        <v>GRINDING 2</v>
      </c>
      <c r="P58" s="24" t="str">
        <f>IF('query (2)'!F58="","",TRIM(UPPER('query (2)'!F58)))</f>
        <v xml:space="preserve">1018-KW6G
</v>
      </c>
      <c r="Q58" s="24" t="str">
        <f>IF('query (2)'!G58="","UNKNOWN",IFERROR(INDEX(Cleaning_Rules!$B$38:$B$46,MATCH(TRIM(UPPER('query (2)'!G58)),Cleaning_Rules!$A$38:$A$46,0)),"UNKNOWN"))</f>
        <v>DEMAGNETIZING MACHINE</v>
      </c>
      <c r="R58" s="24" t="str">
        <f>IF('query (2)'!H58="","",TRIM(UPPER('query (2)'!H58)))</f>
        <v>INNER RING DEMAGNETIZING MACHINE</v>
      </c>
      <c r="S58" s="25" t="str">
        <f>IF('query (2)'!H58="","",'query (2)'!H58)</f>
        <v>Inner ring demagnetizing machine</v>
      </c>
      <c r="T58" s="24" t="str">
        <f>IF('query (2)'!J58="","",TRIM(UPPER('query (2)'!J58)))</f>
        <v>B - DEMAGNETIZING</v>
      </c>
      <c r="U58" s="24" t="str">
        <f t="shared" si="3"/>
        <v/>
      </c>
      <c r="V58" s="24" t="str">
        <f>IF('query (2)'!K58="","NOT_SPECIFIED",IFERROR(INDEX(Cleaning_Rules!$B$32:$B$34,MATCH(TRIM(UPPER('query (2)'!K58)),Cleaning_Rules!$A$32:$A$34,0)),"UNKNOWN"))</f>
        <v>NOT_SPECIFIED</v>
      </c>
      <c r="W58" s="24" t="str">
        <f t="shared" si="4"/>
        <v>DE-692 | FACTORY3 | KWD6 | KWD | GRINDING 2 | 1018-KW6G
 | DEMAGNETIZING MACHINE | INNER RING DEMAGNETIZING MACHINE | B - DEMAGNETIZING | NOT_SPECIFIED</v>
      </c>
      <c r="X58" s="24" t="str">
        <f t="shared" si="5"/>
        <v/>
      </c>
      <c r="Y58" s="24" t="str">
        <f t="shared" si="6"/>
        <v>MISSING_STATUS</v>
      </c>
    </row>
    <row r="59" spans="1:25" x14ac:dyDescent="0.3">
      <c r="A59" s="24" t="str">
        <f t="shared" si="0"/>
        <v>DE-829#0058</v>
      </c>
      <c r="B59" s="24" t="str">
        <f>IF('query (2)'!B59="","",TRIM(UPPER('query (2)'!B59)))</f>
        <v>DE-829</v>
      </c>
      <c r="C59" s="25" t="str">
        <f>IF('query (2)'!B59="","",'query (2)'!B59)</f>
        <v>DE-829</v>
      </c>
      <c r="D59" s="24" t="str">
        <f t="shared" si="1"/>
        <v>DE</v>
      </c>
      <c r="E59" s="24">
        <f t="shared" si="2"/>
        <v>1</v>
      </c>
      <c r="F59" s="24">
        <f>IF('query (2)'!A59="","",IFERROR(VALUE('query (2)'!A59),""))</f>
        <v>58</v>
      </c>
      <c r="G59" s="24" t="str">
        <f>IF('query (2)'!C59="","UNKNOWN",IFERROR(INDEX(Cleaning_Rules!$B$15:$B$20,MATCH(TRIM(UPPER('query (2)'!C59)),Cleaning_Rules!$A$15:$A$20,0)),"UNKNOWN"))</f>
        <v>FACTORY3</v>
      </c>
      <c r="H59" s="25" t="str">
        <f>IF('query (2)'!C59="","",'query (2)'!C59)</f>
        <v>FACTORY3</v>
      </c>
      <c r="I59" s="24" t="str" cm="1">
        <f t="array" ref="I59">_xlfn.IFS($G59="UNKNOWN","UNKNOWN",OR($G59="FACTORY1",$G59="FACTORY2",$G59="FACTORY3"),"PLANT",TRUE,"SHARED")</f>
        <v>PLANT</v>
      </c>
      <c r="J59" s="24" t="str">
        <f>IF('query (2)'!D59="","UNKNOWN",IF(COUNTIF(Cleaning_Rules!$A$6:$A$11,TRIM('query (2)'!D59))&gt;0,"UNKNOWN",IFERROR(INDEX(Cleaning_Rules!$B$24:$B$28,MATCH(TRIM(UPPER('query (2)'!D59)),Cleaning_Rules!$A$24:$A$28,0)),TRIM(UPPER('query (2)'!D59)))))</f>
        <v>KWD7</v>
      </c>
      <c r="K59" s="25" t="str">
        <f>IF('query (2)'!D59="","",'query (2)'!D59)</f>
        <v>KWD7</v>
      </c>
      <c r="L59" s="24" t="str">
        <f>IF($J59="UNKNOWN","",_xlfn.TEXTBEFORE($J59,{"0","1","2","3","4","5","6","7","8","9"," ","-","."},1,,,$J59))</f>
        <v>KWD</v>
      </c>
      <c r="M59" s="24" t="str">
        <f>IF('query (2)'!I59&lt;&gt;"",TRIM(UPPER('query (2)'!I59)),IF($L59="","UNKNOWN",$L59))</f>
        <v>KWD</v>
      </c>
      <c r="N59" s="24" t="str">
        <f>IF('query (2)'!I59&lt;&gt;"","SOURCE",IF($L59="","UNKNOWN","DERIVED"))</f>
        <v>SOURCE</v>
      </c>
      <c r="O59" s="24" t="str">
        <f>IF('query (2)'!E59="","NOT_SPECIFIED",TRIM(UPPER('query (2)'!E59)))</f>
        <v>GRINDING 2</v>
      </c>
      <c r="P59" s="24" t="str">
        <f>IF('query (2)'!F59="","",TRIM(UPPER('query (2)'!F59)))</f>
        <v>1024-KW7G</v>
      </c>
      <c r="Q59" s="24" t="str">
        <f>IF('query (2)'!G59="","UNKNOWN",IFERROR(INDEX(Cleaning_Rules!$B$38:$B$46,MATCH(TRIM(UPPER('query (2)'!G59)),Cleaning_Rules!$A$38:$A$46,0)),"UNKNOWN"))</f>
        <v>DEMAGNETIZING MACHINE</v>
      </c>
      <c r="R59" s="24" t="str">
        <f>IF('query (2)'!H59="","",TRIM(UPPER('query (2)'!H59)))</f>
        <v>INNER RING DEMAGNETIZING MACHINE</v>
      </c>
      <c r="S59" s="25" t="str">
        <f>IF('query (2)'!H59="","",'query (2)'!H59)</f>
        <v>Inner ring demagnetizing machine</v>
      </c>
      <c r="T59" s="24" t="str">
        <f>IF('query (2)'!J59="","",TRIM(UPPER('query (2)'!J59)))</f>
        <v>B - DEMAGNETIZING</v>
      </c>
      <c r="U59" s="24" t="str">
        <f t="shared" si="3"/>
        <v/>
      </c>
      <c r="V59" s="24" t="str">
        <f>IF('query (2)'!K59="","NOT_SPECIFIED",IFERROR(INDEX(Cleaning_Rules!$B$32:$B$34,MATCH(TRIM(UPPER('query (2)'!K59)),Cleaning_Rules!$A$32:$A$34,0)),"UNKNOWN"))</f>
        <v>NOT_SPECIFIED</v>
      </c>
      <c r="W59" s="24" t="str">
        <f t="shared" si="4"/>
        <v>DE-829 | FACTORY3 | KWD7 | KWD | GRINDING 2 | 1024-KW7G | DEMAGNETIZING MACHINE | INNER RING DEMAGNETIZING MACHINE | B - DEMAGNETIZING | NOT_SPECIFIED</v>
      </c>
      <c r="X59" s="24" t="str">
        <f t="shared" si="5"/>
        <v/>
      </c>
      <c r="Y59" s="24" t="str">
        <f t="shared" si="6"/>
        <v>MISSING_STATUS</v>
      </c>
    </row>
    <row r="60" spans="1:25" x14ac:dyDescent="0.3">
      <c r="A60" s="24" t="str">
        <f t="shared" si="0"/>
        <v>GR-342#0059</v>
      </c>
      <c r="B60" s="24" t="str">
        <f>IF('query (2)'!B60="","",TRIM(UPPER('query (2)'!B60)))</f>
        <v>GR-342</v>
      </c>
      <c r="C60" s="25" t="str">
        <f>IF('query (2)'!B60="","",'query (2)'!B60)</f>
        <v>GR-342</v>
      </c>
      <c r="D60" s="24" t="str">
        <f t="shared" si="1"/>
        <v>GR</v>
      </c>
      <c r="E60" s="24">
        <f t="shared" si="2"/>
        <v>1</v>
      </c>
      <c r="F60" s="24">
        <f>IF('query (2)'!A60="","",IFERROR(VALUE('query (2)'!A60),""))</f>
        <v>59</v>
      </c>
      <c r="G60" s="24" t="str">
        <f>IF('query (2)'!C60="","UNKNOWN",IFERROR(INDEX(Cleaning_Rules!$B$15:$B$20,MATCH(TRIM(UPPER('query (2)'!C60)),Cleaning_Rules!$A$15:$A$20,0)),"UNKNOWN"))</f>
        <v>FACTORY3</v>
      </c>
      <c r="H60" s="25" t="str">
        <f>IF('query (2)'!C60="","",'query (2)'!C60)</f>
        <v>FACTORY3</v>
      </c>
      <c r="I60" s="24" t="str" cm="1">
        <f t="array" ref="I60">_xlfn.IFS($G60="UNKNOWN","UNKNOWN",OR($G60="FACTORY1",$G60="FACTORY2",$G60="FACTORY3"),"PLANT",TRUE,"SHARED")</f>
        <v>PLANT</v>
      </c>
      <c r="J60" s="24" t="str">
        <f>IF('query (2)'!D60="","UNKNOWN",IF(COUNTIF(Cleaning_Rules!$A$6:$A$11,TRIM('query (2)'!D60))&gt;0,"UNKNOWN",IFERROR(INDEX(Cleaning_Rules!$B$24:$B$28,MATCH(TRIM(UPPER('query (2)'!D60)),Cleaning_Rules!$A$24:$A$28,0)),TRIM(UPPER('query (2)'!D60)))))</f>
        <v>KWD3</v>
      </c>
      <c r="K60" s="25" t="str">
        <f>IF('query (2)'!D60="","",'query (2)'!D60)</f>
        <v>KWD3</v>
      </c>
      <c r="L60" s="24" t="str">
        <f>IF($J60="UNKNOWN","",_xlfn.TEXTBEFORE($J60,{"0","1","2","3","4","5","6","7","8","9"," ","-","."},1,,,$J60))</f>
        <v>KWD</v>
      </c>
      <c r="M60" s="24" t="str">
        <f>IF('query (2)'!I60&lt;&gt;"",TRIM(UPPER('query (2)'!I60)),IF($L60="","UNKNOWN",$L60))</f>
        <v>KWD</v>
      </c>
      <c r="N60" s="24" t="str">
        <f>IF('query (2)'!I60&lt;&gt;"","SOURCE",IF($L60="","UNKNOWN","DERIVED"))</f>
        <v>SOURCE</v>
      </c>
      <c r="O60" s="24" t="str">
        <f>IF('query (2)'!E60="","NOT_SPECIFIED",TRIM(UPPER('query (2)'!E60)))</f>
        <v>GRINDING 2</v>
      </c>
      <c r="P60" s="24" t="str">
        <f>IF('query (2)'!F60="","",TRIM(UPPER('query (2)'!F60)))</f>
        <v>1009-KW3G</v>
      </c>
      <c r="Q60" s="24" t="str">
        <f>IF('query (2)'!G60="","UNKNOWN",IFERROR(INDEX(Cleaning_Rules!$B$38:$B$46,MATCH(TRIM(UPPER('query (2)'!G60)),Cleaning_Rules!$A$38:$A$46,0)),"UNKNOWN"))</f>
        <v>GRINDING</v>
      </c>
      <c r="R60" s="24" t="str">
        <f>IF('query (2)'!H60="","",TRIM(UPPER('query (2)'!H60)))</f>
        <v>INNER RING RACEWAY AND RIB SUPER FINISH MACHINE</v>
      </c>
      <c r="S60" s="25" t="str">
        <f>IF('query (2)'!H60="","",'query (2)'!H60)</f>
        <v>Inner ring raceway and rib super finish machine</v>
      </c>
      <c r="T60" s="24" t="str">
        <f>IF('query (2)'!J60="","",TRIM(UPPER('query (2)'!J60)))</f>
        <v>B - RACEWAY SUPER FINISH</v>
      </c>
      <c r="U60" s="24" t="str">
        <f t="shared" si="3"/>
        <v/>
      </c>
      <c r="V60" s="24" t="str">
        <f>IF('query (2)'!K60="","NOT_SPECIFIED",IFERROR(INDEX(Cleaning_Rules!$B$32:$B$34,MATCH(TRIM(UPPER('query (2)'!K60)),Cleaning_Rules!$A$32:$A$34,0)),"UNKNOWN"))</f>
        <v>NOT_SPECIFIED</v>
      </c>
      <c r="W60" s="24" t="str">
        <f t="shared" si="4"/>
        <v>GR-342 | FACTORY3 | KWD3 | KWD | GRINDING 2 | 1009-KW3G | GRINDING | INNER RING RACEWAY AND RIB SUPER FINISH MACHINE | B - RACEWAY SUPER FINISH | NOT_SPECIFIED</v>
      </c>
      <c r="X60" s="24" t="str">
        <f t="shared" si="5"/>
        <v/>
      </c>
      <c r="Y60" s="24" t="str">
        <f t="shared" si="6"/>
        <v>MISSING_STATUS</v>
      </c>
    </row>
    <row r="61" spans="1:25" x14ac:dyDescent="0.3">
      <c r="A61" s="24" t="str">
        <f t="shared" si="0"/>
        <v>GR-464#0060</v>
      </c>
      <c r="B61" s="24" t="str">
        <f>IF('query (2)'!B61="","",TRIM(UPPER('query (2)'!B61)))</f>
        <v>GR-464</v>
      </c>
      <c r="C61" s="25" t="str">
        <f>IF('query (2)'!B61="","",'query (2)'!B61)</f>
        <v>GR-464</v>
      </c>
      <c r="D61" s="24" t="str">
        <f t="shared" si="1"/>
        <v>GR</v>
      </c>
      <c r="E61" s="24">
        <f t="shared" si="2"/>
        <v>1</v>
      </c>
      <c r="F61" s="24">
        <f>IF('query (2)'!A61="","",IFERROR(VALUE('query (2)'!A61),""))</f>
        <v>60</v>
      </c>
      <c r="G61" s="24" t="str">
        <f>IF('query (2)'!C61="","UNKNOWN",IFERROR(INDEX(Cleaning_Rules!$B$15:$B$20,MATCH(TRIM(UPPER('query (2)'!C61)),Cleaning_Rules!$A$15:$A$20,0)),"UNKNOWN"))</f>
        <v>FACTORY3</v>
      </c>
      <c r="H61" s="25" t="str">
        <f>IF('query (2)'!C61="","",'query (2)'!C61)</f>
        <v>FACTORY3</v>
      </c>
      <c r="I61" s="24" t="str" cm="1">
        <f t="array" ref="I61">_xlfn.IFS($G61="UNKNOWN","UNKNOWN",OR($G61="FACTORY1",$G61="FACTORY2",$G61="FACTORY3"),"PLANT",TRUE,"SHARED")</f>
        <v>PLANT</v>
      </c>
      <c r="J61" s="24" t="str">
        <f>IF('query (2)'!D61="","UNKNOWN",IF(COUNTIF(Cleaning_Rules!$A$6:$A$11,TRIM('query (2)'!D61))&gt;0,"UNKNOWN",IFERROR(INDEX(Cleaning_Rules!$B$24:$B$28,MATCH(TRIM(UPPER('query (2)'!D61)),Cleaning_Rules!$A$24:$A$28,0)),TRIM(UPPER('query (2)'!D61)))))</f>
        <v>KWD4</v>
      </c>
      <c r="K61" s="25" t="str">
        <f>IF('query (2)'!D61="","",'query (2)'!D61)</f>
        <v>KWD4</v>
      </c>
      <c r="L61" s="24" t="str">
        <f>IF($J61="UNKNOWN","",_xlfn.TEXTBEFORE($J61,{"0","1","2","3","4","5","6","7","8","9"," ","-","."},1,,,$J61))</f>
        <v>KWD</v>
      </c>
      <c r="M61" s="24" t="str">
        <f>IF('query (2)'!I61&lt;&gt;"",TRIM(UPPER('query (2)'!I61)),IF($L61="","UNKNOWN",$L61))</f>
        <v>KWD</v>
      </c>
      <c r="N61" s="24" t="str">
        <f>IF('query (2)'!I61&lt;&gt;"","SOURCE",IF($L61="","UNKNOWN","DERIVED"))</f>
        <v>SOURCE</v>
      </c>
      <c r="O61" s="24" t="str">
        <f>IF('query (2)'!E61="","NOT_SPECIFIED",TRIM(UPPER('query (2)'!E61)))</f>
        <v>GRINDING 2</v>
      </c>
      <c r="P61" s="24" t="str">
        <f>IF('query (2)'!F61="","",TRIM(UPPER('query (2)'!F61)))</f>
        <v>1012-KW4G</v>
      </c>
      <c r="Q61" s="24" t="str">
        <f>IF('query (2)'!G61="","UNKNOWN",IFERROR(INDEX(Cleaning_Rules!$B$38:$B$46,MATCH(TRIM(UPPER('query (2)'!G61)),Cleaning_Rules!$A$38:$A$46,0)),"UNKNOWN"))</f>
        <v>GRINDING</v>
      </c>
      <c r="R61" s="24" t="str">
        <f>IF('query (2)'!H61="","",TRIM(UPPER('query (2)'!H61)))</f>
        <v>INNER RING RACEWAY AND RIB SUPER FINISH MACHINE</v>
      </c>
      <c r="S61" s="25" t="str">
        <f>IF('query (2)'!H61="","",'query (2)'!H61)</f>
        <v>inner ring raceway and rib super finish machine</v>
      </c>
      <c r="T61" s="24" t="str">
        <f>IF('query (2)'!J61="","",TRIM(UPPER('query (2)'!J61)))</f>
        <v>B - RACEWAY SUPER FINISH</v>
      </c>
      <c r="U61" s="24" t="str">
        <f t="shared" si="3"/>
        <v/>
      </c>
      <c r="V61" s="24" t="str">
        <f>IF('query (2)'!K61="","NOT_SPECIFIED",IFERROR(INDEX(Cleaning_Rules!$B$32:$B$34,MATCH(TRIM(UPPER('query (2)'!K61)),Cleaning_Rules!$A$32:$A$34,0)),"UNKNOWN"))</f>
        <v>NOT_SPECIFIED</v>
      </c>
      <c r="W61" s="24" t="str">
        <f t="shared" si="4"/>
        <v>GR-464 | FACTORY3 | KWD4 | KWD | GRINDING 2 | 1012-KW4G | GRINDING | INNER RING RACEWAY AND RIB SUPER FINISH MACHINE | B - RACEWAY SUPER FINISH | NOT_SPECIFIED</v>
      </c>
      <c r="X61" s="24" t="str">
        <f t="shared" si="5"/>
        <v/>
      </c>
      <c r="Y61" s="24" t="str">
        <f t="shared" si="6"/>
        <v>MISSING_STATUS</v>
      </c>
    </row>
    <row r="62" spans="1:25" x14ac:dyDescent="0.3">
      <c r="A62" s="24" t="str">
        <f t="shared" si="0"/>
        <v>GR-581#0061</v>
      </c>
      <c r="B62" s="24" t="str">
        <f>IF('query (2)'!B62="","",TRIM(UPPER('query (2)'!B62)))</f>
        <v>GR-581</v>
      </c>
      <c r="C62" s="25" t="str">
        <f>IF('query (2)'!B62="","",'query (2)'!B62)</f>
        <v>GR-581</v>
      </c>
      <c r="D62" s="24" t="str">
        <f t="shared" si="1"/>
        <v>GR</v>
      </c>
      <c r="E62" s="24">
        <f t="shared" si="2"/>
        <v>1</v>
      </c>
      <c r="F62" s="24">
        <f>IF('query (2)'!A62="","",IFERROR(VALUE('query (2)'!A62),""))</f>
        <v>61</v>
      </c>
      <c r="G62" s="24" t="str">
        <f>IF('query (2)'!C62="","UNKNOWN",IFERROR(INDEX(Cleaning_Rules!$B$15:$B$20,MATCH(TRIM(UPPER('query (2)'!C62)),Cleaning_Rules!$A$15:$A$20,0)),"UNKNOWN"))</f>
        <v>FACTORY3</v>
      </c>
      <c r="H62" s="25" t="str">
        <f>IF('query (2)'!C62="","",'query (2)'!C62)</f>
        <v>FACTORY3</v>
      </c>
      <c r="I62" s="24" t="str" cm="1">
        <f t="array" ref="I62">_xlfn.IFS($G62="UNKNOWN","UNKNOWN",OR($G62="FACTORY1",$G62="FACTORY2",$G62="FACTORY3"),"PLANT",TRUE,"SHARED")</f>
        <v>PLANT</v>
      </c>
      <c r="J62" s="24" t="str">
        <f>IF('query (2)'!D62="","UNKNOWN",IF(COUNTIF(Cleaning_Rules!$A$6:$A$11,TRIM('query (2)'!D62))&gt;0,"UNKNOWN",IFERROR(INDEX(Cleaning_Rules!$B$24:$B$28,MATCH(TRIM(UPPER('query (2)'!D62)),Cleaning_Rules!$A$24:$A$28,0)),TRIM(UPPER('query (2)'!D62)))))</f>
        <v>KWD5</v>
      </c>
      <c r="K62" s="25" t="str">
        <f>IF('query (2)'!D62="","",'query (2)'!D62)</f>
        <v>KWD5</v>
      </c>
      <c r="L62" s="24" t="str">
        <f>IF($J62="UNKNOWN","",_xlfn.TEXTBEFORE($J62,{"0","1","2","3","4","5","6","7","8","9"," ","-","."},1,,,$J62))</f>
        <v>KWD</v>
      </c>
      <c r="M62" s="24" t="str">
        <f>IF('query (2)'!I62&lt;&gt;"",TRIM(UPPER('query (2)'!I62)),IF($L62="","UNKNOWN",$L62))</f>
        <v>KWD</v>
      </c>
      <c r="N62" s="24" t="str">
        <f>IF('query (2)'!I62&lt;&gt;"","SOURCE",IF($L62="","UNKNOWN","DERIVED"))</f>
        <v>SOURCE</v>
      </c>
      <c r="O62" s="24" t="str">
        <f>IF('query (2)'!E62="","NOT_SPECIFIED",TRIM(UPPER('query (2)'!E62)))</f>
        <v>GRINDING 2</v>
      </c>
      <c r="P62" s="24" t="str">
        <f>IF('query (2)'!F62="","",TRIM(UPPER('query (2)'!F62)))</f>
        <v>1015-KW5G</v>
      </c>
      <c r="Q62" s="24" t="str">
        <f>IF('query (2)'!G62="","UNKNOWN",IFERROR(INDEX(Cleaning_Rules!$B$38:$B$46,MATCH(TRIM(UPPER('query (2)'!G62)),Cleaning_Rules!$A$38:$A$46,0)),"UNKNOWN"))</f>
        <v>GRINDING</v>
      </c>
      <c r="R62" s="24" t="str">
        <f>IF('query (2)'!H62="","",TRIM(UPPER('query (2)'!H62)))</f>
        <v>INNER RING RACEWAY AND RIB SUPER FINISH MACHINE</v>
      </c>
      <c r="S62" s="25" t="str">
        <f>IF('query (2)'!H62="","",'query (2)'!H62)</f>
        <v>Inner ring raceway and rib super finish machine</v>
      </c>
      <c r="T62" s="24" t="str">
        <f>IF('query (2)'!J62="","",TRIM(UPPER('query (2)'!J62)))</f>
        <v>B - RACEWAY SUPER FINISH</v>
      </c>
      <c r="U62" s="24" t="str">
        <f t="shared" si="3"/>
        <v/>
      </c>
      <c r="V62" s="24" t="str">
        <f>IF('query (2)'!K62="","NOT_SPECIFIED",IFERROR(INDEX(Cleaning_Rules!$B$32:$B$34,MATCH(TRIM(UPPER('query (2)'!K62)),Cleaning_Rules!$A$32:$A$34,0)),"UNKNOWN"))</f>
        <v>NOT_SPECIFIED</v>
      </c>
      <c r="W62" s="24" t="str">
        <f t="shared" si="4"/>
        <v>GR-581 | FACTORY3 | KWD5 | KWD | GRINDING 2 | 1015-KW5G | GRINDING | INNER RING RACEWAY AND RIB SUPER FINISH MACHINE | B - RACEWAY SUPER FINISH | NOT_SPECIFIED</v>
      </c>
      <c r="X62" s="24" t="str">
        <f t="shared" si="5"/>
        <v/>
      </c>
      <c r="Y62" s="24" t="str">
        <f t="shared" si="6"/>
        <v>MISSING_STATUS</v>
      </c>
    </row>
    <row r="63" spans="1:25" x14ac:dyDescent="0.3">
      <c r="A63" s="24" t="str">
        <f t="shared" si="0"/>
        <v>GR-693#0062</v>
      </c>
      <c r="B63" s="24" t="str">
        <f>IF('query (2)'!B63="","",TRIM(UPPER('query (2)'!B63)))</f>
        <v>GR-693</v>
      </c>
      <c r="C63" s="25" t="str">
        <f>IF('query (2)'!B63="","",'query (2)'!B63)</f>
        <v>GR-693</v>
      </c>
      <c r="D63" s="24" t="str">
        <f t="shared" si="1"/>
        <v>GR</v>
      </c>
      <c r="E63" s="24">
        <f t="shared" si="2"/>
        <v>1</v>
      </c>
      <c r="F63" s="24">
        <f>IF('query (2)'!A63="","",IFERROR(VALUE('query (2)'!A63),""))</f>
        <v>62</v>
      </c>
      <c r="G63" s="24" t="str">
        <f>IF('query (2)'!C63="","UNKNOWN",IFERROR(INDEX(Cleaning_Rules!$B$15:$B$20,MATCH(TRIM(UPPER('query (2)'!C63)),Cleaning_Rules!$A$15:$A$20,0)),"UNKNOWN"))</f>
        <v>FACTORY3</v>
      </c>
      <c r="H63" s="25" t="str">
        <f>IF('query (2)'!C63="","",'query (2)'!C63)</f>
        <v>FACTORY3</v>
      </c>
      <c r="I63" s="24" t="str" cm="1">
        <f t="array" ref="I63">_xlfn.IFS($G63="UNKNOWN","UNKNOWN",OR($G63="FACTORY1",$G63="FACTORY2",$G63="FACTORY3"),"PLANT",TRUE,"SHARED")</f>
        <v>PLANT</v>
      </c>
      <c r="J63" s="24" t="str">
        <f>IF('query (2)'!D63="","UNKNOWN",IF(COUNTIF(Cleaning_Rules!$A$6:$A$11,TRIM('query (2)'!D63))&gt;0,"UNKNOWN",IFERROR(INDEX(Cleaning_Rules!$B$24:$B$28,MATCH(TRIM(UPPER('query (2)'!D63)),Cleaning_Rules!$A$24:$A$28,0)),TRIM(UPPER('query (2)'!D63)))))</f>
        <v>KWD6</v>
      </c>
      <c r="K63" s="25" t="str">
        <f>IF('query (2)'!D63="","",'query (2)'!D63)</f>
        <v>KWD6</v>
      </c>
      <c r="L63" s="24" t="str">
        <f>IF($J63="UNKNOWN","",_xlfn.TEXTBEFORE($J63,{"0","1","2","3","4","5","6","7","8","9"," ","-","."},1,,,$J63))</f>
        <v>KWD</v>
      </c>
      <c r="M63" s="24" t="str">
        <f>IF('query (2)'!I63&lt;&gt;"",TRIM(UPPER('query (2)'!I63)),IF($L63="","UNKNOWN",$L63))</f>
        <v>KWD</v>
      </c>
      <c r="N63" s="24" t="str">
        <f>IF('query (2)'!I63&lt;&gt;"","SOURCE",IF($L63="","UNKNOWN","DERIVED"))</f>
        <v>SOURCE</v>
      </c>
      <c r="O63" s="24" t="str">
        <f>IF('query (2)'!E63="","NOT_SPECIFIED",TRIM(UPPER('query (2)'!E63)))</f>
        <v>GRINDING 2</v>
      </c>
      <c r="P63" s="24" t="str">
        <f>IF('query (2)'!F63="","",TRIM(UPPER('query (2)'!F63)))</f>
        <v xml:space="preserve">1018-KW6G
</v>
      </c>
      <c r="Q63" s="24" t="str">
        <f>IF('query (2)'!G63="","UNKNOWN",IFERROR(INDEX(Cleaning_Rules!$B$38:$B$46,MATCH(TRIM(UPPER('query (2)'!G63)),Cleaning_Rules!$A$38:$A$46,0)),"UNKNOWN"))</f>
        <v>GRINDING</v>
      </c>
      <c r="R63" s="24" t="str">
        <f>IF('query (2)'!H63="","",TRIM(UPPER('query (2)'!H63)))</f>
        <v>INNER RING RACEWAY AND RIB SUPER FINISH MACHINE</v>
      </c>
      <c r="S63" s="25" t="str">
        <f>IF('query (2)'!H63="","",'query (2)'!H63)</f>
        <v>Inner ring raceway and rib super finish machine</v>
      </c>
      <c r="T63" s="24" t="str">
        <f>IF('query (2)'!J63="","",TRIM(UPPER('query (2)'!J63)))</f>
        <v>B - RACEWAY SUPER FINISH</v>
      </c>
      <c r="U63" s="24" t="str">
        <f t="shared" si="3"/>
        <v/>
      </c>
      <c r="V63" s="24" t="str">
        <f>IF('query (2)'!K63="","NOT_SPECIFIED",IFERROR(INDEX(Cleaning_Rules!$B$32:$B$34,MATCH(TRIM(UPPER('query (2)'!K63)),Cleaning_Rules!$A$32:$A$34,0)),"UNKNOWN"))</f>
        <v>NOT_SPECIFIED</v>
      </c>
      <c r="W63" s="24" t="str">
        <f t="shared" si="4"/>
        <v>GR-693 | FACTORY3 | KWD6 | KWD | GRINDING 2 | 1018-KW6G
 | GRINDING | INNER RING RACEWAY AND RIB SUPER FINISH MACHINE | B - RACEWAY SUPER FINISH | NOT_SPECIFIED</v>
      </c>
      <c r="X63" s="24" t="str">
        <f t="shared" si="5"/>
        <v/>
      </c>
      <c r="Y63" s="24" t="str">
        <f t="shared" si="6"/>
        <v>MISSING_STATUS</v>
      </c>
    </row>
    <row r="64" spans="1:25" x14ac:dyDescent="0.3">
      <c r="A64" s="24" t="str">
        <f t="shared" si="0"/>
        <v>GR-830#0063</v>
      </c>
      <c r="B64" s="24" t="str">
        <f>IF('query (2)'!B64="","",TRIM(UPPER('query (2)'!B64)))</f>
        <v>GR-830</v>
      </c>
      <c r="C64" s="25" t="str">
        <f>IF('query (2)'!B64="","",'query (2)'!B64)</f>
        <v>GR-830</v>
      </c>
      <c r="D64" s="24" t="str">
        <f t="shared" si="1"/>
        <v>GR</v>
      </c>
      <c r="E64" s="24">
        <f t="shared" si="2"/>
        <v>1</v>
      </c>
      <c r="F64" s="24">
        <f>IF('query (2)'!A64="","",IFERROR(VALUE('query (2)'!A64),""))</f>
        <v>63</v>
      </c>
      <c r="G64" s="24" t="str">
        <f>IF('query (2)'!C64="","UNKNOWN",IFERROR(INDEX(Cleaning_Rules!$B$15:$B$20,MATCH(TRIM(UPPER('query (2)'!C64)),Cleaning_Rules!$A$15:$A$20,0)),"UNKNOWN"))</f>
        <v>FACTORY3</v>
      </c>
      <c r="H64" s="25" t="str">
        <f>IF('query (2)'!C64="","",'query (2)'!C64)</f>
        <v>FACTORY3</v>
      </c>
      <c r="I64" s="24" t="str" cm="1">
        <f t="array" ref="I64">_xlfn.IFS($G64="UNKNOWN","UNKNOWN",OR($G64="FACTORY1",$G64="FACTORY2",$G64="FACTORY3"),"PLANT",TRUE,"SHARED")</f>
        <v>PLANT</v>
      </c>
      <c r="J64" s="24" t="str">
        <f>IF('query (2)'!D64="","UNKNOWN",IF(COUNTIF(Cleaning_Rules!$A$6:$A$11,TRIM('query (2)'!D64))&gt;0,"UNKNOWN",IFERROR(INDEX(Cleaning_Rules!$B$24:$B$28,MATCH(TRIM(UPPER('query (2)'!D64)),Cleaning_Rules!$A$24:$A$28,0)),TRIM(UPPER('query (2)'!D64)))))</f>
        <v>KWD7</v>
      </c>
      <c r="K64" s="25" t="str">
        <f>IF('query (2)'!D64="","",'query (2)'!D64)</f>
        <v>KWD7</v>
      </c>
      <c r="L64" s="24" t="str">
        <f>IF($J64="UNKNOWN","",_xlfn.TEXTBEFORE($J64,{"0","1","2","3","4","5","6","7","8","9"," ","-","."},1,,,$J64))</f>
        <v>KWD</v>
      </c>
      <c r="M64" s="24" t="str">
        <f>IF('query (2)'!I64&lt;&gt;"",TRIM(UPPER('query (2)'!I64)),IF($L64="","UNKNOWN",$L64))</f>
        <v>KWD</v>
      </c>
      <c r="N64" s="24" t="str">
        <f>IF('query (2)'!I64&lt;&gt;"","SOURCE",IF($L64="","UNKNOWN","DERIVED"))</f>
        <v>SOURCE</v>
      </c>
      <c r="O64" s="24" t="str">
        <f>IF('query (2)'!E64="","NOT_SPECIFIED",TRIM(UPPER('query (2)'!E64)))</f>
        <v>GRINDING 2</v>
      </c>
      <c r="P64" s="24" t="str">
        <f>IF('query (2)'!F64="","",TRIM(UPPER('query (2)'!F64)))</f>
        <v>1024-KW7G</v>
      </c>
      <c r="Q64" s="24" t="str">
        <f>IF('query (2)'!G64="","UNKNOWN",IFERROR(INDEX(Cleaning_Rules!$B$38:$B$46,MATCH(TRIM(UPPER('query (2)'!G64)),Cleaning_Rules!$A$38:$A$46,0)),"UNKNOWN"))</f>
        <v>GRINDING</v>
      </c>
      <c r="R64" s="24" t="str">
        <f>IF('query (2)'!H64="","",TRIM(UPPER('query (2)'!H64)))</f>
        <v>INNER RING RACEWAY AND RIB SUPER FINISH MACHINE</v>
      </c>
      <c r="S64" s="25" t="str">
        <f>IF('query (2)'!H64="","",'query (2)'!H64)</f>
        <v>Inner ring raceway and rib super finish machine</v>
      </c>
      <c r="T64" s="24" t="str">
        <f>IF('query (2)'!J64="","",TRIM(UPPER('query (2)'!J64)))</f>
        <v>B - RACEWAY SUPER FINISH</v>
      </c>
      <c r="U64" s="24" t="str">
        <f t="shared" si="3"/>
        <v/>
      </c>
      <c r="V64" s="24" t="str">
        <f>IF('query (2)'!K64="","NOT_SPECIFIED",IFERROR(INDEX(Cleaning_Rules!$B$32:$B$34,MATCH(TRIM(UPPER('query (2)'!K64)),Cleaning_Rules!$A$32:$A$34,0)),"UNKNOWN"))</f>
        <v>NOT_SPECIFIED</v>
      </c>
      <c r="W64" s="24" t="str">
        <f t="shared" si="4"/>
        <v>GR-830 | FACTORY3 | KWD7 | KWD | GRINDING 2 | 1024-KW7G | GRINDING | INNER RING RACEWAY AND RIB SUPER FINISH MACHINE | B - RACEWAY SUPER FINISH | NOT_SPECIFIED</v>
      </c>
      <c r="X64" s="24" t="str">
        <f t="shared" si="5"/>
        <v/>
      </c>
      <c r="Y64" s="24" t="str">
        <f t="shared" si="6"/>
        <v>MISSING_STATUS</v>
      </c>
    </row>
    <row r="65" spans="1:25" x14ac:dyDescent="0.3">
      <c r="A65" s="24" t="str">
        <f t="shared" si="0"/>
        <v>GR-008#0064</v>
      </c>
      <c r="B65" s="24" t="str">
        <f>IF('query (2)'!B65="","",TRIM(UPPER('query (2)'!B65)))</f>
        <v>GR-008</v>
      </c>
      <c r="C65" s="25" t="str">
        <f>IF('query (2)'!B65="","",'query (2)'!B65)</f>
        <v>GR-008</v>
      </c>
      <c r="D65" s="24" t="str">
        <f t="shared" si="1"/>
        <v>GR</v>
      </c>
      <c r="E65" s="24">
        <f t="shared" si="2"/>
        <v>1</v>
      </c>
      <c r="F65" s="24">
        <f>IF('query (2)'!A65="","",IFERROR(VALUE('query (2)'!A65),""))</f>
        <v>64</v>
      </c>
      <c r="G65" s="24" t="str">
        <f>IF('query (2)'!C65="","UNKNOWN",IFERROR(INDEX(Cleaning_Rules!$B$15:$B$20,MATCH(TRIM(UPPER('query (2)'!C65)),Cleaning_Rules!$A$15:$A$20,0)),"UNKNOWN"))</f>
        <v>FACTORY3</v>
      </c>
      <c r="H65" s="25" t="str">
        <f>IF('query (2)'!C65="","",'query (2)'!C65)</f>
        <v>FACTORY3</v>
      </c>
      <c r="I65" s="24" t="str" cm="1">
        <f t="array" ref="I65">_xlfn.IFS($G65="UNKNOWN","UNKNOWN",OR($G65="FACTORY1",$G65="FACTORY2",$G65="FACTORY3"),"PLANT",TRUE,"SHARED")</f>
        <v>PLANT</v>
      </c>
      <c r="J65" s="24" t="str">
        <f>IF('query (2)'!D65="","UNKNOWN",IF(COUNTIF(Cleaning_Rules!$A$6:$A$11,TRIM('query (2)'!D65))&gt;0,"UNKNOWN",IFERROR(INDEX(Cleaning_Rules!$B$24:$B$28,MATCH(TRIM(UPPER('query (2)'!D65)),Cleaning_Rules!$A$24:$A$28,0)),TRIM(UPPER('query (2)'!D65)))))</f>
        <v>KWD1</v>
      </c>
      <c r="K65" s="25" t="str">
        <f>IF('query (2)'!D65="","",'query (2)'!D65)</f>
        <v>KWD1</v>
      </c>
      <c r="L65" s="24" t="str">
        <f>IF($J65="UNKNOWN","",_xlfn.TEXTBEFORE($J65,{"0","1","2","3","4","5","6","7","8","9"," ","-","."},1,,,$J65))</f>
        <v>KWD</v>
      </c>
      <c r="M65" s="24" t="str">
        <f>IF('query (2)'!I65&lt;&gt;"",TRIM(UPPER('query (2)'!I65)),IF($L65="","UNKNOWN",$L65))</f>
        <v>KWD</v>
      </c>
      <c r="N65" s="24" t="str">
        <f>IF('query (2)'!I65&lt;&gt;"","SOURCE",IF($L65="","UNKNOWN","DERIVED"))</f>
        <v>SOURCE</v>
      </c>
      <c r="O65" s="24" t="str">
        <f>IF('query (2)'!E65="","NOT_SPECIFIED",TRIM(UPPER('query (2)'!E65)))</f>
        <v>GRINDING 2</v>
      </c>
      <c r="P65" s="24" t="str">
        <f>IF('query (2)'!F65="","",TRIM(UPPER('query (2)'!F65)))</f>
        <v>1003-KW1G</v>
      </c>
      <c r="Q65" s="24" t="str">
        <f>IF('query (2)'!G65="","UNKNOWN",IFERROR(INDEX(Cleaning_Rules!$B$38:$B$46,MATCH(TRIM(UPPER('query (2)'!G65)),Cleaning_Rules!$A$38:$A$46,0)),"UNKNOWN"))</f>
        <v>GRINDING</v>
      </c>
      <c r="R65" s="24" t="str">
        <f>IF('query (2)'!H65="","",TRIM(UPPER('query (2)'!H65)))</f>
        <v>INNER RING RACEWAY AND RIB SUPER FINISH MACHINE</v>
      </c>
      <c r="S65" s="25" t="str">
        <f>IF('query (2)'!H65="","",'query (2)'!H65)</f>
        <v>Inner ring raceway and rib super finish machine</v>
      </c>
      <c r="T65" s="24" t="str">
        <f>IF('query (2)'!J65="","",TRIM(UPPER('query (2)'!J65)))</f>
        <v>B - RACEWAY SUPER FINISH</v>
      </c>
      <c r="U65" s="24" t="str">
        <f t="shared" si="3"/>
        <v/>
      </c>
      <c r="V65" s="24" t="str">
        <f>IF('query (2)'!K65="","NOT_SPECIFIED",IFERROR(INDEX(Cleaning_Rules!$B$32:$B$34,MATCH(TRIM(UPPER('query (2)'!K65)),Cleaning_Rules!$A$32:$A$34,0)),"UNKNOWN"))</f>
        <v>NOT_SPECIFIED</v>
      </c>
      <c r="W65" s="24" t="str">
        <f t="shared" si="4"/>
        <v>GR-008 | FACTORY3 | KWD1 | KWD | GRINDING 2 | 1003-KW1G | GRINDING | INNER RING RACEWAY AND RIB SUPER FINISH MACHINE | B - RACEWAY SUPER FINISH | NOT_SPECIFIED</v>
      </c>
      <c r="X65" s="24" t="str">
        <f t="shared" si="5"/>
        <v/>
      </c>
      <c r="Y65" s="24" t="str">
        <f t="shared" si="6"/>
        <v>MISSING_STATUS</v>
      </c>
    </row>
    <row r="66" spans="1:25" x14ac:dyDescent="0.3">
      <c r="A66" s="24" t="str">
        <f t="shared" si="0"/>
        <v>GR-257#0065</v>
      </c>
      <c r="B66" s="24" t="str">
        <f>IF('query (2)'!B66="","",TRIM(UPPER('query (2)'!B66)))</f>
        <v>GR-257</v>
      </c>
      <c r="C66" s="25" t="str">
        <f>IF('query (2)'!B66="","",'query (2)'!B66)</f>
        <v>GR-257</v>
      </c>
      <c r="D66" s="24" t="str">
        <f t="shared" si="1"/>
        <v>GR</v>
      </c>
      <c r="E66" s="24">
        <f t="shared" si="2"/>
        <v>1</v>
      </c>
      <c r="F66" s="24">
        <f>IF('query (2)'!A66="","",IFERROR(VALUE('query (2)'!A66),""))</f>
        <v>65</v>
      </c>
      <c r="G66" s="24" t="str">
        <f>IF('query (2)'!C66="","UNKNOWN",IFERROR(INDEX(Cleaning_Rules!$B$15:$B$20,MATCH(TRIM(UPPER('query (2)'!C66)),Cleaning_Rules!$A$15:$A$20,0)),"UNKNOWN"))</f>
        <v>FACTORY3</v>
      </c>
      <c r="H66" s="25" t="str">
        <f>IF('query (2)'!C66="","",'query (2)'!C66)</f>
        <v>FACTORY3</v>
      </c>
      <c r="I66" s="24" t="str" cm="1">
        <f t="array" ref="I66">_xlfn.IFS($G66="UNKNOWN","UNKNOWN",OR($G66="FACTORY1",$G66="FACTORY2",$G66="FACTORY3"),"PLANT",TRUE,"SHARED")</f>
        <v>PLANT</v>
      </c>
      <c r="J66" s="24" t="str">
        <f>IF('query (2)'!D66="","UNKNOWN",IF(COUNTIF(Cleaning_Rules!$A$6:$A$11,TRIM('query (2)'!D66))&gt;0,"UNKNOWN",IFERROR(INDEX(Cleaning_Rules!$B$24:$B$28,MATCH(TRIM(UPPER('query (2)'!D66)),Cleaning_Rules!$A$24:$A$28,0)),TRIM(UPPER('query (2)'!D66)))))</f>
        <v>KWD2</v>
      </c>
      <c r="K66" s="25" t="str">
        <f>IF('query (2)'!D66="","",'query (2)'!D66)</f>
        <v>KWD2</v>
      </c>
      <c r="L66" s="24" t="str">
        <f>IF($J66="UNKNOWN","",_xlfn.TEXTBEFORE($J66,{"0","1","2","3","4","5","6","7","8","9"," ","-","."},1,,,$J66))</f>
        <v>KWD</v>
      </c>
      <c r="M66" s="24" t="str">
        <f>IF('query (2)'!I66&lt;&gt;"",TRIM(UPPER('query (2)'!I66)),IF($L66="","UNKNOWN",$L66))</f>
        <v>KWD</v>
      </c>
      <c r="N66" s="24" t="str">
        <f>IF('query (2)'!I66&lt;&gt;"","SOURCE",IF($L66="","UNKNOWN","DERIVED"))</f>
        <v>SOURCE</v>
      </c>
      <c r="O66" s="24" t="str">
        <f>IF('query (2)'!E66="","NOT_SPECIFIED",TRIM(UPPER('query (2)'!E66)))</f>
        <v>GRINDING 2</v>
      </c>
      <c r="P66" s="24" t="str">
        <f>IF('query (2)'!F66="","",TRIM(UPPER('query (2)'!F66)))</f>
        <v>1006-KW2G</v>
      </c>
      <c r="Q66" s="24" t="str">
        <f>IF('query (2)'!G66="","UNKNOWN",IFERROR(INDEX(Cleaning_Rules!$B$38:$B$46,MATCH(TRIM(UPPER('query (2)'!G66)),Cleaning_Rules!$A$38:$A$46,0)),"UNKNOWN"))</f>
        <v>GRINDING</v>
      </c>
      <c r="R66" s="24" t="str">
        <f>IF('query (2)'!H66="","",TRIM(UPPER('query (2)'!H66)))</f>
        <v>INNER RING RACEWAY AND RIB SUPER FINISH MACHINE</v>
      </c>
      <c r="S66" s="25" t="str">
        <f>IF('query (2)'!H66="","",'query (2)'!H66)</f>
        <v>Inner ring raceway and rib super finish machine</v>
      </c>
      <c r="T66" s="24" t="str">
        <f>IF('query (2)'!J66="","",TRIM(UPPER('query (2)'!J66)))</f>
        <v>B - RACEWAY SUPER FINISH</v>
      </c>
      <c r="U66" s="24" t="str">
        <f t="shared" si="3"/>
        <v/>
      </c>
      <c r="V66" s="24" t="str">
        <f>IF('query (2)'!K66="","NOT_SPECIFIED",IFERROR(INDEX(Cleaning_Rules!$B$32:$B$34,MATCH(TRIM(UPPER('query (2)'!K66)),Cleaning_Rules!$A$32:$A$34,0)),"UNKNOWN"))</f>
        <v>NOT_SPECIFIED</v>
      </c>
      <c r="W66" s="24" t="str">
        <f t="shared" si="4"/>
        <v>GR-257 | FACTORY3 | KWD2 | KWD | GRINDING 2 | 1006-KW2G | GRINDING | INNER RING RACEWAY AND RIB SUPER FINISH MACHINE | B - RACEWAY SUPER FINISH | NOT_SPECIFIED</v>
      </c>
      <c r="X66" s="24" t="str">
        <f t="shared" si="5"/>
        <v/>
      </c>
      <c r="Y66" s="24" t="str">
        <f t="shared" si="6"/>
        <v>MISSING_STATUS</v>
      </c>
    </row>
    <row r="67" spans="1:25" x14ac:dyDescent="0.3">
      <c r="A67" s="24" t="str">
        <f t="shared" ref="A67:A130" si="7">IF($B67="","NO_QR#"&amp;TEXT(ROW()-1,"0000"),$B67&amp;"#"&amp;TEXT(ROW()-1,"0000"))</f>
        <v>GR-001#0066</v>
      </c>
      <c r="B67" s="24" t="str">
        <f>IF('query (2)'!B67="","",TRIM(UPPER('query (2)'!B67)))</f>
        <v>GR-001</v>
      </c>
      <c r="C67" s="25" t="str">
        <f>IF('query (2)'!B67="","",'query (2)'!B67)</f>
        <v>GR-001</v>
      </c>
      <c r="D67" s="24" t="str">
        <f t="shared" ref="D67:D130" si="8">IF($B67="","",IFERROR(_xlfn.TEXTBEFORE($B67,"-"),"NO_PREFIX"))</f>
        <v>GR</v>
      </c>
      <c r="E67" s="24">
        <f t="shared" ref="E67:E130" si="9">IF($B67="","",COUNTIF($B$2:$B$974,$B67))</f>
        <v>1</v>
      </c>
      <c r="F67" s="24">
        <f>IF('query (2)'!A67="","",IFERROR(VALUE('query (2)'!A67),""))</f>
        <v>66</v>
      </c>
      <c r="G67" s="24" t="str">
        <f>IF('query (2)'!C67="","UNKNOWN",IFERROR(INDEX(Cleaning_Rules!$B$15:$B$20,MATCH(TRIM(UPPER('query (2)'!C67)),Cleaning_Rules!$A$15:$A$20,0)),"UNKNOWN"))</f>
        <v>FACTORY3</v>
      </c>
      <c r="H67" s="25" t="str">
        <f>IF('query (2)'!C67="","",'query (2)'!C67)</f>
        <v>FACTORY3</v>
      </c>
      <c r="I67" s="24" t="str" cm="1">
        <f t="array" ref="I67">_xlfn.IFS($G67="UNKNOWN","UNKNOWN",OR($G67="FACTORY1",$G67="FACTORY2",$G67="FACTORY3"),"PLANT",TRUE,"SHARED")</f>
        <v>PLANT</v>
      </c>
      <c r="J67" s="24" t="str">
        <f>IF('query (2)'!D67="","UNKNOWN",IF(COUNTIF(Cleaning_Rules!$A$6:$A$11,TRIM('query (2)'!D67))&gt;0,"UNKNOWN",IFERROR(INDEX(Cleaning_Rules!$B$24:$B$28,MATCH(TRIM(UPPER('query (2)'!D67)),Cleaning_Rules!$A$24:$A$28,0)),TRIM(UPPER('query (2)'!D67)))))</f>
        <v>KWD1</v>
      </c>
      <c r="K67" s="25" t="str">
        <f>IF('query (2)'!D67="","",'query (2)'!D67)</f>
        <v>KWD1</v>
      </c>
      <c r="L67" s="24" t="str">
        <f>IF($J67="UNKNOWN","",_xlfn.TEXTBEFORE($J67,{"0","1","2","3","4","5","6","7","8","9"," ","-","."},1,,,$J67))</f>
        <v>KWD</v>
      </c>
      <c r="M67" s="24" t="str">
        <f>IF('query (2)'!I67&lt;&gt;"",TRIM(UPPER('query (2)'!I67)),IF($L67="","UNKNOWN",$L67))</f>
        <v>KWD</v>
      </c>
      <c r="N67" s="24" t="str">
        <f>IF('query (2)'!I67&lt;&gt;"","SOURCE",IF($L67="","UNKNOWN","DERIVED"))</f>
        <v>SOURCE</v>
      </c>
      <c r="O67" s="24" t="str">
        <f>IF('query (2)'!E67="","NOT_SPECIFIED",TRIM(UPPER('query (2)'!E67)))</f>
        <v>GRINDING 2</v>
      </c>
      <c r="P67" s="24" t="str">
        <f>IF('query (2)'!F67="","",TRIM(UPPER('query (2)'!F67)))</f>
        <v>1003-KW1G</v>
      </c>
      <c r="Q67" s="24" t="str">
        <f>IF('query (2)'!G67="","UNKNOWN",IFERROR(INDEX(Cleaning_Rules!$B$38:$B$46,MATCH(TRIM(UPPER('query (2)'!G67)),Cleaning_Rules!$A$38:$A$46,0)),"UNKNOWN"))</f>
        <v>GRINDING</v>
      </c>
      <c r="R67" s="24" t="str">
        <f>IF('query (2)'!H67="","",TRIM(UPPER('query (2)'!H67)))</f>
        <v>INNER RING RACEWAY GRINDING MACHINE</v>
      </c>
      <c r="S67" s="25" t="str">
        <f>IF('query (2)'!H67="","",'query (2)'!H67)</f>
        <v>Inner ring raceway grinding machine</v>
      </c>
      <c r="T67" s="24" t="str">
        <f>IF('query (2)'!J67="","",TRIM(UPPER('query (2)'!J67)))</f>
        <v>B - RACEWAY GRINDING</v>
      </c>
      <c r="U67" s="24" t="str">
        <f t="shared" ref="U67:U130" si="10">IFERROR(IF(ISNUMBER(VALUE(MID($R67,SEARCH("(??-???)",$R67)+4,3))),MID($R67,SEARCH("(??-???)",$R67)+1,6),""),"")</f>
        <v/>
      </c>
      <c r="V67" s="24" t="str">
        <f>IF('query (2)'!K67="","NOT_SPECIFIED",IFERROR(INDEX(Cleaning_Rules!$B$32:$B$34,MATCH(TRIM(UPPER('query (2)'!K67)),Cleaning_Rules!$A$32:$A$34,0)),"UNKNOWN"))</f>
        <v>NOT_SPECIFIED</v>
      </c>
      <c r="W67" s="24" t="str">
        <f t="shared" ref="W67:W130" si="11">_xlfn.TEXTJOIN(" | ",TRUE,$B67,$G67,$J67,$M67,$O67,$P67,$Q67,$R67,$T67,$V67)</f>
        <v>GR-001 | FACTORY3 | KWD1 | KWD | GRINDING 2 | 1003-KW1G | GRINDING | INNER RING RACEWAY GRINDING MACHINE | B - RACEWAY GRINDING | NOT_SPECIFIED</v>
      </c>
      <c r="X67" s="24" t="str">
        <f t="shared" ref="X67:X130" si="12">_xlfn.TEXTJOIN("; ",TRUE,IF($B67="","MISSING_QR",""),IF(N($E67)&gt;1,"DUPLICATE_QR",""),IF($F67="","MISSING_NO",""),IF($G67="UNKNOWN","MISSING_LOCATION",""),IF($J67="UNKNOWN","MISSING_DEPARTMENT",""),IF($N67="UNKNOWN","MISSING_SECTION",""),IF($O67="NOT_SPECIFIED","MISSING_RESPONSIBLE",""),IF($P67="","MISSING_COST_CENTER",""),IF($Q67="UNKNOWN","MISSING_CATEGORY",""),IF($R67="","MISSING_DESCRIPTION",""))</f>
        <v/>
      </c>
      <c r="Y67" s="24" t="str">
        <f t="shared" ref="Y67:Y130" si="13">_xlfn.TEXTJOIN("; ",TRUE,IF($V67="NOT_SPECIFIED","MISSING_STATUS",""),IF($Q67="OTHER","CATEGORY_NOT_USEFUL",""),IF($T67="","MISSING_PRODUCTION_NAME",""),IF($N67="DERIVED","SECTION_DERIVED",""))</f>
        <v>MISSING_STATUS</v>
      </c>
    </row>
    <row r="68" spans="1:25" x14ac:dyDescent="0.3">
      <c r="A68" s="24" t="str">
        <f t="shared" si="7"/>
        <v>GR-250#0067</v>
      </c>
      <c r="B68" s="24" t="str">
        <f>IF('query (2)'!B68="","",TRIM(UPPER('query (2)'!B68)))</f>
        <v>GR-250</v>
      </c>
      <c r="C68" s="25" t="str">
        <f>IF('query (2)'!B68="","",'query (2)'!B68)</f>
        <v>GR-250</v>
      </c>
      <c r="D68" s="24" t="str">
        <f t="shared" si="8"/>
        <v>GR</v>
      </c>
      <c r="E68" s="24">
        <f t="shared" si="9"/>
        <v>1</v>
      </c>
      <c r="F68" s="24">
        <f>IF('query (2)'!A68="","",IFERROR(VALUE('query (2)'!A68),""))</f>
        <v>67</v>
      </c>
      <c r="G68" s="24" t="str">
        <f>IF('query (2)'!C68="","UNKNOWN",IFERROR(INDEX(Cleaning_Rules!$B$15:$B$20,MATCH(TRIM(UPPER('query (2)'!C68)),Cleaning_Rules!$A$15:$A$20,0)),"UNKNOWN"))</f>
        <v>FACTORY3</v>
      </c>
      <c r="H68" s="25" t="str">
        <f>IF('query (2)'!C68="","",'query (2)'!C68)</f>
        <v>FACTORY3</v>
      </c>
      <c r="I68" s="24" t="str" cm="1">
        <f t="array" ref="I68">_xlfn.IFS($G68="UNKNOWN","UNKNOWN",OR($G68="FACTORY1",$G68="FACTORY2",$G68="FACTORY3"),"PLANT",TRUE,"SHARED")</f>
        <v>PLANT</v>
      </c>
      <c r="J68" s="24" t="str">
        <f>IF('query (2)'!D68="","UNKNOWN",IF(COUNTIF(Cleaning_Rules!$A$6:$A$11,TRIM('query (2)'!D68))&gt;0,"UNKNOWN",IFERROR(INDEX(Cleaning_Rules!$B$24:$B$28,MATCH(TRIM(UPPER('query (2)'!D68)),Cleaning_Rules!$A$24:$A$28,0)),TRIM(UPPER('query (2)'!D68)))))</f>
        <v>KWD2</v>
      </c>
      <c r="K68" s="25" t="str">
        <f>IF('query (2)'!D68="","",'query (2)'!D68)</f>
        <v>KWD2</v>
      </c>
      <c r="L68" s="24" t="str">
        <f>IF($J68="UNKNOWN","",_xlfn.TEXTBEFORE($J68,{"0","1","2","3","4","5","6","7","8","9"," ","-","."},1,,,$J68))</f>
        <v>KWD</v>
      </c>
      <c r="M68" s="24" t="str">
        <f>IF('query (2)'!I68&lt;&gt;"",TRIM(UPPER('query (2)'!I68)),IF($L68="","UNKNOWN",$L68))</f>
        <v>KWD</v>
      </c>
      <c r="N68" s="24" t="str">
        <f>IF('query (2)'!I68&lt;&gt;"","SOURCE",IF($L68="","UNKNOWN","DERIVED"))</f>
        <v>SOURCE</v>
      </c>
      <c r="O68" s="24" t="str">
        <f>IF('query (2)'!E68="","NOT_SPECIFIED",TRIM(UPPER('query (2)'!E68)))</f>
        <v>GRINDING 2</v>
      </c>
      <c r="P68" s="24" t="str">
        <f>IF('query (2)'!F68="","",TRIM(UPPER('query (2)'!F68)))</f>
        <v>1006-KW2G</v>
      </c>
      <c r="Q68" s="24" t="str">
        <f>IF('query (2)'!G68="","UNKNOWN",IFERROR(INDEX(Cleaning_Rules!$B$38:$B$46,MATCH(TRIM(UPPER('query (2)'!G68)),Cleaning_Rules!$A$38:$A$46,0)),"UNKNOWN"))</f>
        <v>GRINDING</v>
      </c>
      <c r="R68" s="24" t="str">
        <f>IF('query (2)'!H68="","",TRIM(UPPER('query (2)'!H68)))</f>
        <v>INNER RING RACEWAY GRINDING MACHINE</v>
      </c>
      <c r="S68" s="25" t="str">
        <f>IF('query (2)'!H68="","",'query (2)'!H68)</f>
        <v>Inner ring raceway grinding machine</v>
      </c>
      <c r="T68" s="24" t="str">
        <f>IF('query (2)'!J68="","",TRIM(UPPER('query (2)'!J68)))</f>
        <v>B - RACEWAY GRINDING</v>
      </c>
      <c r="U68" s="24" t="str">
        <f t="shared" si="10"/>
        <v/>
      </c>
      <c r="V68" s="24" t="str">
        <f>IF('query (2)'!K68="","NOT_SPECIFIED",IFERROR(INDEX(Cleaning_Rules!$B$32:$B$34,MATCH(TRIM(UPPER('query (2)'!K68)),Cleaning_Rules!$A$32:$A$34,0)),"UNKNOWN"))</f>
        <v>NOT_SPECIFIED</v>
      </c>
      <c r="W68" s="24" t="str">
        <f t="shared" si="11"/>
        <v>GR-250 | FACTORY3 | KWD2 | KWD | GRINDING 2 | 1006-KW2G | GRINDING | INNER RING RACEWAY GRINDING MACHINE | B - RACEWAY GRINDING | NOT_SPECIFIED</v>
      </c>
      <c r="X68" s="24" t="str">
        <f t="shared" si="12"/>
        <v/>
      </c>
      <c r="Y68" s="24" t="str">
        <f t="shared" si="13"/>
        <v>MISSING_STATUS</v>
      </c>
    </row>
    <row r="69" spans="1:25" x14ac:dyDescent="0.3">
      <c r="A69" s="24" t="str">
        <f t="shared" si="7"/>
        <v>GR-336#0068</v>
      </c>
      <c r="B69" s="24" t="str">
        <f>IF('query (2)'!B69="","",TRIM(UPPER('query (2)'!B69)))</f>
        <v>GR-336</v>
      </c>
      <c r="C69" s="25" t="str">
        <f>IF('query (2)'!B69="","",'query (2)'!B69)</f>
        <v>GR-336</v>
      </c>
      <c r="D69" s="24" t="str">
        <f t="shared" si="8"/>
        <v>GR</v>
      </c>
      <c r="E69" s="24">
        <f t="shared" si="9"/>
        <v>1</v>
      </c>
      <c r="F69" s="24">
        <f>IF('query (2)'!A69="","",IFERROR(VALUE('query (2)'!A69),""))</f>
        <v>68</v>
      </c>
      <c r="G69" s="24" t="str">
        <f>IF('query (2)'!C69="","UNKNOWN",IFERROR(INDEX(Cleaning_Rules!$B$15:$B$20,MATCH(TRIM(UPPER('query (2)'!C69)),Cleaning_Rules!$A$15:$A$20,0)),"UNKNOWN"))</f>
        <v>FACTORY3</v>
      </c>
      <c r="H69" s="25" t="str">
        <f>IF('query (2)'!C69="","",'query (2)'!C69)</f>
        <v>FACTORY3</v>
      </c>
      <c r="I69" s="24" t="str" cm="1">
        <f t="array" ref="I69">_xlfn.IFS($G69="UNKNOWN","UNKNOWN",OR($G69="FACTORY1",$G69="FACTORY2",$G69="FACTORY3"),"PLANT",TRUE,"SHARED")</f>
        <v>PLANT</v>
      </c>
      <c r="J69" s="24" t="str">
        <f>IF('query (2)'!D69="","UNKNOWN",IF(COUNTIF(Cleaning_Rules!$A$6:$A$11,TRIM('query (2)'!D69))&gt;0,"UNKNOWN",IFERROR(INDEX(Cleaning_Rules!$B$24:$B$28,MATCH(TRIM(UPPER('query (2)'!D69)),Cleaning_Rules!$A$24:$A$28,0)),TRIM(UPPER('query (2)'!D69)))))</f>
        <v>KWD3</v>
      </c>
      <c r="K69" s="25" t="str">
        <f>IF('query (2)'!D69="","",'query (2)'!D69)</f>
        <v>KWD3</v>
      </c>
      <c r="L69" s="24" t="str">
        <f>IF($J69="UNKNOWN","",_xlfn.TEXTBEFORE($J69,{"0","1","2","3","4","5","6","7","8","9"," ","-","."},1,,,$J69))</f>
        <v>KWD</v>
      </c>
      <c r="M69" s="24" t="str">
        <f>IF('query (2)'!I69&lt;&gt;"",TRIM(UPPER('query (2)'!I69)),IF($L69="","UNKNOWN",$L69))</f>
        <v>KWD</v>
      </c>
      <c r="N69" s="24" t="str">
        <f>IF('query (2)'!I69&lt;&gt;"","SOURCE",IF($L69="","UNKNOWN","DERIVED"))</f>
        <v>SOURCE</v>
      </c>
      <c r="O69" s="24" t="str">
        <f>IF('query (2)'!E69="","NOT_SPECIFIED",TRIM(UPPER('query (2)'!E69)))</f>
        <v>GRINDING 2</v>
      </c>
      <c r="P69" s="24" t="str">
        <f>IF('query (2)'!F69="","",TRIM(UPPER('query (2)'!F69)))</f>
        <v>1009-KW3G</v>
      </c>
      <c r="Q69" s="24" t="str">
        <f>IF('query (2)'!G69="","UNKNOWN",IFERROR(INDEX(Cleaning_Rules!$B$38:$B$46,MATCH(TRIM(UPPER('query (2)'!G69)),Cleaning_Rules!$A$38:$A$46,0)),"UNKNOWN"))</f>
        <v>GRINDING</v>
      </c>
      <c r="R69" s="24" t="str">
        <f>IF('query (2)'!H69="","",TRIM(UPPER('query (2)'!H69)))</f>
        <v>INNER RING RACEWAY GRINDING MACHINE</v>
      </c>
      <c r="S69" s="25" t="str">
        <f>IF('query (2)'!H69="","",'query (2)'!H69)</f>
        <v>Inner ring raceway grinding machine</v>
      </c>
      <c r="T69" s="24" t="str">
        <f>IF('query (2)'!J69="","",TRIM(UPPER('query (2)'!J69)))</f>
        <v>B - RACEWAY GRINDING</v>
      </c>
      <c r="U69" s="24" t="str">
        <f t="shared" si="10"/>
        <v/>
      </c>
      <c r="V69" s="24" t="str">
        <f>IF('query (2)'!K69="","NOT_SPECIFIED",IFERROR(INDEX(Cleaning_Rules!$B$32:$B$34,MATCH(TRIM(UPPER('query (2)'!K69)),Cleaning_Rules!$A$32:$A$34,0)),"UNKNOWN"))</f>
        <v>NOT_SPECIFIED</v>
      </c>
      <c r="W69" s="24" t="str">
        <f t="shared" si="11"/>
        <v>GR-336 | FACTORY3 | KWD3 | KWD | GRINDING 2 | 1009-KW3G | GRINDING | INNER RING RACEWAY GRINDING MACHINE | B - RACEWAY GRINDING | NOT_SPECIFIED</v>
      </c>
      <c r="X69" s="24" t="str">
        <f t="shared" si="12"/>
        <v/>
      </c>
      <c r="Y69" s="24" t="str">
        <f t="shared" si="13"/>
        <v>MISSING_STATUS</v>
      </c>
    </row>
    <row r="70" spans="1:25" x14ac:dyDescent="0.3">
      <c r="A70" s="24" t="str">
        <f t="shared" si="7"/>
        <v>GR-458#0069</v>
      </c>
      <c r="B70" s="24" t="str">
        <f>IF('query (2)'!B70="","",TRIM(UPPER('query (2)'!B70)))</f>
        <v>GR-458</v>
      </c>
      <c r="C70" s="25" t="str">
        <f>IF('query (2)'!B70="","",'query (2)'!B70)</f>
        <v>GR-458</v>
      </c>
      <c r="D70" s="24" t="str">
        <f t="shared" si="8"/>
        <v>GR</v>
      </c>
      <c r="E70" s="24">
        <f t="shared" si="9"/>
        <v>1</v>
      </c>
      <c r="F70" s="24">
        <f>IF('query (2)'!A70="","",IFERROR(VALUE('query (2)'!A70),""))</f>
        <v>69</v>
      </c>
      <c r="G70" s="24" t="str">
        <f>IF('query (2)'!C70="","UNKNOWN",IFERROR(INDEX(Cleaning_Rules!$B$15:$B$20,MATCH(TRIM(UPPER('query (2)'!C70)),Cleaning_Rules!$A$15:$A$20,0)),"UNKNOWN"))</f>
        <v>FACTORY3</v>
      </c>
      <c r="H70" s="25" t="str">
        <f>IF('query (2)'!C70="","",'query (2)'!C70)</f>
        <v>FACTORY3</v>
      </c>
      <c r="I70" s="24" t="str" cm="1">
        <f t="array" ref="I70">_xlfn.IFS($G70="UNKNOWN","UNKNOWN",OR($G70="FACTORY1",$G70="FACTORY2",$G70="FACTORY3"),"PLANT",TRUE,"SHARED")</f>
        <v>PLANT</v>
      </c>
      <c r="J70" s="24" t="str">
        <f>IF('query (2)'!D70="","UNKNOWN",IF(COUNTIF(Cleaning_Rules!$A$6:$A$11,TRIM('query (2)'!D70))&gt;0,"UNKNOWN",IFERROR(INDEX(Cleaning_Rules!$B$24:$B$28,MATCH(TRIM(UPPER('query (2)'!D70)),Cleaning_Rules!$A$24:$A$28,0)),TRIM(UPPER('query (2)'!D70)))))</f>
        <v>KWD4</v>
      </c>
      <c r="K70" s="25" t="str">
        <f>IF('query (2)'!D70="","",'query (2)'!D70)</f>
        <v>KWD4</v>
      </c>
      <c r="L70" s="24" t="str">
        <f>IF($J70="UNKNOWN","",_xlfn.TEXTBEFORE($J70,{"0","1","2","3","4","5","6","7","8","9"," ","-","."},1,,,$J70))</f>
        <v>KWD</v>
      </c>
      <c r="M70" s="24" t="str">
        <f>IF('query (2)'!I70&lt;&gt;"",TRIM(UPPER('query (2)'!I70)),IF($L70="","UNKNOWN",$L70))</f>
        <v>KWD</v>
      </c>
      <c r="N70" s="24" t="str">
        <f>IF('query (2)'!I70&lt;&gt;"","SOURCE",IF($L70="","UNKNOWN","DERIVED"))</f>
        <v>SOURCE</v>
      </c>
      <c r="O70" s="24" t="str">
        <f>IF('query (2)'!E70="","NOT_SPECIFIED",TRIM(UPPER('query (2)'!E70)))</f>
        <v>GRINDING 2</v>
      </c>
      <c r="P70" s="24" t="str">
        <f>IF('query (2)'!F70="","",TRIM(UPPER('query (2)'!F70)))</f>
        <v>1012-KW4G</v>
      </c>
      <c r="Q70" s="24" t="str">
        <f>IF('query (2)'!G70="","UNKNOWN",IFERROR(INDEX(Cleaning_Rules!$B$38:$B$46,MATCH(TRIM(UPPER('query (2)'!G70)),Cleaning_Rules!$A$38:$A$46,0)),"UNKNOWN"))</f>
        <v>GRINDING</v>
      </c>
      <c r="R70" s="24" t="str">
        <f>IF('query (2)'!H70="","",TRIM(UPPER('query (2)'!H70)))</f>
        <v>INNER RING RACEWAY GRINDING MACHINE</v>
      </c>
      <c r="S70" s="25" t="str">
        <f>IF('query (2)'!H70="","",'query (2)'!H70)</f>
        <v>Inner ring raceway grinding machine</v>
      </c>
      <c r="T70" s="24" t="str">
        <f>IF('query (2)'!J70="","",TRIM(UPPER('query (2)'!J70)))</f>
        <v>B - RACEWAY GRINDING</v>
      </c>
      <c r="U70" s="24" t="str">
        <f t="shared" si="10"/>
        <v/>
      </c>
      <c r="V70" s="24" t="str">
        <f>IF('query (2)'!K70="","NOT_SPECIFIED",IFERROR(INDEX(Cleaning_Rules!$B$32:$B$34,MATCH(TRIM(UPPER('query (2)'!K70)),Cleaning_Rules!$A$32:$A$34,0)),"UNKNOWN"))</f>
        <v>NOT_SPECIFIED</v>
      </c>
      <c r="W70" s="24" t="str">
        <f t="shared" si="11"/>
        <v>GR-458 | FACTORY3 | KWD4 | KWD | GRINDING 2 | 1012-KW4G | GRINDING | INNER RING RACEWAY GRINDING MACHINE | B - RACEWAY GRINDING | NOT_SPECIFIED</v>
      </c>
      <c r="X70" s="24" t="str">
        <f t="shared" si="12"/>
        <v/>
      </c>
      <c r="Y70" s="24" t="str">
        <f t="shared" si="13"/>
        <v>MISSING_STATUS</v>
      </c>
    </row>
    <row r="71" spans="1:25" x14ac:dyDescent="0.3">
      <c r="A71" s="24" t="str">
        <f t="shared" si="7"/>
        <v>GR-575#0070</v>
      </c>
      <c r="B71" s="24" t="str">
        <f>IF('query (2)'!B71="","",TRIM(UPPER('query (2)'!B71)))</f>
        <v>GR-575</v>
      </c>
      <c r="C71" s="25" t="str">
        <f>IF('query (2)'!B71="","",'query (2)'!B71)</f>
        <v>GR-575</v>
      </c>
      <c r="D71" s="24" t="str">
        <f t="shared" si="8"/>
        <v>GR</v>
      </c>
      <c r="E71" s="24">
        <f t="shared" si="9"/>
        <v>1</v>
      </c>
      <c r="F71" s="24">
        <f>IF('query (2)'!A71="","",IFERROR(VALUE('query (2)'!A71),""))</f>
        <v>70</v>
      </c>
      <c r="G71" s="24" t="str">
        <f>IF('query (2)'!C71="","UNKNOWN",IFERROR(INDEX(Cleaning_Rules!$B$15:$B$20,MATCH(TRIM(UPPER('query (2)'!C71)),Cleaning_Rules!$A$15:$A$20,0)),"UNKNOWN"))</f>
        <v>FACTORY3</v>
      </c>
      <c r="H71" s="25" t="str">
        <f>IF('query (2)'!C71="","",'query (2)'!C71)</f>
        <v>FACTORY3</v>
      </c>
      <c r="I71" s="24" t="str" cm="1">
        <f t="array" ref="I71">_xlfn.IFS($G71="UNKNOWN","UNKNOWN",OR($G71="FACTORY1",$G71="FACTORY2",$G71="FACTORY3"),"PLANT",TRUE,"SHARED")</f>
        <v>PLANT</v>
      </c>
      <c r="J71" s="24" t="str">
        <f>IF('query (2)'!D71="","UNKNOWN",IF(COUNTIF(Cleaning_Rules!$A$6:$A$11,TRIM('query (2)'!D71))&gt;0,"UNKNOWN",IFERROR(INDEX(Cleaning_Rules!$B$24:$B$28,MATCH(TRIM(UPPER('query (2)'!D71)),Cleaning_Rules!$A$24:$A$28,0)),TRIM(UPPER('query (2)'!D71)))))</f>
        <v>KWD5</v>
      </c>
      <c r="K71" s="25" t="str">
        <f>IF('query (2)'!D71="","",'query (2)'!D71)</f>
        <v>KWD5</v>
      </c>
      <c r="L71" s="24" t="str">
        <f>IF($J71="UNKNOWN","",_xlfn.TEXTBEFORE($J71,{"0","1","2","3","4","5","6","7","8","9"," ","-","."},1,,,$J71))</f>
        <v>KWD</v>
      </c>
      <c r="M71" s="24" t="str">
        <f>IF('query (2)'!I71&lt;&gt;"",TRIM(UPPER('query (2)'!I71)),IF($L71="","UNKNOWN",$L71))</f>
        <v>KWD</v>
      </c>
      <c r="N71" s="24" t="str">
        <f>IF('query (2)'!I71&lt;&gt;"","SOURCE",IF($L71="","UNKNOWN","DERIVED"))</f>
        <v>SOURCE</v>
      </c>
      <c r="O71" s="24" t="str">
        <f>IF('query (2)'!E71="","NOT_SPECIFIED",TRIM(UPPER('query (2)'!E71)))</f>
        <v>GRINDING 2</v>
      </c>
      <c r="P71" s="24" t="str">
        <f>IF('query (2)'!F71="","",TRIM(UPPER('query (2)'!F71)))</f>
        <v>1015-KW5G</v>
      </c>
      <c r="Q71" s="24" t="str">
        <f>IF('query (2)'!G71="","UNKNOWN",IFERROR(INDEX(Cleaning_Rules!$B$38:$B$46,MATCH(TRIM(UPPER('query (2)'!G71)),Cleaning_Rules!$A$38:$A$46,0)),"UNKNOWN"))</f>
        <v>GRINDING</v>
      </c>
      <c r="R71" s="24" t="str">
        <f>IF('query (2)'!H71="","",TRIM(UPPER('query (2)'!H71)))</f>
        <v>INNER RING RACEWAY GRINDING MACHINE</v>
      </c>
      <c r="S71" s="25" t="str">
        <f>IF('query (2)'!H71="","",'query (2)'!H71)</f>
        <v>Inner ring raceway grinding machine</v>
      </c>
      <c r="T71" s="24" t="str">
        <f>IF('query (2)'!J71="","",TRIM(UPPER('query (2)'!J71)))</f>
        <v>B - RACEWAY GRINDING</v>
      </c>
      <c r="U71" s="24" t="str">
        <f t="shared" si="10"/>
        <v/>
      </c>
      <c r="V71" s="24" t="str">
        <f>IF('query (2)'!K71="","NOT_SPECIFIED",IFERROR(INDEX(Cleaning_Rules!$B$32:$B$34,MATCH(TRIM(UPPER('query (2)'!K71)),Cleaning_Rules!$A$32:$A$34,0)),"UNKNOWN"))</f>
        <v>NOT_SPECIFIED</v>
      </c>
      <c r="W71" s="24" t="str">
        <f t="shared" si="11"/>
        <v>GR-575 | FACTORY3 | KWD5 | KWD | GRINDING 2 | 1015-KW5G | GRINDING | INNER RING RACEWAY GRINDING MACHINE | B - RACEWAY GRINDING | NOT_SPECIFIED</v>
      </c>
      <c r="X71" s="24" t="str">
        <f t="shared" si="12"/>
        <v/>
      </c>
      <c r="Y71" s="24" t="str">
        <f t="shared" si="13"/>
        <v>MISSING_STATUS</v>
      </c>
    </row>
    <row r="72" spans="1:25" x14ac:dyDescent="0.3">
      <c r="A72" s="24" t="str">
        <f t="shared" si="7"/>
        <v>GR-689#0071</v>
      </c>
      <c r="B72" s="24" t="str">
        <f>IF('query (2)'!B72="","",TRIM(UPPER('query (2)'!B72)))</f>
        <v>GR-689</v>
      </c>
      <c r="C72" s="25" t="str">
        <f>IF('query (2)'!B72="","",'query (2)'!B72)</f>
        <v>GR-689</v>
      </c>
      <c r="D72" s="24" t="str">
        <f t="shared" si="8"/>
        <v>GR</v>
      </c>
      <c r="E72" s="24">
        <f t="shared" si="9"/>
        <v>1</v>
      </c>
      <c r="F72" s="24">
        <f>IF('query (2)'!A72="","",IFERROR(VALUE('query (2)'!A72),""))</f>
        <v>71</v>
      </c>
      <c r="G72" s="24" t="str">
        <f>IF('query (2)'!C72="","UNKNOWN",IFERROR(INDEX(Cleaning_Rules!$B$15:$B$20,MATCH(TRIM(UPPER('query (2)'!C72)),Cleaning_Rules!$A$15:$A$20,0)),"UNKNOWN"))</f>
        <v>FACTORY3</v>
      </c>
      <c r="H72" s="25" t="str">
        <f>IF('query (2)'!C72="","",'query (2)'!C72)</f>
        <v>FACTORY3</v>
      </c>
      <c r="I72" s="24" t="str" cm="1">
        <f t="array" ref="I72">_xlfn.IFS($G72="UNKNOWN","UNKNOWN",OR($G72="FACTORY1",$G72="FACTORY2",$G72="FACTORY3"),"PLANT",TRUE,"SHARED")</f>
        <v>PLANT</v>
      </c>
      <c r="J72" s="24" t="str">
        <f>IF('query (2)'!D72="","UNKNOWN",IF(COUNTIF(Cleaning_Rules!$A$6:$A$11,TRIM('query (2)'!D72))&gt;0,"UNKNOWN",IFERROR(INDEX(Cleaning_Rules!$B$24:$B$28,MATCH(TRIM(UPPER('query (2)'!D72)),Cleaning_Rules!$A$24:$A$28,0)),TRIM(UPPER('query (2)'!D72)))))</f>
        <v>KWD6</v>
      </c>
      <c r="K72" s="25" t="str">
        <f>IF('query (2)'!D72="","",'query (2)'!D72)</f>
        <v>KWD6</v>
      </c>
      <c r="L72" s="24" t="str">
        <f>IF($J72="UNKNOWN","",_xlfn.TEXTBEFORE($J72,{"0","1","2","3","4","5","6","7","8","9"," ","-","."},1,,,$J72))</f>
        <v>KWD</v>
      </c>
      <c r="M72" s="24" t="str">
        <f>IF('query (2)'!I72&lt;&gt;"",TRIM(UPPER('query (2)'!I72)),IF($L72="","UNKNOWN",$L72))</f>
        <v>KWD</v>
      </c>
      <c r="N72" s="24" t="str">
        <f>IF('query (2)'!I72&lt;&gt;"","SOURCE",IF($L72="","UNKNOWN","DERIVED"))</f>
        <v>SOURCE</v>
      </c>
      <c r="O72" s="24" t="str">
        <f>IF('query (2)'!E72="","NOT_SPECIFIED",TRIM(UPPER('query (2)'!E72)))</f>
        <v>GRINDING 2</v>
      </c>
      <c r="P72" s="24" t="str">
        <f>IF('query (2)'!F72="","",TRIM(UPPER('query (2)'!F72)))</f>
        <v xml:space="preserve">1018-KW6G
</v>
      </c>
      <c r="Q72" s="24" t="str">
        <f>IF('query (2)'!G72="","UNKNOWN",IFERROR(INDEX(Cleaning_Rules!$B$38:$B$46,MATCH(TRIM(UPPER('query (2)'!G72)),Cleaning_Rules!$A$38:$A$46,0)),"UNKNOWN"))</f>
        <v>GRINDING</v>
      </c>
      <c r="R72" s="24" t="str">
        <f>IF('query (2)'!H72="","",TRIM(UPPER('query (2)'!H72)))</f>
        <v>INNER RING RACEWAY GRINDING MACHINE</v>
      </c>
      <c r="S72" s="25" t="str">
        <f>IF('query (2)'!H72="","",'query (2)'!H72)</f>
        <v>Inner ring raceway grinding machine</v>
      </c>
      <c r="T72" s="24" t="str">
        <f>IF('query (2)'!J72="","",TRIM(UPPER('query (2)'!J72)))</f>
        <v>B - RACEWAY GRINDING</v>
      </c>
      <c r="U72" s="24" t="str">
        <f t="shared" si="10"/>
        <v/>
      </c>
      <c r="V72" s="24" t="str">
        <f>IF('query (2)'!K72="","NOT_SPECIFIED",IFERROR(INDEX(Cleaning_Rules!$B$32:$B$34,MATCH(TRIM(UPPER('query (2)'!K72)),Cleaning_Rules!$A$32:$A$34,0)),"UNKNOWN"))</f>
        <v>NOT_SPECIFIED</v>
      </c>
      <c r="W72" s="24" t="str">
        <f t="shared" si="11"/>
        <v>GR-689 | FACTORY3 | KWD6 | KWD | GRINDING 2 | 1018-KW6G
 | GRINDING | INNER RING RACEWAY GRINDING MACHINE | B - RACEWAY GRINDING | NOT_SPECIFIED</v>
      </c>
      <c r="X72" s="24" t="str">
        <f t="shared" si="12"/>
        <v/>
      </c>
      <c r="Y72" s="24" t="str">
        <f t="shared" si="13"/>
        <v>MISSING_STATUS</v>
      </c>
    </row>
    <row r="73" spans="1:25" x14ac:dyDescent="0.3">
      <c r="A73" s="24" t="str">
        <f t="shared" si="7"/>
        <v>GR-825#0072</v>
      </c>
      <c r="B73" s="24" t="str">
        <f>IF('query (2)'!B73="","",TRIM(UPPER('query (2)'!B73)))</f>
        <v>GR-825</v>
      </c>
      <c r="C73" s="25" t="str">
        <f>IF('query (2)'!B73="","",'query (2)'!B73)</f>
        <v>GR-825</v>
      </c>
      <c r="D73" s="24" t="str">
        <f t="shared" si="8"/>
        <v>GR</v>
      </c>
      <c r="E73" s="24">
        <f t="shared" si="9"/>
        <v>1</v>
      </c>
      <c r="F73" s="24">
        <f>IF('query (2)'!A73="","",IFERROR(VALUE('query (2)'!A73),""))</f>
        <v>72</v>
      </c>
      <c r="G73" s="24" t="str">
        <f>IF('query (2)'!C73="","UNKNOWN",IFERROR(INDEX(Cleaning_Rules!$B$15:$B$20,MATCH(TRIM(UPPER('query (2)'!C73)),Cleaning_Rules!$A$15:$A$20,0)),"UNKNOWN"))</f>
        <v>FACTORY3</v>
      </c>
      <c r="H73" s="25" t="str">
        <f>IF('query (2)'!C73="","",'query (2)'!C73)</f>
        <v>FACTORY3</v>
      </c>
      <c r="I73" s="24" t="str" cm="1">
        <f t="array" ref="I73">_xlfn.IFS($G73="UNKNOWN","UNKNOWN",OR($G73="FACTORY1",$G73="FACTORY2",$G73="FACTORY3"),"PLANT",TRUE,"SHARED")</f>
        <v>PLANT</v>
      </c>
      <c r="J73" s="24" t="str">
        <f>IF('query (2)'!D73="","UNKNOWN",IF(COUNTIF(Cleaning_Rules!$A$6:$A$11,TRIM('query (2)'!D73))&gt;0,"UNKNOWN",IFERROR(INDEX(Cleaning_Rules!$B$24:$B$28,MATCH(TRIM(UPPER('query (2)'!D73)),Cleaning_Rules!$A$24:$A$28,0)),TRIM(UPPER('query (2)'!D73)))))</f>
        <v>KWD7</v>
      </c>
      <c r="K73" s="25" t="str">
        <f>IF('query (2)'!D73="","",'query (2)'!D73)</f>
        <v>KWD7</v>
      </c>
      <c r="L73" s="24" t="str">
        <f>IF($J73="UNKNOWN","",_xlfn.TEXTBEFORE($J73,{"0","1","2","3","4","5","6","7","8","9"," ","-","."},1,,,$J73))</f>
        <v>KWD</v>
      </c>
      <c r="M73" s="24" t="str">
        <f>IF('query (2)'!I73&lt;&gt;"",TRIM(UPPER('query (2)'!I73)),IF($L73="","UNKNOWN",$L73))</f>
        <v>KWD</v>
      </c>
      <c r="N73" s="24" t="str">
        <f>IF('query (2)'!I73&lt;&gt;"","SOURCE",IF($L73="","UNKNOWN","DERIVED"))</f>
        <v>SOURCE</v>
      </c>
      <c r="O73" s="24" t="str">
        <f>IF('query (2)'!E73="","NOT_SPECIFIED",TRIM(UPPER('query (2)'!E73)))</f>
        <v>GRINDING 2</v>
      </c>
      <c r="P73" s="24" t="str">
        <f>IF('query (2)'!F73="","",TRIM(UPPER('query (2)'!F73)))</f>
        <v>1024-KW7G</v>
      </c>
      <c r="Q73" s="24" t="str">
        <f>IF('query (2)'!G73="","UNKNOWN",IFERROR(INDEX(Cleaning_Rules!$B$38:$B$46,MATCH(TRIM(UPPER('query (2)'!G73)),Cleaning_Rules!$A$38:$A$46,0)),"UNKNOWN"))</f>
        <v>GRINDING</v>
      </c>
      <c r="R73" s="24" t="str">
        <f>IF('query (2)'!H73="","",TRIM(UPPER('query (2)'!H73)))</f>
        <v>INNER RING RACEWAY GRINDING MACHINE</v>
      </c>
      <c r="S73" s="25" t="str">
        <f>IF('query (2)'!H73="","",'query (2)'!H73)</f>
        <v>Inner ring raceway grinding machine</v>
      </c>
      <c r="T73" s="24" t="str">
        <f>IF('query (2)'!J73="","",TRIM(UPPER('query (2)'!J73)))</f>
        <v>B - RACEWAY GRINDING</v>
      </c>
      <c r="U73" s="24" t="str">
        <f t="shared" si="10"/>
        <v/>
      </c>
      <c r="V73" s="24" t="str">
        <f>IF('query (2)'!K73="","NOT_SPECIFIED",IFERROR(INDEX(Cleaning_Rules!$B$32:$B$34,MATCH(TRIM(UPPER('query (2)'!K73)),Cleaning_Rules!$A$32:$A$34,0)),"UNKNOWN"))</f>
        <v>NOT_SPECIFIED</v>
      </c>
      <c r="W73" s="24" t="str">
        <f t="shared" si="11"/>
        <v>GR-825 | FACTORY3 | KWD7 | KWD | GRINDING 2 | 1024-KW7G | GRINDING | INNER RING RACEWAY GRINDING MACHINE | B - RACEWAY GRINDING | NOT_SPECIFIED</v>
      </c>
      <c r="X73" s="24" t="str">
        <f t="shared" si="12"/>
        <v/>
      </c>
      <c r="Y73" s="24" t="str">
        <f t="shared" si="13"/>
        <v>MISSING_STATUS</v>
      </c>
    </row>
    <row r="74" spans="1:25" x14ac:dyDescent="0.3">
      <c r="A74" s="24" t="str">
        <f t="shared" si="7"/>
        <v>GR-003#0073</v>
      </c>
      <c r="B74" s="24" t="str">
        <f>IF('query (2)'!B74="","",TRIM(UPPER('query (2)'!B74)))</f>
        <v>GR-003</v>
      </c>
      <c r="C74" s="25" t="str">
        <f>IF('query (2)'!B74="","",'query (2)'!B74)</f>
        <v>GR-003</v>
      </c>
      <c r="D74" s="24" t="str">
        <f t="shared" si="8"/>
        <v>GR</v>
      </c>
      <c r="E74" s="24">
        <f t="shared" si="9"/>
        <v>1</v>
      </c>
      <c r="F74" s="24">
        <f>IF('query (2)'!A74="","",IFERROR(VALUE('query (2)'!A74),""))</f>
        <v>73</v>
      </c>
      <c r="G74" s="24" t="str">
        <f>IF('query (2)'!C74="","UNKNOWN",IFERROR(INDEX(Cleaning_Rules!$B$15:$B$20,MATCH(TRIM(UPPER('query (2)'!C74)),Cleaning_Rules!$A$15:$A$20,0)),"UNKNOWN"))</f>
        <v>FACTORY3</v>
      </c>
      <c r="H74" s="25" t="str">
        <f>IF('query (2)'!C74="","",'query (2)'!C74)</f>
        <v>FACTORY3</v>
      </c>
      <c r="I74" s="24" t="str" cm="1">
        <f t="array" ref="I74">_xlfn.IFS($G74="UNKNOWN","UNKNOWN",OR($G74="FACTORY1",$G74="FACTORY2",$G74="FACTORY3"),"PLANT",TRUE,"SHARED")</f>
        <v>PLANT</v>
      </c>
      <c r="J74" s="24" t="str">
        <f>IF('query (2)'!D74="","UNKNOWN",IF(COUNTIF(Cleaning_Rules!$A$6:$A$11,TRIM('query (2)'!D74))&gt;0,"UNKNOWN",IFERROR(INDEX(Cleaning_Rules!$B$24:$B$28,MATCH(TRIM(UPPER('query (2)'!D74)),Cleaning_Rules!$A$24:$A$28,0)),TRIM(UPPER('query (2)'!D74)))))</f>
        <v>KWD1</v>
      </c>
      <c r="K74" s="25" t="str">
        <f>IF('query (2)'!D74="","",'query (2)'!D74)</f>
        <v>KWD1</v>
      </c>
      <c r="L74" s="24" t="str">
        <f>IF($J74="UNKNOWN","",_xlfn.TEXTBEFORE($J74,{"0","1","2","3","4","5","6","7","8","9"," ","-","."},1,,,$J74))</f>
        <v>KWD</v>
      </c>
      <c r="M74" s="24" t="str">
        <f>IF('query (2)'!I74&lt;&gt;"",TRIM(UPPER('query (2)'!I74)),IF($L74="","UNKNOWN",$L74))</f>
        <v>KWD</v>
      </c>
      <c r="N74" s="24" t="str">
        <f>IF('query (2)'!I74&lt;&gt;"","SOURCE",IF($L74="","UNKNOWN","DERIVED"))</f>
        <v>SOURCE</v>
      </c>
      <c r="O74" s="24" t="str">
        <f>IF('query (2)'!E74="","NOT_SPECIFIED",TRIM(UPPER('query (2)'!E74)))</f>
        <v>GRINDING 2</v>
      </c>
      <c r="P74" s="24" t="str">
        <f>IF('query (2)'!F74="","",TRIM(UPPER('query (2)'!F74)))</f>
        <v>1003-KW1G</v>
      </c>
      <c r="Q74" s="24" t="str">
        <f>IF('query (2)'!G74="","UNKNOWN",IFERROR(INDEX(Cleaning_Rules!$B$38:$B$46,MATCH(TRIM(UPPER('query (2)'!G74)),Cleaning_Rules!$A$38:$A$46,0)),"UNKNOWN"))</f>
        <v>GRINDING</v>
      </c>
      <c r="R74" s="24" t="str">
        <f>IF('query (2)'!H74="","",TRIM(UPPER('query (2)'!H74)))</f>
        <v>INNER RING RIB GRINDING MACHINE</v>
      </c>
      <c r="S74" s="25" t="str">
        <f>IF('query (2)'!H74="","",'query (2)'!H74)</f>
        <v>Inner ring rib grinding machine</v>
      </c>
      <c r="T74" s="24" t="str">
        <f>IF('query (2)'!J74="","",TRIM(UPPER('query (2)'!J74)))</f>
        <v>B - RIB GRINDING</v>
      </c>
      <c r="U74" s="24" t="str">
        <f t="shared" si="10"/>
        <v/>
      </c>
      <c r="V74" s="24" t="str">
        <f>IF('query (2)'!K74="","NOT_SPECIFIED",IFERROR(INDEX(Cleaning_Rules!$B$32:$B$34,MATCH(TRIM(UPPER('query (2)'!K74)),Cleaning_Rules!$A$32:$A$34,0)),"UNKNOWN"))</f>
        <v>NOT_SPECIFIED</v>
      </c>
      <c r="W74" s="24" t="str">
        <f t="shared" si="11"/>
        <v>GR-003 | FACTORY3 | KWD1 | KWD | GRINDING 2 | 1003-KW1G | GRINDING | INNER RING RIB GRINDING MACHINE | B - RIB GRINDING | NOT_SPECIFIED</v>
      </c>
      <c r="X74" s="24" t="str">
        <f t="shared" si="12"/>
        <v/>
      </c>
      <c r="Y74" s="24" t="str">
        <f t="shared" si="13"/>
        <v>MISSING_STATUS</v>
      </c>
    </row>
    <row r="75" spans="1:25" x14ac:dyDescent="0.3">
      <c r="A75" s="24" t="str">
        <f t="shared" si="7"/>
        <v>GR-253#0074</v>
      </c>
      <c r="B75" s="24" t="str">
        <f>IF('query (2)'!B75="","",TRIM(UPPER('query (2)'!B75)))</f>
        <v>GR-253</v>
      </c>
      <c r="C75" s="25" t="str">
        <f>IF('query (2)'!B75="","",'query (2)'!B75)</f>
        <v>GR-253</v>
      </c>
      <c r="D75" s="24" t="str">
        <f t="shared" si="8"/>
        <v>GR</v>
      </c>
      <c r="E75" s="24">
        <f t="shared" si="9"/>
        <v>1</v>
      </c>
      <c r="F75" s="24">
        <f>IF('query (2)'!A75="","",IFERROR(VALUE('query (2)'!A75),""))</f>
        <v>74</v>
      </c>
      <c r="G75" s="24" t="str">
        <f>IF('query (2)'!C75="","UNKNOWN",IFERROR(INDEX(Cleaning_Rules!$B$15:$B$20,MATCH(TRIM(UPPER('query (2)'!C75)),Cleaning_Rules!$A$15:$A$20,0)),"UNKNOWN"))</f>
        <v>FACTORY3</v>
      </c>
      <c r="H75" s="25" t="str">
        <f>IF('query (2)'!C75="","",'query (2)'!C75)</f>
        <v>FACTORY3</v>
      </c>
      <c r="I75" s="24" t="str" cm="1">
        <f t="array" ref="I75">_xlfn.IFS($G75="UNKNOWN","UNKNOWN",OR($G75="FACTORY1",$G75="FACTORY2",$G75="FACTORY3"),"PLANT",TRUE,"SHARED")</f>
        <v>PLANT</v>
      </c>
      <c r="J75" s="24" t="str">
        <f>IF('query (2)'!D75="","UNKNOWN",IF(COUNTIF(Cleaning_Rules!$A$6:$A$11,TRIM('query (2)'!D75))&gt;0,"UNKNOWN",IFERROR(INDEX(Cleaning_Rules!$B$24:$B$28,MATCH(TRIM(UPPER('query (2)'!D75)),Cleaning_Rules!$A$24:$A$28,0)),TRIM(UPPER('query (2)'!D75)))))</f>
        <v>KWD2</v>
      </c>
      <c r="K75" s="25" t="str">
        <f>IF('query (2)'!D75="","",'query (2)'!D75)</f>
        <v>KWD2</v>
      </c>
      <c r="L75" s="24" t="str">
        <f>IF($J75="UNKNOWN","",_xlfn.TEXTBEFORE($J75,{"0","1","2","3","4","5","6","7","8","9"," ","-","."},1,,,$J75))</f>
        <v>KWD</v>
      </c>
      <c r="M75" s="24" t="str">
        <f>IF('query (2)'!I75&lt;&gt;"",TRIM(UPPER('query (2)'!I75)),IF($L75="","UNKNOWN",$L75))</f>
        <v>KWD</v>
      </c>
      <c r="N75" s="24" t="str">
        <f>IF('query (2)'!I75&lt;&gt;"","SOURCE",IF($L75="","UNKNOWN","DERIVED"))</f>
        <v>SOURCE</v>
      </c>
      <c r="O75" s="24" t="str">
        <f>IF('query (2)'!E75="","NOT_SPECIFIED",TRIM(UPPER('query (2)'!E75)))</f>
        <v>GRINDING 2</v>
      </c>
      <c r="P75" s="24" t="str">
        <f>IF('query (2)'!F75="","",TRIM(UPPER('query (2)'!F75)))</f>
        <v>1006-KW2G</v>
      </c>
      <c r="Q75" s="24" t="str">
        <f>IF('query (2)'!G75="","UNKNOWN",IFERROR(INDEX(Cleaning_Rules!$B$38:$B$46,MATCH(TRIM(UPPER('query (2)'!G75)),Cleaning_Rules!$A$38:$A$46,0)),"UNKNOWN"))</f>
        <v>GRINDING</v>
      </c>
      <c r="R75" s="24" t="str">
        <f>IF('query (2)'!H75="","",TRIM(UPPER('query (2)'!H75)))</f>
        <v>INNER RING RIB GRINDING MACHINE</v>
      </c>
      <c r="S75" s="25" t="str">
        <f>IF('query (2)'!H75="","",'query (2)'!H75)</f>
        <v>Inner ring rib grinding machine</v>
      </c>
      <c r="T75" s="24" t="str">
        <f>IF('query (2)'!J75="","",TRIM(UPPER('query (2)'!J75)))</f>
        <v>B - RIB GRINDING</v>
      </c>
      <c r="U75" s="24" t="str">
        <f t="shared" si="10"/>
        <v/>
      </c>
      <c r="V75" s="24" t="str">
        <f>IF('query (2)'!K75="","NOT_SPECIFIED",IFERROR(INDEX(Cleaning_Rules!$B$32:$B$34,MATCH(TRIM(UPPER('query (2)'!K75)),Cleaning_Rules!$A$32:$A$34,0)),"UNKNOWN"))</f>
        <v>NOT_SPECIFIED</v>
      </c>
      <c r="W75" s="24" t="str">
        <f t="shared" si="11"/>
        <v>GR-253 | FACTORY3 | KWD2 | KWD | GRINDING 2 | 1006-KW2G | GRINDING | INNER RING RIB GRINDING MACHINE | B - RIB GRINDING | NOT_SPECIFIED</v>
      </c>
      <c r="X75" s="24" t="str">
        <f t="shared" si="12"/>
        <v/>
      </c>
      <c r="Y75" s="24" t="str">
        <f t="shared" si="13"/>
        <v>MISSING_STATUS</v>
      </c>
    </row>
    <row r="76" spans="1:25" x14ac:dyDescent="0.3">
      <c r="A76" s="24" t="str">
        <f t="shared" si="7"/>
        <v>GR-461#0075</v>
      </c>
      <c r="B76" s="24" t="str">
        <f>IF('query (2)'!B76="","",TRIM(UPPER('query (2)'!B76)))</f>
        <v>GR-461</v>
      </c>
      <c r="C76" s="25" t="str">
        <f>IF('query (2)'!B76="","",'query (2)'!B76)</f>
        <v>GR-461</v>
      </c>
      <c r="D76" s="24" t="str">
        <f t="shared" si="8"/>
        <v>GR</v>
      </c>
      <c r="E76" s="24">
        <f t="shared" si="9"/>
        <v>1</v>
      </c>
      <c r="F76" s="24">
        <f>IF('query (2)'!A76="","",IFERROR(VALUE('query (2)'!A76),""))</f>
        <v>75</v>
      </c>
      <c r="G76" s="24" t="str">
        <f>IF('query (2)'!C76="","UNKNOWN",IFERROR(INDEX(Cleaning_Rules!$B$15:$B$20,MATCH(TRIM(UPPER('query (2)'!C76)),Cleaning_Rules!$A$15:$A$20,0)),"UNKNOWN"))</f>
        <v>FACTORY3</v>
      </c>
      <c r="H76" s="25" t="str">
        <f>IF('query (2)'!C76="","",'query (2)'!C76)</f>
        <v>FACTORY3</v>
      </c>
      <c r="I76" s="24" t="str" cm="1">
        <f t="array" ref="I76">_xlfn.IFS($G76="UNKNOWN","UNKNOWN",OR($G76="FACTORY1",$G76="FACTORY2",$G76="FACTORY3"),"PLANT",TRUE,"SHARED")</f>
        <v>PLANT</v>
      </c>
      <c r="J76" s="24" t="str">
        <f>IF('query (2)'!D76="","UNKNOWN",IF(COUNTIF(Cleaning_Rules!$A$6:$A$11,TRIM('query (2)'!D76))&gt;0,"UNKNOWN",IFERROR(INDEX(Cleaning_Rules!$B$24:$B$28,MATCH(TRIM(UPPER('query (2)'!D76)),Cleaning_Rules!$A$24:$A$28,0)),TRIM(UPPER('query (2)'!D76)))))</f>
        <v>KWD4</v>
      </c>
      <c r="K76" s="25" t="str">
        <f>IF('query (2)'!D76="","",'query (2)'!D76)</f>
        <v>KWD4</v>
      </c>
      <c r="L76" s="24" t="str">
        <f>IF($J76="UNKNOWN","",_xlfn.TEXTBEFORE($J76,{"0","1","2","3","4","5","6","7","8","9"," ","-","."},1,,,$J76))</f>
        <v>KWD</v>
      </c>
      <c r="M76" s="24" t="str">
        <f>IF('query (2)'!I76&lt;&gt;"",TRIM(UPPER('query (2)'!I76)),IF($L76="","UNKNOWN",$L76))</f>
        <v>KWD</v>
      </c>
      <c r="N76" s="24" t="str">
        <f>IF('query (2)'!I76&lt;&gt;"","SOURCE",IF($L76="","UNKNOWN","DERIVED"))</f>
        <v>SOURCE</v>
      </c>
      <c r="O76" s="24" t="str">
        <f>IF('query (2)'!E76="","NOT_SPECIFIED",TRIM(UPPER('query (2)'!E76)))</f>
        <v>GRINDING 2</v>
      </c>
      <c r="P76" s="24" t="str">
        <f>IF('query (2)'!F76="","",TRIM(UPPER('query (2)'!F76)))</f>
        <v>1012-KW4G</v>
      </c>
      <c r="Q76" s="24" t="str">
        <f>IF('query (2)'!G76="","UNKNOWN",IFERROR(INDEX(Cleaning_Rules!$B$38:$B$46,MATCH(TRIM(UPPER('query (2)'!G76)),Cleaning_Rules!$A$38:$A$46,0)),"UNKNOWN"))</f>
        <v>GRINDING</v>
      </c>
      <c r="R76" s="24" t="str">
        <f>IF('query (2)'!H76="","",TRIM(UPPER('query (2)'!H76)))</f>
        <v>INNER RING RIB GRINDING MACHINE</v>
      </c>
      <c r="S76" s="25" t="str">
        <f>IF('query (2)'!H76="","",'query (2)'!H76)</f>
        <v>Inner ring rib grinding machine</v>
      </c>
      <c r="T76" s="24" t="str">
        <f>IF('query (2)'!J76="","",TRIM(UPPER('query (2)'!J76)))</f>
        <v>B - RIB GRINDING</v>
      </c>
      <c r="U76" s="24" t="str">
        <f t="shared" si="10"/>
        <v/>
      </c>
      <c r="V76" s="24" t="str">
        <f>IF('query (2)'!K76="","NOT_SPECIFIED",IFERROR(INDEX(Cleaning_Rules!$B$32:$B$34,MATCH(TRIM(UPPER('query (2)'!K76)),Cleaning_Rules!$A$32:$A$34,0)),"UNKNOWN"))</f>
        <v>NOT_SPECIFIED</v>
      </c>
      <c r="W76" s="24" t="str">
        <f t="shared" si="11"/>
        <v>GR-461 | FACTORY3 | KWD4 | KWD | GRINDING 2 | 1012-KW4G | GRINDING | INNER RING RIB GRINDING MACHINE | B - RIB GRINDING | NOT_SPECIFIED</v>
      </c>
      <c r="X76" s="24" t="str">
        <f t="shared" si="12"/>
        <v/>
      </c>
      <c r="Y76" s="24" t="str">
        <f t="shared" si="13"/>
        <v>MISSING_STATUS</v>
      </c>
    </row>
    <row r="77" spans="1:25" x14ac:dyDescent="0.3">
      <c r="A77" s="24" t="str">
        <f t="shared" si="7"/>
        <v>GR-578#0076</v>
      </c>
      <c r="B77" s="24" t="str">
        <f>IF('query (2)'!B77="","",TRIM(UPPER('query (2)'!B77)))</f>
        <v>GR-578</v>
      </c>
      <c r="C77" s="25" t="str">
        <f>IF('query (2)'!B77="","",'query (2)'!B77)</f>
        <v>GR-578</v>
      </c>
      <c r="D77" s="24" t="str">
        <f t="shared" si="8"/>
        <v>GR</v>
      </c>
      <c r="E77" s="24">
        <f t="shared" si="9"/>
        <v>1</v>
      </c>
      <c r="F77" s="24">
        <f>IF('query (2)'!A77="","",IFERROR(VALUE('query (2)'!A77),""))</f>
        <v>76</v>
      </c>
      <c r="G77" s="24" t="str">
        <f>IF('query (2)'!C77="","UNKNOWN",IFERROR(INDEX(Cleaning_Rules!$B$15:$B$20,MATCH(TRIM(UPPER('query (2)'!C77)),Cleaning_Rules!$A$15:$A$20,0)),"UNKNOWN"))</f>
        <v>FACTORY3</v>
      </c>
      <c r="H77" s="25" t="str">
        <f>IF('query (2)'!C77="","",'query (2)'!C77)</f>
        <v>FACTORY3</v>
      </c>
      <c r="I77" s="24" t="str" cm="1">
        <f t="array" ref="I77">_xlfn.IFS($G77="UNKNOWN","UNKNOWN",OR($G77="FACTORY1",$G77="FACTORY2",$G77="FACTORY3"),"PLANT",TRUE,"SHARED")</f>
        <v>PLANT</v>
      </c>
      <c r="J77" s="24" t="str">
        <f>IF('query (2)'!D77="","UNKNOWN",IF(COUNTIF(Cleaning_Rules!$A$6:$A$11,TRIM('query (2)'!D77))&gt;0,"UNKNOWN",IFERROR(INDEX(Cleaning_Rules!$B$24:$B$28,MATCH(TRIM(UPPER('query (2)'!D77)),Cleaning_Rules!$A$24:$A$28,0)),TRIM(UPPER('query (2)'!D77)))))</f>
        <v>KWD5</v>
      </c>
      <c r="K77" s="25" t="str">
        <f>IF('query (2)'!D77="","",'query (2)'!D77)</f>
        <v>KWD5</v>
      </c>
      <c r="L77" s="24" t="str">
        <f>IF($J77="UNKNOWN","",_xlfn.TEXTBEFORE($J77,{"0","1","2","3","4","5","6","7","8","9"," ","-","."},1,,,$J77))</f>
        <v>KWD</v>
      </c>
      <c r="M77" s="24" t="str">
        <f>IF('query (2)'!I77&lt;&gt;"",TRIM(UPPER('query (2)'!I77)),IF($L77="","UNKNOWN",$L77))</f>
        <v>KWD</v>
      </c>
      <c r="N77" s="24" t="str">
        <f>IF('query (2)'!I77&lt;&gt;"","SOURCE",IF($L77="","UNKNOWN","DERIVED"))</f>
        <v>SOURCE</v>
      </c>
      <c r="O77" s="24" t="str">
        <f>IF('query (2)'!E77="","NOT_SPECIFIED",TRIM(UPPER('query (2)'!E77)))</f>
        <v>GRINDING 2</v>
      </c>
      <c r="P77" s="24" t="str">
        <f>IF('query (2)'!F77="","",TRIM(UPPER('query (2)'!F77)))</f>
        <v>1015-KW5G</v>
      </c>
      <c r="Q77" s="24" t="str">
        <f>IF('query (2)'!G77="","UNKNOWN",IFERROR(INDEX(Cleaning_Rules!$B$38:$B$46,MATCH(TRIM(UPPER('query (2)'!G77)),Cleaning_Rules!$A$38:$A$46,0)),"UNKNOWN"))</f>
        <v>GRINDING</v>
      </c>
      <c r="R77" s="24" t="str">
        <f>IF('query (2)'!H77="","",TRIM(UPPER('query (2)'!H77)))</f>
        <v>INNER RING RIB GRINDING MACHINE</v>
      </c>
      <c r="S77" s="25" t="str">
        <f>IF('query (2)'!H77="","",'query (2)'!H77)</f>
        <v>Inner ring rib grinding machine</v>
      </c>
      <c r="T77" s="24" t="str">
        <f>IF('query (2)'!J77="","",TRIM(UPPER('query (2)'!J77)))</f>
        <v>B - RIB GRINDING</v>
      </c>
      <c r="U77" s="24" t="str">
        <f t="shared" si="10"/>
        <v/>
      </c>
      <c r="V77" s="24" t="str">
        <f>IF('query (2)'!K77="","NOT_SPECIFIED",IFERROR(INDEX(Cleaning_Rules!$B$32:$B$34,MATCH(TRIM(UPPER('query (2)'!K77)),Cleaning_Rules!$A$32:$A$34,0)),"UNKNOWN"))</f>
        <v>NOT_SPECIFIED</v>
      </c>
      <c r="W77" s="24" t="str">
        <f t="shared" si="11"/>
        <v>GR-578 | FACTORY3 | KWD5 | KWD | GRINDING 2 | 1015-KW5G | GRINDING | INNER RING RIB GRINDING MACHINE | B - RIB GRINDING | NOT_SPECIFIED</v>
      </c>
      <c r="X77" s="24" t="str">
        <f t="shared" si="12"/>
        <v/>
      </c>
      <c r="Y77" s="24" t="str">
        <f t="shared" si="13"/>
        <v>MISSING_STATUS</v>
      </c>
    </row>
    <row r="78" spans="1:25" x14ac:dyDescent="0.3">
      <c r="A78" s="24" t="str">
        <f t="shared" si="7"/>
        <v>GR-690#0077</v>
      </c>
      <c r="B78" s="24" t="str">
        <f>IF('query (2)'!B78="","",TRIM(UPPER('query (2)'!B78)))</f>
        <v>GR-690</v>
      </c>
      <c r="C78" s="25" t="str">
        <f>IF('query (2)'!B78="","",'query (2)'!B78)</f>
        <v>GR-690</v>
      </c>
      <c r="D78" s="24" t="str">
        <f t="shared" si="8"/>
        <v>GR</v>
      </c>
      <c r="E78" s="24">
        <f t="shared" si="9"/>
        <v>1</v>
      </c>
      <c r="F78" s="24">
        <f>IF('query (2)'!A78="","",IFERROR(VALUE('query (2)'!A78),""))</f>
        <v>77</v>
      </c>
      <c r="G78" s="24" t="str">
        <f>IF('query (2)'!C78="","UNKNOWN",IFERROR(INDEX(Cleaning_Rules!$B$15:$B$20,MATCH(TRIM(UPPER('query (2)'!C78)),Cleaning_Rules!$A$15:$A$20,0)),"UNKNOWN"))</f>
        <v>FACTORY3</v>
      </c>
      <c r="H78" s="25" t="str">
        <f>IF('query (2)'!C78="","",'query (2)'!C78)</f>
        <v>FACTORY3</v>
      </c>
      <c r="I78" s="24" t="str" cm="1">
        <f t="array" ref="I78">_xlfn.IFS($G78="UNKNOWN","UNKNOWN",OR($G78="FACTORY1",$G78="FACTORY2",$G78="FACTORY3"),"PLANT",TRUE,"SHARED")</f>
        <v>PLANT</v>
      </c>
      <c r="J78" s="24" t="str">
        <f>IF('query (2)'!D78="","UNKNOWN",IF(COUNTIF(Cleaning_Rules!$A$6:$A$11,TRIM('query (2)'!D78))&gt;0,"UNKNOWN",IFERROR(INDEX(Cleaning_Rules!$B$24:$B$28,MATCH(TRIM(UPPER('query (2)'!D78)),Cleaning_Rules!$A$24:$A$28,0)),TRIM(UPPER('query (2)'!D78)))))</f>
        <v>KWD6</v>
      </c>
      <c r="K78" s="25" t="str">
        <f>IF('query (2)'!D78="","",'query (2)'!D78)</f>
        <v>KWD6</v>
      </c>
      <c r="L78" s="24" t="str">
        <f>IF($J78="UNKNOWN","",_xlfn.TEXTBEFORE($J78,{"0","1","2","3","4","5","6","7","8","9"," ","-","."},1,,,$J78))</f>
        <v>KWD</v>
      </c>
      <c r="M78" s="24" t="str">
        <f>IF('query (2)'!I78&lt;&gt;"",TRIM(UPPER('query (2)'!I78)),IF($L78="","UNKNOWN",$L78))</f>
        <v>KWD</v>
      </c>
      <c r="N78" s="24" t="str">
        <f>IF('query (2)'!I78&lt;&gt;"","SOURCE",IF($L78="","UNKNOWN","DERIVED"))</f>
        <v>SOURCE</v>
      </c>
      <c r="O78" s="24" t="str">
        <f>IF('query (2)'!E78="","NOT_SPECIFIED",TRIM(UPPER('query (2)'!E78)))</f>
        <v>GRINDING 2</v>
      </c>
      <c r="P78" s="24" t="str">
        <f>IF('query (2)'!F78="","",TRIM(UPPER('query (2)'!F78)))</f>
        <v xml:space="preserve">1018-KW6G
</v>
      </c>
      <c r="Q78" s="24" t="str">
        <f>IF('query (2)'!G78="","UNKNOWN",IFERROR(INDEX(Cleaning_Rules!$B$38:$B$46,MATCH(TRIM(UPPER('query (2)'!G78)),Cleaning_Rules!$A$38:$A$46,0)),"UNKNOWN"))</f>
        <v>GRINDING</v>
      </c>
      <c r="R78" s="24" t="str">
        <f>IF('query (2)'!H78="","",TRIM(UPPER('query (2)'!H78)))</f>
        <v>INNER RING RIB GRINDING MACHINE</v>
      </c>
      <c r="S78" s="25" t="str">
        <f>IF('query (2)'!H78="","",'query (2)'!H78)</f>
        <v>Inner ring rib grinding machine</v>
      </c>
      <c r="T78" s="24" t="str">
        <f>IF('query (2)'!J78="","",TRIM(UPPER('query (2)'!J78)))</f>
        <v>B - RIB GRINDING</v>
      </c>
      <c r="U78" s="24" t="str">
        <f t="shared" si="10"/>
        <v/>
      </c>
      <c r="V78" s="24" t="str">
        <f>IF('query (2)'!K78="","NOT_SPECIFIED",IFERROR(INDEX(Cleaning_Rules!$B$32:$B$34,MATCH(TRIM(UPPER('query (2)'!K78)),Cleaning_Rules!$A$32:$A$34,0)),"UNKNOWN"))</f>
        <v>NOT_SPECIFIED</v>
      </c>
      <c r="W78" s="24" t="str">
        <f t="shared" si="11"/>
        <v>GR-690 | FACTORY3 | KWD6 | KWD | GRINDING 2 | 1018-KW6G
 | GRINDING | INNER RING RIB GRINDING MACHINE | B - RIB GRINDING | NOT_SPECIFIED</v>
      </c>
      <c r="X78" s="24" t="str">
        <f t="shared" si="12"/>
        <v/>
      </c>
      <c r="Y78" s="24" t="str">
        <f t="shared" si="13"/>
        <v>MISSING_STATUS</v>
      </c>
    </row>
    <row r="79" spans="1:25" x14ac:dyDescent="0.3">
      <c r="A79" s="24" t="str">
        <f t="shared" si="7"/>
        <v>GR-827#0078</v>
      </c>
      <c r="B79" s="24" t="str">
        <f>IF('query (2)'!B79="","",TRIM(UPPER('query (2)'!B79)))</f>
        <v>GR-827</v>
      </c>
      <c r="C79" s="25" t="str">
        <f>IF('query (2)'!B79="","",'query (2)'!B79)</f>
        <v>GR-827</v>
      </c>
      <c r="D79" s="24" t="str">
        <f t="shared" si="8"/>
        <v>GR</v>
      </c>
      <c r="E79" s="24">
        <f t="shared" si="9"/>
        <v>1</v>
      </c>
      <c r="F79" s="24">
        <f>IF('query (2)'!A79="","",IFERROR(VALUE('query (2)'!A79),""))</f>
        <v>78</v>
      </c>
      <c r="G79" s="24" t="str">
        <f>IF('query (2)'!C79="","UNKNOWN",IFERROR(INDEX(Cleaning_Rules!$B$15:$B$20,MATCH(TRIM(UPPER('query (2)'!C79)),Cleaning_Rules!$A$15:$A$20,0)),"UNKNOWN"))</f>
        <v>FACTORY3</v>
      </c>
      <c r="H79" s="25" t="str">
        <f>IF('query (2)'!C79="","",'query (2)'!C79)</f>
        <v>FACTORY3</v>
      </c>
      <c r="I79" s="24" t="str" cm="1">
        <f t="array" ref="I79">_xlfn.IFS($G79="UNKNOWN","UNKNOWN",OR($G79="FACTORY1",$G79="FACTORY2",$G79="FACTORY3"),"PLANT",TRUE,"SHARED")</f>
        <v>PLANT</v>
      </c>
      <c r="J79" s="24" t="str">
        <f>IF('query (2)'!D79="","UNKNOWN",IF(COUNTIF(Cleaning_Rules!$A$6:$A$11,TRIM('query (2)'!D79))&gt;0,"UNKNOWN",IFERROR(INDEX(Cleaning_Rules!$B$24:$B$28,MATCH(TRIM(UPPER('query (2)'!D79)),Cleaning_Rules!$A$24:$A$28,0)),TRIM(UPPER('query (2)'!D79)))))</f>
        <v>KWD7</v>
      </c>
      <c r="K79" s="25" t="str">
        <f>IF('query (2)'!D79="","",'query (2)'!D79)</f>
        <v>KWD7</v>
      </c>
      <c r="L79" s="24" t="str">
        <f>IF($J79="UNKNOWN","",_xlfn.TEXTBEFORE($J79,{"0","1","2","3","4","5","6","7","8","9"," ","-","."},1,,,$J79))</f>
        <v>KWD</v>
      </c>
      <c r="M79" s="24" t="str">
        <f>IF('query (2)'!I79&lt;&gt;"",TRIM(UPPER('query (2)'!I79)),IF($L79="","UNKNOWN",$L79))</f>
        <v>KWD</v>
      </c>
      <c r="N79" s="24" t="str">
        <f>IF('query (2)'!I79&lt;&gt;"","SOURCE",IF($L79="","UNKNOWN","DERIVED"))</f>
        <v>SOURCE</v>
      </c>
      <c r="O79" s="24" t="str">
        <f>IF('query (2)'!E79="","NOT_SPECIFIED",TRIM(UPPER('query (2)'!E79)))</f>
        <v>GRINDING 2</v>
      </c>
      <c r="P79" s="24" t="str">
        <f>IF('query (2)'!F79="","",TRIM(UPPER('query (2)'!F79)))</f>
        <v>1024-KW7G</v>
      </c>
      <c r="Q79" s="24" t="str">
        <f>IF('query (2)'!G79="","UNKNOWN",IFERROR(INDEX(Cleaning_Rules!$B$38:$B$46,MATCH(TRIM(UPPER('query (2)'!G79)),Cleaning_Rules!$A$38:$A$46,0)),"UNKNOWN"))</f>
        <v>GRINDING</v>
      </c>
      <c r="R79" s="24" t="str">
        <f>IF('query (2)'!H79="","",TRIM(UPPER('query (2)'!H79)))</f>
        <v>INNER RING RIB GRINDING MACHINE</v>
      </c>
      <c r="S79" s="25" t="str">
        <f>IF('query (2)'!H79="","",'query (2)'!H79)</f>
        <v>Inner ring rib grinding machine</v>
      </c>
      <c r="T79" s="24" t="str">
        <f>IF('query (2)'!J79="","",TRIM(UPPER('query (2)'!J79)))</f>
        <v>B - RIB GRINDING</v>
      </c>
      <c r="U79" s="24" t="str">
        <f t="shared" si="10"/>
        <v/>
      </c>
      <c r="V79" s="24" t="str">
        <f>IF('query (2)'!K79="","NOT_SPECIFIED",IFERROR(INDEX(Cleaning_Rules!$B$32:$B$34,MATCH(TRIM(UPPER('query (2)'!K79)),Cleaning_Rules!$A$32:$A$34,0)),"UNKNOWN"))</f>
        <v>NOT_SPECIFIED</v>
      </c>
      <c r="W79" s="24" t="str">
        <f t="shared" si="11"/>
        <v>GR-827 | FACTORY3 | KWD7 | KWD | GRINDING 2 | 1024-KW7G | GRINDING | INNER RING RIB GRINDING MACHINE | B - RIB GRINDING | NOT_SPECIFIED</v>
      </c>
      <c r="X79" s="24" t="str">
        <f t="shared" si="12"/>
        <v/>
      </c>
      <c r="Y79" s="24" t="str">
        <f t="shared" si="13"/>
        <v>MISSING_STATUS</v>
      </c>
    </row>
    <row r="80" spans="1:25" x14ac:dyDescent="0.3">
      <c r="A80" s="24" t="str">
        <f t="shared" si="7"/>
        <v>GR-339#0079</v>
      </c>
      <c r="B80" s="24" t="str">
        <f>IF('query (2)'!B80="","",TRIM(UPPER('query (2)'!B80)))</f>
        <v>GR-339</v>
      </c>
      <c r="C80" s="25" t="str">
        <f>IF('query (2)'!B80="","",'query (2)'!B80)</f>
        <v>GR-339</v>
      </c>
      <c r="D80" s="24" t="str">
        <f t="shared" si="8"/>
        <v>GR</v>
      </c>
      <c r="E80" s="24">
        <f t="shared" si="9"/>
        <v>1</v>
      </c>
      <c r="F80" s="24">
        <f>IF('query (2)'!A80="","",IFERROR(VALUE('query (2)'!A80),""))</f>
        <v>79</v>
      </c>
      <c r="G80" s="24" t="str">
        <f>IF('query (2)'!C80="","UNKNOWN",IFERROR(INDEX(Cleaning_Rules!$B$15:$B$20,MATCH(TRIM(UPPER('query (2)'!C80)),Cleaning_Rules!$A$15:$A$20,0)),"UNKNOWN"))</f>
        <v>FACTORY3</v>
      </c>
      <c r="H80" s="25" t="str">
        <f>IF('query (2)'!C80="","",'query (2)'!C80)</f>
        <v>FACTORY3</v>
      </c>
      <c r="I80" s="24" t="str" cm="1">
        <f t="array" ref="I80">_xlfn.IFS($G80="UNKNOWN","UNKNOWN",OR($G80="FACTORY1",$G80="FACTORY2",$G80="FACTORY3"),"PLANT",TRUE,"SHARED")</f>
        <v>PLANT</v>
      </c>
      <c r="J80" s="24" t="str">
        <f>IF('query (2)'!D80="","UNKNOWN",IF(COUNTIF(Cleaning_Rules!$A$6:$A$11,TRIM('query (2)'!D80))&gt;0,"UNKNOWN",IFERROR(INDEX(Cleaning_Rules!$B$24:$B$28,MATCH(TRIM(UPPER('query (2)'!D80)),Cleaning_Rules!$A$24:$A$28,0)),TRIM(UPPER('query (2)'!D80)))))</f>
        <v>KWD3</v>
      </c>
      <c r="K80" s="25" t="str">
        <f>IF('query (2)'!D80="","",'query (2)'!D80)</f>
        <v>KWD3</v>
      </c>
      <c r="L80" s="24" t="str">
        <f>IF($J80="UNKNOWN","",_xlfn.TEXTBEFORE($J80,{"0","1","2","3","4","5","6","7","8","9"," ","-","."},1,,,$J80))</f>
        <v>KWD</v>
      </c>
      <c r="M80" s="24" t="str">
        <f>IF('query (2)'!I80&lt;&gt;"",TRIM(UPPER('query (2)'!I80)),IF($L80="","UNKNOWN",$L80))</f>
        <v>KWD</v>
      </c>
      <c r="N80" s="24" t="str">
        <f>IF('query (2)'!I80&lt;&gt;"","SOURCE",IF($L80="","UNKNOWN","DERIVED"))</f>
        <v>SOURCE</v>
      </c>
      <c r="O80" s="24" t="str">
        <f>IF('query (2)'!E80="","NOT_SPECIFIED",TRIM(UPPER('query (2)'!E80)))</f>
        <v>GRINDING 2</v>
      </c>
      <c r="P80" s="24" t="str">
        <f>IF('query (2)'!F80="","",TRIM(UPPER('query (2)'!F80)))</f>
        <v>1009-KW3G</v>
      </c>
      <c r="Q80" s="24" t="str">
        <f>IF('query (2)'!G80="","UNKNOWN",IFERROR(INDEX(Cleaning_Rules!$B$38:$B$46,MATCH(TRIM(UPPER('query (2)'!G80)),Cleaning_Rules!$A$38:$A$46,0)),"UNKNOWN"))</f>
        <v>GRINDING</v>
      </c>
      <c r="R80" s="24" t="str">
        <f>IF('query (2)'!H80="","",TRIM(UPPER('query (2)'!H80)))</f>
        <v>INNER RING RIB GRINDING MACHINE</v>
      </c>
      <c r="S80" s="25" t="str">
        <f>IF('query (2)'!H80="","",'query (2)'!H80)</f>
        <v>Inner ring rib grinding machine</v>
      </c>
      <c r="T80" s="24" t="str">
        <f>IF('query (2)'!J80="","",TRIM(UPPER('query (2)'!J80)))</f>
        <v>B - RIB GRINDING</v>
      </c>
      <c r="U80" s="24" t="str">
        <f t="shared" si="10"/>
        <v/>
      </c>
      <c r="V80" s="24" t="str">
        <f>IF('query (2)'!K80="","NOT_SPECIFIED",IFERROR(INDEX(Cleaning_Rules!$B$32:$B$34,MATCH(TRIM(UPPER('query (2)'!K80)),Cleaning_Rules!$A$32:$A$34,0)),"UNKNOWN"))</f>
        <v>NOT_SPECIFIED</v>
      </c>
      <c r="W80" s="24" t="str">
        <f t="shared" si="11"/>
        <v>GR-339 | FACTORY3 | KWD3 | KWD | GRINDING 2 | 1009-KW3G | GRINDING | INNER RING RIB GRINDING MACHINE | B - RIB GRINDING | NOT_SPECIFIED</v>
      </c>
      <c r="X80" s="24" t="str">
        <f t="shared" si="12"/>
        <v/>
      </c>
      <c r="Y80" s="24" t="str">
        <f t="shared" si="13"/>
        <v>MISSING_STATUS</v>
      </c>
    </row>
    <row r="81" spans="1:25" x14ac:dyDescent="0.3">
      <c r="A81" s="24" t="str">
        <f t="shared" si="7"/>
        <v>MA-629#0080</v>
      </c>
      <c r="B81" s="24" t="str">
        <f>IF('query (2)'!B81="","",TRIM(UPPER('query (2)'!B81)))</f>
        <v>MA-629</v>
      </c>
      <c r="C81" s="25" t="str">
        <f>IF('query (2)'!B81="","",'query (2)'!B81)</f>
        <v>MA-629</v>
      </c>
      <c r="D81" s="24" t="str">
        <f t="shared" si="8"/>
        <v>MA</v>
      </c>
      <c r="E81" s="24">
        <f t="shared" si="9"/>
        <v>1</v>
      </c>
      <c r="F81" s="24">
        <f>IF('query (2)'!A81="","",IFERROR(VALUE('query (2)'!A81),""))</f>
        <v>80</v>
      </c>
      <c r="G81" s="24" t="str">
        <f>IF('query (2)'!C81="","UNKNOWN",IFERROR(INDEX(Cleaning_Rules!$B$15:$B$20,MATCH(TRIM(UPPER('query (2)'!C81)),Cleaning_Rules!$A$15:$A$20,0)),"UNKNOWN"))</f>
        <v>FACTORY3</v>
      </c>
      <c r="H81" s="25" t="str">
        <f>IF('query (2)'!C81="","",'query (2)'!C81)</f>
        <v>FACTORY3</v>
      </c>
      <c r="I81" s="24" t="str" cm="1">
        <f t="array" ref="I81">_xlfn.IFS($G81="UNKNOWN","UNKNOWN",OR($G81="FACTORY1",$G81="FACTORY2",$G81="FACTORY3"),"PLANT",TRUE,"SHARED")</f>
        <v>PLANT</v>
      </c>
      <c r="J81" s="24" t="str">
        <f>IF('query (2)'!D81="","UNKNOWN",IF(COUNTIF(Cleaning_Rules!$A$6:$A$11,TRIM('query (2)'!D81))&gt;0,"UNKNOWN",IFERROR(INDEX(Cleaning_Rules!$B$24:$B$28,MATCH(TRIM(UPPER('query (2)'!D81)),Cleaning_Rules!$A$24:$A$28,0)),TRIM(UPPER('query (2)'!D81)))))</f>
        <v>KWD1</v>
      </c>
      <c r="K81" s="25" t="str">
        <f>IF('query (2)'!D81="","",'query (2)'!D81)</f>
        <v>KWD1</v>
      </c>
      <c r="L81" s="24" t="str">
        <f>IF($J81="UNKNOWN","",_xlfn.TEXTBEFORE($J81,{"0","1","2","3","4","5","6","7","8","9"," ","-","."},1,,,$J81))</f>
        <v>KWD</v>
      </c>
      <c r="M81" s="24" t="str">
        <f>IF('query (2)'!I81&lt;&gt;"",TRIM(UPPER('query (2)'!I81)),IF($L81="","UNKNOWN",$L81))</f>
        <v>KWD</v>
      </c>
      <c r="N81" s="24" t="str">
        <f>IF('query (2)'!I81&lt;&gt;"","SOURCE",IF($L81="","UNKNOWN","DERIVED"))</f>
        <v>SOURCE</v>
      </c>
      <c r="O81" s="24" t="str">
        <f>IF('query (2)'!E81="","NOT_SPECIFIED",TRIM(UPPER('query (2)'!E81)))</f>
        <v>ASSEMBLY</v>
      </c>
      <c r="P81" s="24" t="str">
        <f>IF('query (2)'!F81="","",TRIM(UPPER('query (2)'!F81)))</f>
        <v>1004-KW1AI</v>
      </c>
      <c r="Q81" s="24" t="str">
        <f>IF('query (2)'!G81="","UNKNOWN",IFERROR(INDEX(Cleaning_Rules!$B$38:$B$46,MATCH(TRIM(UPPER('query (2)'!G81)),Cleaning_Rules!$A$38:$A$46,0)),"UNKNOWN"))</f>
        <v>OTHER</v>
      </c>
      <c r="R81" s="24" t="str">
        <f>IF('query (2)'!H81="","",TRIM(UPPER('query (2)'!H81)))</f>
        <v>LASER MARKER MACHINE</v>
      </c>
      <c r="S81" s="25" t="str">
        <f>IF('query (2)'!H81="","",'query (2)'!H81)</f>
        <v>Laser marker machine</v>
      </c>
      <c r="T81" s="24" t="str">
        <f>IF('query (2)'!J81="","",TRIM(UPPER('query (2)'!J81)))</f>
        <v>LASER MARKING</v>
      </c>
      <c r="U81" s="24" t="str">
        <f t="shared" si="10"/>
        <v/>
      </c>
      <c r="V81" s="24" t="str">
        <f>IF('query (2)'!K81="","NOT_SPECIFIED",IFERROR(INDEX(Cleaning_Rules!$B$32:$B$34,MATCH(TRIM(UPPER('query (2)'!K81)),Cleaning_Rules!$A$32:$A$34,0)),"UNKNOWN"))</f>
        <v>NOT_SPECIFIED</v>
      </c>
      <c r="W81" s="24" t="str">
        <f t="shared" si="11"/>
        <v>MA-629 | FACTORY3 | KWD1 | KWD | ASSEMBLY | 1004-KW1AI | OTHER | LASER MARKER MACHINE | LASER MARKING | NOT_SPECIFIED</v>
      </c>
      <c r="X81" s="24" t="str">
        <f t="shared" si="12"/>
        <v/>
      </c>
      <c r="Y81" s="24" t="str">
        <f t="shared" si="13"/>
        <v>MISSING_STATUS; CATEGORY_NOT_USEFUL</v>
      </c>
    </row>
    <row r="82" spans="1:25" x14ac:dyDescent="0.3">
      <c r="A82" s="24" t="str">
        <f t="shared" si="7"/>
        <v>MA-630#0081</v>
      </c>
      <c r="B82" s="24" t="str">
        <f>IF('query (2)'!B82="","",TRIM(UPPER('query (2)'!B82)))</f>
        <v>MA-630</v>
      </c>
      <c r="C82" s="25" t="str">
        <f>IF('query (2)'!B82="","",'query (2)'!B82)</f>
        <v>MA-630</v>
      </c>
      <c r="D82" s="24" t="str">
        <f t="shared" si="8"/>
        <v>MA</v>
      </c>
      <c r="E82" s="24">
        <f t="shared" si="9"/>
        <v>1</v>
      </c>
      <c r="F82" s="24">
        <f>IF('query (2)'!A82="","",IFERROR(VALUE('query (2)'!A82),""))</f>
        <v>81</v>
      </c>
      <c r="G82" s="24" t="str">
        <f>IF('query (2)'!C82="","UNKNOWN",IFERROR(INDEX(Cleaning_Rules!$B$15:$B$20,MATCH(TRIM(UPPER('query (2)'!C82)),Cleaning_Rules!$A$15:$A$20,0)),"UNKNOWN"))</f>
        <v>FACTORY3</v>
      </c>
      <c r="H82" s="25" t="str">
        <f>IF('query (2)'!C82="","",'query (2)'!C82)</f>
        <v>FACTORY3</v>
      </c>
      <c r="I82" s="24" t="str" cm="1">
        <f t="array" ref="I82">_xlfn.IFS($G82="UNKNOWN","UNKNOWN",OR($G82="FACTORY1",$G82="FACTORY2",$G82="FACTORY3"),"PLANT",TRUE,"SHARED")</f>
        <v>PLANT</v>
      </c>
      <c r="J82" s="24" t="str">
        <f>IF('query (2)'!D82="","UNKNOWN",IF(COUNTIF(Cleaning_Rules!$A$6:$A$11,TRIM('query (2)'!D82))&gt;0,"UNKNOWN",IFERROR(INDEX(Cleaning_Rules!$B$24:$B$28,MATCH(TRIM(UPPER('query (2)'!D82)),Cleaning_Rules!$A$24:$A$28,0)),TRIM(UPPER('query (2)'!D82)))))</f>
        <v>KWD2</v>
      </c>
      <c r="K82" s="25" t="str">
        <f>IF('query (2)'!D82="","",'query (2)'!D82)</f>
        <v>KWD2</v>
      </c>
      <c r="L82" s="24" t="str">
        <f>IF($J82="UNKNOWN","",_xlfn.TEXTBEFORE($J82,{"0","1","2","3","4","5","6","7","8","9"," ","-","."},1,,,$J82))</f>
        <v>KWD</v>
      </c>
      <c r="M82" s="24" t="str">
        <f>IF('query (2)'!I82&lt;&gt;"",TRIM(UPPER('query (2)'!I82)),IF($L82="","UNKNOWN",$L82))</f>
        <v>KWD</v>
      </c>
      <c r="N82" s="24" t="str">
        <f>IF('query (2)'!I82&lt;&gt;"","SOURCE",IF($L82="","UNKNOWN","DERIVED"))</f>
        <v>SOURCE</v>
      </c>
      <c r="O82" s="24" t="str">
        <f>IF('query (2)'!E82="","NOT_SPECIFIED",TRIM(UPPER('query (2)'!E82)))</f>
        <v>ASSEMBLY</v>
      </c>
      <c r="P82" s="24" t="str">
        <f>IF('query (2)'!F82="","",TRIM(UPPER('query (2)'!F82)))</f>
        <v>1007-KW2AI</v>
      </c>
      <c r="Q82" s="24" t="str">
        <f>IF('query (2)'!G82="","UNKNOWN",IFERROR(INDEX(Cleaning_Rules!$B$38:$B$46,MATCH(TRIM(UPPER('query (2)'!G82)),Cleaning_Rules!$A$38:$A$46,0)),"UNKNOWN"))</f>
        <v>OTHER</v>
      </c>
      <c r="R82" s="24" t="str">
        <f>IF('query (2)'!H82="","",TRIM(UPPER('query (2)'!H82)))</f>
        <v>LASER MARKER MACHINE</v>
      </c>
      <c r="S82" s="25" t="str">
        <f>IF('query (2)'!H82="","",'query (2)'!H82)</f>
        <v>Laser marker machine</v>
      </c>
      <c r="T82" s="24" t="str">
        <f>IF('query (2)'!J82="","",TRIM(UPPER('query (2)'!J82)))</f>
        <v>LASER MARKING</v>
      </c>
      <c r="U82" s="24" t="str">
        <f t="shared" si="10"/>
        <v/>
      </c>
      <c r="V82" s="24" t="str">
        <f>IF('query (2)'!K82="","NOT_SPECIFIED",IFERROR(INDEX(Cleaning_Rules!$B$32:$B$34,MATCH(TRIM(UPPER('query (2)'!K82)),Cleaning_Rules!$A$32:$A$34,0)),"UNKNOWN"))</f>
        <v>NOT_SPECIFIED</v>
      </c>
      <c r="W82" s="24" t="str">
        <f t="shared" si="11"/>
        <v>MA-630 | FACTORY3 | KWD2 | KWD | ASSEMBLY | 1007-KW2AI | OTHER | LASER MARKER MACHINE | LASER MARKING | NOT_SPECIFIED</v>
      </c>
      <c r="X82" s="24" t="str">
        <f t="shared" si="12"/>
        <v/>
      </c>
      <c r="Y82" s="24" t="str">
        <f t="shared" si="13"/>
        <v>MISSING_STATUS; CATEGORY_NOT_USEFUL</v>
      </c>
    </row>
    <row r="83" spans="1:25" x14ac:dyDescent="0.3">
      <c r="A83" s="24" t="str">
        <f t="shared" si="7"/>
        <v>MA-606#0082</v>
      </c>
      <c r="B83" s="24" t="str">
        <f>IF('query (2)'!B83="","",TRIM(UPPER('query (2)'!B83)))</f>
        <v>MA-606</v>
      </c>
      <c r="C83" s="25" t="str">
        <f>IF('query (2)'!B83="","",'query (2)'!B83)</f>
        <v>MA-606</v>
      </c>
      <c r="D83" s="24" t="str">
        <f t="shared" si="8"/>
        <v>MA</v>
      </c>
      <c r="E83" s="24">
        <f t="shared" si="9"/>
        <v>1</v>
      </c>
      <c r="F83" s="24">
        <f>IF('query (2)'!A83="","",IFERROR(VALUE('query (2)'!A83),""))</f>
        <v>82</v>
      </c>
      <c r="G83" s="24" t="str">
        <f>IF('query (2)'!C83="","UNKNOWN",IFERROR(INDEX(Cleaning_Rules!$B$15:$B$20,MATCH(TRIM(UPPER('query (2)'!C83)),Cleaning_Rules!$A$15:$A$20,0)),"UNKNOWN"))</f>
        <v>FACTORY3</v>
      </c>
      <c r="H83" s="25" t="str">
        <f>IF('query (2)'!C83="","",'query (2)'!C83)</f>
        <v>FACTORY3</v>
      </c>
      <c r="I83" s="24" t="str" cm="1">
        <f t="array" ref="I83">_xlfn.IFS($G83="UNKNOWN","UNKNOWN",OR($G83="FACTORY1",$G83="FACTORY2",$G83="FACTORY3"),"PLANT",TRUE,"SHARED")</f>
        <v>PLANT</v>
      </c>
      <c r="J83" s="24" t="str">
        <f>IF('query (2)'!D83="","UNKNOWN",IF(COUNTIF(Cleaning_Rules!$A$6:$A$11,TRIM('query (2)'!D83))&gt;0,"UNKNOWN",IFERROR(INDEX(Cleaning_Rules!$B$24:$B$28,MATCH(TRIM(UPPER('query (2)'!D83)),Cleaning_Rules!$A$24:$A$28,0)),TRIM(UPPER('query (2)'!D83)))))</f>
        <v>KWD4</v>
      </c>
      <c r="K83" s="25" t="str">
        <f>IF('query (2)'!D83="","",'query (2)'!D83)</f>
        <v>KWD4</v>
      </c>
      <c r="L83" s="24" t="str">
        <f>IF($J83="UNKNOWN","",_xlfn.TEXTBEFORE($J83,{"0","1","2","3","4","5","6","7","8","9"," ","-","."},1,,,$J83))</f>
        <v>KWD</v>
      </c>
      <c r="M83" s="24" t="str">
        <f>IF('query (2)'!I83&lt;&gt;"",TRIM(UPPER('query (2)'!I83)),IF($L83="","UNKNOWN",$L83))</f>
        <v>KWD</v>
      </c>
      <c r="N83" s="24" t="str">
        <f>IF('query (2)'!I83&lt;&gt;"","SOURCE",IF($L83="","UNKNOWN","DERIVED"))</f>
        <v>SOURCE</v>
      </c>
      <c r="O83" s="24" t="str">
        <f>IF('query (2)'!E83="","NOT_SPECIFIED",TRIM(UPPER('query (2)'!E83)))</f>
        <v>ASSEMBLY</v>
      </c>
      <c r="P83" s="24" t="str">
        <f>IF('query (2)'!F83="","",TRIM(UPPER('query (2)'!F83)))</f>
        <v>1013-KW4AI</v>
      </c>
      <c r="Q83" s="24" t="str">
        <f>IF('query (2)'!G83="","UNKNOWN",IFERROR(INDEX(Cleaning_Rules!$B$38:$B$46,MATCH(TRIM(UPPER('query (2)'!G83)),Cleaning_Rules!$A$38:$A$46,0)),"UNKNOWN"))</f>
        <v>OTHER</v>
      </c>
      <c r="R83" s="24" t="str">
        <f>IF('query (2)'!H83="","",TRIM(UPPER('query (2)'!H83)))</f>
        <v>LASER MARKER MACHINE</v>
      </c>
      <c r="S83" s="25" t="str">
        <f>IF('query (2)'!H83="","",'query (2)'!H83)</f>
        <v>Laser marker machine</v>
      </c>
      <c r="T83" s="24" t="str">
        <f>IF('query (2)'!J83="","",TRIM(UPPER('query (2)'!J83)))</f>
        <v>LASER MARKING</v>
      </c>
      <c r="U83" s="24" t="str">
        <f t="shared" si="10"/>
        <v/>
      </c>
      <c r="V83" s="24" t="str">
        <f>IF('query (2)'!K83="","NOT_SPECIFIED",IFERROR(INDEX(Cleaning_Rules!$B$32:$B$34,MATCH(TRIM(UPPER('query (2)'!K83)),Cleaning_Rules!$A$32:$A$34,0)),"UNKNOWN"))</f>
        <v>NOT_SPECIFIED</v>
      </c>
      <c r="W83" s="24" t="str">
        <f t="shared" si="11"/>
        <v>MA-606 | FACTORY3 | KWD4 | KWD | ASSEMBLY | 1013-KW4AI | OTHER | LASER MARKER MACHINE | LASER MARKING | NOT_SPECIFIED</v>
      </c>
      <c r="X83" s="24" t="str">
        <f t="shared" si="12"/>
        <v/>
      </c>
      <c r="Y83" s="24" t="str">
        <f t="shared" si="13"/>
        <v>MISSING_STATUS; CATEGORY_NOT_USEFUL</v>
      </c>
    </row>
    <row r="84" spans="1:25" x14ac:dyDescent="0.3">
      <c r="A84" s="24" t="str">
        <f t="shared" si="7"/>
        <v>MA-602#0083</v>
      </c>
      <c r="B84" s="24" t="str">
        <f>IF('query (2)'!B84="","",TRIM(UPPER('query (2)'!B84)))</f>
        <v>MA-602</v>
      </c>
      <c r="C84" s="25" t="str">
        <f>IF('query (2)'!B84="","",'query (2)'!B84)</f>
        <v>MA-602</v>
      </c>
      <c r="D84" s="24" t="str">
        <f t="shared" si="8"/>
        <v>MA</v>
      </c>
      <c r="E84" s="24">
        <f t="shared" si="9"/>
        <v>1</v>
      </c>
      <c r="F84" s="24">
        <f>IF('query (2)'!A84="","",IFERROR(VALUE('query (2)'!A84),""))</f>
        <v>83</v>
      </c>
      <c r="G84" s="24" t="str">
        <f>IF('query (2)'!C84="","UNKNOWN",IFERROR(INDEX(Cleaning_Rules!$B$15:$B$20,MATCH(TRIM(UPPER('query (2)'!C84)),Cleaning_Rules!$A$15:$A$20,0)),"UNKNOWN"))</f>
        <v>FACTORY3</v>
      </c>
      <c r="H84" s="25" t="str">
        <f>IF('query (2)'!C84="","",'query (2)'!C84)</f>
        <v>FACTORY3</v>
      </c>
      <c r="I84" s="24" t="str" cm="1">
        <f t="array" ref="I84">_xlfn.IFS($G84="UNKNOWN","UNKNOWN",OR($G84="FACTORY1",$G84="FACTORY2",$G84="FACTORY3"),"PLANT",TRUE,"SHARED")</f>
        <v>PLANT</v>
      </c>
      <c r="J84" s="24" t="str">
        <f>IF('query (2)'!D84="","UNKNOWN",IF(COUNTIF(Cleaning_Rules!$A$6:$A$11,TRIM('query (2)'!D84))&gt;0,"UNKNOWN",IFERROR(INDEX(Cleaning_Rules!$B$24:$B$28,MATCH(TRIM(UPPER('query (2)'!D84)),Cleaning_Rules!$A$24:$A$28,0)),TRIM(UPPER('query (2)'!D84)))))</f>
        <v>KWD5</v>
      </c>
      <c r="K84" s="25" t="str">
        <f>IF('query (2)'!D84="","",'query (2)'!D84)</f>
        <v>KWD5</v>
      </c>
      <c r="L84" s="24" t="str">
        <f>IF($J84="UNKNOWN","",_xlfn.TEXTBEFORE($J84,{"0","1","2","3","4","5","6","7","8","9"," ","-","."},1,,,$J84))</f>
        <v>KWD</v>
      </c>
      <c r="M84" s="24" t="str">
        <f>IF('query (2)'!I84&lt;&gt;"",TRIM(UPPER('query (2)'!I84)),IF($L84="","UNKNOWN",$L84))</f>
        <v>KWD</v>
      </c>
      <c r="N84" s="24" t="str">
        <f>IF('query (2)'!I84&lt;&gt;"","SOURCE",IF($L84="","UNKNOWN","DERIVED"))</f>
        <v>SOURCE</v>
      </c>
      <c r="O84" s="24" t="str">
        <f>IF('query (2)'!E84="","NOT_SPECIFIED",TRIM(UPPER('query (2)'!E84)))</f>
        <v>ASSEMBLY</v>
      </c>
      <c r="P84" s="24" t="str">
        <f>IF('query (2)'!F84="","",TRIM(UPPER('query (2)'!F84)))</f>
        <v>1016-KW5AI</v>
      </c>
      <c r="Q84" s="24" t="str">
        <f>IF('query (2)'!G84="","UNKNOWN",IFERROR(INDEX(Cleaning_Rules!$B$38:$B$46,MATCH(TRIM(UPPER('query (2)'!G84)),Cleaning_Rules!$A$38:$A$46,0)),"UNKNOWN"))</f>
        <v>OTHER</v>
      </c>
      <c r="R84" s="24" t="str">
        <f>IF('query (2)'!H84="","",TRIM(UPPER('query (2)'!H84)))</f>
        <v>LASER MARKER MACHINE</v>
      </c>
      <c r="S84" s="25" t="str">
        <f>IF('query (2)'!H84="","",'query (2)'!H84)</f>
        <v>Laser marker machine</v>
      </c>
      <c r="T84" s="24" t="str">
        <f>IF('query (2)'!J84="","",TRIM(UPPER('query (2)'!J84)))</f>
        <v>LASER MARKING</v>
      </c>
      <c r="U84" s="24" t="str">
        <f t="shared" si="10"/>
        <v/>
      </c>
      <c r="V84" s="24" t="str">
        <f>IF('query (2)'!K84="","NOT_SPECIFIED",IFERROR(INDEX(Cleaning_Rules!$B$32:$B$34,MATCH(TRIM(UPPER('query (2)'!K84)),Cleaning_Rules!$A$32:$A$34,0)),"UNKNOWN"))</f>
        <v>NOT_SPECIFIED</v>
      </c>
      <c r="W84" s="24" t="str">
        <f t="shared" si="11"/>
        <v>MA-602 | FACTORY3 | KWD5 | KWD | ASSEMBLY | 1016-KW5AI | OTHER | LASER MARKER MACHINE | LASER MARKING | NOT_SPECIFIED</v>
      </c>
      <c r="X84" s="24" t="str">
        <f t="shared" si="12"/>
        <v/>
      </c>
      <c r="Y84" s="24" t="str">
        <f t="shared" si="13"/>
        <v>MISSING_STATUS; CATEGORY_NOT_USEFUL</v>
      </c>
    </row>
    <row r="85" spans="1:25" x14ac:dyDescent="0.3">
      <c r="A85" s="24" t="str">
        <f t="shared" si="7"/>
        <v>MA-712#0084</v>
      </c>
      <c r="B85" s="24" t="str">
        <f>IF('query (2)'!B85="","",TRIM(UPPER('query (2)'!B85)))</f>
        <v>MA-712</v>
      </c>
      <c r="C85" s="25" t="str">
        <f>IF('query (2)'!B85="","",'query (2)'!B85)</f>
        <v>MA-712</v>
      </c>
      <c r="D85" s="24" t="str">
        <f t="shared" si="8"/>
        <v>MA</v>
      </c>
      <c r="E85" s="24">
        <f t="shared" si="9"/>
        <v>1</v>
      </c>
      <c r="F85" s="24">
        <f>IF('query (2)'!A85="","",IFERROR(VALUE('query (2)'!A85),""))</f>
        <v>84</v>
      </c>
      <c r="G85" s="24" t="str">
        <f>IF('query (2)'!C85="","UNKNOWN",IFERROR(INDEX(Cleaning_Rules!$B$15:$B$20,MATCH(TRIM(UPPER('query (2)'!C85)),Cleaning_Rules!$A$15:$A$20,0)),"UNKNOWN"))</f>
        <v>FACTORY3</v>
      </c>
      <c r="H85" s="25" t="str">
        <f>IF('query (2)'!C85="","",'query (2)'!C85)</f>
        <v>FACTORY3</v>
      </c>
      <c r="I85" s="24" t="str" cm="1">
        <f t="array" ref="I85">_xlfn.IFS($G85="UNKNOWN","UNKNOWN",OR($G85="FACTORY1",$G85="FACTORY2",$G85="FACTORY3"),"PLANT",TRUE,"SHARED")</f>
        <v>PLANT</v>
      </c>
      <c r="J85" s="24" t="str">
        <f>IF('query (2)'!D85="","UNKNOWN",IF(COUNTIF(Cleaning_Rules!$A$6:$A$11,TRIM('query (2)'!D85))&gt;0,"UNKNOWN",IFERROR(INDEX(Cleaning_Rules!$B$24:$B$28,MATCH(TRIM(UPPER('query (2)'!D85)),Cleaning_Rules!$A$24:$A$28,0)),TRIM(UPPER('query (2)'!D85)))))</f>
        <v>KWD6</v>
      </c>
      <c r="K85" s="25" t="str">
        <f>IF('query (2)'!D85="","",'query (2)'!D85)</f>
        <v>KWD6</v>
      </c>
      <c r="L85" s="24" t="str">
        <f>IF($J85="UNKNOWN","",_xlfn.TEXTBEFORE($J85,{"0","1","2","3","4","5","6","7","8","9"," ","-","."},1,,,$J85))</f>
        <v>KWD</v>
      </c>
      <c r="M85" s="24" t="str">
        <f>IF('query (2)'!I85&lt;&gt;"",TRIM(UPPER('query (2)'!I85)),IF($L85="","UNKNOWN",$L85))</f>
        <v>KWD</v>
      </c>
      <c r="N85" s="24" t="str">
        <f>IF('query (2)'!I85&lt;&gt;"","SOURCE",IF($L85="","UNKNOWN","DERIVED"))</f>
        <v>SOURCE</v>
      </c>
      <c r="O85" s="24" t="str">
        <f>IF('query (2)'!E85="","NOT_SPECIFIED",TRIM(UPPER('query (2)'!E85)))</f>
        <v>ASSEMBLY</v>
      </c>
      <c r="P85" s="24" t="str">
        <f>IF('query (2)'!F85="","",TRIM(UPPER('query (2)'!F85)))</f>
        <v>1019-KW6AI</v>
      </c>
      <c r="Q85" s="24" t="str">
        <f>IF('query (2)'!G85="","UNKNOWN",IFERROR(INDEX(Cleaning_Rules!$B$38:$B$46,MATCH(TRIM(UPPER('query (2)'!G85)),Cleaning_Rules!$A$38:$A$46,0)),"UNKNOWN"))</f>
        <v>OTHER</v>
      </c>
      <c r="R85" s="24" t="str">
        <f>IF('query (2)'!H85="","",TRIM(UPPER('query (2)'!H85)))</f>
        <v>LASER MARKER MACHINE</v>
      </c>
      <c r="S85" s="25" t="str">
        <f>IF('query (2)'!H85="","",'query (2)'!H85)</f>
        <v>Laser marker machine</v>
      </c>
      <c r="T85" s="24" t="str">
        <f>IF('query (2)'!J85="","",TRIM(UPPER('query (2)'!J85)))</f>
        <v>LASER MARKING</v>
      </c>
      <c r="U85" s="24" t="str">
        <f t="shared" si="10"/>
        <v/>
      </c>
      <c r="V85" s="24" t="str">
        <f>IF('query (2)'!K85="","NOT_SPECIFIED",IFERROR(INDEX(Cleaning_Rules!$B$32:$B$34,MATCH(TRIM(UPPER('query (2)'!K85)),Cleaning_Rules!$A$32:$A$34,0)),"UNKNOWN"))</f>
        <v>NOT_SPECIFIED</v>
      </c>
      <c r="W85" s="24" t="str">
        <f t="shared" si="11"/>
        <v>MA-712 | FACTORY3 | KWD6 | KWD | ASSEMBLY | 1019-KW6AI | OTHER | LASER MARKER MACHINE | LASER MARKING | NOT_SPECIFIED</v>
      </c>
      <c r="X85" s="24" t="str">
        <f t="shared" si="12"/>
        <v/>
      </c>
      <c r="Y85" s="24" t="str">
        <f t="shared" si="13"/>
        <v>MISSING_STATUS; CATEGORY_NOT_USEFUL</v>
      </c>
    </row>
    <row r="86" spans="1:25" x14ac:dyDescent="0.3">
      <c r="A86" s="24" t="str">
        <f t="shared" si="7"/>
        <v>MA-851#0085</v>
      </c>
      <c r="B86" s="24" t="str">
        <f>IF('query (2)'!B86="","",TRIM(UPPER('query (2)'!B86)))</f>
        <v>MA-851</v>
      </c>
      <c r="C86" s="25" t="str">
        <f>IF('query (2)'!B86="","",'query (2)'!B86)</f>
        <v>MA-851</v>
      </c>
      <c r="D86" s="24" t="str">
        <f t="shared" si="8"/>
        <v>MA</v>
      </c>
      <c r="E86" s="24">
        <f t="shared" si="9"/>
        <v>1</v>
      </c>
      <c r="F86" s="24">
        <f>IF('query (2)'!A86="","",IFERROR(VALUE('query (2)'!A86),""))</f>
        <v>85</v>
      </c>
      <c r="G86" s="24" t="str">
        <f>IF('query (2)'!C86="","UNKNOWN",IFERROR(INDEX(Cleaning_Rules!$B$15:$B$20,MATCH(TRIM(UPPER('query (2)'!C86)),Cleaning_Rules!$A$15:$A$20,0)),"UNKNOWN"))</f>
        <v>FACTORY3</v>
      </c>
      <c r="H86" s="25" t="str">
        <f>IF('query (2)'!C86="","",'query (2)'!C86)</f>
        <v>FACTORY3</v>
      </c>
      <c r="I86" s="24" t="str" cm="1">
        <f t="array" ref="I86">_xlfn.IFS($G86="UNKNOWN","UNKNOWN",OR($G86="FACTORY1",$G86="FACTORY2",$G86="FACTORY3"),"PLANT",TRUE,"SHARED")</f>
        <v>PLANT</v>
      </c>
      <c r="J86" s="24" t="str">
        <f>IF('query (2)'!D86="","UNKNOWN",IF(COUNTIF(Cleaning_Rules!$A$6:$A$11,TRIM('query (2)'!D86))&gt;0,"UNKNOWN",IFERROR(INDEX(Cleaning_Rules!$B$24:$B$28,MATCH(TRIM(UPPER('query (2)'!D86)),Cleaning_Rules!$A$24:$A$28,0)),TRIM(UPPER('query (2)'!D86)))))</f>
        <v>KWD7</v>
      </c>
      <c r="K86" s="25" t="str">
        <f>IF('query (2)'!D86="","",'query (2)'!D86)</f>
        <v>KWD7</v>
      </c>
      <c r="L86" s="24" t="str">
        <f>IF($J86="UNKNOWN","",_xlfn.TEXTBEFORE($J86,{"0","1","2","3","4","5","6","7","8","9"," ","-","."},1,,,$J86))</f>
        <v>KWD</v>
      </c>
      <c r="M86" s="24" t="str">
        <f>IF('query (2)'!I86&lt;&gt;"",TRIM(UPPER('query (2)'!I86)),IF($L86="","UNKNOWN",$L86))</f>
        <v>KWD</v>
      </c>
      <c r="N86" s="24" t="str">
        <f>IF('query (2)'!I86&lt;&gt;"","SOURCE",IF($L86="","UNKNOWN","DERIVED"))</f>
        <v>SOURCE</v>
      </c>
      <c r="O86" s="24" t="str">
        <f>IF('query (2)'!E86="","NOT_SPECIFIED",TRIM(UPPER('query (2)'!E86)))</f>
        <v>ASSEMBLY</v>
      </c>
      <c r="P86" s="24" t="str">
        <f>IF('query (2)'!F86="","",TRIM(UPPER('query (2)'!F86)))</f>
        <v>1025-KW7AI</v>
      </c>
      <c r="Q86" s="24" t="str">
        <f>IF('query (2)'!G86="","UNKNOWN",IFERROR(INDEX(Cleaning_Rules!$B$38:$B$46,MATCH(TRIM(UPPER('query (2)'!G86)),Cleaning_Rules!$A$38:$A$46,0)),"UNKNOWN"))</f>
        <v>OTHER</v>
      </c>
      <c r="R86" s="24" t="str">
        <f>IF('query (2)'!H86="","",TRIM(UPPER('query (2)'!H86)))</f>
        <v>LASER MARKER MACHINE</v>
      </c>
      <c r="S86" s="25" t="str">
        <f>IF('query (2)'!H86="","",'query (2)'!H86)</f>
        <v>Laser marker machine</v>
      </c>
      <c r="T86" s="24" t="str">
        <f>IF('query (2)'!J86="","",TRIM(UPPER('query (2)'!J86)))</f>
        <v>LASER MARKING</v>
      </c>
      <c r="U86" s="24" t="str">
        <f t="shared" si="10"/>
        <v/>
      </c>
      <c r="V86" s="24" t="str">
        <f>IF('query (2)'!K86="","NOT_SPECIFIED",IFERROR(INDEX(Cleaning_Rules!$B$32:$B$34,MATCH(TRIM(UPPER('query (2)'!K86)),Cleaning_Rules!$A$32:$A$34,0)),"UNKNOWN"))</f>
        <v>NOT_SPECIFIED</v>
      </c>
      <c r="W86" s="24" t="str">
        <f t="shared" si="11"/>
        <v>MA-851 | FACTORY3 | KWD7 | KWD | ASSEMBLY | 1025-KW7AI | OTHER | LASER MARKER MACHINE | LASER MARKING | NOT_SPECIFIED</v>
      </c>
      <c r="X86" s="24" t="str">
        <f t="shared" si="12"/>
        <v/>
      </c>
      <c r="Y86" s="24" t="str">
        <f t="shared" si="13"/>
        <v>MISSING_STATUS; CATEGORY_NOT_USEFUL</v>
      </c>
    </row>
    <row r="87" spans="1:25" x14ac:dyDescent="0.3">
      <c r="A87" s="24" t="str">
        <f t="shared" si="7"/>
        <v>MA-631#0086</v>
      </c>
      <c r="B87" s="24" t="str">
        <f>IF('query (2)'!B87="","",TRIM(UPPER('query (2)'!B87)))</f>
        <v>MA-631</v>
      </c>
      <c r="C87" s="25" t="str">
        <f>IF('query (2)'!B87="","",'query (2)'!B87)</f>
        <v>MA-631</v>
      </c>
      <c r="D87" s="24" t="str">
        <f t="shared" si="8"/>
        <v>MA</v>
      </c>
      <c r="E87" s="24">
        <f t="shared" si="9"/>
        <v>1</v>
      </c>
      <c r="F87" s="24">
        <f>IF('query (2)'!A87="","",IFERROR(VALUE('query (2)'!A87),""))</f>
        <v>86</v>
      </c>
      <c r="G87" s="24" t="str">
        <f>IF('query (2)'!C87="","UNKNOWN",IFERROR(INDEX(Cleaning_Rules!$B$15:$B$20,MATCH(TRIM(UPPER('query (2)'!C87)),Cleaning_Rules!$A$15:$A$20,0)),"UNKNOWN"))</f>
        <v>FACTORY3</v>
      </c>
      <c r="H87" s="25" t="str">
        <f>IF('query (2)'!C87="","",'query (2)'!C87)</f>
        <v>FACTORY3</v>
      </c>
      <c r="I87" s="24" t="str" cm="1">
        <f t="array" ref="I87">_xlfn.IFS($G87="UNKNOWN","UNKNOWN",OR($G87="FACTORY1",$G87="FACTORY2",$G87="FACTORY3"),"PLANT",TRUE,"SHARED")</f>
        <v>PLANT</v>
      </c>
      <c r="J87" s="24" t="str">
        <f>IF('query (2)'!D87="","UNKNOWN",IF(COUNTIF(Cleaning_Rules!$A$6:$A$11,TRIM('query (2)'!D87))&gt;0,"UNKNOWN",IFERROR(INDEX(Cleaning_Rules!$B$24:$B$28,MATCH(TRIM(UPPER('query (2)'!D87)),Cleaning_Rules!$A$24:$A$28,0)),TRIM(UPPER('query (2)'!D87)))))</f>
        <v>KWD3</v>
      </c>
      <c r="K87" s="25" t="str">
        <f>IF('query (2)'!D87="","",'query (2)'!D87)</f>
        <v>KWD3</v>
      </c>
      <c r="L87" s="24" t="str">
        <f>IF($J87="UNKNOWN","",_xlfn.TEXTBEFORE($J87,{"0","1","2","3","4","5","6","7","8","9"," ","-","."},1,,,$J87))</f>
        <v>KWD</v>
      </c>
      <c r="M87" s="24" t="str">
        <f>IF('query (2)'!I87&lt;&gt;"",TRIM(UPPER('query (2)'!I87)),IF($L87="","UNKNOWN",$L87))</f>
        <v>KWD</v>
      </c>
      <c r="N87" s="24" t="str">
        <f>IF('query (2)'!I87&lt;&gt;"","SOURCE",IF($L87="","UNKNOWN","DERIVED"))</f>
        <v>SOURCE</v>
      </c>
      <c r="O87" s="24" t="str">
        <f>IF('query (2)'!E87="","NOT_SPECIFIED",TRIM(UPPER('query (2)'!E87)))</f>
        <v>ASSEMBLY</v>
      </c>
      <c r="P87" s="24" t="str">
        <f>IF('query (2)'!F87="","",TRIM(UPPER('query (2)'!F87)))</f>
        <v>1010-KW3AI</v>
      </c>
      <c r="Q87" s="24" t="str">
        <f>IF('query (2)'!G87="","UNKNOWN",IFERROR(INDEX(Cleaning_Rules!$B$38:$B$46,MATCH(TRIM(UPPER('query (2)'!G87)),Cleaning_Rules!$A$38:$A$46,0)),"UNKNOWN"))</f>
        <v>OTHER</v>
      </c>
      <c r="R87" s="24" t="str">
        <f>IF('query (2)'!H87="","",TRIM(UPPER('query (2)'!H87)))</f>
        <v>LASER MARKER MACHINE</v>
      </c>
      <c r="S87" s="25" t="str">
        <f>IF('query (2)'!H87="","",'query (2)'!H87)</f>
        <v>Laser marker machine</v>
      </c>
      <c r="T87" s="24" t="str">
        <f>IF('query (2)'!J87="","",TRIM(UPPER('query (2)'!J87)))</f>
        <v>LASER MARKING</v>
      </c>
      <c r="U87" s="24" t="str">
        <f t="shared" si="10"/>
        <v/>
      </c>
      <c r="V87" s="24" t="str">
        <f>IF('query (2)'!K87="","NOT_SPECIFIED",IFERROR(INDEX(Cleaning_Rules!$B$32:$B$34,MATCH(TRIM(UPPER('query (2)'!K87)),Cleaning_Rules!$A$32:$A$34,0)),"UNKNOWN"))</f>
        <v>NOT_SPECIFIED</v>
      </c>
      <c r="W87" s="24" t="str">
        <f t="shared" si="11"/>
        <v>MA-631 | FACTORY3 | KWD3 | KWD | ASSEMBLY | 1010-KW3AI | OTHER | LASER MARKER MACHINE | LASER MARKING | NOT_SPECIFIED</v>
      </c>
      <c r="X87" s="24" t="str">
        <f t="shared" si="12"/>
        <v/>
      </c>
      <c r="Y87" s="24" t="str">
        <f t="shared" si="13"/>
        <v>MISSING_STATUS; CATEGORY_NOT_USEFUL</v>
      </c>
    </row>
    <row r="88" spans="1:25" x14ac:dyDescent="0.3">
      <c r="A88" s="24" t="str">
        <f t="shared" si="7"/>
        <v>FI-475#0087</v>
      </c>
      <c r="B88" s="24" t="str">
        <f>IF('query (2)'!B88="","",TRIM(UPPER('query (2)'!B88)))</f>
        <v>FI-475</v>
      </c>
      <c r="C88" s="25" t="str">
        <f>IF('query (2)'!B88="","",'query (2)'!B88)</f>
        <v>FI-475</v>
      </c>
      <c r="D88" s="24" t="str">
        <f t="shared" si="8"/>
        <v>FI</v>
      </c>
      <c r="E88" s="24">
        <f t="shared" si="9"/>
        <v>1</v>
      </c>
      <c r="F88" s="24">
        <f>IF('query (2)'!A88="","",IFERROR(VALUE('query (2)'!A88),""))</f>
        <v>87</v>
      </c>
      <c r="G88" s="24" t="str">
        <f>IF('query (2)'!C88="","UNKNOWN",IFERROR(INDEX(Cleaning_Rules!$B$15:$B$20,MATCH(TRIM(UPPER('query (2)'!C88)),Cleaning_Rules!$A$15:$A$20,0)),"UNKNOWN"))</f>
        <v>FACTORY3</v>
      </c>
      <c r="H88" s="25" t="str">
        <f>IF('query (2)'!C88="","",'query (2)'!C88)</f>
        <v>FACTORY3</v>
      </c>
      <c r="I88" s="24" t="str" cm="1">
        <f t="array" ref="I88">_xlfn.IFS($G88="UNKNOWN","UNKNOWN",OR($G88="FACTORY1",$G88="FACTORY2",$G88="FACTORY3"),"PLANT",TRUE,"SHARED")</f>
        <v>PLANT</v>
      </c>
      <c r="J88" s="24" t="str">
        <f>IF('query (2)'!D88="","UNKNOWN",IF(COUNTIF(Cleaning_Rules!$A$6:$A$11,TRIM('query (2)'!D88))&gt;0,"UNKNOWN",IFERROR(INDEX(Cleaning_Rules!$B$24:$B$28,MATCH(TRIM(UPPER('query (2)'!D88)),Cleaning_Rules!$A$24:$A$28,0)),TRIM(UPPER('query (2)'!D88)))))</f>
        <v>KWD4</v>
      </c>
      <c r="K88" s="25" t="str">
        <f>IF('query (2)'!D88="","",'query (2)'!D88)</f>
        <v>KWD4</v>
      </c>
      <c r="L88" s="24" t="str">
        <f>IF($J88="UNKNOWN","",_xlfn.TEXTBEFORE($J88,{"0","1","2","3","4","5","6","7","8","9"," ","-","."},1,,,$J88))</f>
        <v>KWD</v>
      </c>
      <c r="M88" s="24" t="str">
        <f>IF('query (2)'!I88&lt;&gt;"",TRIM(UPPER('query (2)'!I88)),IF($L88="","UNKNOWN",$L88))</f>
        <v>KWD</v>
      </c>
      <c r="N88" s="24" t="str">
        <f>IF('query (2)'!I88&lt;&gt;"","SOURCE",IF($L88="","UNKNOWN","DERIVED"))</f>
        <v>SOURCE</v>
      </c>
      <c r="O88" s="24" t="str">
        <f>IF('query (2)'!E88="","NOT_SPECIFIED",TRIM(UPPER('query (2)'!E88)))</f>
        <v>GRINDING 2</v>
      </c>
      <c r="P88" s="24" t="str">
        <f>IF('query (2)'!F88="","",TRIM(UPPER('query (2)'!F88)))</f>
        <v>1012-KW4G</v>
      </c>
      <c r="Q88" s="24" t="str">
        <f>IF('query (2)'!G88="","UNKNOWN",IFERROR(INDEX(Cleaning_Rules!$B$38:$B$46,MATCH(TRIM(UPPER('query (2)'!G88)),Cleaning_Rules!$A$38:$A$46,0)),"UNKNOWN"))</f>
        <v>MAGNET FILTER COOLANT TANK</v>
      </c>
      <c r="R88" s="24" t="str">
        <f>IF('query (2)'!H88="","",TRIM(UPPER('query (2)'!H88)))</f>
        <v>MAGNET FILLTER COOLANT TANK</v>
      </c>
      <c r="S88" s="25" t="str">
        <f>IF('query (2)'!H88="","",'query (2)'!H88)</f>
        <v>Magnet fillter coolant tank</v>
      </c>
      <c r="T88" s="24" t="str">
        <f>IF('query (2)'!J88="","",TRIM(UPPER('query (2)'!J88)))</f>
        <v>MAGNET FILTER COOLANT TANK</v>
      </c>
      <c r="U88" s="24" t="str">
        <f t="shared" si="10"/>
        <v/>
      </c>
      <c r="V88" s="24" t="str">
        <f>IF('query (2)'!K88="","NOT_SPECIFIED",IFERROR(INDEX(Cleaning_Rules!$B$32:$B$34,MATCH(TRIM(UPPER('query (2)'!K88)),Cleaning_Rules!$A$32:$A$34,0)),"UNKNOWN"))</f>
        <v>NOT_SPECIFIED</v>
      </c>
      <c r="W88" s="24" t="str">
        <f t="shared" si="11"/>
        <v>FI-475 | FACTORY3 | KWD4 | KWD | GRINDING 2 | 1012-KW4G | MAGNET FILTER COOLANT TANK | MAGNET FILLTER COOLANT TANK | MAGNET FILTER COOLANT TANK | NOT_SPECIFIED</v>
      </c>
      <c r="X88" s="24" t="str">
        <f t="shared" si="12"/>
        <v/>
      </c>
      <c r="Y88" s="24" t="str">
        <f t="shared" si="13"/>
        <v>MISSING_STATUS</v>
      </c>
    </row>
    <row r="89" spans="1:25" x14ac:dyDescent="0.3">
      <c r="A89" s="24" t="str">
        <f t="shared" si="7"/>
        <v>FI-353#0088</v>
      </c>
      <c r="B89" s="24" t="str">
        <f>IF('query (2)'!B89="","",TRIM(UPPER('query (2)'!B89)))</f>
        <v>FI-353</v>
      </c>
      <c r="C89" s="25" t="str">
        <f>IF('query (2)'!B89="","",'query (2)'!B89)</f>
        <v>FI-353</v>
      </c>
      <c r="D89" s="24" t="str">
        <f t="shared" si="8"/>
        <v>FI</v>
      </c>
      <c r="E89" s="24">
        <f t="shared" si="9"/>
        <v>1</v>
      </c>
      <c r="F89" s="24">
        <f>IF('query (2)'!A89="","",IFERROR(VALUE('query (2)'!A89),""))</f>
        <v>88</v>
      </c>
      <c r="G89" s="24" t="str">
        <f>IF('query (2)'!C89="","UNKNOWN",IFERROR(INDEX(Cleaning_Rules!$B$15:$B$20,MATCH(TRIM(UPPER('query (2)'!C89)),Cleaning_Rules!$A$15:$A$20,0)),"UNKNOWN"))</f>
        <v>FACTORY3</v>
      </c>
      <c r="H89" s="25" t="str">
        <f>IF('query (2)'!C89="","",'query (2)'!C89)</f>
        <v>FACTORY3</v>
      </c>
      <c r="I89" s="24" t="str" cm="1">
        <f t="array" ref="I89">_xlfn.IFS($G89="UNKNOWN","UNKNOWN",OR($G89="FACTORY1",$G89="FACTORY2",$G89="FACTORY3"),"PLANT",TRUE,"SHARED")</f>
        <v>PLANT</v>
      </c>
      <c r="J89" s="24" t="str">
        <f>IF('query (2)'!D89="","UNKNOWN",IF(COUNTIF(Cleaning_Rules!$A$6:$A$11,TRIM('query (2)'!D89))&gt;0,"UNKNOWN",IFERROR(INDEX(Cleaning_Rules!$B$24:$B$28,MATCH(TRIM(UPPER('query (2)'!D89)),Cleaning_Rules!$A$24:$A$28,0)),TRIM(UPPER('query (2)'!D89)))))</f>
        <v>KWD4</v>
      </c>
      <c r="K89" s="25" t="str">
        <f>IF('query (2)'!D89="","",'query (2)'!D89)</f>
        <v>KWD4</v>
      </c>
      <c r="L89" s="24" t="str">
        <f>IF($J89="UNKNOWN","",_xlfn.TEXTBEFORE($J89,{"0","1","2","3","4","5","6","7","8","9"," ","-","."},1,,,$J89))</f>
        <v>KWD</v>
      </c>
      <c r="M89" s="24" t="str">
        <f>IF('query (2)'!I89&lt;&gt;"",TRIM(UPPER('query (2)'!I89)),IF($L89="","UNKNOWN",$L89))</f>
        <v>KWD</v>
      </c>
      <c r="N89" s="24" t="str">
        <f>IF('query (2)'!I89&lt;&gt;"","SOURCE",IF($L89="","UNKNOWN","DERIVED"))</f>
        <v>SOURCE</v>
      </c>
      <c r="O89" s="24" t="str">
        <f>IF('query (2)'!E89="","NOT_SPECIFIED",TRIM(UPPER('query (2)'!E89)))</f>
        <v>GRINDING 2</v>
      </c>
      <c r="P89" s="24" t="str">
        <f>IF('query (2)'!F89="","",TRIM(UPPER('query (2)'!F89)))</f>
        <v>1012-KW4G</v>
      </c>
      <c r="Q89" s="24" t="str">
        <f>IF('query (2)'!G89="","UNKNOWN",IFERROR(INDEX(Cleaning_Rules!$B$38:$B$46,MATCH(TRIM(UPPER('query (2)'!G89)),Cleaning_Rules!$A$38:$A$46,0)),"UNKNOWN"))</f>
        <v>MAGNET FILTER COOLANT TANK</v>
      </c>
      <c r="R89" s="24" t="str">
        <f>IF('query (2)'!H89="","",TRIM(UPPER('query (2)'!H89)))</f>
        <v>MAGNET FILLTER COOLANT TANK</v>
      </c>
      <c r="S89" s="25" t="str">
        <f>IF('query (2)'!H89="","",'query (2)'!H89)</f>
        <v>Magnet fillter coolant tank</v>
      </c>
      <c r="T89" s="24" t="str">
        <f>IF('query (2)'!J89="","",TRIM(UPPER('query (2)'!J89)))</f>
        <v>MAGNET FILTER COOLANT TANK</v>
      </c>
      <c r="U89" s="24" t="str">
        <f t="shared" si="10"/>
        <v/>
      </c>
      <c r="V89" s="24" t="str">
        <f>IF('query (2)'!K89="","NOT_SPECIFIED",IFERROR(INDEX(Cleaning_Rules!$B$32:$B$34,MATCH(TRIM(UPPER('query (2)'!K89)),Cleaning_Rules!$A$32:$A$34,0)),"UNKNOWN"))</f>
        <v>NOT_SPECIFIED</v>
      </c>
      <c r="W89" s="24" t="str">
        <f t="shared" si="11"/>
        <v>FI-353 | FACTORY3 | KWD4 | KWD | GRINDING 2 | 1012-KW4G | MAGNET FILTER COOLANT TANK | MAGNET FILLTER COOLANT TANK | MAGNET FILTER COOLANT TANK | NOT_SPECIFIED</v>
      </c>
      <c r="X89" s="24" t="str">
        <f t="shared" si="12"/>
        <v/>
      </c>
      <c r="Y89" s="24" t="str">
        <f t="shared" si="13"/>
        <v>MISSING_STATUS</v>
      </c>
    </row>
    <row r="90" spans="1:25" x14ac:dyDescent="0.3">
      <c r="A90" s="24" t="str">
        <f t="shared" si="7"/>
        <v>FI-251#0089</v>
      </c>
      <c r="B90" s="24" t="str">
        <f>IF('query (2)'!B90="","",TRIM(UPPER('query (2)'!B90)))</f>
        <v>FI-251</v>
      </c>
      <c r="C90" s="25" t="str">
        <f>IF('query (2)'!B90="","",'query (2)'!B90)</f>
        <v>FI-251</v>
      </c>
      <c r="D90" s="24" t="str">
        <f t="shared" si="8"/>
        <v>FI</v>
      </c>
      <c r="E90" s="24">
        <f t="shared" si="9"/>
        <v>1</v>
      </c>
      <c r="F90" s="24">
        <f>IF('query (2)'!A90="","",IFERROR(VALUE('query (2)'!A90),""))</f>
        <v>89</v>
      </c>
      <c r="G90" s="24" t="str">
        <f>IF('query (2)'!C90="","UNKNOWN",IFERROR(INDEX(Cleaning_Rules!$B$15:$B$20,MATCH(TRIM(UPPER('query (2)'!C90)),Cleaning_Rules!$A$15:$A$20,0)),"UNKNOWN"))</f>
        <v>FACTORY3</v>
      </c>
      <c r="H90" s="25" t="str">
        <f>IF('query (2)'!C90="","",'query (2)'!C90)</f>
        <v>FACTORY3</v>
      </c>
      <c r="I90" s="24" t="str" cm="1">
        <f t="array" ref="I90">_xlfn.IFS($G90="UNKNOWN","UNKNOWN",OR($G90="FACTORY1",$G90="FACTORY2",$G90="FACTORY3"),"PLANT",TRUE,"SHARED")</f>
        <v>PLANT</v>
      </c>
      <c r="J90" s="24" t="str">
        <f>IF('query (2)'!D90="","UNKNOWN",IF(COUNTIF(Cleaning_Rules!$A$6:$A$11,TRIM('query (2)'!D90))&gt;0,"UNKNOWN",IFERROR(INDEX(Cleaning_Rules!$B$24:$B$28,MATCH(TRIM(UPPER('query (2)'!D90)),Cleaning_Rules!$A$24:$A$28,0)),TRIM(UPPER('query (2)'!D90)))))</f>
        <v>KWD5</v>
      </c>
      <c r="K90" s="25" t="str">
        <f>IF('query (2)'!D90="","",'query (2)'!D90)</f>
        <v>KWD5</v>
      </c>
      <c r="L90" s="24" t="str">
        <f>IF($J90="UNKNOWN","",_xlfn.TEXTBEFORE($J90,{"0","1","2","3","4","5","6","7","8","9"," ","-","."},1,,,$J90))</f>
        <v>KWD</v>
      </c>
      <c r="M90" s="24" t="str">
        <f>IF('query (2)'!I90&lt;&gt;"",TRIM(UPPER('query (2)'!I90)),IF($L90="","UNKNOWN",$L90))</f>
        <v>KWD</v>
      </c>
      <c r="N90" s="24" t="str">
        <f>IF('query (2)'!I90&lt;&gt;"","SOURCE",IF($L90="","UNKNOWN","DERIVED"))</f>
        <v>SOURCE</v>
      </c>
      <c r="O90" s="24" t="str">
        <f>IF('query (2)'!E90="","NOT_SPECIFIED",TRIM(UPPER('query (2)'!E90)))</f>
        <v>GRINDING 2</v>
      </c>
      <c r="P90" s="24" t="str">
        <f>IF('query (2)'!F90="","",TRIM(UPPER('query (2)'!F90)))</f>
        <v>1015-KW5G</v>
      </c>
      <c r="Q90" s="24" t="str">
        <f>IF('query (2)'!G90="","UNKNOWN",IFERROR(INDEX(Cleaning_Rules!$B$38:$B$46,MATCH(TRIM(UPPER('query (2)'!G90)),Cleaning_Rules!$A$38:$A$46,0)),"UNKNOWN"))</f>
        <v>MAGNET FILTER COOLANT TANK</v>
      </c>
      <c r="R90" s="24" t="str">
        <f>IF('query (2)'!H90="","",TRIM(UPPER('query (2)'!H90)))</f>
        <v>MAGNET FILLTER COOLANT TANK</v>
      </c>
      <c r="S90" s="25" t="str">
        <f>IF('query (2)'!H90="","",'query (2)'!H90)</f>
        <v>Magnet fillter coolant tank</v>
      </c>
      <c r="T90" s="24" t="str">
        <f>IF('query (2)'!J90="","",TRIM(UPPER('query (2)'!J90)))</f>
        <v>MAGNET FILTER COOLANT TANK</v>
      </c>
      <c r="U90" s="24" t="str">
        <f t="shared" si="10"/>
        <v/>
      </c>
      <c r="V90" s="24" t="str">
        <f>IF('query (2)'!K90="","NOT_SPECIFIED",IFERROR(INDEX(Cleaning_Rules!$B$32:$B$34,MATCH(TRIM(UPPER('query (2)'!K90)),Cleaning_Rules!$A$32:$A$34,0)),"UNKNOWN"))</f>
        <v>NOT_SPECIFIED</v>
      </c>
      <c r="W90" s="24" t="str">
        <f t="shared" si="11"/>
        <v>FI-251 | FACTORY3 | KWD5 | KWD | GRINDING 2 | 1015-KW5G | MAGNET FILTER COOLANT TANK | MAGNET FILLTER COOLANT TANK | MAGNET FILTER COOLANT TANK | NOT_SPECIFIED</v>
      </c>
      <c r="X90" s="24" t="str">
        <f t="shared" si="12"/>
        <v/>
      </c>
      <c r="Y90" s="24" t="str">
        <f t="shared" si="13"/>
        <v>MISSING_STATUS</v>
      </c>
    </row>
    <row r="91" spans="1:25" x14ac:dyDescent="0.3">
      <c r="A91" s="24" t="str">
        <f t="shared" si="7"/>
        <v>FI-255#0090</v>
      </c>
      <c r="B91" s="24" t="str">
        <f>IF('query (2)'!B91="","",TRIM(UPPER('query (2)'!B91)))</f>
        <v>FI-255</v>
      </c>
      <c r="C91" s="25" t="str">
        <f>IF('query (2)'!B91="","",'query (2)'!B91)</f>
        <v>FI-255</v>
      </c>
      <c r="D91" s="24" t="str">
        <f t="shared" si="8"/>
        <v>FI</v>
      </c>
      <c r="E91" s="24">
        <f t="shared" si="9"/>
        <v>1</v>
      </c>
      <c r="F91" s="24">
        <f>IF('query (2)'!A91="","",IFERROR(VALUE('query (2)'!A91),""))</f>
        <v>90</v>
      </c>
      <c r="G91" s="24" t="str">
        <f>IF('query (2)'!C91="","UNKNOWN",IFERROR(INDEX(Cleaning_Rules!$B$15:$B$20,MATCH(TRIM(UPPER('query (2)'!C91)),Cleaning_Rules!$A$15:$A$20,0)),"UNKNOWN"))</f>
        <v>FACTORY3</v>
      </c>
      <c r="H91" s="25" t="str">
        <f>IF('query (2)'!C91="","",'query (2)'!C91)</f>
        <v>FACTORY3</v>
      </c>
      <c r="I91" s="24" t="str" cm="1">
        <f t="array" ref="I91">_xlfn.IFS($G91="UNKNOWN","UNKNOWN",OR($G91="FACTORY1",$G91="FACTORY2",$G91="FACTORY3"),"PLANT",TRUE,"SHARED")</f>
        <v>PLANT</v>
      </c>
      <c r="J91" s="24" t="str">
        <f>IF('query (2)'!D91="","UNKNOWN",IF(COUNTIF(Cleaning_Rules!$A$6:$A$11,TRIM('query (2)'!D91))&gt;0,"UNKNOWN",IFERROR(INDEX(Cleaning_Rules!$B$24:$B$28,MATCH(TRIM(UPPER('query (2)'!D91)),Cleaning_Rules!$A$24:$A$28,0)),TRIM(UPPER('query (2)'!D91)))))</f>
        <v>KWD5</v>
      </c>
      <c r="K91" s="25" t="str">
        <f>IF('query (2)'!D91="","",'query (2)'!D91)</f>
        <v>KWD5</v>
      </c>
      <c r="L91" s="24" t="str">
        <f>IF($J91="UNKNOWN","",_xlfn.TEXTBEFORE($J91,{"0","1","2","3","4","5","6","7","8","9"," ","-","."},1,,,$J91))</f>
        <v>KWD</v>
      </c>
      <c r="M91" s="24" t="str">
        <f>IF('query (2)'!I91&lt;&gt;"",TRIM(UPPER('query (2)'!I91)),IF($L91="","UNKNOWN",$L91))</f>
        <v>KWD</v>
      </c>
      <c r="N91" s="24" t="str">
        <f>IF('query (2)'!I91&lt;&gt;"","SOURCE",IF($L91="","UNKNOWN","DERIVED"))</f>
        <v>SOURCE</v>
      </c>
      <c r="O91" s="24" t="str">
        <f>IF('query (2)'!E91="","NOT_SPECIFIED",TRIM(UPPER('query (2)'!E91)))</f>
        <v>GRINDING 2</v>
      </c>
      <c r="P91" s="24" t="str">
        <f>IF('query (2)'!F91="","",TRIM(UPPER('query (2)'!F91)))</f>
        <v>1015-KW5G</v>
      </c>
      <c r="Q91" s="24" t="str">
        <f>IF('query (2)'!G91="","UNKNOWN",IFERROR(INDEX(Cleaning_Rules!$B$38:$B$46,MATCH(TRIM(UPPER('query (2)'!G91)),Cleaning_Rules!$A$38:$A$46,0)),"UNKNOWN"))</f>
        <v>MAGNET FILTER COOLANT TANK</v>
      </c>
      <c r="R91" s="24" t="str">
        <f>IF('query (2)'!H91="","",TRIM(UPPER('query (2)'!H91)))</f>
        <v>MAGNET FILLTER COOLANT TANK</v>
      </c>
      <c r="S91" s="25" t="str">
        <f>IF('query (2)'!H91="","",'query (2)'!H91)</f>
        <v>Magnet fillter coolant tank</v>
      </c>
      <c r="T91" s="24" t="str">
        <f>IF('query (2)'!J91="","",TRIM(UPPER('query (2)'!J91)))</f>
        <v>MAGNET FILTER COOLANT TANK</v>
      </c>
      <c r="U91" s="24" t="str">
        <f t="shared" si="10"/>
        <v/>
      </c>
      <c r="V91" s="24" t="str">
        <f>IF('query (2)'!K91="","NOT_SPECIFIED",IFERROR(INDEX(Cleaning_Rules!$B$32:$B$34,MATCH(TRIM(UPPER('query (2)'!K91)),Cleaning_Rules!$A$32:$A$34,0)),"UNKNOWN"))</f>
        <v>NOT_SPECIFIED</v>
      </c>
      <c r="W91" s="24" t="str">
        <f t="shared" si="11"/>
        <v>FI-255 | FACTORY3 | KWD5 | KWD | GRINDING 2 | 1015-KW5G | MAGNET FILTER COOLANT TANK | MAGNET FILLTER COOLANT TANK | MAGNET FILTER COOLANT TANK | NOT_SPECIFIED</v>
      </c>
      <c r="X91" s="24" t="str">
        <f t="shared" si="12"/>
        <v/>
      </c>
      <c r="Y91" s="24" t="str">
        <f t="shared" si="13"/>
        <v>MISSING_STATUS</v>
      </c>
    </row>
    <row r="92" spans="1:25" x14ac:dyDescent="0.3">
      <c r="A92" s="24" t="str">
        <f t="shared" si="7"/>
        <v>FI-496#0091</v>
      </c>
      <c r="B92" s="24" t="str">
        <f>IF('query (2)'!B92="","",TRIM(UPPER('query (2)'!B92)))</f>
        <v>FI-496</v>
      </c>
      <c r="C92" s="25" t="str">
        <f>IF('query (2)'!B92="","",'query (2)'!B92)</f>
        <v>FI-496</v>
      </c>
      <c r="D92" s="24" t="str">
        <f t="shared" si="8"/>
        <v>FI</v>
      </c>
      <c r="E92" s="24">
        <f t="shared" si="9"/>
        <v>1</v>
      </c>
      <c r="F92" s="24">
        <f>IF('query (2)'!A92="","",IFERROR(VALUE('query (2)'!A92),""))</f>
        <v>91</v>
      </c>
      <c r="G92" s="24" t="str">
        <f>IF('query (2)'!C92="","UNKNOWN",IFERROR(INDEX(Cleaning_Rules!$B$15:$B$20,MATCH(TRIM(UPPER('query (2)'!C92)),Cleaning_Rules!$A$15:$A$20,0)),"UNKNOWN"))</f>
        <v>FACTORY3</v>
      </c>
      <c r="H92" s="25" t="str">
        <f>IF('query (2)'!C92="","",'query (2)'!C92)</f>
        <v>FACTORY3</v>
      </c>
      <c r="I92" s="24" t="str" cm="1">
        <f t="array" ref="I92">_xlfn.IFS($G92="UNKNOWN","UNKNOWN",OR($G92="FACTORY1",$G92="FACTORY2",$G92="FACTORY3"),"PLANT",TRUE,"SHARED")</f>
        <v>PLANT</v>
      </c>
      <c r="J92" s="24" t="str">
        <f>IF('query (2)'!D92="","UNKNOWN",IF(COUNTIF(Cleaning_Rules!$A$6:$A$11,TRIM('query (2)'!D92))&gt;0,"UNKNOWN",IFERROR(INDEX(Cleaning_Rules!$B$24:$B$28,MATCH(TRIM(UPPER('query (2)'!D92)),Cleaning_Rules!$A$24:$A$28,0)),TRIM(UPPER('query (2)'!D92)))))</f>
        <v>KWD6</v>
      </c>
      <c r="K92" s="25" t="str">
        <f>IF('query (2)'!D92="","",'query (2)'!D92)</f>
        <v>KWD6</v>
      </c>
      <c r="L92" s="24" t="str">
        <f>IF($J92="UNKNOWN","",_xlfn.TEXTBEFORE($J92,{"0","1","2","3","4","5","6","7","8","9"," ","-","."},1,,,$J92))</f>
        <v>KWD</v>
      </c>
      <c r="M92" s="24" t="str">
        <f>IF('query (2)'!I92&lt;&gt;"",TRIM(UPPER('query (2)'!I92)),IF($L92="","UNKNOWN",$L92))</f>
        <v>KWD</v>
      </c>
      <c r="N92" s="24" t="str">
        <f>IF('query (2)'!I92&lt;&gt;"","SOURCE",IF($L92="","UNKNOWN","DERIVED"))</f>
        <v>SOURCE</v>
      </c>
      <c r="O92" s="24" t="str">
        <f>IF('query (2)'!E92="","NOT_SPECIFIED",TRIM(UPPER('query (2)'!E92)))</f>
        <v>GRINDING 2</v>
      </c>
      <c r="P92" s="24" t="str">
        <f>IF('query (2)'!F92="","",TRIM(UPPER('query (2)'!F92)))</f>
        <v xml:space="preserve">1018-KW6G
</v>
      </c>
      <c r="Q92" s="24" t="str">
        <f>IF('query (2)'!G92="","UNKNOWN",IFERROR(INDEX(Cleaning_Rules!$B$38:$B$46,MATCH(TRIM(UPPER('query (2)'!G92)),Cleaning_Rules!$A$38:$A$46,0)),"UNKNOWN"))</f>
        <v>MAGNET FILTER COOLANT TANK</v>
      </c>
      <c r="R92" s="24" t="str">
        <f>IF('query (2)'!H92="","",TRIM(UPPER('query (2)'!H92)))</f>
        <v>MAGNET FILLTER COOLANT TANK</v>
      </c>
      <c r="S92" s="25" t="str">
        <f>IF('query (2)'!H92="","",'query (2)'!H92)</f>
        <v>Magnet fillter coolant tank</v>
      </c>
      <c r="T92" s="24" t="str">
        <f>IF('query (2)'!J92="","",TRIM(UPPER('query (2)'!J92)))</f>
        <v>MAGNET FILTER COOLANT TANK</v>
      </c>
      <c r="U92" s="24" t="str">
        <f t="shared" si="10"/>
        <v/>
      </c>
      <c r="V92" s="24" t="str">
        <f>IF('query (2)'!K92="","NOT_SPECIFIED",IFERROR(INDEX(Cleaning_Rules!$B$32:$B$34,MATCH(TRIM(UPPER('query (2)'!K92)),Cleaning_Rules!$A$32:$A$34,0)),"UNKNOWN"))</f>
        <v>NOT_SPECIFIED</v>
      </c>
      <c r="W92" s="24" t="str">
        <f t="shared" si="11"/>
        <v>FI-496 | FACTORY3 | KWD6 | KWD | GRINDING 2 | 1018-KW6G
 | MAGNET FILTER COOLANT TANK | MAGNET FILLTER COOLANT TANK | MAGNET FILTER COOLANT TANK | NOT_SPECIFIED</v>
      </c>
      <c r="X92" s="24" t="str">
        <f t="shared" si="12"/>
        <v/>
      </c>
      <c r="Y92" s="24" t="str">
        <f t="shared" si="13"/>
        <v>MISSING_STATUS</v>
      </c>
    </row>
    <row r="93" spans="1:25" x14ac:dyDescent="0.3">
      <c r="A93" s="24" t="str">
        <f t="shared" si="7"/>
        <v>FI-337#0092</v>
      </c>
      <c r="B93" s="24" t="str">
        <f>IF('query (2)'!B93="","",TRIM(UPPER('query (2)'!B93)))</f>
        <v>FI-337</v>
      </c>
      <c r="C93" s="25" t="str">
        <f>IF('query (2)'!B93="","",'query (2)'!B93)</f>
        <v>FI-337</v>
      </c>
      <c r="D93" s="24" t="str">
        <f t="shared" si="8"/>
        <v>FI</v>
      </c>
      <c r="E93" s="24">
        <f t="shared" si="9"/>
        <v>1</v>
      </c>
      <c r="F93" s="24">
        <f>IF('query (2)'!A93="","",IFERROR(VALUE('query (2)'!A93),""))</f>
        <v>92</v>
      </c>
      <c r="G93" s="24" t="str">
        <f>IF('query (2)'!C93="","UNKNOWN",IFERROR(INDEX(Cleaning_Rules!$B$15:$B$20,MATCH(TRIM(UPPER('query (2)'!C93)),Cleaning_Rules!$A$15:$A$20,0)),"UNKNOWN"))</f>
        <v>FACTORY3</v>
      </c>
      <c r="H93" s="25" t="str">
        <f>IF('query (2)'!C93="","",'query (2)'!C93)</f>
        <v>FACTORY3</v>
      </c>
      <c r="I93" s="24" t="str" cm="1">
        <f t="array" ref="I93">_xlfn.IFS($G93="UNKNOWN","UNKNOWN",OR($G93="FACTORY1",$G93="FACTORY2",$G93="FACTORY3"),"PLANT",TRUE,"SHARED")</f>
        <v>PLANT</v>
      </c>
      <c r="J93" s="24" t="str">
        <f>IF('query (2)'!D93="","UNKNOWN",IF(COUNTIF(Cleaning_Rules!$A$6:$A$11,TRIM('query (2)'!D93))&gt;0,"UNKNOWN",IFERROR(INDEX(Cleaning_Rules!$B$24:$B$28,MATCH(TRIM(UPPER('query (2)'!D93)),Cleaning_Rules!$A$24:$A$28,0)),TRIM(UPPER('query (2)'!D93)))))</f>
        <v>KWD6</v>
      </c>
      <c r="K93" s="25" t="str">
        <f>IF('query (2)'!D93="","",'query (2)'!D93)</f>
        <v>KWD6</v>
      </c>
      <c r="L93" s="24" t="str">
        <f>IF($J93="UNKNOWN","",_xlfn.TEXTBEFORE($J93,{"0","1","2","3","4","5","6","7","8","9"," ","-","."},1,,,$J93))</f>
        <v>KWD</v>
      </c>
      <c r="M93" s="24" t="str">
        <f>IF('query (2)'!I93&lt;&gt;"",TRIM(UPPER('query (2)'!I93)),IF($L93="","UNKNOWN",$L93))</f>
        <v>KWD</v>
      </c>
      <c r="N93" s="24" t="str">
        <f>IF('query (2)'!I93&lt;&gt;"","SOURCE",IF($L93="","UNKNOWN","DERIVED"))</f>
        <v>SOURCE</v>
      </c>
      <c r="O93" s="24" t="str">
        <f>IF('query (2)'!E93="","NOT_SPECIFIED",TRIM(UPPER('query (2)'!E93)))</f>
        <v>GRINDING 2</v>
      </c>
      <c r="P93" s="24" t="str">
        <f>IF('query (2)'!F93="","",TRIM(UPPER('query (2)'!F93)))</f>
        <v xml:space="preserve">1018-KW6G
</v>
      </c>
      <c r="Q93" s="24" t="str">
        <f>IF('query (2)'!G93="","UNKNOWN",IFERROR(INDEX(Cleaning_Rules!$B$38:$B$46,MATCH(TRIM(UPPER('query (2)'!G93)),Cleaning_Rules!$A$38:$A$46,0)),"UNKNOWN"))</f>
        <v>MAGNET FILTER COOLANT TANK</v>
      </c>
      <c r="R93" s="24" t="str">
        <f>IF('query (2)'!H93="","",TRIM(UPPER('query (2)'!H93)))</f>
        <v>MAGNET FILLTER COOLANT TANK</v>
      </c>
      <c r="S93" s="25" t="str">
        <f>IF('query (2)'!H93="","",'query (2)'!H93)</f>
        <v>Magnet fillter coolant tank</v>
      </c>
      <c r="T93" s="24" t="str">
        <f>IF('query (2)'!J93="","",TRIM(UPPER('query (2)'!J93)))</f>
        <v>MAGNET FILTER COOLANT TANK</v>
      </c>
      <c r="U93" s="24" t="str">
        <f t="shared" si="10"/>
        <v/>
      </c>
      <c r="V93" s="24" t="str">
        <f>IF('query (2)'!K93="","NOT_SPECIFIED",IFERROR(INDEX(Cleaning_Rules!$B$32:$B$34,MATCH(TRIM(UPPER('query (2)'!K93)),Cleaning_Rules!$A$32:$A$34,0)),"UNKNOWN"))</f>
        <v>NOT_SPECIFIED</v>
      </c>
      <c r="W93" s="24" t="str">
        <f t="shared" si="11"/>
        <v>FI-337 | FACTORY3 | KWD6 | KWD | GRINDING 2 | 1018-KW6G
 | MAGNET FILTER COOLANT TANK | MAGNET FILLTER COOLANT TANK | MAGNET FILTER COOLANT TANK | NOT_SPECIFIED</v>
      </c>
      <c r="X93" s="24" t="str">
        <f t="shared" si="12"/>
        <v/>
      </c>
      <c r="Y93" s="24" t="str">
        <f t="shared" si="13"/>
        <v>MISSING_STATUS</v>
      </c>
    </row>
    <row r="94" spans="1:25" x14ac:dyDescent="0.3">
      <c r="A94" s="24" t="str">
        <f t="shared" si="7"/>
        <v>FI-826#0093</v>
      </c>
      <c r="B94" s="24" t="str">
        <f>IF('query (2)'!B94="","",TRIM(UPPER('query (2)'!B94)))</f>
        <v>FI-826</v>
      </c>
      <c r="C94" s="25" t="str">
        <f>IF('query (2)'!B94="","",'query (2)'!B94)</f>
        <v>FI-826</v>
      </c>
      <c r="D94" s="24" t="str">
        <f t="shared" si="8"/>
        <v>FI</v>
      </c>
      <c r="E94" s="24">
        <f t="shared" si="9"/>
        <v>1</v>
      </c>
      <c r="F94" s="24">
        <f>IF('query (2)'!A94="","",IFERROR(VALUE('query (2)'!A94),""))</f>
        <v>93</v>
      </c>
      <c r="G94" s="24" t="str">
        <f>IF('query (2)'!C94="","UNKNOWN",IFERROR(INDEX(Cleaning_Rules!$B$15:$B$20,MATCH(TRIM(UPPER('query (2)'!C94)),Cleaning_Rules!$A$15:$A$20,0)),"UNKNOWN"))</f>
        <v>FACTORY3</v>
      </c>
      <c r="H94" s="25" t="str">
        <f>IF('query (2)'!C94="","",'query (2)'!C94)</f>
        <v>FACTORY3</v>
      </c>
      <c r="I94" s="24" t="str" cm="1">
        <f t="array" ref="I94">_xlfn.IFS($G94="UNKNOWN","UNKNOWN",OR($G94="FACTORY1",$G94="FACTORY2",$G94="FACTORY3"),"PLANT",TRUE,"SHARED")</f>
        <v>PLANT</v>
      </c>
      <c r="J94" s="24" t="str">
        <f>IF('query (2)'!D94="","UNKNOWN",IF(COUNTIF(Cleaning_Rules!$A$6:$A$11,TRIM('query (2)'!D94))&gt;0,"UNKNOWN",IFERROR(INDEX(Cleaning_Rules!$B$24:$B$28,MATCH(TRIM(UPPER('query (2)'!D94)),Cleaning_Rules!$A$24:$A$28,0)),TRIM(UPPER('query (2)'!D94)))))</f>
        <v>KWD7</v>
      </c>
      <c r="K94" s="25" t="str">
        <f>IF('query (2)'!D94="","",'query (2)'!D94)</f>
        <v>KWD7</v>
      </c>
      <c r="L94" s="24" t="str">
        <f>IF($J94="UNKNOWN","",_xlfn.TEXTBEFORE($J94,{"0","1","2","3","4","5","6","7","8","9"," ","-","."},1,,,$J94))</f>
        <v>KWD</v>
      </c>
      <c r="M94" s="24" t="str">
        <f>IF('query (2)'!I94&lt;&gt;"",TRIM(UPPER('query (2)'!I94)),IF($L94="","UNKNOWN",$L94))</f>
        <v>KWD</v>
      </c>
      <c r="N94" s="24" t="str">
        <f>IF('query (2)'!I94&lt;&gt;"","SOURCE",IF($L94="","UNKNOWN","DERIVED"))</f>
        <v>SOURCE</v>
      </c>
      <c r="O94" s="24" t="str">
        <f>IF('query (2)'!E94="","NOT_SPECIFIED",TRIM(UPPER('query (2)'!E94)))</f>
        <v>GRINDING 2</v>
      </c>
      <c r="P94" s="24" t="str">
        <f>IF('query (2)'!F94="","",TRIM(UPPER('query (2)'!F94)))</f>
        <v>1024-KW7G</v>
      </c>
      <c r="Q94" s="24" t="str">
        <f>IF('query (2)'!G94="","UNKNOWN",IFERROR(INDEX(Cleaning_Rules!$B$38:$B$46,MATCH(TRIM(UPPER('query (2)'!G94)),Cleaning_Rules!$A$38:$A$46,0)),"UNKNOWN"))</f>
        <v>MAGNET FILTER COOLANT TANK</v>
      </c>
      <c r="R94" s="24" t="str">
        <f>IF('query (2)'!H94="","",TRIM(UPPER('query (2)'!H94)))</f>
        <v>MAGNET FILLTER COOLANT TANK</v>
      </c>
      <c r="S94" s="25" t="str">
        <f>IF('query (2)'!H94="","",'query (2)'!H94)</f>
        <v>Magnet fillter coolant tank</v>
      </c>
      <c r="T94" s="24" t="str">
        <f>IF('query (2)'!J94="","",TRIM(UPPER('query (2)'!J94)))</f>
        <v>MAGNET FILTER COOLANT TANK</v>
      </c>
      <c r="U94" s="24" t="str">
        <f t="shared" si="10"/>
        <v/>
      </c>
      <c r="V94" s="24" t="str">
        <f>IF('query (2)'!K94="","NOT_SPECIFIED",IFERROR(INDEX(Cleaning_Rules!$B$32:$B$34,MATCH(TRIM(UPPER('query (2)'!K94)),Cleaning_Rules!$A$32:$A$34,0)),"UNKNOWN"))</f>
        <v>NOT_SPECIFIED</v>
      </c>
      <c r="W94" s="24" t="str">
        <f t="shared" si="11"/>
        <v>FI-826 | FACTORY3 | KWD7 | KWD | GRINDING 2 | 1024-KW7G | MAGNET FILTER COOLANT TANK | MAGNET FILLTER COOLANT TANK | MAGNET FILTER COOLANT TANK | NOT_SPECIFIED</v>
      </c>
      <c r="X94" s="24" t="str">
        <f t="shared" si="12"/>
        <v/>
      </c>
      <c r="Y94" s="24" t="str">
        <f t="shared" si="13"/>
        <v>MISSING_STATUS</v>
      </c>
    </row>
    <row r="95" spans="1:25" x14ac:dyDescent="0.3">
      <c r="A95" s="24" t="str">
        <f t="shared" si="7"/>
        <v>FI-840#0094</v>
      </c>
      <c r="B95" s="24" t="str">
        <f>IF('query (2)'!B95="","",TRIM(UPPER('query (2)'!B95)))</f>
        <v>FI-840</v>
      </c>
      <c r="C95" s="25" t="str">
        <f>IF('query (2)'!B95="","",'query (2)'!B95)</f>
        <v>FI-840</v>
      </c>
      <c r="D95" s="24" t="str">
        <f t="shared" si="8"/>
        <v>FI</v>
      </c>
      <c r="E95" s="24">
        <f t="shared" si="9"/>
        <v>1</v>
      </c>
      <c r="F95" s="24">
        <f>IF('query (2)'!A95="","",IFERROR(VALUE('query (2)'!A95),""))</f>
        <v>94</v>
      </c>
      <c r="G95" s="24" t="str">
        <f>IF('query (2)'!C95="","UNKNOWN",IFERROR(INDEX(Cleaning_Rules!$B$15:$B$20,MATCH(TRIM(UPPER('query (2)'!C95)),Cleaning_Rules!$A$15:$A$20,0)),"UNKNOWN"))</f>
        <v>FACTORY3</v>
      </c>
      <c r="H95" s="25" t="str">
        <f>IF('query (2)'!C95="","",'query (2)'!C95)</f>
        <v>FACTORY3</v>
      </c>
      <c r="I95" s="24" t="str" cm="1">
        <f t="array" ref="I95">_xlfn.IFS($G95="UNKNOWN","UNKNOWN",OR($G95="FACTORY1",$G95="FACTORY2",$G95="FACTORY3"),"PLANT",TRUE,"SHARED")</f>
        <v>PLANT</v>
      </c>
      <c r="J95" s="24" t="str">
        <f>IF('query (2)'!D95="","UNKNOWN",IF(COUNTIF(Cleaning_Rules!$A$6:$A$11,TRIM('query (2)'!D95))&gt;0,"UNKNOWN",IFERROR(INDEX(Cleaning_Rules!$B$24:$B$28,MATCH(TRIM(UPPER('query (2)'!D95)),Cleaning_Rules!$A$24:$A$28,0)),TRIM(UPPER('query (2)'!D95)))))</f>
        <v>KWD7</v>
      </c>
      <c r="K95" s="25" t="str">
        <f>IF('query (2)'!D95="","",'query (2)'!D95)</f>
        <v>KWD7</v>
      </c>
      <c r="L95" s="24" t="str">
        <f>IF($J95="UNKNOWN","",_xlfn.TEXTBEFORE($J95,{"0","1","2","3","4","5","6","7","8","9"," ","-","."},1,,,$J95))</f>
        <v>KWD</v>
      </c>
      <c r="M95" s="24" t="str">
        <f>IF('query (2)'!I95&lt;&gt;"",TRIM(UPPER('query (2)'!I95)),IF($L95="","UNKNOWN",$L95))</f>
        <v>KWD</v>
      </c>
      <c r="N95" s="24" t="str">
        <f>IF('query (2)'!I95&lt;&gt;"","SOURCE",IF($L95="","UNKNOWN","DERIVED"))</f>
        <v>SOURCE</v>
      </c>
      <c r="O95" s="24" t="str">
        <f>IF('query (2)'!E95="","NOT_SPECIFIED",TRIM(UPPER('query (2)'!E95)))</f>
        <v>GRINDING 2</v>
      </c>
      <c r="P95" s="24" t="str">
        <f>IF('query (2)'!F95="","",TRIM(UPPER('query (2)'!F95)))</f>
        <v>1024-KW7G</v>
      </c>
      <c r="Q95" s="24" t="str">
        <f>IF('query (2)'!G95="","UNKNOWN",IFERROR(INDEX(Cleaning_Rules!$B$38:$B$46,MATCH(TRIM(UPPER('query (2)'!G95)),Cleaning_Rules!$A$38:$A$46,0)),"UNKNOWN"))</f>
        <v>MAGNET FILTER COOLANT TANK</v>
      </c>
      <c r="R95" s="24" t="str">
        <f>IF('query (2)'!H95="","",TRIM(UPPER('query (2)'!H95)))</f>
        <v>MAGNET FILLTER COOLANT TANK</v>
      </c>
      <c r="S95" s="25" t="str">
        <f>IF('query (2)'!H95="","",'query (2)'!H95)</f>
        <v>Magnet fillter coolant tank</v>
      </c>
      <c r="T95" s="24" t="str">
        <f>IF('query (2)'!J95="","",TRIM(UPPER('query (2)'!J95)))</f>
        <v>MAGNET FILTER COOLANT TANK</v>
      </c>
      <c r="U95" s="24" t="str">
        <f t="shared" si="10"/>
        <v/>
      </c>
      <c r="V95" s="24" t="str">
        <f>IF('query (2)'!K95="","NOT_SPECIFIED",IFERROR(INDEX(Cleaning_Rules!$B$32:$B$34,MATCH(TRIM(UPPER('query (2)'!K95)),Cleaning_Rules!$A$32:$A$34,0)),"UNKNOWN"))</f>
        <v>NOT_SPECIFIED</v>
      </c>
      <c r="W95" s="24" t="str">
        <f t="shared" si="11"/>
        <v>FI-840 | FACTORY3 | KWD7 | KWD | GRINDING 2 | 1024-KW7G | MAGNET FILTER COOLANT TANK | MAGNET FILLTER COOLANT TANK | MAGNET FILTER COOLANT TANK | NOT_SPECIFIED</v>
      </c>
      <c r="X95" s="24" t="str">
        <f t="shared" si="12"/>
        <v/>
      </c>
      <c r="Y95" s="24" t="str">
        <f t="shared" si="13"/>
        <v>MISSING_STATUS</v>
      </c>
    </row>
    <row r="96" spans="1:25" x14ac:dyDescent="0.3">
      <c r="A96" s="24" t="str">
        <f t="shared" si="7"/>
        <v>FI-017#0095</v>
      </c>
      <c r="B96" s="24" t="str">
        <f>IF('query (2)'!B96="","",TRIM(UPPER('query (2)'!B96)))</f>
        <v>FI-017</v>
      </c>
      <c r="C96" s="25" t="str">
        <f>IF('query (2)'!B96="","",'query (2)'!B96)</f>
        <v>FI-017</v>
      </c>
      <c r="D96" s="24" t="str">
        <f t="shared" si="8"/>
        <v>FI</v>
      </c>
      <c r="E96" s="24">
        <f t="shared" si="9"/>
        <v>1</v>
      </c>
      <c r="F96" s="24">
        <f>IF('query (2)'!A96="","",IFERROR(VALUE('query (2)'!A96),""))</f>
        <v>95</v>
      </c>
      <c r="G96" s="24" t="str">
        <f>IF('query (2)'!C96="","UNKNOWN",IFERROR(INDEX(Cleaning_Rules!$B$15:$B$20,MATCH(TRIM(UPPER('query (2)'!C96)),Cleaning_Rules!$A$15:$A$20,0)),"UNKNOWN"))</f>
        <v>FACTORY3</v>
      </c>
      <c r="H96" s="25" t="str">
        <f>IF('query (2)'!C96="","",'query (2)'!C96)</f>
        <v>FACTORY3</v>
      </c>
      <c r="I96" s="24" t="str" cm="1">
        <f t="array" ref="I96">_xlfn.IFS($G96="UNKNOWN","UNKNOWN",OR($G96="FACTORY1",$G96="FACTORY2",$G96="FACTORY3"),"PLANT",TRUE,"SHARED")</f>
        <v>PLANT</v>
      </c>
      <c r="J96" s="24" t="str">
        <f>IF('query (2)'!D96="","UNKNOWN",IF(COUNTIF(Cleaning_Rules!$A$6:$A$11,TRIM('query (2)'!D96))&gt;0,"UNKNOWN",IFERROR(INDEX(Cleaning_Rules!$B$24:$B$28,MATCH(TRIM(UPPER('query (2)'!D96)),Cleaning_Rules!$A$24:$A$28,0)),TRIM(UPPER('query (2)'!D96)))))</f>
        <v>KWD1</v>
      </c>
      <c r="K96" s="25" t="str">
        <f>IF('query (2)'!D96="","",'query (2)'!D96)</f>
        <v>KWD1</v>
      </c>
      <c r="L96" s="24" t="str">
        <f>IF($J96="UNKNOWN","",_xlfn.TEXTBEFORE($J96,{"0","1","2","3","4","5","6","7","8","9"," ","-","."},1,,,$J96))</f>
        <v>KWD</v>
      </c>
      <c r="M96" s="24" t="str">
        <f>IF('query (2)'!I96&lt;&gt;"",TRIM(UPPER('query (2)'!I96)),IF($L96="","UNKNOWN",$L96))</f>
        <v>KWD</v>
      </c>
      <c r="N96" s="24" t="str">
        <f>IF('query (2)'!I96&lt;&gt;"","SOURCE",IF($L96="","UNKNOWN","DERIVED"))</f>
        <v>SOURCE</v>
      </c>
      <c r="O96" s="24" t="str">
        <f>IF('query (2)'!E96="","NOT_SPECIFIED",TRIM(UPPER('query (2)'!E96)))</f>
        <v>GRINDING 2</v>
      </c>
      <c r="P96" s="24" t="str">
        <f>IF('query (2)'!F96="","",TRIM(UPPER('query (2)'!F96)))</f>
        <v>1003-KW1G</v>
      </c>
      <c r="Q96" s="24" t="str">
        <f>IF('query (2)'!G96="","UNKNOWN",IFERROR(INDEX(Cleaning_Rules!$B$38:$B$46,MATCH(TRIM(UPPER('query (2)'!G96)),Cleaning_Rules!$A$38:$A$46,0)),"UNKNOWN"))</f>
        <v>MAGNET FILTER COOLANT TANK</v>
      </c>
      <c r="R96" s="24" t="str">
        <f>IF('query (2)'!H96="","",TRIM(UPPER('query (2)'!H96)))</f>
        <v>MAGNET FILTER COOLANT TANK NO.1</v>
      </c>
      <c r="S96" s="25" t="str">
        <f>IF('query (2)'!H96="","",'query (2)'!H96)</f>
        <v>Magnet filter coolant tank No.1</v>
      </c>
      <c r="T96" s="24" t="str">
        <f>IF('query (2)'!J96="","",TRIM(UPPER('query (2)'!J96)))</f>
        <v>MAGNET FILTER COOLANT TANK</v>
      </c>
      <c r="U96" s="24" t="str">
        <f t="shared" si="10"/>
        <v/>
      </c>
      <c r="V96" s="24" t="str">
        <f>IF('query (2)'!K96="","NOT_SPECIFIED",IFERROR(INDEX(Cleaning_Rules!$B$32:$B$34,MATCH(TRIM(UPPER('query (2)'!K96)),Cleaning_Rules!$A$32:$A$34,0)),"UNKNOWN"))</f>
        <v>NOT_SPECIFIED</v>
      </c>
      <c r="W96" s="24" t="str">
        <f t="shared" si="11"/>
        <v>FI-017 | FACTORY3 | KWD1 | KWD | GRINDING 2 | 1003-KW1G | MAGNET FILTER COOLANT TANK | MAGNET FILTER COOLANT TANK NO.1 | MAGNET FILTER COOLANT TANK | NOT_SPECIFIED</v>
      </c>
      <c r="X96" s="24" t="str">
        <f t="shared" si="12"/>
        <v/>
      </c>
      <c r="Y96" s="24" t="str">
        <f t="shared" si="13"/>
        <v>MISSING_STATUS</v>
      </c>
    </row>
    <row r="97" spans="1:25" x14ac:dyDescent="0.3">
      <c r="A97" s="24" t="str">
        <f t="shared" si="7"/>
        <v>FI-463#0096</v>
      </c>
      <c r="B97" s="24" t="str">
        <f>IF('query (2)'!B97="","",TRIM(UPPER('query (2)'!B97)))</f>
        <v>FI-463</v>
      </c>
      <c r="C97" s="25" t="str">
        <f>IF('query (2)'!B97="","",'query (2)'!B97)</f>
        <v>FI-463</v>
      </c>
      <c r="D97" s="24" t="str">
        <f t="shared" si="8"/>
        <v>FI</v>
      </c>
      <c r="E97" s="24">
        <f t="shared" si="9"/>
        <v>1</v>
      </c>
      <c r="F97" s="24">
        <f>IF('query (2)'!A97="","",IFERROR(VALUE('query (2)'!A97),""))</f>
        <v>96</v>
      </c>
      <c r="G97" s="24" t="str">
        <f>IF('query (2)'!C97="","UNKNOWN",IFERROR(INDEX(Cleaning_Rules!$B$15:$B$20,MATCH(TRIM(UPPER('query (2)'!C97)),Cleaning_Rules!$A$15:$A$20,0)),"UNKNOWN"))</f>
        <v>FACTORY3</v>
      </c>
      <c r="H97" s="25" t="str">
        <f>IF('query (2)'!C97="","",'query (2)'!C97)</f>
        <v>FACTORY3</v>
      </c>
      <c r="I97" s="24" t="str" cm="1">
        <f t="array" ref="I97">_xlfn.IFS($G97="UNKNOWN","UNKNOWN",OR($G97="FACTORY1",$G97="FACTORY2",$G97="FACTORY3"),"PLANT",TRUE,"SHARED")</f>
        <v>PLANT</v>
      </c>
      <c r="J97" s="24" t="str">
        <f>IF('query (2)'!D97="","UNKNOWN",IF(COUNTIF(Cleaning_Rules!$A$6:$A$11,TRIM('query (2)'!D97))&gt;0,"UNKNOWN",IFERROR(INDEX(Cleaning_Rules!$B$24:$B$28,MATCH(TRIM(UPPER('query (2)'!D97)),Cleaning_Rules!$A$24:$A$28,0)),TRIM(UPPER('query (2)'!D97)))))</f>
        <v>KWD1</v>
      </c>
      <c r="K97" s="25" t="str">
        <f>IF('query (2)'!D97="","",'query (2)'!D97)</f>
        <v>KWD1</v>
      </c>
      <c r="L97" s="24" t="str">
        <f>IF($J97="UNKNOWN","",_xlfn.TEXTBEFORE($J97,{"0","1","2","3","4","5","6","7","8","9"," ","-","."},1,,,$J97))</f>
        <v>KWD</v>
      </c>
      <c r="M97" s="24" t="str">
        <f>IF('query (2)'!I97&lt;&gt;"",TRIM(UPPER('query (2)'!I97)),IF($L97="","UNKNOWN",$L97))</f>
        <v>KWD</v>
      </c>
      <c r="N97" s="24" t="str">
        <f>IF('query (2)'!I97&lt;&gt;"","SOURCE",IF($L97="","UNKNOWN","DERIVED"))</f>
        <v>SOURCE</v>
      </c>
      <c r="O97" s="24" t="str">
        <f>IF('query (2)'!E97="","NOT_SPECIFIED",TRIM(UPPER('query (2)'!E97)))</f>
        <v>GRINDING 2</v>
      </c>
      <c r="P97" s="24" t="str">
        <f>IF('query (2)'!F97="","",TRIM(UPPER('query (2)'!F97)))</f>
        <v>1003-KW1G</v>
      </c>
      <c r="Q97" s="24" t="str">
        <f>IF('query (2)'!G97="","UNKNOWN",IFERROR(INDEX(Cleaning_Rules!$B$38:$B$46,MATCH(TRIM(UPPER('query (2)'!G97)),Cleaning_Rules!$A$38:$A$46,0)),"UNKNOWN"))</f>
        <v>MAGNET FILTER COOLANT TANK</v>
      </c>
      <c r="R97" s="24" t="str">
        <f>IF('query (2)'!H97="","",TRIM(UPPER('query (2)'!H97)))</f>
        <v>MAGNET FILTER COOLANT TANK NO.1</v>
      </c>
      <c r="S97" s="25" t="str">
        <f>IF('query (2)'!H97="","",'query (2)'!H97)</f>
        <v>Magnet filter coolant tank No.1</v>
      </c>
      <c r="T97" s="24" t="str">
        <f>IF('query (2)'!J97="","",TRIM(UPPER('query (2)'!J97)))</f>
        <v>MAGNET FILTER COOLANT TANK</v>
      </c>
      <c r="U97" s="24" t="str">
        <f t="shared" si="10"/>
        <v/>
      </c>
      <c r="V97" s="24" t="str">
        <f>IF('query (2)'!K97="","NOT_SPECIFIED",IFERROR(INDEX(Cleaning_Rules!$B$32:$B$34,MATCH(TRIM(UPPER('query (2)'!K97)),Cleaning_Rules!$A$32:$A$34,0)),"UNKNOWN"))</f>
        <v>NOT_SPECIFIED</v>
      </c>
      <c r="W97" s="24" t="str">
        <f t="shared" si="11"/>
        <v>FI-463 | FACTORY3 | KWD1 | KWD | GRINDING 2 | 1003-KW1G | MAGNET FILTER COOLANT TANK | MAGNET FILTER COOLANT TANK NO.1 | MAGNET FILTER COOLANT TANK | NOT_SPECIFIED</v>
      </c>
      <c r="X97" s="24" t="str">
        <f t="shared" si="12"/>
        <v/>
      </c>
      <c r="Y97" s="24" t="str">
        <f t="shared" si="13"/>
        <v>MISSING_STATUS</v>
      </c>
    </row>
    <row r="98" spans="1:25" x14ac:dyDescent="0.3">
      <c r="A98" s="24" t="str">
        <f t="shared" si="7"/>
        <v>FI-156#0097</v>
      </c>
      <c r="B98" s="24" t="str">
        <f>IF('query (2)'!B98="","",TRIM(UPPER('query (2)'!B98)))</f>
        <v>FI-156</v>
      </c>
      <c r="C98" s="25" t="str">
        <f>IF('query (2)'!B98="","",'query (2)'!B98)</f>
        <v>FI-156</v>
      </c>
      <c r="D98" s="24" t="str">
        <f t="shared" si="8"/>
        <v>FI</v>
      </c>
      <c r="E98" s="24">
        <f t="shared" si="9"/>
        <v>1</v>
      </c>
      <c r="F98" s="24">
        <f>IF('query (2)'!A98="","",IFERROR(VALUE('query (2)'!A98),""))</f>
        <v>97</v>
      </c>
      <c r="G98" s="24" t="str">
        <f>IF('query (2)'!C98="","UNKNOWN",IFERROR(INDEX(Cleaning_Rules!$B$15:$B$20,MATCH(TRIM(UPPER('query (2)'!C98)),Cleaning_Rules!$A$15:$A$20,0)),"UNKNOWN"))</f>
        <v>FACTORY3</v>
      </c>
      <c r="H98" s="25" t="str">
        <f>IF('query (2)'!C98="","",'query (2)'!C98)</f>
        <v>FACTORY3</v>
      </c>
      <c r="I98" s="24" t="str" cm="1">
        <f t="array" ref="I98">_xlfn.IFS($G98="UNKNOWN","UNKNOWN",OR($G98="FACTORY1",$G98="FACTORY2",$G98="FACTORY3"),"PLANT",TRUE,"SHARED")</f>
        <v>PLANT</v>
      </c>
      <c r="J98" s="24" t="str">
        <f>IF('query (2)'!D98="","UNKNOWN",IF(COUNTIF(Cleaning_Rules!$A$6:$A$11,TRIM('query (2)'!D98))&gt;0,"UNKNOWN",IFERROR(INDEX(Cleaning_Rules!$B$24:$B$28,MATCH(TRIM(UPPER('query (2)'!D98)),Cleaning_Rules!$A$24:$A$28,0)),TRIM(UPPER('query (2)'!D98)))))</f>
        <v>KWD2</v>
      </c>
      <c r="K98" s="25" t="str">
        <f>IF('query (2)'!D98="","",'query (2)'!D98)</f>
        <v>KWD2</v>
      </c>
      <c r="L98" s="24" t="str">
        <f>IF($J98="UNKNOWN","",_xlfn.TEXTBEFORE($J98,{"0","1","2","3","4","5","6","7","8","9"," ","-","."},1,,,$J98))</f>
        <v>KWD</v>
      </c>
      <c r="M98" s="24" t="str">
        <f>IF('query (2)'!I98&lt;&gt;"",TRIM(UPPER('query (2)'!I98)),IF($L98="","UNKNOWN",$L98))</f>
        <v>KWD</v>
      </c>
      <c r="N98" s="24" t="str">
        <f>IF('query (2)'!I98&lt;&gt;"","SOURCE",IF($L98="","UNKNOWN","DERIVED"))</f>
        <v>SOURCE</v>
      </c>
      <c r="O98" s="24" t="str">
        <f>IF('query (2)'!E98="","NOT_SPECIFIED",TRIM(UPPER('query (2)'!E98)))</f>
        <v>GRINDING 2</v>
      </c>
      <c r="P98" s="24" t="str">
        <f>IF('query (2)'!F98="","",TRIM(UPPER('query (2)'!F98)))</f>
        <v>1006-KW2G</v>
      </c>
      <c r="Q98" s="24" t="str">
        <f>IF('query (2)'!G98="","UNKNOWN",IFERROR(INDEX(Cleaning_Rules!$B$38:$B$46,MATCH(TRIM(UPPER('query (2)'!G98)),Cleaning_Rules!$A$38:$A$46,0)),"UNKNOWN"))</f>
        <v>MAGNET FILTER COOLANT TANK</v>
      </c>
      <c r="R98" s="24" t="str">
        <f>IF('query (2)'!H98="","",TRIM(UPPER('query (2)'!H98)))</f>
        <v>MAGNET FILTER COOLANT TANK NO.5</v>
      </c>
      <c r="S98" s="25" t="str">
        <f>IF('query (2)'!H98="","",'query (2)'!H98)</f>
        <v>Magnet filter coolant tank No.5</v>
      </c>
      <c r="T98" s="24" t="str">
        <f>IF('query (2)'!J98="","",TRIM(UPPER('query (2)'!J98)))</f>
        <v>MAGNET FILTER COOLANT TANK</v>
      </c>
      <c r="U98" s="24" t="str">
        <f t="shared" si="10"/>
        <v/>
      </c>
      <c r="V98" s="24" t="str">
        <f>IF('query (2)'!K98="","NOT_SPECIFIED",IFERROR(INDEX(Cleaning_Rules!$B$32:$B$34,MATCH(TRIM(UPPER('query (2)'!K98)),Cleaning_Rules!$A$32:$A$34,0)),"UNKNOWN"))</f>
        <v>NOT_SPECIFIED</v>
      </c>
      <c r="W98" s="24" t="str">
        <f t="shared" si="11"/>
        <v>FI-156 | FACTORY3 | KWD2 | KWD | GRINDING 2 | 1006-KW2G | MAGNET FILTER COOLANT TANK | MAGNET FILTER COOLANT TANK NO.5 | MAGNET FILTER COOLANT TANK | NOT_SPECIFIED</v>
      </c>
      <c r="X98" s="24" t="str">
        <f t="shared" si="12"/>
        <v/>
      </c>
      <c r="Y98" s="24" t="str">
        <f t="shared" si="13"/>
        <v>MISSING_STATUS</v>
      </c>
    </row>
    <row r="99" spans="1:25" x14ac:dyDescent="0.3">
      <c r="A99" s="24" t="str">
        <f t="shared" si="7"/>
        <v>FI-266#0098</v>
      </c>
      <c r="B99" s="24" t="str">
        <f>IF('query (2)'!B99="","",TRIM(UPPER('query (2)'!B99)))</f>
        <v>FI-266</v>
      </c>
      <c r="C99" s="25" t="str">
        <f>IF('query (2)'!B99="","",'query (2)'!B99)</f>
        <v>FI-266</v>
      </c>
      <c r="D99" s="24" t="str">
        <f t="shared" si="8"/>
        <v>FI</v>
      </c>
      <c r="E99" s="24">
        <f t="shared" si="9"/>
        <v>1</v>
      </c>
      <c r="F99" s="24">
        <f>IF('query (2)'!A99="","",IFERROR(VALUE('query (2)'!A99),""))</f>
        <v>98</v>
      </c>
      <c r="G99" s="24" t="str">
        <f>IF('query (2)'!C99="","UNKNOWN",IFERROR(INDEX(Cleaning_Rules!$B$15:$B$20,MATCH(TRIM(UPPER('query (2)'!C99)),Cleaning_Rules!$A$15:$A$20,0)),"UNKNOWN"))</f>
        <v>FACTORY3</v>
      </c>
      <c r="H99" s="25" t="str">
        <f>IF('query (2)'!C99="","",'query (2)'!C99)</f>
        <v>FACTORY3</v>
      </c>
      <c r="I99" s="24" t="str" cm="1">
        <f t="array" ref="I99">_xlfn.IFS($G99="UNKNOWN","UNKNOWN",OR($G99="FACTORY1",$G99="FACTORY2",$G99="FACTORY3"),"PLANT",TRUE,"SHARED")</f>
        <v>PLANT</v>
      </c>
      <c r="J99" s="24" t="str">
        <f>IF('query (2)'!D99="","UNKNOWN",IF(COUNTIF(Cleaning_Rules!$A$6:$A$11,TRIM('query (2)'!D99))&gt;0,"UNKNOWN",IFERROR(INDEX(Cleaning_Rules!$B$24:$B$28,MATCH(TRIM(UPPER('query (2)'!D99)),Cleaning_Rules!$A$24:$A$28,0)),TRIM(UPPER('query (2)'!D99)))))</f>
        <v>KWD2</v>
      </c>
      <c r="K99" s="25" t="str">
        <f>IF('query (2)'!D99="","",'query (2)'!D99)</f>
        <v>KWD2</v>
      </c>
      <c r="L99" s="24" t="str">
        <f>IF($J99="UNKNOWN","",_xlfn.TEXTBEFORE($J99,{"0","1","2","3","4","5","6","7","8","9"," ","-","."},1,,,$J99))</f>
        <v>KWD</v>
      </c>
      <c r="M99" s="24" t="str">
        <f>IF('query (2)'!I99&lt;&gt;"",TRIM(UPPER('query (2)'!I99)),IF($L99="","UNKNOWN",$L99))</f>
        <v>KWD</v>
      </c>
      <c r="N99" s="24" t="str">
        <f>IF('query (2)'!I99&lt;&gt;"","SOURCE",IF($L99="","UNKNOWN","DERIVED"))</f>
        <v>SOURCE</v>
      </c>
      <c r="O99" s="24" t="str">
        <f>IF('query (2)'!E99="","NOT_SPECIFIED",TRIM(UPPER('query (2)'!E99)))</f>
        <v>GRINDING 2</v>
      </c>
      <c r="P99" s="24" t="str">
        <f>IF('query (2)'!F99="","",TRIM(UPPER('query (2)'!F99)))</f>
        <v>1006-KW2G</v>
      </c>
      <c r="Q99" s="24" t="str">
        <f>IF('query (2)'!G99="","UNKNOWN",IFERROR(INDEX(Cleaning_Rules!$B$38:$B$46,MATCH(TRIM(UPPER('query (2)'!G99)),Cleaning_Rules!$A$38:$A$46,0)),"UNKNOWN"))</f>
        <v>MAGNET FILTER COOLANT TANK</v>
      </c>
      <c r="R99" s="24" t="str">
        <f>IF('query (2)'!H99="","",TRIM(UPPER('query (2)'!H99)))</f>
        <v>MAGNET FILTER COOLANT TANK NO.7</v>
      </c>
      <c r="S99" s="25" t="str">
        <f>IF('query (2)'!H99="","",'query (2)'!H99)</f>
        <v>Magnet filter coolant tank No.7</v>
      </c>
      <c r="T99" s="24" t="str">
        <f>IF('query (2)'!J99="","",TRIM(UPPER('query (2)'!J99)))</f>
        <v>MAGNET FILTER COOLANT TANK</v>
      </c>
      <c r="U99" s="24" t="str">
        <f t="shared" si="10"/>
        <v/>
      </c>
      <c r="V99" s="24" t="str">
        <f>IF('query (2)'!K99="","NOT_SPECIFIED",IFERROR(INDEX(Cleaning_Rules!$B$32:$B$34,MATCH(TRIM(UPPER('query (2)'!K99)),Cleaning_Rules!$A$32:$A$34,0)),"UNKNOWN"))</f>
        <v>NOT_SPECIFIED</v>
      </c>
      <c r="W99" s="24" t="str">
        <f t="shared" si="11"/>
        <v>FI-266 | FACTORY3 | KWD2 | KWD | GRINDING 2 | 1006-KW2G | MAGNET FILTER COOLANT TANK | MAGNET FILTER COOLANT TANK NO.7 | MAGNET FILTER COOLANT TANK | NOT_SPECIFIED</v>
      </c>
      <c r="X99" s="24" t="str">
        <f t="shared" si="12"/>
        <v/>
      </c>
      <c r="Y99" s="24" t="str">
        <f t="shared" si="13"/>
        <v>MISSING_STATUS</v>
      </c>
    </row>
    <row r="100" spans="1:25" x14ac:dyDescent="0.3">
      <c r="A100" s="24" t="str">
        <f t="shared" si="7"/>
        <v>FI-341#0099</v>
      </c>
      <c r="B100" s="24" t="str">
        <f>IF('query (2)'!B100="","",TRIM(UPPER('query (2)'!B100)))</f>
        <v>FI-341</v>
      </c>
      <c r="C100" s="25" t="str">
        <f>IF('query (2)'!B100="","",'query (2)'!B100)</f>
        <v>FI-341</v>
      </c>
      <c r="D100" s="24" t="str">
        <f t="shared" si="8"/>
        <v>FI</v>
      </c>
      <c r="E100" s="24">
        <f t="shared" si="9"/>
        <v>1</v>
      </c>
      <c r="F100" s="24">
        <f>IF('query (2)'!A100="","",IFERROR(VALUE('query (2)'!A100),""))</f>
        <v>99</v>
      </c>
      <c r="G100" s="24" t="str">
        <f>IF('query (2)'!C100="","UNKNOWN",IFERROR(INDEX(Cleaning_Rules!$B$15:$B$20,MATCH(TRIM(UPPER('query (2)'!C100)),Cleaning_Rules!$A$15:$A$20,0)),"UNKNOWN"))</f>
        <v>FACTORY3</v>
      </c>
      <c r="H100" s="25" t="str">
        <f>IF('query (2)'!C100="","",'query (2)'!C100)</f>
        <v>FACTORY3</v>
      </c>
      <c r="I100" s="24" t="str" cm="1">
        <f t="array" ref="I100">_xlfn.IFS($G100="UNKNOWN","UNKNOWN",OR($G100="FACTORY1",$G100="FACTORY2",$G100="FACTORY3"),"PLANT",TRUE,"SHARED")</f>
        <v>PLANT</v>
      </c>
      <c r="J100" s="24" t="str">
        <f>IF('query (2)'!D100="","UNKNOWN",IF(COUNTIF(Cleaning_Rules!$A$6:$A$11,TRIM('query (2)'!D100))&gt;0,"UNKNOWN",IFERROR(INDEX(Cleaning_Rules!$B$24:$B$28,MATCH(TRIM(UPPER('query (2)'!D100)),Cleaning_Rules!$A$24:$A$28,0)),TRIM(UPPER('query (2)'!D100)))))</f>
        <v>KWD3</v>
      </c>
      <c r="K100" s="25" t="str">
        <f>IF('query (2)'!D100="","",'query (2)'!D100)</f>
        <v>KWD3</v>
      </c>
      <c r="L100" s="24" t="str">
        <f>IF($J100="UNKNOWN","",_xlfn.TEXTBEFORE($J100,{"0","1","2","3","4","5","6","7","8","9"," ","-","."},1,,,$J100))</f>
        <v>KWD</v>
      </c>
      <c r="M100" s="24" t="str">
        <f>IF('query (2)'!I100&lt;&gt;"",TRIM(UPPER('query (2)'!I100)),IF($L100="","UNKNOWN",$L100))</f>
        <v>KWD</v>
      </c>
      <c r="N100" s="24" t="str">
        <f>IF('query (2)'!I100&lt;&gt;"","SOURCE",IF($L100="","UNKNOWN","DERIVED"))</f>
        <v>SOURCE</v>
      </c>
      <c r="O100" s="24" t="str">
        <f>IF('query (2)'!E100="","NOT_SPECIFIED",TRIM(UPPER('query (2)'!E100)))</f>
        <v>GRINDING 2</v>
      </c>
      <c r="P100" s="24" t="str">
        <f>IF('query (2)'!F100="","",TRIM(UPPER('query (2)'!F100)))</f>
        <v>1009-KW3G</v>
      </c>
      <c r="Q100" s="24" t="str">
        <f>IF('query (2)'!G100="","UNKNOWN",IFERROR(INDEX(Cleaning_Rules!$B$38:$B$46,MATCH(TRIM(UPPER('query (2)'!G100)),Cleaning_Rules!$A$38:$A$46,0)),"UNKNOWN"))</f>
        <v>MAGNET FILTER COOLANT TANK</v>
      </c>
      <c r="R100" s="24" t="str">
        <f>IF('query (2)'!H100="","",TRIM(UPPER('query (2)'!H100)))</f>
        <v>MAGNETIZING FILTER COOLANT TANK</v>
      </c>
      <c r="S100" s="25" t="str">
        <f>IF('query (2)'!H100="","",'query (2)'!H100)</f>
        <v>Magnetizing filter coolant tank</v>
      </c>
      <c r="T100" s="24" t="str">
        <f>IF('query (2)'!J100="","",TRIM(UPPER('query (2)'!J100)))</f>
        <v>MAGNET FILTER COOLANT TANK</v>
      </c>
      <c r="U100" s="24" t="str">
        <f t="shared" si="10"/>
        <v/>
      </c>
      <c r="V100" s="24" t="str">
        <f>IF('query (2)'!K100="","NOT_SPECIFIED",IFERROR(INDEX(Cleaning_Rules!$B$32:$B$34,MATCH(TRIM(UPPER('query (2)'!K100)),Cleaning_Rules!$A$32:$A$34,0)),"UNKNOWN"))</f>
        <v>NOT_SPECIFIED</v>
      </c>
      <c r="W100" s="24" t="str">
        <f t="shared" si="11"/>
        <v>FI-341 | FACTORY3 | KWD3 | KWD | GRINDING 2 | 1009-KW3G | MAGNET FILTER COOLANT TANK | MAGNETIZING FILTER COOLANT TANK | MAGNET FILTER COOLANT TANK | NOT_SPECIFIED</v>
      </c>
      <c r="X100" s="24" t="str">
        <f t="shared" si="12"/>
        <v/>
      </c>
      <c r="Y100" s="24" t="str">
        <f t="shared" si="13"/>
        <v>MISSING_STATUS</v>
      </c>
    </row>
    <row r="101" spans="1:25" x14ac:dyDescent="0.3">
      <c r="A101" s="24" t="str">
        <f t="shared" si="7"/>
        <v>FI-220#0100</v>
      </c>
      <c r="B101" s="24" t="str">
        <f>IF('query (2)'!B101="","",TRIM(UPPER('query (2)'!B101)))</f>
        <v>FI-220</v>
      </c>
      <c r="C101" s="25" t="str">
        <f>IF('query (2)'!B101="","",'query (2)'!B101)</f>
        <v>FI-220</v>
      </c>
      <c r="D101" s="24" t="str">
        <f t="shared" si="8"/>
        <v>FI</v>
      </c>
      <c r="E101" s="24">
        <f t="shared" si="9"/>
        <v>1</v>
      </c>
      <c r="F101" s="24">
        <f>IF('query (2)'!A101="","",IFERROR(VALUE('query (2)'!A101),""))</f>
        <v>100</v>
      </c>
      <c r="G101" s="24" t="str">
        <f>IF('query (2)'!C101="","UNKNOWN",IFERROR(INDEX(Cleaning_Rules!$B$15:$B$20,MATCH(TRIM(UPPER('query (2)'!C101)),Cleaning_Rules!$A$15:$A$20,0)),"UNKNOWN"))</f>
        <v>FACTORY3</v>
      </c>
      <c r="H101" s="25" t="str">
        <f>IF('query (2)'!C101="","",'query (2)'!C101)</f>
        <v>FACTORY3</v>
      </c>
      <c r="I101" s="24" t="str" cm="1">
        <f t="array" ref="I101">_xlfn.IFS($G101="UNKNOWN","UNKNOWN",OR($G101="FACTORY1",$G101="FACTORY2",$G101="FACTORY3"),"PLANT",TRUE,"SHARED")</f>
        <v>PLANT</v>
      </c>
      <c r="J101" s="24" t="str">
        <f>IF('query (2)'!D101="","UNKNOWN",IF(COUNTIF(Cleaning_Rules!$A$6:$A$11,TRIM('query (2)'!D101))&gt;0,"UNKNOWN",IFERROR(INDEX(Cleaning_Rules!$B$24:$B$28,MATCH(TRIM(UPPER('query (2)'!D101)),Cleaning_Rules!$A$24:$A$28,0)),TRIM(UPPER('query (2)'!D101)))))</f>
        <v>KWD3</v>
      </c>
      <c r="K101" s="25" t="str">
        <f>IF('query (2)'!D101="","",'query (2)'!D101)</f>
        <v>KWD3</v>
      </c>
      <c r="L101" s="24" t="str">
        <f>IF($J101="UNKNOWN","",_xlfn.TEXTBEFORE($J101,{"0","1","2","3","4","5","6","7","8","9"," ","-","."},1,,,$J101))</f>
        <v>KWD</v>
      </c>
      <c r="M101" s="24" t="str">
        <f>IF('query (2)'!I101&lt;&gt;"",TRIM(UPPER('query (2)'!I101)),IF($L101="","UNKNOWN",$L101))</f>
        <v>KWD</v>
      </c>
      <c r="N101" s="24" t="str">
        <f>IF('query (2)'!I101&lt;&gt;"","SOURCE",IF($L101="","UNKNOWN","DERIVED"))</f>
        <v>SOURCE</v>
      </c>
      <c r="O101" s="24" t="str">
        <f>IF('query (2)'!E101="","NOT_SPECIFIED",TRIM(UPPER('query (2)'!E101)))</f>
        <v>GRINDING 2</v>
      </c>
      <c r="P101" s="24" t="str">
        <f>IF('query (2)'!F101="","",TRIM(UPPER('query (2)'!F101)))</f>
        <v>1009-KW3G</v>
      </c>
      <c r="Q101" s="24" t="str">
        <f>IF('query (2)'!G101="","UNKNOWN",IFERROR(INDEX(Cleaning_Rules!$B$38:$B$46,MATCH(TRIM(UPPER('query (2)'!G101)),Cleaning_Rules!$A$38:$A$46,0)),"UNKNOWN"))</f>
        <v>MAGNET FILTER COOLANT TANK</v>
      </c>
      <c r="R101" s="24" t="str">
        <f>IF('query (2)'!H101="","",TRIM(UPPER('query (2)'!H101)))</f>
        <v>MAGNETIZING FILTER COOLANT TANK</v>
      </c>
      <c r="S101" s="25" t="str">
        <f>IF('query (2)'!H101="","",'query (2)'!H101)</f>
        <v>Magnetizing filter coolant tank</v>
      </c>
      <c r="T101" s="24" t="str">
        <f>IF('query (2)'!J101="","",TRIM(UPPER('query (2)'!J101)))</f>
        <v>MAGNET FILTER COOLANT TANK</v>
      </c>
      <c r="U101" s="24" t="str">
        <f t="shared" si="10"/>
        <v/>
      </c>
      <c r="V101" s="24" t="str">
        <f>IF('query (2)'!K101="","NOT_SPECIFIED",IFERROR(INDEX(Cleaning_Rules!$B$32:$B$34,MATCH(TRIM(UPPER('query (2)'!K101)),Cleaning_Rules!$A$32:$A$34,0)),"UNKNOWN"))</f>
        <v>NOT_SPECIFIED</v>
      </c>
      <c r="W101" s="24" t="str">
        <f t="shared" si="11"/>
        <v>FI-220 | FACTORY3 | KWD3 | KWD | GRINDING 2 | 1009-KW3G | MAGNET FILTER COOLANT TANK | MAGNETIZING FILTER COOLANT TANK | MAGNET FILTER COOLANT TANK | NOT_SPECIFIED</v>
      </c>
      <c r="X101" s="24" t="str">
        <f t="shared" si="12"/>
        <v/>
      </c>
      <c r="Y101" s="24" t="str">
        <f t="shared" si="13"/>
        <v>MISSING_STATUS</v>
      </c>
    </row>
    <row r="102" spans="1:25" x14ac:dyDescent="0.3">
      <c r="A102" s="24" t="str">
        <f t="shared" si="7"/>
        <v>CH-958#0101</v>
      </c>
      <c r="B102" s="24" t="str">
        <f>IF('query (2)'!B102="","",TRIM(UPPER('query (2)'!B102)))</f>
        <v>CH-958</v>
      </c>
      <c r="C102" s="25" t="str">
        <f>IF('query (2)'!B102="","",'query (2)'!B102)</f>
        <v>CH-958</v>
      </c>
      <c r="D102" s="24" t="str">
        <f t="shared" si="8"/>
        <v>CH</v>
      </c>
      <c r="E102" s="24">
        <f t="shared" si="9"/>
        <v>1</v>
      </c>
      <c r="F102" s="24">
        <f>IF('query (2)'!A102="","",IFERROR(VALUE('query (2)'!A102),""))</f>
        <v>101</v>
      </c>
      <c r="G102" s="24" t="str">
        <f>IF('query (2)'!C102="","UNKNOWN",IFERROR(INDEX(Cleaning_Rules!$B$15:$B$20,MATCH(TRIM(UPPER('query (2)'!C102)),Cleaning_Rules!$A$15:$A$20,0)),"UNKNOWN"))</f>
        <v>FACTORY3</v>
      </c>
      <c r="H102" s="25" t="str">
        <f>IF('query (2)'!C102="","",'query (2)'!C102)</f>
        <v>FACTORY3</v>
      </c>
      <c r="I102" s="24" t="str" cm="1">
        <f t="array" ref="I102">_xlfn.IFS($G102="UNKNOWN","UNKNOWN",OR($G102="FACTORY1",$G102="FACTORY2",$G102="FACTORY3"),"PLANT",TRUE,"SHARED")</f>
        <v>PLANT</v>
      </c>
      <c r="J102" s="24" t="str">
        <f>IF('query (2)'!D102="","UNKNOWN",IF(COUNTIF(Cleaning_Rules!$A$6:$A$11,TRIM('query (2)'!D102))&gt;0,"UNKNOWN",IFERROR(INDEX(Cleaning_Rules!$B$24:$B$28,MATCH(TRIM(UPPER('query (2)'!D102)),Cleaning_Rules!$A$24:$A$28,0)),TRIM(UPPER('query (2)'!D102)))))</f>
        <v>KWD4</v>
      </c>
      <c r="K102" s="25" t="str">
        <f>IF('query (2)'!D102="","",'query (2)'!D102)</f>
        <v>KWD4</v>
      </c>
      <c r="L102" s="24" t="str">
        <f>IF($J102="UNKNOWN","",_xlfn.TEXTBEFORE($J102,{"0","1","2","3","4","5","6","7","8","9"," ","-","."},1,,,$J102))</f>
        <v>KWD</v>
      </c>
      <c r="M102" s="24" t="str">
        <f>IF('query (2)'!I102&lt;&gt;"",TRIM(UPPER('query (2)'!I102)),IF($L102="","UNKNOWN",$L102))</f>
        <v>KWD</v>
      </c>
      <c r="N102" s="24" t="str">
        <f>IF('query (2)'!I102&lt;&gt;"","SOURCE",IF($L102="","UNKNOWN","DERIVED"))</f>
        <v>SOURCE</v>
      </c>
      <c r="O102" s="24" t="str">
        <f>IF('query (2)'!E102="","NOT_SPECIFIED",TRIM(UPPER('query (2)'!E102)))</f>
        <v>ASSEMBLY</v>
      </c>
      <c r="P102" s="24" t="str">
        <f>IF('query (2)'!F102="","",TRIM(UPPER('query (2)'!F102)))</f>
        <v>1013-KW4AI</v>
      </c>
      <c r="Q102" s="24" t="str">
        <f>IF('query (2)'!G102="","UNKNOWN",IFERROR(INDEX(Cleaning_Rules!$B$38:$B$46,MATCH(TRIM(UPPER('query (2)'!G102)),Cleaning_Rules!$A$38:$A$46,0)),"UNKNOWN"))</f>
        <v>OTHER</v>
      </c>
      <c r="R102" s="24" t="str">
        <f>IF('query (2)'!H102="","",TRIM(UPPER('query (2)'!H102)))</f>
        <v>OUTER / INNER EDDY CURRENT TERTER MACHINE</v>
      </c>
      <c r="S102" s="25" t="str">
        <f>IF('query (2)'!H102="","",'query (2)'!H102)</f>
        <v>Outer / Inner Eddy current terter machine</v>
      </c>
      <c r="T102" s="24" t="str">
        <f>IF('query (2)'!J102="","",TRIM(UPPER('query (2)'!J102)))</f>
        <v>A&amp;B - E.C.T.</v>
      </c>
      <c r="U102" s="24" t="str">
        <f t="shared" si="10"/>
        <v/>
      </c>
      <c r="V102" s="24" t="str">
        <f>IF('query (2)'!K102="","NOT_SPECIFIED",IFERROR(INDEX(Cleaning_Rules!$B$32:$B$34,MATCH(TRIM(UPPER('query (2)'!K102)),Cleaning_Rules!$A$32:$A$34,0)),"UNKNOWN"))</f>
        <v>NOT_SPECIFIED</v>
      </c>
      <c r="W102" s="24" t="str">
        <f t="shared" si="11"/>
        <v>CH-958 | FACTORY3 | KWD4 | KWD | ASSEMBLY | 1013-KW4AI | OTHER | OUTER / INNER EDDY CURRENT TERTER MACHINE | A&amp;B - E.C.T. | NOT_SPECIFIED</v>
      </c>
      <c r="X102" s="24" t="str">
        <f t="shared" si="12"/>
        <v/>
      </c>
      <c r="Y102" s="24" t="str">
        <f t="shared" si="13"/>
        <v>MISSING_STATUS; CATEGORY_NOT_USEFUL</v>
      </c>
    </row>
    <row r="103" spans="1:25" x14ac:dyDescent="0.3">
      <c r="A103" s="24" t="str">
        <f t="shared" si="7"/>
        <v>CH-948#0102</v>
      </c>
      <c r="B103" s="24" t="str">
        <f>IF('query (2)'!B103="","",TRIM(UPPER('query (2)'!B103)))</f>
        <v>CH-948</v>
      </c>
      <c r="C103" s="25" t="str">
        <f>IF('query (2)'!B103="","",'query (2)'!B103)</f>
        <v>CH-948</v>
      </c>
      <c r="D103" s="24" t="str">
        <f t="shared" si="8"/>
        <v>CH</v>
      </c>
      <c r="E103" s="24">
        <f t="shared" si="9"/>
        <v>1</v>
      </c>
      <c r="F103" s="24">
        <f>IF('query (2)'!A103="","",IFERROR(VALUE('query (2)'!A103),""))</f>
        <v>102</v>
      </c>
      <c r="G103" s="24" t="str">
        <f>IF('query (2)'!C103="","UNKNOWN",IFERROR(INDEX(Cleaning_Rules!$B$15:$B$20,MATCH(TRIM(UPPER('query (2)'!C103)),Cleaning_Rules!$A$15:$A$20,0)),"UNKNOWN"))</f>
        <v>FACTORY3</v>
      </c>
      <c r="H103" s="25" t="str">
        <f>IF('query (2)'!C103="","",'query (2)'!C103)</f>
        <v>FACTORY3</v>
      </c>
      <c r="I103" s="24" t="str" cm="1">
        <f t="array" ref="I103">_xlfn.IFS($G103="UNKNOWN","UNKNOWN",OR($G103="FACTORY1",$G103="FACTORY2",$G103="FACTORY3"),"PLANT",TRUE,"SHARED")</f>
        <v>PLANT</v>
      </c>
      <c r="J103" s="24" t="str">
        <f>IF('query (2)'!D103="","UNKNOWN",IF(COUNTIF(Cleaning_Rules!$A$6:$A$11,TRIM('query (2)'!D103))&gt;0,"UNKNOWN",IFERROR(INDEX(Cleaning_Rules!$B$24:$B$28,MATCH(TRIM(UPPER('query (2)'!D103)),Cleaning_Rules!$A$24:$A$28,0)),TRIM(UPPER('query (2)'!D103)))))</f>
        <v>KWD7</v>
      </c>
      <c r="K103" s="25" t="str">
        <f>IF('query (2)'!D103="","",'query (2)'!D103)</f>
        <v>KWD7</v>
      </c>
      <c r="L103" s="24" t="str">
        <f>IF($J103="UNKNOWN","",_xlfn.TEXTBEFORE($J103,{"0","1","2","3","4","5","6","7","8","9"," ","-","."},1,,,$J103))</f>
        <v>KWD</v>
      </c>
      <c r="M103" s="24" t="str">
        <f>IF('query (2)'!I103&lt;&gt;"",TRIM(UPPER('query (2)'!I103)),IF($L103="","UNKNOWN",$L103))</f>
        <v>KWD</v>
      </c>
      <c r="N103" s="24" t="str">
        <f>IF('query (2)'!I103&lt;&gt;"","SOURCE",IF($L103="","UNKNOWN","DERIVED"))</f>
        <v>SOURCE</v>
      </c>
      <c r="O103" s="24" t="str">
        <f>IF('query (2)'!E103="","NOT_SPECIFIED",TRIM(UPPER('query (2)'!E103)))</f>
        <v>ASSEMBLY</v>
      </c>
      <c r="P103" s="24" t="str">
        <f>IF('query (2)'!F103="","",TRIM(UPPER('query (2)'!F103)))</f>
        <v>1025-KW7AI</v>
      </c>
      <c r="Q103" s="24" t="str">
        <f>IF('query (2)'!G103="","UNKNOWN",IFERROR(INDEX(Cleaning_Rules!$B$38:$B$46,MATCH(TRIM(UPPER('query (2)'!G103)),Cleaning_Rules!$A$38:$A$46,0)),"UNKNOWN"))</f>
        <v>OTHER</v>
      </c>
      <c r="R103" s="24" t="str">
        <f>IF('query (2)'!H103="","",TRIM(UPPER('query (2)'!H103)))</f>
        <v>OUTER / INNER EDDY CURRENT TESTER MACHINE</v>
      </c>
      <c r="S103" s="25" t="str">
        <f>IF('query (2)'!H103="","",'query (2)'!H103)</f>
        <v>Outer / Inner Eddy current tester machine</v>
      </c>
      <c r="T103" s="24" t="str">
        <f>IF('query (2)'!J103="","",TRIM(UPPER('query (2)'!J103)))</f>
        <v>A&amp;B - E.C.T.</v>
      </c>
      <c r="U103" s="24" t="str">
        <f t="shared" si="10"/>
        <v/>
      </c>
      <c r="V103" s="24" t="str">
        <f>IF('query (2)'!K103="","NOT_SPECIFIED",IFERROR(INDEX(Cleaning_Rules!$B$32:$B$34,MATCH(TRIM(UPPER('query (2)'!K103)),Cleaning_Rules!$A$32:$A$34,0)),"UNKNOWN"))</f>
        <v>NOT_SPECIFIED</v>
      </c>
      <c r="W103" s="24" t="str">
        <f t="shared" si="11"/>
        <v>CH-948 | FACTORY3 | KWD7 | KWD | ASSEMBLY | 1025-KW7AI | OTHER | OUTER / INNER EDDY CURRENT TESTER MACHINE | A&amp;B - E.C.T. | NOT_SPECIFIED</v>
      </c>
      <c r="X103" s="24" t="str">
        <f t="shared" si="12"/>
        <v/>
      </c>
      <c r="Y103" s="24" t="str">
        <f t="shared" si="13"/>
        <v>MISSING_STATUS; CATEGORY_NOT_USEFUL</v>
      </c>
    </row>
    <row r="104" spans="1:25" x14ac:dyDescent="0.3">
      <c r="A104" s="24" t="str">
        <f t="shared" si="7"/>
        <v>CH-965#0103</v>
      </c>
      <c r="B104" s="24" t="str">
        <f>IF('query (2)'!B104="","",TRIM(UPPER('query (2)'!B104)))</f>
        <v>CH-965</v>
      </c>
      <c r="C104" s="25" t="str">
        <f>IF('query (2)'!B104="","",'query (2)'!B104)</f>
        <v>CH-965</v>
      </c>
      <c r="D104" s="24" t="str">
        <f t="shared" si="8"/>
        <v>CH</v>
      </c>
      <c r="E104" s="24">
        <f t="shared" si="9"/>
        <v>1</v>
      </c>
      <c r="F104" s="24">
        <f>IF('query (2)'!A104="","",IFERROR(VALUE('query (2)'!A104),""))</f>
        <v>103</v>
      </c>
      <c r="G104" s="24" t="str">
        <f>IF('query (2)'!C104="","UNKNOWN",IFERROR(INDEX(Cleaning_Rules!$B$15:$B$20,MATCH(TRIM(UPPER('query (2)'!C104)),Cleaning_Rules!$A$15:$A$20,0)),"UNKNOWN"))</f>
        <v>FACTORY3</v>
      </c>
      <c r="H104" s="25" t="str">
        <f>IF('query (2)'!C104="","",'query (2)'!C104)</f>
        <v>FACTORY3</v>
      </c>
      <c r="I104" s="24" t="str" cm="1">
        <f t="array" ref="I104">_xlfn.IFS($G104="UNKNOWN","UNKNOWN",OR($G104="FACTORY1",$G104="FACTORY2",$G104="FACTORY3"),"PLANT",TRUE,"SHARED")</f>
        <v>PLANT</v>
      </c>
      <c r="J104" s="24" t="str">
        <f>IF('query (2)'!D104="","UNKNOWN",IF(COUNTIF(Cleaning_Rules!$A$6:$A$11,TRIM('query (2)'!D104))&gt;0,"UNKNOWN",IFERROR(INDEX(Cleaning_Rules!$B$24:$B$28,MATCH(TRIM(UPPER('query (2)'!D104)),Cleaning_Rules!$A$24:$A$28,0)),TRIM(UPPER('query (2)'!D104)))))</f>
        <v>KWD1</v>
      </c>
      <c r="K104" s="25" t="str">
        <f>IF('query (2)'!D104="","",'query (2)'!D104)</f>
        <v>KWD1</v>
      </c>
      <c r="L104" s="24" t="str">
        <f>IF($J104="UNKNOWN","",_xlfn.TEXTBEFORE($J104,{"0","1","2","3","4","5","6","7","8","9"," ","-","."},1,,,$J104))</f>
        <v>KWD</v>
      </c>
      <c r="M104" s="24" t="str">
        <f>IF('query (2)'!I104&lt;&gt;"",TRIM(UPPER('query (2)'!I104)),IF($L104="","UNKNOWN",$L104))</f>
        <v>KWD</v>
      </c>
      <c r="N104" s="24" t="str">
        <f>IF('query (2)'!I104&lt;&gt;"","SOURCE",IF($L104="","UNKNOWN","DERIVED"))</f>
        <v>SOURCE</v>
      </c>
      <c r="O104" s="24" t="str">
        <f>IF('query (2)'!E104="","NOT_SPECIFIED",TRIM(UPPER('query (2)'!E104)))</f>
        <v>ASSEMBLY</v>
      </c>
      <c r="P104" s="24" t="str">
        <f>IF('query (2)'!F104="","",TRIM(UPPER('query (2)'!F104)))</f>
        <v>1004-KW1AI</v>
      </c>
      <c r="Q104" s="24" t="str">
        <f>IF('query (2)'!G104="","UNKNOWN",IFERROR(INDEX(Cleaning_Rules!$B$38:$B$46,MATCH(TRIM(UPPER('query (2)'!G104)),Cleaning_Rules!$A$38:$A$46,0)),"UNKNOWN"))</f>
        <v>OTHER</v>
      </c>
      <c r="R104" s="24" t="str">
        <f>IF('query (2)'!H104="","",TRIM(UPPER('query (2)'!H104)))</f>
        <v>OUTER / INNER EDDY CURRENT TESTER MACHINE</v>
      </c>
      <c r="S104" s="25" t="str">
        <f>IF('query (2)'!H104="","",'query (2)'!H104)</f>
        <v>Outer / Inner Eddy current tester machine</v>
      </c>
      <c r="T104" s="24" t="str">
        <f>IF('query (2)'!J104="","",TRIM(UPPER('query (2)'!J104)))</f>
        <v>A&amp;B - E.C.T.</v>
      </c>
      <c r="U104" s="24" t="str">
        <f t="shared" si="10"/>
        <v/>
      </c>
      <c r="V104" s="24" t="str">
        <f>IF('query (2)'!K104="","NOT_SPECIFIED",IFERROR(INDEX(Cleaning_Rules!$B$32:$B$34,MATCH(TRIM(UPPER('query (2)'!K104)),Cleaning_Rules!$A$32:$A$34,0)),"UNKNOWN"))</f>
        <v>NOT_SPECIFIED</v>
      </c>
      <c r="W104" s="24" t="str">
        <f t="shared" si="11"/>
        <v>CH-965 | FACTORY3 | KWD1 | KWD | ASSEMBLY | 1004-KW1AI | OTHER | OUTER / INNER EDDY CURRENT TESTER MACHINE | A&amp;B - E.C.T. | NOT_SPECIFIED</v>
      </c>
      <c r="X104" s="24" t="str">
        <f t="shared" si="12"/>
        <v/>
      </c>
      <c r="Y104" s="24" t="str">
        <f t="shared" si="13"/>
        <v>MISSING_STATUS; CATEGORY_NOT_USEFUL</v>
      </c>
    </row>
    <row r="105" spans="1:25" x14ac:dyDescent="0.3">
      <c r="A105" s="24" t="str">
        <f t="shared" si="7"/>
        <v>CH-961#0104</v>
      </c>
      <c r="B105" s="24" t="str">
        <f>IF('query (2)'!B105="","",TRIM(UPPER('query (2)'!B105)))</f>
        <v>CH-961</v>
      </c>
      <c r="C105" s="25" t="str">
        <f>IF('query (2)'!B105="","",'query (2)'!B105)</f>
        <v>CH-961</v>
      </c>
      <c r="D105" s="24" t="str">
        <f t="shared" si="8"/>
        <v>CH</v>
      </c>
      <c r="E105" s="24">
        <f t="shared" si="9"/>
        <v>1</v>
      </c>
      <c r="F105" s="24">
        <f>IF('query (2)'!A105="","",IFERROR(VALUE('query (2)'!A105),""))</f>
        <v>104</v>
      </c>
      <c r="G105" s="24" t="str">
        <f>IF('query (2)'!C105="","UNKNOWN",IFERROR(INDEX(Cleaning_Rules!$B$15:$B$20,MATCH(TRIM(UPPER('query (2)'!C105)),Cleaning_Rules!$A$15:$A$20,0)),"UNKNOWN"))</f>
        <v>FACTORY3</v>
      </c>
      <c r="H105" s="25" t="str">
        <f>IF('query (2)'!C105="","",'query (2)'!C105)</f>
        <v>FACTORY3</v>
      </c>
      <c r="I105" s="24" t="str" cm="1">
        <f t="array" ref="I105">_xlfn.IFS($G105="UNKNOWN","UNKNOWN",OR($G105="FACTORY1",$G105="FACTORY2",$G105="FACTORY3"),"PLANT",TRUE,"SHARED")</f>
        <v>PLANT</v>
      </c>
      <c r="J105" s="24" t="str">
        <f>IF('query (2)'!D105="","UNKNOWN",IF(COUNTIF(Cleaning_Rules!$A$6:$A$11,TRIM('query (2)'!D105))&gt;0,"UNKNOWN",IFERROR(INDEX(Cleaning_Rules!$B$24:$B$28,MATCH(TRIM(UPPER('query (2)'!D105)),Cleaning_Rules!$A$24:$A$28,0)),TRIM(UPPER('query (2)'!D105)))))</f>
        <v>KWD2</v>
      </c>
      <c r="K105" s="25" t="str">
        <f>IF('query (2)'!D105="","",'query (2)'!D105)</f>
        <v>KWD2</v>
      </c>
      <c r="L105" s="24" t="str">
        <f>IF($J105="UNKNOWN","",_xlfn.TEXTBEFORE($J105,{"0","1","2","3","4","5","6","7","8","9"," ","-","."},1,,,$J105))</f>
        <v>KWD</v>
      </c>
      <c r="M105" s="24" t="str">
        <f>IF('query (2)'!I105&lt;&gt;"",TRIM(UPPER('query (2)'!I105)),IF($L105="","UNKNOWN",$L105))</f>
        <v>KWD</v>
      </c>
      <c r="N105" s="24" t="str">
        <f>IF('query (2)'!I105&lt;&gt;"","SOURCE",IF($L105="","UNKNOWN","DERIVED"))</f>
        <v>SOURCE</v>
      </c>
      <c r="O105" s="24" t="str">
        <f>IF('query (2)'!E105="","NOT_SPECIFIED",TRIM(UPPER('query (2)'!E105)))</f>
        <v>ASSEMBLY</v>
      </c>
      <c r="P105" s="24" t="str">
        <f>IF('query (2)'!F105="","",TRIM(UPPER('query (2)'!F105)))</f>
        <v>1007-KW2AI</v>
      </c>
      <c r="Q105" s="24" t="str">
        <f>IF('query (2)'!G105="","UNKNOWN",IFERROR(INDEX(Cleaning_Rules!$B$38:$B$46,MATCH(TRIM(UPPER('query (2)'!G105)),Cleaning_Rules!$A$38:$A$46,0)),"UNKNOWN"))</f>
        <v>OTHER</v>
      </c>
      <c r="R105" s="24" t="str">
        <f>IF('query (2)'!H105="","",TRIM(UPPER('query (2)'!H105)))</f>
        <v>OUTER / INNER EDDY CURRENT TESTER MACHINE</v>
      </c>
      <c r="S105" s="25" t="str">
        <f>IF('query (2)'!H105="","",'query (2)'!H105)</f>
        <v>Outer / Inner Eddy current tester machine</v>
      </c>
      <c r="T105" s="24" t="str">
        <f>IF('query (2)'!J105="","",TRIM(UPPER('query (2)'!J105)))</f>
        <v>A&amp;B - E.C.T.</v>
      </c>
      <c r="U105" s="24" t="str">
        <f t="shared" si="10"/>
        <v/>
      </c>
      <c r="V105" s="24" t="str">
        <f>IF('query (2)'!K105="","NOT_SPECIFIED",IFERROR(INDEX(Cleaning_Rules!$B$32:$B$34,MATCH(TRIM(UPPER('query (2)'!K105)),Cleaning_Rules!$A$32:$A$34,0)),"UNKNOWN"))</f>
        <v>NOT_SPECIFIED</v>
      </c>
      <c r="W105" s="24" t="str">
        <f t="shared" si="11"/>
        <v>CH-961 | FACTORY3 | KWD2 | KWD | ASSEMBLY | 1007-KW2AI | OTHER | OUTER / INNER EDDY CURRENT TESTER MACHINE | A&amp;B - E.C.T. | NOT_SPECIFIED</v>
      </c>
      <c r="X105" s="24" t="str">
        <f t="shared" si="12"/>
        <v/>
      </c>
      <c r="Y105" s="24" t="str">
        <f t="shared" si="13"/>
        <v>MISSING_STATUS; CATEGORY_NOT_USEFUL</v>
      </c>
    </row>
    <row r="106" spans="1:25" x14ac:dyDescent="0.3">
      <c r="A106" s="24" t="str">
        <f t="shared" si="7"/>
        <v>CH-959#0105</v>
      </c>
      <c r="B106" s="24" t="str">
        <f>IF('query (2)'!B106="","",TRIM(UPPER('query (2)'!B106)))</f>
        <v>CH-959</v>
      </c>
      <c r="C106" s="25" t="str">
        <f>IF('query (2)'!B106="","",'query (2)'!B106)</f>
        <v>CH-959</v>
      </c>
      <c r="D106" s="24" t="str">
        <f t="shared" si="8"/>
        <v>CH</v>
      </c>
      <c r="E106" s="24">
        <f t="shared" si="9"/>
        <v>1</v>
      </c>
      <c r="F106" s="24">
        <f>IF('query (2)'!A106="","",IFERROR(VALUE('query (2)'!A106),""))</f>
        <v>105</v>
      </c>
      <c r="G106" s="24" t="str">
        <f>IF('query (2)'!C106="","UNKNOWN",IFERROR(INDEX(Cleaning_Rules!$B$15:$B$20,MATCH(TRIM(UPPER('query (2)'!C106)),Cleaning_Rules!$A$15:$A$20,0)),"UNKNOWN"))</f>
        <v>FACTORY3</v>
      </c>
      <c r="H106" s="25" t="str">
        <f>IF('query (2)'!C106="","",'query (2)'!C106)</f>
        <v>FACTORY3</v>
      </c>
      <c r="I106" s="24" t="str" cm="1">
        <f t="array" ref="I106">_xlfn.IFS($G106="UNKNOWN","UNKNOWN",OR($G106="FACTORY1",$G106="FACTORY2",$G106="FACTORY3"),"PLANT",TRUE,"SHARED")</f>
        <v>PLANT</v>
      </c>
      <c r="J106" s="24" t="str">
        <f>IF('query (2)'!D106="","UNKNOWN",IF(COUNTIF(Cleaning_Rules!$A$6:$A$11,TRIM('query (2)'!D106))&gt;0,"UNKNOWN",IFERROR(INDEX(Cleaning_Rules!$B$24:$B$28,MATCH(TRIM(UPPER('query (2)'!D106)),Cleaning_Rules!$A$24:$A$28,0)),TRIM(UPPER('query (2)'!D106)))))</f>
        <v>KWD3</v>
      </c>
      <c r="K106" s="25" t="str">
        <f>IF('query (2)'!D106="","",'query (2)'!D106)</f>
        <v>KWD3</v>
      </c>
      <c r="L106" s="24" t="str">
        <f>IF($J106="UNKNOWN","",_xlfn.TEXTBEFORE($J106,{"0","1","2","3","4","5","6","7","8","9"," ","-","."},1,,,$J106))</f>
        <v>KWD</v>
      </c>
      <c r="M106" s="24" t="str">
        <f>IF('query (2)'!I106&lt;&gt;"",TRIM(UPPER('query (2)'!I106)),IF($L106="","UNKNOWN",$L106))</f>
        <v>KWD</v>
      </c>
      <c r="N106" s="24" t="str">
        <f>IF('query (2)'!I106&lt;&gt;"","SOURCE",IF($L106="","UNKNOWN","DERIVED"))</f>
        <v>SOURCE</v>
      </c>
      <c r="O106" s="24" t="str">
        <f>IF('query (2)'!E106="","NOT_SPECIFIED",TRIM(UPPER('query (2)'!E106)))</f>
        <v>ASSEMBLY</v>
      </c>
      <c r="P106" s="24" t="str">
        <f>IF('query (2)'!F106="","",TRIM(UPPER('query (2)'!F106)))</f>
        <v>1010-KW3AI</v>
      </c>
      <c r="Q106" s="24" t="str">
        <f>IF('query (2)'!G106="","UNKNOWN",IFERROR(INDEX(Cleaning_Rules!$B$38:$B$46,MATCH(TRIM(UPPER('query (2)'!G106)),Cleaning_Rules!$A$38:$A$46,0)),"UNKNOWN"))</f>
        <v>OTHER</v>
      </c>
      <c r="R106" s="24" t="str">
        <f>IF('query (2)'!H106="","",TRIM(UPPER('query (2)'!H106)))</f>
        <v>OUTER / INNER EDDY CURRENT TESTER MACHINE</v>
      </c>
      <c r="S106" s="25" t="str">
        <f>IF('query (2)'!H106="","",'query (2)'!H106)</f>
        <v>Outer / Inner Eddy current tester machine</v>
      </c>
      <c r="T106" s="24" t="str">
        <f>IF('query (2)'!J106="","",TRIM(UPPER('query (2)'!J106)))</f>
        <v>A&amp;B - E.C.T.</v>
      </c>
      <c r="U106" s="24" t="str">
        <f t="shared" si="10"/>
        <v/>
      </c>
      <c r="V106" s="24" t="str">
        <f>IF('query (2)'!K106="","NOT_SPECIFIED",IFERROR(INDEX(Cleaning_Rules!$B$32:$B$34,MATCH(TRIM(UPPER('query (2)'!K106)),Cleaning_Rules!$A$32:$A$34,0)),"UNKNOWN"))</f>
        <v>NOT_SPECIFIED</v>
      </c>
      <c r="W106" s="24" t="str">
        <f t="shared" si="11"/>
        <v>CH-959 | FACTORY3 | KWD3 | KWD | ASSEMBLY | 1010-KW3AI | OTHER | OUTER / INNER EDDY CURRENT TESTER MACHINE | A&amp;B - E.C.T. | NOT_SPECIFIED</v>
      </c>
      <c r="X106" s="24" t="str">
        <f t="shared" si="12"/>
        <v/>
      </c>
      <c r="Y106" s="24" t="str">
        <f t="shared" si="13"/>
        <v>MISSING_STATUS; CATEGORY_NOT_USEFUL</v>
      </c>
    </row>
    <row r="107" spans="1:25" x14ac:dyDescent="0.3">
      <c r="A107" s="24" t="str">
        <f t="shared" si="7"/>
        <v>CH-951#0106</v>
      </c>
      <c r="B107" s="24" t="str">
        <f>IF('query (2)'!B107="","",TRIM(UPPER('query (2)'!B107)))</f>
        <v>CH-951</v>
      </c>
      <c r="C107" s="25" t="str">
        <f>IF('query (2)'!B107="","",'query (2)'!B107)</f>
        <v>CH-951</v>
      </c>
      <c r="D107" s="24" t="str">
        <f t="shared" si="8"/>
        <v>CH</v>
      </c>
      <c r="E107" s="24">
        <f t="shared" si="9"/>
        <v>1</v>
      </c>
      <c r="F107" s="24">
        <f>IF('query (2)'!A107="","",IFERROR(VALUE('query (2)'!A107),""))</f>
        <v>106</v>
      </c>
      <c r="G107" s="24" t="str">
        <f>IF('query (2)'!C107="","UNKNOWN",IFERROR(INDEX(Cleaning_Rules!$B$15:$B$20,MATCH(TRIM(UPPER('query (2)'!C107)),Cleaning_Rules!$A$15:$A$20,0)),"UNKNOWN"))</f>
        <v>FACTORY3</v>
      </c>
      <c r="H107" s="25" t="str">
        <f>IF('query (2)'!C107="","",'query (2)'!C107)</f>
        <v>FACTORY3</v>
      </c>
      <c r="I107" s="24" t="str" cm="1">
        <f t="array" ref="I107">_xlfn.IFS($G107="UNKNOWN","UNKNOWN",OR($G107="FACTORY1",$G107="FACTORY2",$G107="FACTORY3"),"PLANT",TRUE,"SHARED")</f>
        <v>PLANT</v>
      </c>
      <c r="J107" s="24" t="str">
        <f>IF('query (2)'!D107="","UNKNOWN",IF(COUNTIF(Cleaning_Rules!$A$6:$A$11,TRIM('query (2)'!D107))&gt;0,"UNKNOWN",IFERROR(INDEX(Cleaning_Rules!$B$24:$B$28,MATCH(TRIM(UPPER('query (2)'!D107)),Cleaning_Rules!$A$24:$A$28,0)),TRIM(UPPER('query (2)'!D107)))))</f>
        <v>KWD6</v>
      </c>
      <c r="K107" s="25" t="str">
        <f>IF('query (2)'!D107="","",'query (2)'!D107)</f>
        <v>KWD6</v>
      </c>
      <c r="L107" s="24" t="str">
        <f>IF($J107="UNKNOWN","",_xlfn.TEXTBEFORE($J107,{"0","1","2","3","4","5","6","7","8","9"," ","-","."},1,,,$J107))</f>
        <v>KWD</v>
      </c>
      <c r="M107" s="24" t="str">
        <f>IF('query (2)'!I107&lt;&gt;"",TRIM(UPPER('query (2)'!I107)),IF($L107="","UNKNOWN",$L107))</f>
        <v>KWD</v>
      </c>
      <c r="N107" s="24" t="str">
        <f>IF('query (2)'!I107&lt;&gt;"","SOURCE",IF($L107="","UNKNOWN","DERIVED"))</f>
        <v>SOURCE</v>
      </c>
      <c r="O107" s="24" t="str">
        <f>IF('query (2)'!E107="","NOT_SPECIFIED",TRIM(UPPER('query (2)'!E107)))</f>
        <v>ASSEMBLY</v>
      </c>
      <c r="P107" s="24" t="str">
        <f>IF('query (2)'!F107="","",TRIM(UPPER('query (2)'!F107)))</f>
        <v>1019-KW6AI</v>
      </c>
      <c r="Q107" s="24" t="str">
        <f>IF('query (2)'!G107="","UNKNOWN",IFERROR(INDEX(Cleaning_Rules!$B$38:$B$46,MATCH(TRIM(UPPER('query (2)'!G107)),Cleaning_Rules!$A$38:$A$46,0)),"UNKNOWN"))</f>
        <v>OTHER</v>
      </c>
      <c r="R107" s="24" t="str">
        <f>IF('query (2)'!H107="","",TRIM(UPPER('query (2)'!H107)))</f>
        <v>OUTER / INNER EDDY CURRENT TESTER MACHINE</v>
      </c>
      <c r="S107" s="25" t="str">
        <f>IF('query (2)'!H107="","",'query (2)'!H107)</f>
        <v>Outer / Inner Eddy current tester machine</v>
      </c>
      <c r="T107" s="24" t="str">
        <f>IF('query (2)'!J107="","",TRIM(UPPER('query (2)'!J107)))</f>
        <v>A&amp;B - E.C.T.</v>
      </c>
      <c r="U107" s="24" t="str">
        <f t="shared" si="10"/>
        <v/>
      </c>
      <c r="V107" s="24" t="str">
        <f>IF('query (2)'!K107="","NOT_SPECIFIED",IFERROR(INDEX(Cleaning_Rules!$B$32:$B$34,MATCH(TRIM(UPPER('query (2)'!K107)),Cleaning_Rules!$A$32:$A$34,0)),"UNKNOWN"))</f>
        <v>NOT_SPECIFIED</v>
      </c>
      <c r="W107" s="24" t="str">
        <f t="shared" si="11"/>
        <v>CH-951 | FACTORY3 | KWD6 | KWD | ASSEMBLY | 1019-KW6AI | OTHER | OUTER / INNER EDDY CURRENT TESTER MACHINE | A&amp;B - E.C.T. | NOT_SPECIFIED</v>
      </c>
      <c r="X107" s="24" t="str">
        <f t="shared" si="12"/>
        <v/>
      </c>
      <c r="Y107" s="24" t="str">
        <f t="shared" si="13"/>
        <v>MISSING_STATUS; CATEGORY_NOT_USEFUL</v>
      </c>
    </row>
    <row r="108" spans="1:25" x14ac:dyDescent="0.3">
      <c r="A108" s="24" t="str">
        <f t="shared" si="7"/>
        <v>CH-954#0107</v>
      </c>
      <c r="B108" s="24" t="str">
        <f>IF('query (2)'!B108="","",TRIM(UPPER('query (2)'!B108)))</f>
        <v>CH-954</v>
      </c>
      <c r="C108" s="25" t="str">
        <f>IF('query (2)'!B108="","",'query (2)'!B108)</f>
        <v>CH-954</v>
      </c>
      <c r="D108" s="24" t="str">
        <f t="shared" si="8"/>
        <v>CH</v>
      </c>
      <c r="E108" s="24">
        <f t="shared" si="9"/>
        <v>1</v>
      </c>
      <c r="F108" s="24">
        <f>IF('query (2)'!A108="","",IFERROR(VALUE('query (2)'!A108),""))</f>
        <v>107</v>
      </c>
      <c r="G108" s="24" t="str">
        <f>IF('query (2)'!C108="","UNKNOWN",IFERROR(INDEX(Cleaning_Rules!$B$15:$B$20,MATCH(TRIM(UPPER('query (2)'!C108)),Cleaning_Rules!$A$15:$A$20,0)),"UNKNOWN"))</f>
        <v>FACTORY3</v>
      </c>
      <c r="H108" s="25" t="str">
        <f>IF('query (2)'!C108="","",'query (2)'!C108)</f>
        <v>FACTORY3</v>
      </c>
      <c r="I108" s="24" t="str" cm="1">
        <f t="array" ref="I108">_xlfn.IFS($G108="UNKNOWN","UNKNOWN",OR($G108="FACTORY1",$G108="FACTORY2",$G108="FACTORY3"),"PLANT",TRUE,"SHARED")</f>
        <v>PLANT</v>
      </c>
      <c r="J108" s="24" t="str">
        <f>IF('query (2)'!D108="","UNKNOWN",IF(COUNTIF(Cleaning_Rules!$A$6:$A$11,TRIM('query (2)'!D108))&gt;0,"UNKNOWN",IFERROR(INDEX(Cleaning_Rules!$B$24:$B$28,MATCH(TRIM(UPPER('query (2)'!D108)),Cleaning_Rules!$A$24:$A$28,0)),TRIM(UPPER('query (2)'!D108)))))</f>
        <v>KWD5</v>
      </c>
      <c r="K108" s="25" t="str">
        <f>IF('query (2)'!D108="","",'query (2)'!D108)</f>
        <v>KWD5</v>
      </c>
      <c r="L108" s="24" t="str">
        <f>IF($J108="UNKNOWN","",_xlfn.TEXTBEFORE($J108,{"0","1","2","3","4","5","6","7","8","9"," ","-","."},1,,,$J108))</f>
        <v>KWD</v>
      </c>
      <c r="M108" s="24" t="str">
        <f>IF('query (2)'!I108&lt;&gt;"",TRIM(UPPER('query (2)'!I108)),IF($L108="","UNKNOWN",$L108))</f>
        <v>KWD</v>
      </c>
      <c r="N108" s="24" t="str">
        <f>IF('query (2)'!I108&lt;&gt;"","SOURCE",IF($L108="","UNKNOWN","DERIVED"))</f>
        <v>SOURCE</v>
      </c>
      <c r="O108" s="24" t="str">
        <f>IF('query (2)'!E108="","NOT_SPECIFIED",TRIM(UPPER('query (2)'!E108)))</f>
        <v>ASSEMBLY</v>
      </c>
      <c r="P108" s="24" t="str">
        <f>IF('query (2)'!F108="","",TRIM(UPPER('query (2)'!F108)))</f>
        <v>1016-KW5AI</v>
      </c>
      <c r="Q108" s="24" t="str">
        <f>IF('query (2)'!G108="","UNKNOWN",IFERROR(INDEX(Cleaning_Rules!$B$38:$B$46,MATCH(TRIM(UPPER('query (2)'!G108)),Cleaning_Rules!$A$38:$A$46,0)),"UNKNOWN"))</f>
        <v>OTHER</v>
      </c>
      <c r="R108" s="24" t="str">
        <f>IF('query (2)'!H108="","",TRIM(UPPER('query (2)'!H108)))</f>
        <v>OUTER / INNER EDDY CURRENT TESTER MACHINE</v>
      </c>
      <c r="S108" s="25" t="str">
        <f>IF('query (2)'!H108="","",'query (2)'!H108)</f>
        <v>Outer / Inner Eddy current tester machine</v>
      </c>
      <c r="T108" s="24" t="str">
        <f>IF('query (2)'!J108="","",TRIM(UPPER('query (2)'!J108)))</f>
        <v>A&amp;B - E.C.T.</v>
      </c>
      <c r="U108" s="24" t="str">
        <f t="shared" si="10"/>
        <v/>
      </c>
      <c r="V108" s="24" t="str">
        <f>IF('query (2)'!K108="","NOT_SPECIFIED",IFERROR(INDEX(Cleaning_Rules!$B$32:$B$34,MATCH(TRIM(UPPER('query (2)'!K108)),Cleaning_Rules!$A$32:$A$34,0)),"UNKNOWN"))</f>
        <v>NOT_SPECIFIED</v>
      </c>
      <c r="W108" s="24" t="str">
        <f t="shared" si="11"/>
        <v>CH-954 | FACTORY3 | KWD5 | KWD | ASSEMBLY | 1016-KW5AI | OTHER | OUTER / INNER EDDY CURRENT TESTER MACHINE | A&amp;B - E.C.T. | NOT_SPECIFIED</v>
      </c>
      <c r="X108" s="24" t="str">
        <f t="shared" si="12"/>
        <v/>
      </c>
      <c r="Y108" s="24" t="str">
        <f t="shared" si="13"/>
        <v>MISSING_STATUS; CATEGORY_NOT_USEFUL</v>
      </c>
    </row>
    <row r="109" spans="1:25" x14ac:dyDescent="0.3">
      <c r="A109" s="24" t="str">
        <f t="shared" si="7"/>
        <v>WA-020#0108</v>
      </c>
      <c r="B109" s="24" t="str">
        <f>IF('query (2)'!B109="","",TRIM(UPPER('query (2)'!B109)))</f>
        <v>WA-020</v>
      </c>
      <c r="C109" s="25" t="str">
        <f>IF('query (2)'!B109="","",'query (2)'!B109)</f>
        <v>WA-020</v>
      </c>
      <c r="D109" s="24" t="str">
        <f t="shared" si="8"/>
        <v>WA</v>
      </c>
      <c r="E109" s="24">
        <f t="shared" si="9"/>
        <v>1</v>
      </c>
      <c r="F109" s="24">
        <f>IF('query (2)'!A109="","",IFERROR(VALUE('query (2)'!A109),""))</f>
        <v>108</v>
      </c>
      <c r="G109" s="24" t="str">
        <f>IF('query (2)'!C109="","UNKNOWN",IFERROR(INDEX(Cleaning_Rules!$B$15:$B$20,MATCH(TRIM(UPPER('query (2)'!C109)),Cleaning_Rules!$A$15:$A$20,0)),"UNKNOWN"))</f>
        <v>FACTORY3</v>
      </c>
      <c r="H109" s="25" t="str">
        <f>IF('query (2)'!C109="","",'query (2)'!C109)</f>
        <v>FACTORY3</v>
      </c>
      <c r="I109" s="24" t="str" cm="1">
        <f t="array" ref="I109">_xlfn.IFS($G109="UNKNOWN","UNKNOWN",OR($G109="FACTORY1",$G109="FACTORY2",$G109="FACTORY3"),"PLANT",TRUE,"SHARED")</f>
        <v>PLANT</v>
      </c>
      <c r="J109" s="24" t="str">
        <f>IF('query (2)'!D109="","UNKNOWN",IF(COUNTIF(Cleaning_Rules!$A$6:$A$11,TRIM('query (2)'!D109))&gt;0,"UNKNOWN",IFERROR(INDEX(Cleaning_Rules!$B$24:$B$28,MATCH(TRIM(UPPER('query (2)'!D109)),Cleaning_Rules!$A$24:$A$28,0)),TRIM(UPPER('query (2)'!D109)))))</f>
        <v>KWD1</v>
      </c>
      <c r="K109" s="25" t="str">
        <f>IF('query (2)'!D109="","",'query (2)'!D109)</f>
        <v>KWD1</v>
      </c>
      <c r="L109" s="24" t="str">
        <f>IF($J109="UNKNOWN","",_xlfn.TEXTBEFORE($J109,{"0","1","2","3","4","5","6","7","8","9"," ","-","."},1,,,$J109))</f>
        <v>KWD</v>
      </c>
      <c r="M109" s="24" t="str">
        <f>IF('query (2)'!I109&lt;&gt;"",TRIM(UPPER('query (2)'!I109)),IF($L109="","UNKNOWN",$L109))</f>
        <v>KWD</v>
      </c>
      <c r="N109" s="24" t="str">
        <f>IF('query (2)'!I109&lt;&gt;"","SOURCE",IF($L109="","UNKNOWN","DERIVED"))</f>
        <v>SOURCE</v>
      </c>
      <c r="O109" s="24" t="str">
        <f>IF('query (2)'!E109="","NOT_SPECIFIED",TRIM(UPPER('query (2)'!E109)))</f>
        <v>GRINDING 2</v>
      </c>
      <c r="P109" s="24" t="str">
        <f>IF('query (2)'!F109="","",TRIM(UPPER('query (2)'!F109)))</f>
        <v>1003-KW1G</v>
      </c>
      <c r="Q109" s="24" t="str">
        <f>IF('query (2)'!G109="","UNKNOWN",IFERROR(INDEX(Cleaning_Rules!$B$38:$B$46,MATCH(TRIM(UPPER('query (2)'!G109)),Cleaning_Rules!$A$38:$A$46,0)),"UNKNOWN"))</f>
        <v>OTHER</v>
      </c>
      <c r="R109" s="24" t="str">
        <f>IF('query (2)'!H109="","",TRIM(UPPER('query (2)'!H109)))</f>
        <v>OUTER / INNER RING PART WASH MACHINE</v>
      </c>
      <c r="S109" s="25" t="str">
        <f>IF('query (2)'!H109="","",'query (2)'!H109)</f>
        <v>Outer / Inner ring part wash machine</v>
      </c>
      <c r="T109" s="24" t="str">
        <f>IF('query (2)'!J109="","",TRIM(UPPER('query (2)'!J109)))</f>
        <v>A&amp;B - PART WASH EQUIPMENT</v>
      </c>
      <c r="U109" s="24" t="str">
        <f t="shared" si="10"/>
        <v/>
      </c>
      <c r="V109" s="24" t="str">
        <f>IF('query (2)'!K109="","NOT_SPECIFIED",IFERROR(INDEX(Cleaning_Rules!$B$32:$B$34,MATCH(TRIM(UPPER('query (2)'!K109)),Cleaning_Rules!$A$32:$A$34,0)),"UNKNOWN"))</f>
        <v>NOT_SPECIFIED</v>
      </c>
      <c r="W109" s="24" t="str">
        <f t="shared" si="11"/>
        <v>WA-020 | FACTORY3 | KWD1 | KWD | GRINDING 2 | 1003-KW1G | OTHER | OUTER / INNER RING PART WASH MACHINE | A&amp;B - PART WASH EQUIPMENT | NOT_SPECIFIED</v>
      </c>
      <c r="X109" s="24" t="str">
        <f t="shared" si="12"/>
        <v/>
      </c>
      <c r="Y109" s="24" t="str">
        <f t="shared" si="13"/>
        <v>MISSING_STATUS; CATEGORY_NOT_USEFUL</v>
      </c>
    </row>
    <row r="110" spans="1:25" x14ac:dyDescent="0.3">
      <c r="A110" s="24" t="str">
        <f t="shared" si="7"/>
        <v>WA-269#0109</v>
      </c>
      <c r="B110" s="24" t="str">
        <f>IF('query (2)'!B110="","",TRIM(UPPER('query (2)'!B110)))</f>
        <v>WA-269</v>
      </c>
      <c r="C110" s="25" t="str">
        <f>IF('query (2)'!B110="","",'query (2)'!B110)</f>
        <v>WA-269</v>
      </c>
      <c r="D110" s="24" t="str">
        <f t="shared" si="8"/>
        <v>WA</v>
      </c>
      <c r="E110" s="24">
        <f t="shared" si="9"/>
        <v>1</v>
      </c>
      <c r="F110" s="24">
        <f>IF('query (2)'!A110="","",IFERROR(VALUE('query (2)'!A110),""))</f>
        <v>109</v>
      </c>
      <c r="G110" s="24" t="str">
        <f>IF('query (2)'!C110="","UNKNOWN",IFERROR(INDEX(Cleaning_Rules!$B$15:$B$20,MATCH(TRIM(UPPER('query (2)'!C110)),Cleaning_Rules!$A$15:$A$20,0)),"UNKNOWN"))</f>
        <v>FACTORY3</v>
      </c>
      <c r="H110" s="25" t="str">
        <f>IF('query (2)'!C110="","",'query (2)'!C110)</f>
        <v>FACTORY3</v>
      </c>
      <c r="I110" s="24" t="str" cm="1">
        <f t="array" ref="I110">_xlfn.IFS($G110="UNKNOWN","UNKNOWN",OR($G110="FACTORY1",$G110="FACTORY2",$G110="FACTORY3"),"PLANT",TRUE,"SHARED")</f>
        <v>PLANT</v>
      </c>
      <c r="J110" s="24" t="str">
        <f>IF('query (2)'!D110="","UNKNOWN",IF(COUNTIF(Cleaning_Rules!$A$6:$A$11,TRIM('query (2)'!D110))&gt;0,"UNKNOWN",IFERROR(INDEX(Cleaning_Rules!$B$24:$B$28,MATCH(TRIM(UPPER('query (2)'!D110)),Cleaning_Rules!$A$24:$A$28,0)),TRIM(UPPER('query (2)'!D110)))))</f>
        <v>KWD2</v>
      </c>
      <c r="K110" s="25" t="str">
        <f>IF('query (2)'!D110="","",'query (2)'!D110)</f>
        <v>KWD2</v>
      </c>
      <c r="L110" s="24" t="str">
        <f>IF($J110="UNKNOWN","",_xlfn.TEXTBEFORE($J110,{"0","1","2","3","4","5","6","7","8","9"," ","-","."},1,,,$J110))</f>
        <v>KWD</v>
      </c>
      <c r="M110" s="24" t="str">
        <f>IF('query (2)'!I110&lt;&gt;"",TRIM(UPPER('query (2)'!I110)),IF($L110="","UNKNOWN",$L110))</f>
        <v>KWD</v>
      </c>
      <c r="N110" s="24" t="str">
        <f>IF('query (2)'!I110&lt;&gt;"","SOURCE",IF($L110="","UNKNOWN","DERIVED"))</f>
        <v>SOURCE</v>
      </c>
      <c r="O110" s="24" t="str">
        <f>IF('query (2)'!E110="","NOT_SPECIFIED",TRIM(UPPER('query (2)'!E110)))</f>
        <v>GRINDING 2</v>
      </c>
      <c r="P110" s="24" t="str">
        <f>IF('query (2)'!F110="","",TRIM(UPPER('query (2)'!F110)))</f>
        <v>1006-KW2G</v>
      </c>
      <c r="Q110" s="24" t="str">
        <f>IF('query (2)'!G110="","UNKNOWN",IFERROR(INDEX(Cleaning_Rules!$B$38:$B$46,MATCH(TRIM(UPPER('query (2)'!G110)),Cleaning_Rules!$A$38:$A$46,0)),"UNKNOWN"))</f>
        <v>OTHER</v>
      </c>
      <c r="R110" s="24" t="str">
        <f>IF('query (2)'!H110="","",TRIM(UPPER('query (2)'!H110)))</f>
        <v>OUTER / INNER RING PART WASH MACHINE</v>
      </c>
      <c r="S110" s="25" t="str">
        <f>IF('query (2)'!H110="","",'query (2)'!H110)</f>
        <v>Outer / Inner ring part wash machine</v>
      </c>
      <c r="T110" s="24" t="str">
        <f>IF('query (2)'!J110="","",TRIM(UPPER('query (2)'!J110)))</f>
        <v>A&amp;B - PART WASH EQUIPMENT</v>
      </c>
      <c r="U110" s="24" t="str">
        <f t="shared" si="10"/>
        <v/>
      </c>
      <c r="V110" s="24" t="str">
        <f>IF('query (2)'!K110="","NOT_SPECIFIED",IFERROR(INDEX(Cleaning_Rules!$B$32:$B$34,MATCH(TRIM(UPPER('query (2)'!K110)),Cleaning_Rules!$A$32:$A$34,0)),"UNKNOWN"))</f>
        <v>NOT_SPECIFIED</v>
      </c>
      <c r="W110" s="24" t="str">
        <f t="shared" si="11"/>
        <v>WA-269 | FACTORY3 | KWD2 | KWD | GRINDING 2 | 1006-KW2G | OTHER | OUTER / INNER RING PART WASH MACHINE | A&amp;B - PART WASH EQUIPMENT | NOT_SPECIFIED</v>
      </c>
      <c r="X110" s="24" t="str">
        <f t="shared" si="12"/>
        <v/>
      </c>
      <c r="Y110" s="24" t="str">
        <f t="shared" si="13"/>
        <v>MISSING_STATUS; CATEGORY_NOT_USEFUL</v>
      </c>
    </row>
    <row r="111" spans="1:25" x14ac:dyDescent="0.3">
      <c r="A111" s="24" t="str">
        <f t="shared" si="7"/>
        <v>WA-355#0110</v>
      </c>
      <c r="B111" s="24" t="str">
        <f>IF('query (2)'!B111="","",TRIM(UPPER('query (2)'!B111)))</f>
        <v>WA-355</v>
      </c>
      <c r="C111" s="25" t="str">
        <f>IF('query (2)'!B111="","",'query (2)'!B111)</f>
        <v>WA-355</v>
      </c>
      <c r="D111" s="24" t="str">
        <f t="shared" si="8"/>
        <v>WA</v>
      </c>
      <c r="E111" s="24">
        <f t="shared" si="9"/>
        <v>1</v>
      </c>
      <c r="F111" s="24">
        <f>IF('query (2)'!A111="","",IFERROR(VALUE('query (2)'!A111),""))</f>
        <v>110</v>
      </c>
      <c r="G111" s="24" t="str">
        <f>IF('query (2)'!C111="","UNKNOWN",IFERROR(INDEX(Cleaning_Rules!$B$15:$B$20,MATCH(TRIM(UPPER('query (2)'!C111)),Cleaning_Rules!$A$15:$A$20,0)),"UNKNOWN"))</f>
        <v>FACTORY3</v>
      </c>
      <c r="H111" s="25" t="str">
        <f>IF('query (2)'!C111="","",'query (2)'!C111)</f>
        <v>FACTORY3</v>
      </c>
      <c r="I111" s="24" t="str" cm="1">
        <f t="array" ref="I111">_xlfn.IFS($G111="UNKNOWN","UNKNOWN",OR($G111="FACTORY1",$G111="FACTORY2",$G111="FACTORY3"),"PLANT",TRUE,"SHARED")</f>
        <v>PLANT</v>
      </c>
      <c r="J111" s="24" t="str">
        <f>IF('query (2)'!D111="","UNKNOWN",IF(COUNTIF(Cleaning_Rules!$A$6:$A$11,TRIM('query (2)'!D111))&gt;0,"UNKNOWN",IFERROR(INDEX(Cleaning_Rules!$B$24:$B$28,MATCH(TRIM(UPPER('query (2)'!D111)),Cleaning_Rules!$A$24:$A$28,0)),TRIM(UPPER('query (2)'!D111)))))</f>
        <v>KWD3</v>
      </c>
      <c r="K111" s="25" t="str">
        <f>IF('query (2)'!D111="","",'query (2)'!D111)</f>
        <v>KWD3</v>
      </c>
      <c r="L111" s="24" t="str">
        <f>IF($J111="UNKNOWN","",_xlfn.TEXTBEFORE($J111,{"0","1","2","3","4","5","6","7","8","9"," ","-","."},1,,,$J111))</f>
        <v>KWD</v>
      </c>
      <c r="M111" s="24" t="str">
        <f>IF('query (2)'!I111&lt;&gt;"",TRIM(UPPER('query (2)'!I111)),IF($L111="","UNKNOWN",$L111))</f>
        <v>KWD</v>
      </c>
      <c r="N111" s="24" t="str">
        <f>IF('query (2)'!I111&lt;&gt;"","SOURCE",IF($L111="","UNKNOWN","DERIVED"))</f>
        <v>SOURCE</v>
      </c>
      <c r="O111" s="24" t="str">
        <f>IF('query (2)'!E111="","NOT_SPECIFIED",TRIM(UPPER('query (2)'!E111)))</f>
        <v>GRINDING 2</v>
      </c>
      <c r="P111" s="24" t="str">
        <f>IF('query (2)'!F111="","",TRIM(UPPER('query (2)'!F111)))</f>
        <v>1009-KW3G</v>
      </c>
      <c r="Q111" s="24" t="str">
        <f>IF('query (2)'!G111="","UNKNOWN",IFERROR(INDEX(Cleaning_Rules!$B$38:$B$46,MATCH(TRIM(UPPER('query (2)'!G111)),Cleaning_Rules!$A$38:$A$46,0)),"UNKNOWN"))</f>
        <v>OTHER</v>
      </c>
      <c r="R111" s="24" t="str">
        <f>IF('query (2)'!H111="","",TRIM(UPPER('query (2)'!H111)))</f>
        <v>OUTER / INNER RING PART WASH MACHINE</v>
      </c>
      <c r="S111" s="25" t="str">
        <f>IF('query (2)'!H111="","",'query (2)'!H111)</f>
        <v>Outer / Inner ring part wash machine</v>
      </c>
      <c r="T111" s="24" t="str">
        <f>IF('query (2)'!J111="","",TRIM(UPPER('query (2)'!J111)))</f>
        <v>A&amp;B - PART WASH EQUIPMENT</v>
      </c>
      <c r="U111" s="24" t="str">
        <f t="shared" si="10"/>
        <v/>
      </c>
      <c r="V111" s="24" t="str">
        <f>IF('query (2)'!K111="","NOT_SPECIFIED",IFERROR(INDEX(Cleaning_Rules!$B$32:$B$34,MATCH(TRIM(UPPER('query (2)'!K111)),Cleaning_Rules!$A$32:$A$34,0)),"UNKNOWN"))</f>
        <v>NOT_SPECIFIED</v>
      </c>
      <c r="W111" s="24" t="str">
        <f t="shared" si="11"/>
        <v>WA-355 | FACTORY3 | KWD3 | KWD | GRINDING 2 | 1009-KW3G | OTHER | OUTER / INNER RING PART WASH MACHINE | A&amp;B - PART WASH EQUIPMENT | NOT_SPECIFIED</v>
      </c>
      <c r="X111" s="24" t="str">
        <f t="shared" si="12"/>
        <v/>
      </c>
      <c r="Y111" s="24" t="str">
        <f t="shared" si="13"/>
        <v>MISSING_STATUS; CATEGORY_NOT_USEFUL</v>
      </c>
    </row>
    <row r="112" spans="1:25" x14ac:dyDescent="0.3">
      <c r="A112" s="24" t="str">
        <f t="shared" si="7"/>
        <v>WA-477#0111</v>
      </c>
      <c r="B112" s="24" t="str">
        <f>IF('query (2)'!B112="","",TRIM(UPPER('query (2)'!B112)))</f>
        <v>WA-477</v>
      </c>
      <c r="C112" s="25" t="str">
        <f>IF('query (2)'!B112="","",'query (2)'!B112)</f>
        <v>WA-477</v>
      </c>
      <c r="D112" s="24" t="str">
        <f t="shared" si="8"/>
        <v>WA</v>
      </c>
      <c r="E112" s="24">
        <f t="shared" si="9"/>
        <v>1</v>
      </c>
      <c r="F112" s="24">
        <f>IF('query (2)'!A112="","",IFERROR(VALUE('query (2)'!A112),""))</f>
        <v>111</v>
      </c>
      <c r="G112" s="24" t="str">
        <f>IF('query (2)'!C112="","UNKNOWN",IFERROR(INDEX(Cleaning_Rules!$B$15:$B$20,MATCH(TRIM(UPPER('query (2)'!C112)),Cleaning_Rules!$A$15:$A$20,0)),"UNKNOWN"))</f>
        <v>FACTORY3</v>
      </c>
      <c r="H112" s="25" t="str">
        <f>IF('query (2)'!C112="","",'query (2)'!C112)</f>
        <v>FACTORY3</v>
      </c>
      <c r="I112" s="24" t="str" cm="1">
        <f t="array" ref="I112">_xlfn.IFS($G112="UNKNOWN","UNKNOWN",OR($G112="FACTORY1",$G112="FACTORY2",$G112="FACTORY3"),"PLANT",TRUE,"SHARED")</f>
        <v>PLANT</v>
      </c>
      <c r="J112" s="24" t="str">
        <f>IF('query (2)'!D112="","UNKNOWN",IF(COUNTIF(Cleaning_Rules!$A$6:$A$11,TRIM('query (2)'!D112))&gt;0,"UNKNOWN",IFERROR(INDEX(Cleaning_Rules!$B$24:$B$28,MATCH(TRIM(UPPER('query (2)'!D112)),Cleaning_Rules!$A$24:$A$28,0)),TRIM(UPPER('query (2)'!D112)))))</f>
        <v>KWD4</v>
      </c>
      <c r="K112" s="25" t="str">
        <f>IF('query (2)'!D112="","",'query (2)'!D112)</f>
        <v>KWD4</v>
      </c>
      <c r="L112" s="24" t="str">
        <f>IF($J112="UNKNOWN","",_xlfn.TEXTBEFORE($J112,{"0","1","2","3","4","5","6","7","8","9"," ","-","."},1,,,$J112))</f>
        <v>KWD</v>
      </c>
      <c r="M112" s="24" t="str">
        <f>IF('query (2)'!I112&lt;&gt;"",TRIM(UPPER('query (2)'!I112)),IF($L112="","UNKNOWN",$L112))</f>
        <v>KWD</v>
      </c>
      <c r="N112" s="24" t="str">
        <f>IF('query (2)'!I112&lt;&gt;"","SOURCE",IF($L112="","UNKNOWN","DERIVED"))</f>
        <v>SOURCE</v>
      </c>
      <c r="O112" s="24" t="str">
        <f>IF('query (2)'!E112="","NOT_SPECIFIED",TRIM(UPPER('query (2)'!E112)))</f>
        <v>GRINDING 2</v>
      </c>
      <c r="P112" s="24" t="str">
        <f>IF('query (2)'!F112="","",TRIM(UPPER('query (2)'!F112)))</f>
        <v>1012-KW4G</v>
      </c>
      <c r="Q112" s="24" t="str">
        <f>IF('query (2)'!G112="","UNKNOWN",IFERROR(INDEX(Cleaning_Rules!$B$38:$B$46,MATCH(TRIM(UPPER('query (2)'!G112)),Cleaning_Rules!$A$38:$A$46,0)),"UNKNOWN"))</f>
        <v>OTHER</v>
      </c>
      <c r="R112" s="24" t="str">
        <f>IF('query (2)'!H112="","",TRIM(UPPER('query (2)'!H112)))</f>
        <v>OUTER / INNER RING PART WASH MACHINE</v>
      </c>
      <c r="S112" s="25" t="str">
        <f>IF('query (2)'!H112="","",'query (2)'!H112)</f>
        <v>Outer / Inner ring part wash machine</v>
      </c>
      <c r="T112" s="24" t="str">
        <f>IF('query (2)'!J112="","",TRIM(UPPER('query (2)'!J112)))</f>
        <v>A&amp;B - PART WASH EQUIPMENT</v>
      </c>
      <c r="U112" s="24" t="str">
        <f t="shared" si="10"/>
        <v/>
      </c>
      <c r="V112" s="24" t="str">
        <f>IF('query (2)'!K112="","NOT_SPECIFIED",IFERROR(INDEX(Cleaning_Rules!$B$32:$B$34,MATCH(TRIM(UPPER('query (2)'!K112)),Cleaning_Rules!$A$32:$A$34,0)),"UNKNOWN"))</f>
        <v>NOT_SPECIFIED</v>
      </c>
      <c r="W112" s="24" t="str">
        <f t="shared" si="11"/>
        <v>WA-477 | FACTORY3 | KWD4 | KWD | GRINDING 2 | 1012-KW4G | OTHER | OUTER / INNER RING PART WASH MACHINE | A&amp;B - PART WASH EQUIPMENT | NOT_SPECIFIED</v>
      </c>
      <c r="X112" s="24" t="str">
        <f t="shared" si="12"/>
        <v/>
      </c>
      <c r="Y112" s="24" t="str">
        <f t="shared" si="13"/>
        <v>MISSING_STATUS; CATEGORY_NOT_USEFUL</v>
      </c>
    </row>
    <row r="113" spans="1:25" x14ac:dyDescent="0.3">
      <c r="A113" s="24" t="str">
        <f t="shared" si="7"/>
        <v>WA-593#0112</v>
      </c>
      <c r="B113" s="24" t="str">
        <f>IF('query (2)'!B113="","",TRIM(UPPER('query (2)'!B113)))</f>
        <v>WA-593</v>
      </c>
      <c r="C113" s="25" t="str">
        <f>IF('query (2)'!B113="","",'query (2)'!B113)</f>
        <v>WA-593</v>
      </c>
      <c r="D113" s="24" t="str">
        <f t="shared" si="8"/>
        <v>WA</v>
      </c>
      <c r="E113" s="24">
        <f t="shared" si="9"/>
        <v>1</v>
      </c>
      <c r="F113" s="24">
        <f>IF('query (2)'!A113="","",IFERROR(VALUE('query (2)'!A113),""))</f>
        <v>112</v>
      </c>
      <c r="G113" s="24" t="str">
        <f>IF('query (2)'!C113="","UNKNOWN",IFERROR(INDEX(Cleaning_Rules!$B$15:$B$20,MATCH(TRIM(UPPER('query (2)'!C113)),Cleaning_Rules!$A$15:$A$20,0)),"UNKNOWN"))</f>
        <v>FACTORY3</v>
      </c>
      <c r="H113" s="25" t="str">
        <f>IF('query (2)'!C113="","",'query (2)'!C113)</f>
        <v>FACTORY3</v>
      </c>
      <c r="I113" s="24" t="str" cm="1">
        <f t="array" ref="I113">_xlfn.IFS($G113="UNKNOWN","UNKNOWN",OR($G113="FACTORY1",$G113="FACTORY2",$G113="FACTORY3"),"PLANT",TRUE,"SHARED")</f>
        <v>PLANT</v>
      </c>
      <c r="J113" s="24" t="str">
        <f>IF('query (2)'!D113="","UNKNOWN",IF(COUNTIF(Cleaning_Rules!$A$6:$A$11,TRIM('query (2)'!D113))&gt;0,"UNKNOWN",IFERROR(INDEX(Cleaning_Rules!$B$24:$B$28,MATCH(TRIM(UPPER('query (2)'!D113)),Cleaning_Rules!$A$24:$A$28,0)),TRIM(UPPER('query (2)'!D113)))))</f>
        <v>KWD5</v>
      </c>
      <c r="K113" s="25" t="str">
        <f>IF('query (2)'!D113="","",'query (2)'!D113)</f>
        <v>KWD5</v>
      </c>
      <c r="L113" s="24" t="str">
        <f>IF($J113="UNKNOWN","",_xlfn.TEXTBEFORE($J113,{"0","1","2","3","4","5","6","7","8","9"," ","-","."},1,,,$J113))</f>
        <v>KWD</v>
      </c>
      <c r="M113" s="24" t="str">
        <f>IF('query (2)'!I113&lt;&gt;"",TRIM(UPPER('query (2)'!I113)),IF($L113="","UNKNOWN",$L113))</f>
        <v>KWD</v>
      </c>
      <c r="N113" s="24" t="str">
        <f>IF('query (2)'!I113&lt;&gt;"","SOURCE",IF($L113="","UNKNOWN","DERIVED"))</f>
        <v>SOURCE</v>
      </c>
      <c r="O113" s="24" t="str">
        <f>IF('query (2)'!E113="","NOT_SPECIFIED",TRIM(UPPER('query (2)'!E113)))</f>
        <v>GRINDING 2</v>
      </c>
      <c r="P113" s="24" t="str">
        <f>IF('query (2)'!F113="","",TRIM(UPPER('query (2)'!F113)))</f>
        <v>1015-KW5G</v>
      </c>
      <c r="Q113" s="24" t="str">
        <f>IF('query (2)'!G113="","UNKNOWN",IFERROR(INDEX(Cleaning_Rules!$B$38:$B$46,MATCH(TRIM(UPPER('query (2)'!G113)),Cleaning_Rules!$A$38:$A$46,0)),"UNKNOWN"))</f>
        <v>OTHER</v>
      </c>
      <c r="R113" s="24" t="str">
        <f>IF('query (2)'!H113="","",TRIM(UPPER('query (2)'!H113)))</f>
        <v>OUTER / INNER RING PART WASH MACHINE</v>
      </c>
      <c r="S113" s="25" t="str">
        <f>IF('query (2)'!H113="","",'query (2)'!H113)</f>
        <v>Outer / Inner ring part wash machine</v>
      </c>
      <c r="T113" s="24" t="str">
        <f>IF('query (2)'!J113="","",TRIM(UPPER('query (2)'!J113)))</f>
        <v>A&amp;B - PART WASH EQUIPMENT</v>
      </c>
      <c r="U113" s="24" t="str">
        <f t="shared" si="10"/>
        <v/>
      </c>
      <c r="V113" s="24" t="str">
        <f>IF('query (2)'!K113="","NOT_SPECIFIED",IFERROR(INDEX(Cleaning_Rules!$B$32:$B$34,MATCH(TRIM(UPPER('query (2)'!K113)),Cleaning_Rules!$A$32:$A$34,0)),"UNKNOWN"))</f>
        <v>NOT_SPECIFIED</v>
      </c>
      <c r="W113" s="24" t="str">
        <f t="shared" si="11"/>
        <v>WA-593 | FACTORY3 | KWD5 | KWD | GRINDING 2 | 1015-KW5G | OTHER | OUTER / INNER RING PART WASH MACHINE | A&amp;B - PART WASH EQUIPMENT | NOT_SPECIFIED</v>
      </c>
      <c r="X113" s="24" t="str">
        <f t="shared" si="12"/>
        <v/>
      </c>
      <c r="Y113" s="24" t="str">
        <f t="shared" si="13"/>
        <v>MISSING_STATUS; CATEGORY_NOT_USEFUL</v>
      </c>
    </row>
    <row r="114" spans="1:25" x14ac:dyDescent="0.3">
      <c r="A114" s="24" t="str">
        <f t="shared" si="7"/>
        <v>WA-697#0113</v>
      </c>
      <c r="B114" s="24" t="str">
        <f>IF('query (2)'!B114="","",TRIM(UPPER('query (2)'!B114)))</f>
        <v>WA-697</v>
      </c>
      <c r="C114" s="25" t="str">
        <f>IF('query (2)'!B114="","",'query (2)'!B114)</f>
        <v>WA-697</v>
      </c>
      <c r="D114" s="24" t="str">
        <f t="shared" si="8"/>
        <v>WA</v>
      </c>
      <c r="E114" s="24">
        <f t="shared" si="9"/>
        <v>1</v>
      </c>
      <c r="F114" s="24">
        <f>IF('query (2)'!A114="","",IFERROR(VALUE('query (2)'!A114),""))</f>
        <v>113</v>
      </c>
      <c r="G114" s="24" t="str">
        <f>IF('query (2)'!C114="","UNKNOWN",IFERROR(INDEX(Cleaning_Rules!$B$15:$B$20,MATCH(TRIM(UPPER('query (2)'!C114)),Cleaning_Rules!$A$15:$A$20,0)),"UNKNOWN"))</f>
        <v>FACTORY3</v>
      </c>
      <c r="H114" s="25" t="str">
        <f>IF('query (2)'!C114="","",'query (2)'!C114)</f>
        <v>FACTORY3</v>
      </c>
      <c r="I114" s="24" t="str" cm="1">
        <f t="array" ref="I114">_xlfn.IFS($G114="UNKNOWN","UNKNOWN",OR($G114="FACTORY1",$G114="FACTORY2",$G114="FACTORY3"),"PLANT",TRUE,"SHARED")</f>
        <v>PLANT</v>
      </c>
      <c r="J114" s="24" t="str">
        <f>IF('query (2)'!D114="","UNKNOWN",IF(COUNTIF(Cleaning_Rules!$A$6:$A$11,TRIM('query (2)'!D114))&gt;0,"UNKNOWN",IFERROR(INDEX(Cleaning_Rules!$B$24:$B$28,MATCH(TRIM(UPPER('query (2)'!D114)),Cleaning_Rules!$A$24:$A$28,0)),TRIM(UPPER('query (2)'!D114)))))</f>
        <v>KWD6</v>
      </c>
      <c r="K114" s="25" t="str">
        <f>IF('query (2)'!D114="","",'query (2)'!D114)</f>
        <v>KWD6</v>
      </c>
      <c r="L114" s="24" t="str">
        <f>IF($J114="UNKNOWN","",_xlfn.TEXTBEFORE($J114,{"0","1","2","3","4","5","6","7","8","9"," ","-","."},1,,,$J114))</f>
        <v>KWD</v>
      </c>
      <c r="M114" s="24" t="str">
        <f>IF('query (2)'!I114&lt;&gt;"",TRIM(UPPER('query (2)'!I114)),IF($L114="","UNKNOWN",$L114))</f>
        <v>KWD</v>
      </c>
      <c r="N114" s="24" t="str">
        <f>IF('query (2)'!I114&lt;&gt;"","SOURCE",IF($L114="","UNKNOWN","DERIVED"))</f>
        <v>SOURCE</v>
      </c>
      <c r="O114" s="24" t="str">
        <f>IF('query (2)'!E114="","NOT_SPECIFIED",TRIM(UPPER('query (2)'!E114)))</f>
        <v>GRINDING 2</v>
      </c>
      <c r="P114" s="24" t="str">
        <f>IF('query (2)'!F114="","",TRIM(UPPER('query (2)'!F114)))</f>
        <v xml:space="preserve">1018-KW6G
</v>
      </c>
      <c r="Q114" s="24" t="str">
        <f>IF('query (2)'!G114="","UNKNOWN",IFERROR(INDEX(Cleaning_Rules!$B$38:$B$46,MATCH(TRIM(UPPER('query (2)'!G114)),Cleaning_Rules!$A$38:$A$46,0)),"UNKNOWN"))</f>
        <v>OTHER</v>
      </c>
      <c r="R114" s="24" t="str">
        <f>IF('query (2)'!H114="","",TRIM(UPPER('query (2)'!H114)))</f>
        <v>OUTER / INNER RING PART WASH MACHINE</v>
      </c>
      <c r="S114" s="25" t="str">
        <f>IF('query (2)'!H114="","",'query (2)'!H114)</f>
        <v>Outer / Inner ring part wash machine</v>
      </c>
      <c r="T114" s="24" t="str">
        <f>IF('query (2)'!J114="","",TRIM(UPPER('query (2)'!J114)))</f>
        <v>A&amp;B - PART WASH EQUIPMENT</v>
      </c>
      <c r="U114" s="24" t="str">
        <f t="shared" si="10"/>
        <v/>
      </c>
      <c r="V114" s="24" t="str">
        <f>IF('query (2)'!K114="","NOT_SPECIFIED",IFERROR(INDEX(Cleaning_Rules!$B$32:$B$34,MATCH(TRIM(UPPER('query (2)'!K114)),Cleaning_Rules!$A$32:$A$34,0)),"UNKNOWN"))</f>
        <v>NOT_SPECIFIED</v>
      </c>
      <c r="W114" s="24" t="str">
        <f t="shared" si="11"/>
        <v>WA-697 | FACTORY3 | KWD6 | KWD | GRINDING 2 | 1018-KW6G
 | OTHER | OUTER / INNER RING PART WASH MACHINE | A&amp;B - PART WASH EQUIPMENT | NOT_SPECIFIED</v>
      </c>
      <c r="X114" s="24" t="str">
        <f t="shared" si="12"/>
        <v/>
      </c>
      <c r="Y114" s="24" t="str">
        <f t="shared" si="13"/>
        <v>MISSING_STATUS; CATEGORY_NOT_USEFUL</v>
      </c>
    </row>
    <row r="115" spans="1:25" x14ac:dyDescent="0.3">
      <c r="A115" s="24" t="str">
        <f t="shared" si="7"/>
        <v>WA-842#0114</v>
      </c>
      <c r="B115" s="24" t="str">
        <f>IF('query (2)'!B115="","",TRIM(UPPER('query (2)'!B115)))</f>
        <v>WA-842</v>
      </c>
      <c r="C115" s="25" t="str">
        <f>IF('query (2)'!B115="","",'query (2)'!B115)</f>
        <v>WA-842</v>
      </c>
      <c r="D115" s="24" t="str">
        <f t="shared" si="8"/>
        <v>WA</v>
      </c>
      <c r="E115" s="24">
        <f t="shared" si="9"/>
        <v>1</v>
      </c>
      <c r="F115" s="24">
        <f>IF('query (2)'!A115="","",IFERROR(VALUE('query (2)'!A115),""))</f>
        <v>114</v>
      </c>
      <c r="G115" s="24" t="str">
        <f>IF('query (2)'!C115="","UNKNOWN",IFERROR(INDEX(Cleaning_Rules!$B$15:$B$20,MATCH(TRIM(UPPER('query (2)'!C115)),Cleaning_Rules!$A$15:$A$20,0)),"UNKNOWN"))</f>
        <v>FACTORY3</v>
      </c>
      <c r="H115" s="25" t="str">
        <f>IF('query (2)'!C115="","",'query (2)'!C115)</f>
        <v>FACTORY3</v>
      </c>
      <c r="I115" s="24" t="str" cm="1">
        <f t="array" ref="I115">_xlfn.IFS($G115="UNKNOWN","UNKNOWN",OR($G115="FACTORY1",$G115="FACTORY2",$G115="FACTORY3"),"PLANT",TRUE,"SHARED")</f>
        <v>PLANT</v>
      </c>
      <c r="J115" s="24" t="str">
        <f>IF('query (2)'!D115="","UNKNOWN",IF(COUNTIF(Cleaning_Rules!$A$6:$A$11,TRIM('query (2)'!D115))&gt;0,"UNKNOWN",IFERROR(INDEX(Cleaning_Rules!$B$24:$B$28,MATCH(TRIM(UPPER('query (2)'!D115)),Cleaning_Rules!$A$24:$A$28,0)),TRIM(UPPER('query (2)'!D115)))))</f>
        <v>KWD7</v>
      </c>
      <c r="K115" s="25" t="str">
        <f>IF('query (2)'!D115="","",'query (2)'!D115)</f>
        <v>KWD7</v>
      </c>
      <c r="L115" s="24" t="str">
        <f>IF($J115="UNKNOWN","",_xlfn.TEXTBEFORE($J115,{"0","1","2","3","4","5","6","7","8","9"," ","-","."},1,,,$J115))</f>
        <v>KWD</v>
      </c>
      <c r="M115" s="24" t="str">
        <f>IF('query (2)'!I115&lt;&gt;"",TRIM(UPPER('query (2)'!I115)),IF($L115="","UNKNOWN",$L115))</f>
        <v>KWD</v>
      </c>
      <c r="N115" s="24" t="str">
        <f>IF('query (2)'!I115&lt;&gt;"","SOURCE",IF($L115="","UNKNOWN","DERIVED"))</f>
        <v>SOURCE</v>
      </c>
      <c r="O115" s="24" t="str">
        <f>IF('query (2)'!E115="","NOT_SPECIFIED",TRIM(UPPER('query (2)'!E115)))</f>
        <v>GRINDING 2</v>
      </c>
      <c r="P115" s="24" t="str">
        <f>IF('query (2)'!F115="","",TRIM(UPPER('query (2)'!F115)))</f>
        <v>1024-KW7G</v>
      </c>
      <c r="Q115" s="24" t="str">
        <f>IF('query (2)'!G115="","UNKNOWN",IFERROR(INDEX(Cleaning_Rules!$B$38:$B$46,MATCH(TRIM(UPPER('query (2)'!G115)),Cleaning_Rules!$A$38:$A$46,0)),"UNKNOWN"))</f>
        <v>OTHER</v>
      </c>
      <c r="R115" s="24" t="str">
        <f>IF('query (2)'!H115="","",TRIM(UPPER('query (2)'!H115)))</f>
        <v>OUTER / INNER RING PART WASH MACHINE</v>
      </c>
      <c r="S115" s="25" t="str">
        <f>IF('query (2)'!H115="","",'query (2)'!H115)</f>
        <v>Outer / Inner ring part wash machine</v>
      </c>
      <c r="T115" s="24" t="str">
        <f>IF('query (2)'!J115="","",TRIM(UPPER('query (2)'!J115)))</f>
        <v>A&amp;B - PART WASH EQUIPMENT</v>
      </c>
      <c r="U115" s="24" t="str">
        <f t="shared" si="10"/>
        <v/>
      </c>
      <c r="V115" s="24" t="str">
        <f>IF('query (2)'!K115="","NOT_SPECIFIED",IFERROR(INDEX(Cleaning_Rules!$B$32:$B$34,MATCH(TRIM(UPPER('query (2)'!K115)),Cleaning_Rules!$A$32:$A$34,0)),"UNKNOWN"))</f>
        <v>NOT_SPECIFIED</v>
      </c>
      <c r="W115" s="24" t="str">
        <f t="shared" si="11"/>
        <v>WA-842 | FACTORY3 | KWD7 | KWD | GRINDING 2 | 1024-KW7G | OTHER | OUTER / INNER RING PART WASH MACHINE | A&amp;B - PART WASH EQUIPMENT | NOT_SPECIFIED</v>
      </c>
      <c r="X115" s="24" t="str">
        <f t="shared" si="12"/>
        <v/>
      </c>
      <c r="Y115" s="24" t="str">
        <f t="shared" si="13"/>
        <v>MISSING_STATUS; CATEGORY_NOT_USEFUL</v>
      </c>
    </row>
    <row r="116" spans="1:25" x14ac:dyDescent="0.3">
      <c r="A116" s="24" t="str">
        <f t="shared" si="7"/>
        <v>SU-649#0115</v>
      </c>
      <c r="B116" s="24" t="str">
        <f>IF('query (2)'!B116="","",TRIM(UPPER('query (2)'!B116)))</f>
        <v>SU-649</v>
      </c>
      <c r="C116" s="25" t="str">
        <f>IF('query (2)'!B116="","",'query (2)'!B116)</f>
        <v>SU-649</v>
      </c>
      <c r="D116" s="24" t="str">
        <f t="shared" si="8"/>
        <v>SU</v>
      </c>
      <c r="E116" s="24">
        <f t="shared" si="9"/>
        <v>1</v>
      </c>
      <c r="F116" s="24">
        <f>IF('query (2)'!A116="","",IFERROR(VALUE('query (2)'!A116),""))</f>
        <v>115</v>
      </c>
      <c r="G116" s="24" t="str">
        <f>IF('query (2)'!C116="","UNKNOWN",IFERROR(INDEX(Cleaning_Rules!$B$15:$B$20,MATCH(TRIM(UPPER('query (2)'!C116)),Cleaning_Rules!$A$15:$A$20,0)),"UNKNOWN"))</f>
        <v>FACTORY3</v>
      </c>
      <c r="H116" s="25" t="str">
        <f>IF('query (2)'!C116="","",'query (2)'!C116)</f>
        <v>FACTORY3</v>
      </c>
      <c r="I116" s="24" t="str" cm="1">
        <f t="array" ref="I116">_xlfn.IFS($G116="UNKNOWN","UNKNOWN",OR($G116="FACTORY1",$G116="FACTORY2",$G116="FACTORY3"),"PLANT",TRUE,"SHARED")</f>
        <v>PLANT</v>
      </c>
      <c r="J116" s="24" t="str">
        <f>IF('query (2)'!D116="","UNKNOWN",IF(COUNTIF(Cleaning_Rules!$A$6:$A$11,TRIM('query (2)'!D116))&gt;0,"UNKNOWN",IFERROR(INDEX(Cleaning_Rules!$B$24:$B$28,MATCH(TRIM(UPPER('query (2)'!D116)),Cleaning_Rules!$A$24:$A$28,0)),TRIM(UPPER('query (2)'!D116)))))</f>
        <v>KWD4</v>
      </c>
      <c r="K116" s="25" t="str">
        <f>IF('query (2)'!D116="","",'query (2)'!D116)</f>
        <v>KWD4</v>
      </c>
      <c r="L116" s="24" t="str">
        <f>IF($J116="UNKNOWN","",_xlfn.TEXTBEFORE($J116,{"0","1","2","3","4","5","6","7","8","9"," ","-","."},1,,,$J116))</f>
        <v>KWD</v>
      </c>
      <c r="M116" s="24" t="str">
        <f>IF('query (2)'!I116&lt;&gt;"",TRIM(UPPER('query (2)'!I116)),IF($L116="","UNKNOWN",$L116))</f>
        <v>KWD</v>
      </c>
      <c r="N116" s="24" t="str">
        <f>IF('query (2)'!I116&lt;&gt;"","SOURCE",IF($L116="","UNKNOWN","DERIVED"))</f>
        <v>SOURCE</v>
      </c>
      <c r="O116" s="24" t="str">
        <f>IF('query (2)'!E116="","NOT_SPECIFIED",TRIM(UPPER('query (2)'!E116)))</f>
        <v>GRINDING 2</v>
      </c>
      <c r="P116" s="24" t="str">
        <f>IF('query (2)'!F116="","",TRIM(UPPER('query (2)'!F116)))</f>
        <v>1012-KW4G</v>
      </c>
      <c r="Q116" s="24" t="str">
        <f>IF('query (2)'!G116="","UNKNOWN",IFERROR(INDEX(Cleaning_Rules!$B$38:$B$46,MATCH(TRIM(UPPER('query (2)'!G116)),Cleaning_Rules!$A$38:$A$46,0)),"UNKNOWN"))</f>
        <v>OTHER</v>
      </c>
      <c r="R116" s="24" t="str">
        <f>IF('query (2)'!H116="","",TRIM(UPPER('query (2)'!H116)))</f>
        <v>OUTER RING AUTO SUPPLY PART MACHINE</v>
      </c>
      <c r="S116" s="25" t="str">
        <f>IF('query (2)'!H116="","",'query (2)'!H116)</f>
        <v>Outer ring auto supply part machine</v>
      </c>
      <c r="T116" s="24" t="str">
        <f>IF('query (2)'!J116="","",TRIM(UPPER('query (2)'!J116)))</f>
        <v>A - AUTO SUPPLY PART</v>
      </c>
      <c r="U116" s="24" t="str">
        <f t="shared" si="10"/>
        <v/>
      </c>
      <c r="V116" s="24" t="str">
        <f>IF('query (2)'!K116="","NOT_SPECIFIED",IFERROR(INDEX(Cleaning_Rules!$B$32:$B$34,MATCH(TRIM(UPPER('query (2)'!K116)),Cleaning_Rules!$A$32:$A$34,0)),"UNKNOWN"))</f>
        <v>NOT_SPECIFIED</v>
      </c>
      <c r="W116" s="24" t="str">
        <f t="shared" si="11"/>
        <v>SU-649 | FACTORY3 | KWD4 | KWD | GRINDING 2 | 1012-KW4G | OTHER | OUTER RING AUTO SUPPLY PART MACHINE | A - AUTO SUPPLY PART | NOT_SPECIFIED</v>
      </c>
      <c r="X116" s="24" t="str">
        <f t="shared" si="12"/>
        <v/>
      </c>
      <c r="Y116" s="24" t="str">
        <f t="shared" si="13"/>
        <v>MISSING_STATUS; CATEGORY_NOT_USEFUL</v>
      </c>
    </row>
    <row r="117" spans="1:25" x14ac:dyDescent="0.3">
      <c r="A117" s="24" t="str">
        <f t="shared" si="7"/>
        <v>SU-590#0116</v>
      </c>
      <c r="B117" s="24" t="str">
        <f>IF('query (2)'!B117="","",TRIM(UPPER('query (2)'!B117)))</f>
        <v>SU-590</v>
      </c>
      <c r="C117" s="25" t="str">
        <f>IF('query (2)'!B117="","",'query (2)'!B117)</f>
        <v>SU-590</v>
      </c>
      <c r="D117" s="24" t="str">
        <f t="shared" si="8"/>
        <v>SU</v>
      </c>
      <c r="E117" s="24">
        <f t="shared" si="9"/>
        <v>1</v>
      </c>
      <c r="F117" s="24">
        <f>IF('query (2)'!A117="","",IFERROR(VALUE('query (2)'!A117),""))</f>
        <v>116</v>
      </c>
      <c r="G117" s="24" t="str">
        <f>IF('query (2)'!C117="","UNKNOWN",IFERROR(INDEX(Cleaning_Rules!$B$15:$B$20,MATCH(TRIM(UPPER('query (2)'!C117)),Cleaning_Rules!$A$15:$A$20,0)),"UNKNOWN"))</f>
        <v>FACTORY3</v>
      </c>
      <c r="H117" s="25" t="str">
        <f>IF('query (2)'!C117="","",'query (2)'!C117)</f>
        <v>FACTORY3</v>
      </c>
      <c r="I117" s="24" t="str" cm="1">
        <f t="array" ref="I117">_xlfn.IFS($G117="UNKNOWN","UNKNOWN",OR($G117="FACTORY1",$G117="FACTORY2",$G117="FACTORY3"),"PLANT",TRUE,"SHARED")</f>
        <v>PLANT</v>
      </c>
      <c r="J117" s="24" t="str">
        <f>IF('query (2)'!D117="","UNKNOWN",IF(COUNTIF(Cleaning_Rules!$A$6:$A$11,TRIM('query (2)'!D117))&gt;0,"UNKNOWN",IFERROR(INDEX(Cleaning_Rules!$B$24:$B$28,MATCH(TRIM(UPPER('query (2)'!D117)),Cleaning_Rules!$A$24:$A$28,0)),TRIM(UPPER('query (2)'!D117)))))</f>
        <v>KWD5</v>
      </c>
      <c r="K117" s="25" t="str">
        <f>IF('query (2)'!D117="","",'query (2)'!D117)</f>
        <v>KWD5</v>
      </c>
      <c r="L117" s="24" t="str">
        <f>IF($J117="UNKNOWN","",_xlfn.TEXTBEFORE($J117,{"0","1","2","3","4","5","6","7","8","9"," ","-","."},1,,,$J117))</f>
        <v>KWD</v>
      </c>
      <c r="M117" s="24" t="str">
        <f>IF('query (2)'!I117&lt;&gt;"",TRIM(UPPER('query (2)'!I117)),IF($L117="","UNKNOWN",$L117))</f>
        <v>KWD</v>
      </c>
      <c r="N117" s="24" t="str">
        <f>IF('query (2)'!I117&lt;&gt;"","SOURCE",IF($L117="","UNKNOWN","DERIVED"))</f>
        <v>SOURCE</v>
      </c>
      <c r="O117" s="24" t="str">
        <f>IF('query (2)'!E117="","NOT_SPECIFIED",TRIM(UPPER('query (2)'!E117)))</f>
        <v>GRINDING 2</v>
      </c>
      <c r="P117" s="24" t="str">
        <f>IF('query (2)'!F117="","",TRIM(UPPER('query (2)'!F117)))</f>
        <v>1015-KW5G</v>
      </c>
      <c r="Q117" s="24" t="str">
        <f>IF('query (2)'!G117="","UNKNOWN",IFERROR(INDEX(Cleaning_Rules!$B$38:$B$46,MATCH(TRIM(UPPER('query (2)'!G117)),Cleaning_Rules!$A$38:$A$46,0)),"UNKNOWN"))</f>
        <v>OTHER</v>
      </c>
      <c r="R117" s="24" t="str">
        <f>IF('query (2)'!H117="","",TRIM(UPPER('query (2)'!H117)))</f>
        <v>OUTER RING AUTO SUPPLY PART MACHINE</v>
      </c>
      <c r="S117" s="25" t="str">
        <f>IF('query (2)'!H117="","",'query (2)'!H117)</f>
        <v>Outer ring auto supply part machine</v>
      </c>
      <c r="T117" s="24" t="str">
        <f>IF('query (2)'!J117="","",TRIM(UPPER('query (2)'!J117)))</f>
        <v>A - AUTO SUPPLY PART</v>
      </c>
      <c r="U117" s="24" t="str">
        <f t="shared" si="10"/>
        <v/>
      </c>
      <c r="V117" s="24" t="str">
        <f>IF('query (2)'!K117="","NOT_SPECIFIED",IFERROR(INDEX(Cleaning_Rules!$B$32:$B$34,MATCH(TRIM(UPPER('query (2)'!K117)),Cleaning_Rules!$A$32:$A$34,0)),"UNKNOWN"))</f>
        <v>NOT_SPECIFIED</v>
      </c>
      <c r="W117" s="24" t="str">
        <f t="shared" si="11"/>
        <v>SU-590 | FACTORY3 | KWD5 | KWD | GRINDING 2 | 1015-KW5G | OTHER | OUTER RING AUTO SUPPLY PART MACHINE | A - AUTO SUPPLY PART | NOT_SPECIFIED</v>
      </c>
      <c r="X117" s="24" t="str">
        <f t="shared" si="12"/>
        <v/>
      </c>
      <c r="Y117" s="24" t="str">
        <f t="shared" si="13"/>
        <v>MISSING_STATUS; CATEGORY_NOT_USEFUL</v>
      </c>
    </row>
    <row r="118" spans="1:25" x14ac:dyDescent="0.3">
      <c r="A118" s="24" t="str">
        <f t="shared" si="7"/>
        <v>SU-713#0117</v>
      </c>
      <c r="B118" s="24" t="str">
        <f>IF('query (2)'!B118="","",TRIM(UPPER('query (2)'!B118)))</f>
        <v>SU-713</v>
      </c>
      <c r="C118" s="25" t="str">
        <f>IF('query (2)'!B118="","",'query (2)'!B118)</f>
        <v>SU-713</v>
      </c>
      <c r="D118" s="24" t="str">
        <f t="shared" si="8"/>
        <v>SU</v>
      </c>
      <c r="E118" s="24">
        <f t="shared" si="9"/>
        <v>1</v>
      </c>
      <c r="F118" s="24">
        <f>IF('query (2)'!A118="","",IFERROR(VALUE('query (2)'!A118),""))</f>
        <v>117</v>
      </c>
      <c r="G118" s="24" t="str">
        <f>IF('query (2)'!C118="","UNKNOWN",IFERROR(INDEX(Cleaning_Rules!$B$15:$B$20,MATCH(TRIM(UPPER('query (2)'!C118)),Cleaning_Rules!$A$15:$A$20,0)),"UNKNOWN"))</f>
        <v>FACTORY3</v>
      </c>
      <c r="H118" s="25" t="str">
        <f>IF('query (2)'!C118="","",'query (2)'!C118)</f>
        <v>FACTORY3</v>
      </c>
      <c r="I118" s="24" t="str" cm="1">
        <f t="array" ref="I118">_xlfn.IFS($G118="UNKNOWN","UNKNOWN",OR($G118="FACTORY1",$G118="FACTORY2",$G118="FACTORY3"),"PLANT",TRUE,"SHARED")</f>
        <v>PLANT</v>
      </c>
      <c r="J118" s="24" t="str">
        <f>IF('query (2)'!D118="","UNKNOWN",IF(COUNTIF(Cleaning_Rules!$A$6:$A$11,TRIM('query (2)'!D118))&gt;0,"UNKNOWN",IFERROR(INDEX(Cleaning_Rules!$B$24:$B$28,MATCH(TRIM(UPPER('query (2)'!D118)),Cleaning_Rules!$A$24:$A$28,0)),TRIM(UPPER('query (2)'!D118)))))</f>
        <v>KWD6</v>
      </c>
      <c r="K118" s="25" t="str">
        <f>IF('query (2)'!D118="","",'query (2)'!D118)</f>
        <v>KWD6</v>
      </c>
      <c r="L118" s="24" t="str">
        <f>IF($J118="UNKNOWN","",_xlfn.TEXTBEFORE($J118,{"0","1","2","3","4","5","6","7","8","9"," ","-","."},1,,,$J118))</f>
        <v>KWD</v>
      </c>
      <c r="M118" s="24" t="str">
        <f>IF('query (2)'!I118&lt;&gt;"",TRIM(UPPER('query (2)'!I118)),IF($L118="","UNKNOWN",$L118))</f>
        <v>KWD</v>
      </c>
      <c r="N118" s="24" t="str">
        <f>IF('query (2)'!I118&lt;&gt;"","SOURCE",IF($L118="","UNKNOWN","DERIVED"))</f>
        <v>SOURCE</v>
      </c>
      <c r="O118" s="24" t="str">
        <f>IF('query (2)'!E118="","NOT_SPECIFIED",TRIM(UPPER('query (2)'!E118)))</f>
        <v>GRINDING 2</v>
      </c>
      <c r="P118" s="24" t="str">
        <f>IF('query (2)'!F118="","",TRIM(UPPER('query (2)'!F118)))</f>
        <v xml:space="preserve">1018-KW6G
</v>
      </c>
      <c r="Q118" s="24" t="str">
        <f>IF('query (2)'!G118="","UNKNOWN",IFERROR(INDEX(Cleaning_Rules!$B$38:$B$46,MATCH(TRIM(UPPER('query (2)'!G118)),Cleaning_Rules!$A$38:$A$46,0)),"UNKNOWN"))</f>
        <v>OTHER</v>
      </c>
      <c r="R118" s="24" t="str">
        <f>IF('query (2)'!H118="","",TRIM(UPPER('query (2)'!H118)))</f>
        <v>OUTER RING AUTO SUPPLY PART MACHINE</v>
      </c>
      <c r="S118" s="25" t="str">
        <f>IF('query (2)'!H118="","",'query (2)'!H118)</f>
        <v>Outer ring auto supply part machine</v>
      </c>
      <c r="T118" s="24" t="str">
        <f>IF('query (2)'!J118="","",TRIM(UPPER('query (2)'!J118)))</f>
        <v>A - AUTO SUPPLY PART</v>
      </c>
      <c r="U118" s="24" t="str">
        <f t="shared" si="10"/>
        <v/>
      </c>
      <c r="V118" s="24" t="str">
        <f>IF('query (2)'!K118="","NOT_SPECIFIED",IFERROR(INDEX(Cleaning_Rules!$B$32:$B$34,MATCH(TRIM(UPPER('query (2)'!K118)),Cleaning_Rules!$A$32:$A$34,0)),"UNKNOWN"))</f>
        <v>NOT_SPECIFIED</v>
      </c>
      <c r="W118" s="24" t="str">
        <f t="shared" si="11"/>
        <v>SU-713 | FACTORY3 | KWD6 | KWD | GRINDING 2 | 1018-KW6G
 | OTHER | OUTER RING AUTO SUPPLY PART MACHINE | A - AUTO SUPPLY PART | NOT_SPECIFIED</v>
      </c>
      <c r="X118" s="24" t="str">
        <f t="shared" si="12"/>
        <v/>
      </c>
      <c r="Y118" s="24" t="str">
        <f t="shared" si="13"/>
        <v>MISSING_STATUS; CATEGORY_NOT_USEFUL</v>
      </c>
    </row>
    <row r="119" spans="1:25" x14ac:dyDescent="0.3">
      <c r="A119" s="24" t="str">
        <f t="shared" si="7"/>
        <v>SU-852#0118</v>
      </c>
      <c r="B119" s="24" t="str">
        <f>IF('query (2)'!B119="","",TRIM(UPPER('query (2)'!B119)))</f>
        <v>SU-852</v>
      </c>
      <c r="C119" s="25" t="str">
        <f>IF('query (2)'!B119="","",'query (2)'!B119)</f>
        <v>SU-852</v>
      </c>
      <c r="D119" s="24" t="str">
        <f t="shared" si="8"/>
        <v>SU</v>
      </c>
      <c r="E119" s="24">
        <f t="shared" si="9"/>
        <v>1</v>
      </c>
      <c r="F119" s="24">
        <f>IF('query (2)'!A119="","",IFERROR(VALUE('query (2)'!A119),""))</f>
        <v>118</v>
      </c>
      <c r="G119" s="24" t="str">
        <f>IF('query (2)'!C119="","UNKNOWN",IFERROR(INDEX(Cleaning_Rules!$B$15:$B$20,MATCH(TRIM(UPPER('query (2)'!C119)),Cleaning_Rules!$A$15:$A$20,0)),"UNKNOWN"))</f>
        <v>FACTORY3</v>
      </c>
      <c r="H119" s="25" t="str">
        <f>IF('query (2)'!C119="","",'query (2)'!C119)</f>
        <v>FACTORY3</v>
      </c>
      <c r="I119" s="24" t="str" cm="1">
        <f t="array" ref="I119">_xlfn.IFS($G119="UNKNOWN","UNKNOWN",OR($G119="FACTORY1",$G119="FACTORY2",$G119="FACTORY3"),"PLANT",TRUE,"SHARED")</f>
        <v>PLANT</v>
      </c>
      <c r="J119" s="24" t="str">
        <f>IF('query (2)'!D119="","UNKNOWN",IF(COUNTIF(Cleaning_Rules!$A$6:$A$11,TRIM('query (2)'!D119))&gt;0,"UNKNOWN",IFERROR(INDEX(Cleaning_Rules!$B$24:$B$28,MATCH(TRIM(UPPER('query (2)'!D119)),Cleaning_Rules!$A$24:$A$28,0)),TRIM(UPPER('query (2)'!D119)))))</f>
        <v>KWD7</v>
      </c>
      <c r="K119" s="25" t="str">
        <f>IF('query (2)'!D119="","",'query (2)'!D119)</f>
        <v>KWD7</v>
      </c>
      <c r="L119" s="24" t="str">
        <f>IF($J119="UNKNOWN","",_xlfn.TEXTBEFORE($J119,{"0","1","2","3","4","5","6","7","8","9"," ","-","."},1,,,$J119))</f>
        <v>KWD</v>
      </c>
      <c r="M119" s="24" t="str">
        <f>IF('query (2)'!I119&lt;&gt;"",TRIM(UPPER('query (2)'!I119)),IF($L119="","UNKNOWN",$L119))</f>
        <v>KWD</v>
      </c>
      <c r="N119" s="24" t="str">
        <f>IF('query (2)'!I119&lt;&gt;"","SOURCE",IF($L119="","UNKNOWN","DERIVED"))</f>
        <v>SOURCE</v>
      </c>
      <c r="O119" s="24" t="str">
        <f>IF('query (2)'!E119="","NOT_SPECIFIED",TRIM(UPPER('query (2)'!E119)))</f>
        <v>GRINDING 2</v>
      </c>
      <c r="P119" s="24" t="str">
        <f>IF('query (2)'!F119="","",TRIM(UPPER('query (2)'!F119)))</f>
        <v>1024-KW7G</v>
      </c>
      <c r="Q119" s="24" t="str">
        <f>IF('query (2)'!G119="","UNKNOWN",IFERROR(INDEX(Cleaning_Rules!$B$38:$B$46,MATCH(TRIM(UPPER('query (2)'!G119)),Cleaning_Rules!$A$38:$A$46,0)),"UNKNOWN"))</f>
        <v>OTHER</v>
      </c>
      <c r="R119" s="24" t="str">
        <f>IF('query (2)'!H119="","",TRIM(UPPER('query (2)'!H119)))</f>
        <v>OUTER RING AUTO SUPPLY PART MACHINE</v>
      </c>
      <c r="S119" s="25" t="str">
        <f>IF('query (2)'!H119="","",'query (2)'!H119)</f>
        <v>Outer ring auto supply part machine</v>
      </c>
      <c r="T119" s="24" t="str">
        <f>IF('query (2)'!J119="","",TRIM(UPPER('query (2)'!J119)))</f>
        <v>A - AUTO SUPPLY PART</v>
      </c>
      <c r="U119" s="24" t="str">
        <f t="shared" si="10"/>
        <v/>
      </c>
      <c r="V119" s="24" t="str">
        <f>IF('query (2)'!K119="","NOT_SPECIFIED",IFERROR(INDEX(Cleaning_Rules!$B$32:$B$34,MATCH(TRIM(UPPER('query (2)'!K119)),Cleaning_Rules!$A$32:$A$34,0)),"UNKNOWN"))</f>
        <v>NOT_SPECIFIED</v>
      </c>
      <c r="W119" s="24" t="str">
        <f t="shared" si="11"/>
        <v>SU-852 | FACTORY3 | KWD7 | KWD | GRINDING 2 | 1024-KW7G | OTHER | OUTER RING AUTO SUPPLY PART MACHINE | A - AUTO SUPPLY PART | NOT_SPECIFIED</v>
      </c>
      <c r="X119" s="24" t="str">
        <f t="shared" si="12"/>
        <v/>
      </c>
      <c r="Y119" s="24" t="str">
        <f t="shared" si="13"/>
        <v>MISSING_STATUS; CATEGORY_NOT_USEFUL</v>
      </c>
    </row>
    <row r="120" spans="1:25" x14ac:dyDescent="0.3">
      <c r="A120" s="24" t="str">
        <f t="shared" si="7"/>
        <v>DE-018#0119</v>
      </c>
      <c r="B120" s="24" t="str">
        <f>IF('query (2)'!B120="","",TRIM(UPPER('query (2)'!B120)))</f>
        <v>DE-018</v>
      </c>
      <c r="C120" s="25" t="str">
        <f>IF('query (2)'!B120="","",'query (2)'!B120)</f>
        <v>DE-018</v>
      </c>
      <c r="D120" s="24" t="str">
        <f t="shared" si="8"/>
        <v>DE</v>
      </c>
      <c r="E120" s="24">
        <f t="shared" si="9"/>
        <v>1</v>
      </c>
      <c r="F120" s="24">
        <f>IF('query (2)'!A120="","",IFERROR(VALUE('query (2)'!A120),""))</f>
        <v>119</v>
      </c>
      <c r="G120" s="24" t="str">
        <f>IF('query (2)'!C120="","UNKNOWN",IFERROR(INDEX(Cleaning_Rules!$B$15:$B$20,MATCH(TRIM(UPPER('query (2)'!C120)),Cleaning_Rules!$A$15:$A$20,0)),"UNKNOWN"))</f>
        <v>FACTORY3</v>
      </c>
      <c r="H120" s="25" t="str">
        <f>IF('query (2)'!C120="","",'query (2)'!C120)</f>
        <v>FACTORY3</v>
      </c>
      <c r="I120" s="24" t="str" cm="1">
        <f t="array" ref="I120">_xlfn.IFS($G120="UNKNOWN","UNKNOWN",OR($G120="FACTORY1",$G120="FACTORY2",$G120="FACTORY3"),"PLANT",TRUE,"SHARED")</f>
        <v>PLANT</v>
      </c>
      <c r="J120" s="24" t="str">
        <f>IF('query (2)'!D120="","UNKNOWN",IF(COUNTIF(Cleaning_Rules!$A$6:$A$11,TRIM('query (2)'!D120))&gt;0,"UNKNOWN",IFERROR(INDEX(Cleaning_Rules!$B$24:$B$28,MATCH(TRIM(UPPER('query (2)'!D120)),Cleaning_Rules!$A$24:$A$28,0)),TRIM(UPPER('query (2)'!D120)))))</f>
        <v>KWD1</v>
      </c>
      <c r="K120" s="25" t="str">
        <f>IF('query (2)'!D120="","",'query (2)'!D120)</f>
        <v>KWD1</v>
      </c>
      <c r="L120" s="24" t="str">
        <f>IF($J120="UNKNOWN","",_xlfn.TEXTBEFORE($J120,{"0","1","2","3","4","5","6","7","8","9"," ","-","."},1,,,$J120))</f>
        <v>KWD</v>
      </c>
      <c r="M120" s="24" t="str">
        <f>IF('query (2)'!I120&lt;&gt;"",TRIM(UPPER('query (2)'!I120)),IF($L120="","UNKNOWN",$L120))</f>
        <v>KWD</v>
      </c>
      <c r="N120" s="24" t="str">
        <f>IF('query (2)'!I120&lt;&gt;"","SOURCE",IF($L120="","UNKNOWN","DERIVED"))</f>
        <v>SOURCE</v>
      </c>
      <c r="O120" s="24" t="str">
        <f>IF('query (2)'!E120="","NOT_SPECIFIED",TRIM(UPPER('query (2)'!E120)))</f>
        <v>GRINDING 2</v>
      </c>
      <c r="P120" s="24" t="str">
        <f>IF('query (2)'!F120="","",TRIM(UPPER('query (2)'!F120)))</f>
        <v>1003-KW1G</v>
      </c>
      <c r="Q120" s="24" t="str">
        <f>IF('query (2)'!G120="","UNKNOWN",IFERROR(INDEX(Cleaning_Rules!$B$38:$B$46,MATCH(TRIM(UPPER('query (2)'!G120)),Cleaning_Rules!$A$38:$A$46,0)),"UNKNOWN"))</f>
        <v>OTHER</v>
      </c>
      <c r="R120" s="24" t="str">
        <f>IF('query (2)'!H120="","",TRIM(UPPER('query (2)'!H120)))</f>
        <v>OUTER RING DEMAGNETIZING MACHINE</v>
      </c>
      <c r="S120" s="25" t="str">
        <f>IF('query (2)'!H120="","",'query (2)'!H120)</f>
        <v>Outer ring demagnetizing machine</v>
      </c>
      <c r="T120" s="24" t="str">
        <f>IF('query (2)'!J120="","",TRIM(UPPER('query (2)'!J120)))</f>
        <v>A - DEMAGNETIZING</v>
      </c>
      <c r="U120" s="24" t="str">
        <f t="shared" si="10"/>
        <v/>
      </c>
      <c r="V120" s="24" t="str">
        <f>IF('query (2)'!K120="","NOT_SPECIFIED",IFERROR(INDEX(Cleaning_Rules!$B$32:$B$34,MATCH(TRIM(UPPER('query (2)'!K120)),Cleaning_Rules!$A$32:$A$34,0)),"UNKNOWN"))</f>
        <v>NOT_SPECIFIED</v>
      </c>
      <c r="W120" s="24" t="str">
        <f t="shared" si="11"/>
        <v>DE-018 | FACTORY3 | KWD1 | KWD | GRINDING 2 | 1003-KW1G | OTHER | OUTER RING DEMAGNETIZING MACHINE | A - DEMAGNETIZING | NOT_SPECIFIED</v>
      </c>
      <c r="X120" s="24" t="str">
        <f t="shared" si="12"/>
        <v/>
      </c>
      <c r="Y120" s="24" t="str">
        <f t="shared" si="13"/>
        <v>MISSING_STATUS; CATEGORY_NOT_USEFUL</v>
      </c>
    </row>
    <row r="121" spans="1:25" x14ac:dyDescent="0.3">
      <c r="A121" s="24" t="str">
        <f t="shared" si="7"/>
        <v>DE-267#0120</v>
      </c>
      <c r="B121" s="24" t="str">
        <f>IF('query (2)'!B121="","",TRIM(UPPER('query (2)'!B121)))</f>
        <v>DE-267</v>
      </c>
      <c r="C121" s="25" t="str">
        <f>IF('query (2)'!B121="","",'query (2)'!B121)</f>
        <v>DE-267</v>
      </c>
      <c r="D121" s="24" t="str">
        <f t="shared" si="8"/>
        <v>DE</v>
      </c>
      <c r="E121" s="24">
        <f t="shared" si="9"/>
        <v>1</v>
      </c>
      <c r="F121" s="24">
        <f>IF('query (2)'!A121="","",IFERROR(VALUE('query (2)'!A121),""))</f>
        <v>120</v>
      </c>
      <c r="G121" s="24" t="str">
        <f>IF('query (2)'!C121="","UNKNOWN",IFERROR(INDEX(Cleaning_Rules!$B$15:$B$20,MATCH(TRIM(UPPER('query (2)'!C121)),Cleaning_Rules!$A$15:$A$20,0)),"UNKNOWN"))</f>
        <v>FACTORY3</v>
      </c>
      <c r="H121" s="25" t="str">
        <f>IF('query (2)'!C121="","",'query (2)'!C121)</f>
        <v>FACTORY3</v>
      </c>
      <c r="I121" s="24" t="str" cm="1">
        <f t="array" ref="I121">_xlfn.IFS($G121="UNKNOWN","UNKNOWN",OR($G121="FACTORY1",$G121="FACTORY2",$G121="FACTORY3"),"PLANT",TRUE,"SHARED")</f>
        <v>PLANT</v>
      </c>
      <c r="J121" s="24" t="str">
        <f>IF('query (2)'!D121="","UNKNOWN",IF(COUNTIF(Cleaning_Rules!$A$6:$A$11,TRIM('query (2)'!D121))&gt;0,"UNKNOWN",IFERROR(INDEX(Cleaning_Rules!$B$24:$B$28,MATCH(TRIM(UPPER('query (2)'!D121)),Cleaning_Rules!$A$24:$A$28,0)),TRIM(UPPER('query (2)'!D121)))))</f>
        <v>KWD2</v>
      </c>
      <c r="K121" s="25" t="str">
        <f>IF('query (2)'!D121="","",'query (2)'!D121)</f>
        <v>KWD2</v>
      </c>
      <c r="L121" s="24" t="str">
        <f>IF($J121="UNKNOWN","",_xlfn.TEXTBEFORE($J121,{"0","1","2","3","4","5","6","7","8","9"," ","-","."},1,,,$J121))</f>
        <v>KWD</v>
      </c>
      <c r="M121" s="24" t="str">
        <f>IF('query (2)'!I121&lt;&gt;"",TRIM(UPPER('query (2)'!I121)),IF($L121="","UNKNOWN",$L121))</f>
        <v>KWD</v>
      </c>
      <c r="N121" s="24" t="str">
        <f>IF('query (2)'!I121&lt;&gt;"","SOURCE",IF($L121="","UNKNOWN","DERIVED"))</f>
        <v>SOURCE</v>
      </c>
      <c r="O121" s="24" t="str">
        <f>IF('query (2)'!E121="","NOT_SPECIFIED",TRIM(UPPER('query (2)'!E121)))</f>
        <v>GRINDING 2</v>
      </c>
      <c r="P121" s="24" t="str">
        <f>IF('query (2)'!F121="","",TRIM(UPPER('query (2)'!F121)))</f>
        <v>1006-KW2G</v>
      </c>
      <c r="Q121" s="24" t="str">
        <f>IF('query (2)'!G121="","UNKNOWN",IFERROR(INDEX(Cleaning_Rules!$B$38:$B$46,MATCH(TRIM(UPPER('query (2)'!G121)),Cleaning_Rules!$A$38:$A$46,0)),"UNKNOWN"))</f>
        <v>OTHER</v>
      </c>
      <c r="R121" s="24" t="str">
        <f>IF('query (2)'!H121="","",TRIM(UPPER('query (2)'!H121)))</f>
        <v>OUTER RING DEMAGNETIZING MACHINE</v>
      </c>
      <c r="S121" s="25" t="str">
        <f>IF('query (2)'!H121="","",'query (2)'!H121)</f>
        <v>Outer ring demagnetizing machine</v>
      </c>
      <c r="T121" s="24" t="str">
        <f>IF('query (2)'!J121="","",TRIM(UPPER('query (2)'!J121)))</f>
        <v>A - DEMAGNETIZING</v>
      </c>
      <c r="U121" s="24" t="str">
        <f t="shared" si="10"/>
        <v/>
      </c>
      <c r="V121" s="24" t="str">
        <f>IF('query (2)'!K121="","NOT_SPECIFIED",IFERROR(INDEX(Cleaning_Rules!$B$32:$B$34,MATCH(TRIM(UPPER('query (2)'!K121)),Cleaning_Rules!$A$32:$A$34,0)),"UNKNOWN"))</f>
        <v>NOT_SPECIFIED</v>
      </c>
      <c r="W121" s="24" t="str">
        <f t="shared" si="11"/>
        <v>DE-267 | FACTORY3 | KWD2 | KWD | GRINDING 2 | 1006-KW2G | OTHER | OUTER RING DEMAGNETIZING MACHINE | A - DEMAGNETIZING | NOT_SPECIFIED</v>
      </c>
      <c r="X121" s="24" t="str">
        <f t="shared" si="12"/>
        <v/>
      </c>
      <c r="Y121" s="24" t="str">
        <f t="shared" si="13"/>
        <v>MISSING_STATUS; CATEGORY_NOT_USEFUL</v>
      </c>
    </row>
    <row r="122" spans="1:25" x14ac:dyDescent="0.3">
      <c r="A122" s="24" t="str">
        <f t="shared" si="7"/>
        <v>DE-352#0121</v>
      </c>
      <c r="B122" s="24" t="str">
        <f>IF('query (2)'!B122="","",TRIM(UPPER('query (2)'!B122)))</f>
        <v>DE-352</v>
      </c>
      <c r="C122" s="25" t="str">
        <f>IF('query (2)'!B122="","",'query (2)'!B122)</f>
        <v>DE-352</v>
      </c>
      <c r="D122" s="24" t="str">
        <f t="shared" si="8"/>
        <v>DE</v>
      </c>
      <c r="E122" s="24">
        <f t="shared" si="9"/>
        <v>1</v>
      </c>
      <c r="F122" s="24">
        <f>IF('query (2)'!A122="","",IFERROR(VALUE('query (2)'!A122),""))</f>
        <v>121</v>
      </c>
      <c r="G122" s="24" t="str">
        <f>IF('query (2)'!C122="","UNKNOWN",IFERROR(INDEX(Cleaning_Rules!$B$15:$B$20,MATCH(TRIM(UPPER('query (2)'!C122)),Cleaning_Rules!$A$15:$A$20,0)),"UNKNOWN"))</f>
        <v>FACTORY3</v>
      </c>
      <c r="H122" s="25" t="str">
        <f>IF('query (2)'!C122="","",'query (2)'!C122)</f>
        <v>FACTORY3</v>
      </c>
      <c r="I122" s="24" t="str" cm="1">
        <f t="array" ref="I122">_xlfn.IFS($G122="UNKNOWN","UNKNOWN",OR($G122="FACTORY1",$G122="FACTORY2",$G122="FACTORY3"),"PLANT",TRUE,"SHARED")</f>
        <v>PLANT</v>
      </c>
      <c r="J122" s="24" t="str">
        <f>IF('query (2)'!D122="","UNKNOWN",IF(COUNTIF(Cleaning_Rules!$A$6:$A$11,TRIM('query (2)'!D122))&gt;0,"UNKNOWN",IFERROR(INDEX(Cleaning_Rules!$B$24:$B$28,MATCH(TRIM(UPPER('query (2)'!D122)),Cleaning_Rules!$A$24:$A$28,0)),TRIM(UPPER('query (2)'!D122)))))</f>
        <v>KWD3</v>
      </c>
      <c r="K122" s="25" t="str">
        <f>IF('query (2)'!D122="","",'query (2)'!D122)</f>
        <v>KWD3</v>
      </c>
      <c r="L122" s="24" t="str">
        <f>IF($J122="UNKNOWN","",_xlfn.TEXTBEFORE($J122,{"0","1","2","3","4","5","6","7","8","9"," ","-","."},1,,,$J122))</f>
        <v>KWD</v>
      </c>
      <c r="M122" s="24" t="str">
        <f>IF('query (2)'!I122&lt;&gt;"",TRIM(UPPER('query (2)'!I122)),IF($L122="","UNKNOWN",$L122))</f>
        <v>KWD</v>
      </c>
      <c r="N122" s="24" t="str">
        <f>IF('query (2)'!I122&lt;&gt;"","SOURCE",IF($L122="","UNKNOWN","DERIVED"))</f>
        <v>SOURCE</v>
      </c>
      <c r="O122" s="24" t="str">
        <f>IF('query (2)'!E122="","NOT_SPECIFIED",TRIM(UPPER('query (2)'!E122)))</f>
        <v>GRINDING 2</v>
      </c>
      <c r="P122" s="24" t="str">
        <f>IF('query (2)'!F122="","",TRIM(UPPER('query (2)'!F122)))</f>
        <v>1009-KW3G</v>
      </c>
      <c r="Q122" s="24" t="str">
        <f>IF('query (2)'!G122="","UNKNOWN",IFERROR(INDEX(Cleaning_Rules!$B$38:$B$46,MATCH(TRIM(UPPER('query (2)'!G122)),Cleaning_Rules!$A$38:$A$46,0)),"UNKNOWN"))</f>
        <v>OTHER</v>
      </c>
      <c r="R122" s="24" t="str">
        <f>IF('query (2)'!H122="","",TRIM(UPPER('query (2)'!H122)))</f>
        <v>OUTER RING DEMAGNETIZING MACHINE</v>
      </c>
      <c r="S122" s="25" t="str">
        <f>IF('query (2)'!H122="","",'query (2)'!H122)</f>
        <v>Outer ring demagnetizing machine</v>
      </c>
      <c r="T122" s="24" t="str">
        <f>IF('query (2)'!J122="","",TRIM(UPPER('query (2)'!J122)))</f>
        <v>A - DEMAGNETIZING</v>
      </c>
      <c r="U122" s="24" t="str">
        <f t="shared" si="10"/>
        <v/>
      </c>
      <c r="V122" s="24" t="str">
        <f>IF('query (2)'!K122="","NOT_SPECIFIED",IFERROR(INDEX(Cleaning_Rules!$B$32:$B$34,MATCH(TRIM(UPPER('query (2)'!K122)),Cleaning_Rules!$A$32:$A$34,0)),"UNKNOWN"))</f>
        <v>NOT_SPECIFIED</v>
      </c>
      <c r="W122" s="24" t="str">
        <f t="shared" si="11"/>
        <v>DE-352 | FACTORY3 | KWD3 | KWD | GRINDING 2 | 1009-KW3G | OTHER | OUTER RING DEMAGNETIZING MACHINE | A - DEMAGNETIZING | NOT_SPECIFIED</v>
      </c>
      <c r="X122" s="24" t="str">
        <f t="shared" si="12"/>
        <v/>
      </c>
      <c r="Y122" s="24" t="str">
        <f t="shared" si="13"/>
        <v>MISSING_STATUS; CATEGORY_NOT_USEFUL</v>
      </c>
    </row>
    <row r="123" spans="1:25" x14ac:dyDescent="0.3">
      <c r="A123" s="24" t="str">
        <f t="shared" si="7"/>
        <v>DE-474#0122</v>
      </c>
      <c r="B123" s="24" t="str">
        <f>IF('query (2)'!B123="","",TRIM(UPPER('query (2)'!B123)))</f>
        <v>DE-474</v>
      </c>
      <c r="C123" s="25" t="str">
        <f>IF('query (2)'!B123="","",'query (2)'!B123)</f>
        <v>DE-474</v>
      </c>
      <c r="D123" s="24" t="str">
        <f t="shared" si="8"/>
        <v>DE</v>
      </c>
      <c r="E123" s="24">
        <f t="shared" si="9"/>
        <v>1</v>
      </c>
      <c r="F123" s="24">
        <f>IF('query (2)'!A123="","",IFERROR(VALUE('query (2)'!A123),""))</f>
        <v>122</v>
      </c>
      <c r="G123" s="24" t="str">
        <f>IF('query (2)'!C123="","UNKNOWN",IFERROR(INDEX(Cleaning_Rules!$B$15:$B$20,MATCH(TRIM(UPPER('query (2)'!C123)),Cleaning_Rules!$A$15:$A$20,0)),"UNKNOWN"))</f>
        <v>FACTORY3</v>
      </c>
      <c r="H123" s="25" t="str">
        <f>IF('query (2)'!C123="","",'query (2)'!C123)</f>
        <v>FACTORY3</v>
      </c>
      <c r="I123" s="24" t="str" cm="1">
        <f t="array" ref="I123">_xlfn.IFS($G123="UNKNOWN","UNKNOWN",OR($G123="FACTORY1",$G123="FACTORY2",$G123="FACTORY3"),"PLANT",TRUE,"SHARED")</f>
        <v>PLANT</v>
      </c>
      <c r="J123" s="24" t="str">
        <f>IF('query (2)'!D123="","UNKNOWN",IF(COUNTIF(Cleaning_Rules!$A$6:$A$11,TRIM('query (2)'!D123))&gt;0,"UNKNOWN",IFERROR(INDEX(Cleaning_Rules!$B$24:$B$28,MATCH(TRIM(UPPER('query (2)'!D123)),Cleaning_Rules!$A$24:$A$28,0)),TRIM(UPPER('query (2)'!D123)))))</f>
        <v>KWD4</v>
      </c>
      <c r="K123" s="25" t="str">
        <f>IF('query (2)'!D123="","",'query (2)'!D123)</f>
        <v>KWD4</v>
      </c>
      <c r="L123" s="24" t="str">
        <f>IF($J123="UNKNOWN","",_xlfn.TEXTBEFORE($J123,{"0","1","2","3","4","5","6","7","8","9"," ","-","."},1,,,$J123))</f>
        <v>KWD</v>
      </c>
      <c r="M123" s="24" t="str">
        <f>IF('query (2)'!I123&lt;&gt;"",TRIM(UPPER('query (2)'!I123)),IF($L123="","UNKNOWN",$L123))</f>
        <v>KWD</v>
      </c>
      <c r="N123" s="24" t="str">
        <f>IF('query (2)'!I123&lt;&gt;"","SOURCE",IF($L123="","UNKNOWN","DERIVED"))</f>
        <v>SOURCE</v>
      </c>
      <c r="O123" s="24" t="str">
        <f>IF('query (2)'!E123="","NOT_SPECIFIED",TRIM(UPPER('query (2)'!E123)))</f>
        <v>GRINDING 2</v>
      </c>
      <c r="P123" s="24" t="str">
        <f>IF('query (2)'!F123="","",TRIM(UPPER('query (2)'!F123)))</f>
        <v>1012-KW4G</v>
      </c>
      <c r="Q123" s="24" t="str">
        <f>IF('query (2)'!G123="","UNKNOWN",IFERROR(INDEX(Cleaning_Rules!$B$38:$B$46,MATCH(TRIM(UPPER('query (2)'!G123)),Cleaning_Rules!$A$38:$A$46,0)),"UNKNOWN"))</f>
        <v>OTHER</v>
      </c>
      <c r="R123" s="24" t="str">
        <f>IF('query (2)'!H123="","",TRIM(UPPER('query (2)'!H123)))</f>
        <v>OUTER RING DEMAGNETIZING MACHINE</v>
      </c>
      <c r="S123" s="25" t="str">
        <f>IF('query (2)'!H123="","",'query (2)'!H123)</f>
        <v>Outer ring demagnetizing machine</v>
      </c>
      <c r="T123" s="24" t="str">
        <f>IF('query (2)'!J123="","",TRIM(UPPER('query (2)'!J123)))</f>
        <v>A - DEMAGNETIZING</v>
      </c>
      <c r="U123" s="24" t="str">
        <f t="shared" si="10"/>
        <v/>
      </c>
      <c r="V123" s="24" t="str">
        <f>IF('query (2)'!K123="","NOT_SPECIFIED",IFERROR(INDEX(Cleaning_Rules!$B$32:$B$34,MATCH(TRIM(UPPER('query (2)'!K123)),Cleaning_Rules!$A$32:$A$34,0)),"UNKNOWN"))</f>
        <v>NOT_SPECIFIED</v>
      </c>
      <c r="W123" s="24" t="str">
        <f t="shared" si="11"/>
        <v>DE-474 | FACTORY3 | KWD4 | KWD | GRINDING 2 | 1012-KW4G | OTHER | OUTER RING DEMAGNETIZING MACHINE | A - DEMAGNETIZING | NOT_SPECIFIED</v>
      </c>
      <c r="X123" s="24" t="str">
        <f t="shared" si="12"/>
        <v/>
      </c>
      <c r="Y123" s="24" t="str">
        <f t="shared" si="13"/>
        <v>MISSING_STATUS; CATEGORY_NOT_USEFUL</v>
      </c>
    </row>
    <row r="124" spans="1:25" x14ac:dyDescent="0.3">
      <c r="A124" s="24" t="str">
        <f t="shared" si="7"/>
        <v>DE-591#0123</v>
      </c>
      <c r="B124" s="24" t="str">
        <f>IF('query (2)'!B124="","",TRIM(UPPER('query (2)'!B124)))</f>
        <v>DE-591</v>
      </c>
      <c r="C124" s="25" t="str">
        <f>IF('query (2)'!B124="","",'query (2)'!B124)</f>
        <v>DE-591</v>
      </c>
      <c r="D124" s="24" t="str">
        <f t="shared" si="8"/>
        <v>DE</v>
      </c>
      <c r="E124" s="24">
        <f t="shared" si="9"/>
        <v>1</v>
      </c>
      <c r="F124" s="24">
        <f>IF('query (2)'!A124="","",IFERROR(VALUE('query (2)'!A124),""))</f>
        <v>123</v>
      </c>
      <c r="G124" s="24" t="str">
        <f>IF('query (2)'!C124="","UNKNOWN",IFERROR(INDEX(Cleaning_Rules!$B$15:$B$20,MATCH(TRIM(UPPER('query (2)'!C124)),Cleaning_Rules!$A$15:$A$20,0)),"UNKNOWN"))</f>
        <v>FACTORY3</v>
      </c>
      <c r="H124" s="25" t="str">
        <f>IF('query (2)'!C124="","",'query (2)'!C124)</f>
        <v>FACTORY3</v>
      </c>
      <c r="I124" s="24" t="str" cm="1">
        <f t="array" ref="I124">_xlfn.IFS($G124="UNKNOWN","UNKNOWN",OR($G124="FACTORY1",$G124="FACTORY2",$G124="FACTORY3"),"PLANT",TRUE,"SHARED")</f>
        <v>PLANT</v>
      </c>
      <c r="J124" s="24" t="str">
        <f>IF('query (2)'!D124="","UNKNOWN",IF(COUNTIF(Cleaning_Rules!$A$6:$A$11,TRIM('query (2)'!D124))&gt;0,"UNKNOWN",IFERROR(INDEX(Cleaning_Rules!$B$24:$B$28,MATCH(TRIM(UPPER('query (2)'!D124)),Cleaning_Rules!$A$24:$A$28,0)),TRIM(UPPER('query (2)'!D124)))))</f>
        <v>KWD5</v>
      </c>
      <c r="K124" s="25" t="str">
        <f>IF('query (2)'!D124="","",'query (2)'!D124)</f>
        <v>KWD5</v>
      </c>
      <c r="L124" s="24" t="str">
        <f>IF($J124="UNKNOWN","",_xlfn.TEXTBEFORE($J124,{"0","1","2","3","4","5","6","7","8","9"," ","-","."},1,,,$J124))</f>
        <v>KWD</v>
      </c>
      <c r="M124" s="24" t="str">
        <f>IF('query (2)'!I124&lt;&gt;"",TRIM(UPPER('query (2)'!I124)),IF($L124="","UNKNOWN",$L124))</f>
        <v>KWD</v>
      </c>
      <c r="N124" s="24" t="str">
        <f>IF('query (2)'!I124&lt;&gt;"","SOURCE",IF($L124="","UNKNOWN","DERIVED"))</f>
        <v>SOURCE</v>
      </c>
      <c r="O124" s="24" t="str">
        <f>IF('query (2)'!E124="","NOT_SPECIFIED",TRIM(UPPER('query (2)'!E124)))</f>
        <v>GRINDING 2</v>
      </c>
      <c r="P124" s="24" t="str">
        <f>IF('query (2)'!F124="","",TRIM(UPPER('query (2)'!F124)))</f>
        <v>1015-KW5G</v>
      </c>
      <c r="Q124" s="24" t="str">
        <f>IF('query (2)'!G124="","UNKNOWN",IFERROR(INDEX(Cleaning_Rules!$B$38:$B$46,MATCH(TRIM(UPPER('query (2)'!G124)),Cleaning_Rules!$A$38:$A$46,0)),"UNKNOWN"))</f>
        <v>OTHER</v>
      </c>
      <c r="R124" s="24" t="str">
        <f>IF('query (2)'!H124="","",TRIM(UPPER('query (2)'!H124)))</f>
        <v>OUTER RING DEMAGNETIZING MACHINE</v>
      </c>
      <c r="S124" s="25" t="str">
        <f>IF('query (2)'!H124="","",'query (2)'!H124)</f>
        <v>Outer ring demagnetizing machine</v>
      </c>
      <c r="T124" s="24" t="str">
        <f>IF('query (2)'!J124="","",TRIM(UPPER('query (2)'!J124)))</f>
        <v>A - DEMAGNETIZING</v>
      </c>
      <c r="U124" s="24" t="str">
        <f t="shared" si="10"/>
        <v/>
      </c>
      <c r="V124" s="24" t="str">
        <f>IF('query (2)'!K124="","NOT_SPECIFIED",IFERROR(INDEX(Cleaning_Rules!$B$32:$B$34,MATCH(TRIM(UPPER('query (2)'!K124)),Cleaning_Rules!$A$32:$A$34,0)),"UNKNOWN"))</f>
        <v>NOT_SPECIFIED</v>
      </c>
      <c r="W124" s="24" t="str">
        <f t="shared" si="11"/>
        <v>DE-591 | FACTORY3 | KWD5 | KWD | GRINDING 2 | 1015-KW5G | OTHER | OUTER RING DEMAGNETIZING MACHINE | A - DEMAGNETIZING | NOT_SPECIFIED</v>
      </c>
      <c r="X124" s="24" t="str">
        <f t="shared" si="12"/>
        <v/>
      </c>
      <c r="Y124" s="24" t="str">
        <f t="shared" si="13"/>
        <v>MISSING_STATUS; CATEGORY_NOT_USEFUL</v>
      </c>
    </row>
    <row r="125" spans="1:25" x14ac:dyDescent="0.3">
      <c r="A125" s="24" t="str">
        <f t="shared" si="7"/>
        <v>DE-695#0124</v>
      </c>
      <c r="B125" s="24" t="str">
        <f>IF('query (2)'!B125="","",TRIM(UPPER('query (2)'!B125)))</f>
        <v>DE-695</v>
      </c>
      <c r="C125" s="25" t="str">
        <f>IF('query (2)'!B125="","",'query (2)'!B125)</f>
        <v>DE-695</v>
      </c>
      <c r="D125" s="24" t="str">
        <f t="shared" si="8"/>
        <v>DE</v>
      </c>
      <c r="E125" s="24">
        <f t="shared" si="9"/>
        <v>1</v>
      </c>
      <c r="F125" s="24">
        <f>IF('query (2)'!A125="","",IFERROR(VALUE('query (2)'!A125),""))</f>
        <v>124</v>
      </c>
      <c r="G125" s="24" t="str">
        <f>IF('query (2)'!C125="","UNKNOWN",IFERROR(INDEX(Cleaning_Rules!$B$15:$B$20,MATCH(TRIM(UPPER('query (2)'!C125)),Cleaning_Rules!$A$15:$A$20,0)),"UNKNOWN"))</f>
        <v>FACTORY3</v>
      </c>
      <c r="H125" s="25" t="str">
        <f>IF('query (2)'!C125="","",'query (2)'!C125)</f>
        <v>FACTORY3</v>
      </c>
      <c r="I125" s="24" t="str" cm="1">
        <f t="array" ref="I125">_xlfn.IFS($G125="UNKNOWN","UNKNOWN",OR($G125="FACTORY1",$G125="FACTORY2",$G125="FACTORY3"),"PLANT",TRUE,"SHARED")</f>
        <v>PLANT</v>
      </c>
      <c r="J125" s="24" t="str">
        <f>IF('query (2)'!D125="","UNKNOWN",IF(COUNTIF(Cleaning_Rules!$A$6:$A$11,TRIM('query (2)'!D125))&gt;0,"UNKNOWN",IFERROR(INDEX(Cleaning_Rules!$B$24:$B$28,MATCH(TRIM(UPPER('query (2)'!D125)),Cleaning_Rules!$A$24:$A$28,0)),TRIM(UPPER('query (2)'!D125)))))</f>
        <v>KWD6</v>
      </c>
      <c r="K125" s="25" t="str">
        <f>IF('query (2)'!D125="","",'query (2)'!D125)</f>
        <v>KWD6</v>
      </c>
      <c r="L125" s="24" t="str">
        <f>IF($J125="UNKNOWN","",_xlfn.TEXTBEFORE($J125,{"0","1","2","3","4","5","6","7","8","9"," ","-","."},1,,,$J125))</f>
        <v>KWD</v>
      </c>
      <c r="M125" s="24" t="str">
        <f>IF('query (2)'!I125&lt;&gt;"",TRIM(UPPER('query (2)'!I125)),IF($L125="","UNKNOWN",$L125))</f>
        <v>KWD</v>
      </c>
      <c r="N125" s="24" t="str">
        <f>IF('query (2)'!I125&lt;&gt;"","SOURCE",IF($L125="","UNKNOWN","DERIVED"))</f>
        <v>SOURCE</v>
      </c>
      <c r="O125" s="24" t="str">
        <f>IF('query (2)'!E125="","NOT_SPECIFIED",TRIM(UPPER('query (2)'!E125)))</f>
        <v>GRINDING 2</v>
      </c>
      <c r="P125" s="24" t="str">
        <f>IF('query (2)'!F125="","",TRIM(UPPER('query (2)'!F125)))</f>
        <v xml:space="preserve">1018-KW6G
</v>
      </c>
      <c r="Q125" s="24" t="str">
        <f>IF('query (2)'!G125="","UNKNOWN",IFERROR(INDEX(Cleaning_Rules!$B$38:$B$46,MATCH(TRIM(UPPER('query (2)'!G125)),Cleaning_Rules!$A$38:$A$46,0)),"UNKNOWN"))</f>
        <v>OTHER</v>
      </c>
      <c r="R125" s="24" t="str">
        <f>IF('query (2)'!H125="","",TRIM(UPPER('query (2)'!H125)))</f>
        <v>OUTER RING DEMAGNETIZING MACHINE</v>
      </c>
      <c r="S125" s="25" t="str">
        <f>IF('query (2)'!H125="","",'query (2)'!H125)</f>
        <v>Outer ring demagnetizing machine</v>
      </c>
      <c r="T125" s="24" t="str">
        <f>IF('query (2)'!J125="","",TRIM(UPPER('query (2)'!J125)))</f>
        <v>A - DEMAGNETIZING</v>
      </c>
      <c r="U125" s="24" t="str">
        <f t="shared" si="10"/>
        <v/>
      </c>
      <c r="V125" s="24" t="str">
        <f>IF('query (2)'!K125="","NOT_SPECIFIED",IFERROR(INDEX(Cleaning_Rules!$B$32:$B$34,MATCH(TRIM(UPPER('query (2)'!K125)),Cleaning_Rules!$A$32:$A$34,0)),"UNKNOWN"))</f>
        <v>NOT_SPECIFIED</v>
      </c>
      <c r="W125" s="24" t="str">
        <f t="shared" si="11"/>
        <v>DE-695 | FACTORY3 | KWD6 | KWD | GRINDING 2 | 1018-KW6G
 | OTHER | OUTER RING DEMAGNETIZING MACHINE | A - DEMAGNETIZING | NOT_SPECIFIED</v>
      </c>
      <c r="X125" s="24" t="str">
        <f t="shared" si="12"/>
        <v/>
      </c>
      <c r="Y125" s="24" t="str">
        <f t="shared" si="13"/>
        <v>MISSING_STATUS; CATEGORY_NOT_USEFUL</v>
      </c>
    </row>
    <row r="126" spans="1:25" x14ac:dyDescent="0.3">
      <c r="A126" s="24" t="str">
        <f t="shared" si="7"/>
        <v>DE-839#0125</v>
      </c>
      <c r="B126" s="24" t="str">
        <f>IF('query (2)'!B126="","",TRIM(UPPER('query (2)'!B126)))</f>
        <v>DE-839</v>
      </c>
      <c r="C126" s="25" t="str">
        <f>IF('query (2)'!B126="","",'query (2)'!B126)</f>
        <v>DE-839</v>
      </c>
      <c r="D126" s="24" t="str">
        <f t="shared" si="8"/>
        <v>DE</v>
      </c>
      <c r="E126" s="24">
        <f t="shared" si="9"/>
        <v>1</v>
      </c>
      <c r="F126" s="24">
        <f>IF('query (2)'!A126="","",IFERROR(VALUE('query (2)'!A126),""))</f>
        <v>125</v>
      </c>
      <c r="G126" s="24" t="str">
        <f>IF('query (2)'!C126="","UNKNOWN",IFERROR(INDEX(Cleaning_Rules!$B$15:$B$20,MATCH(TRIM(UPPER('query (2)'!C126)),Cleaning_Rules!$A$15:$A$20,0)),"UNKNOWN"))</f>
        <v>FACTORY3</v>
      </c>
      <c r="H126" s="25" t="str">
        <f>IF('query (2)'!C126="","",'query (2)'!C126)</f>
        <v>FACTORY3</v>
      </c>
      <c r="I126" s="24" t="str" cm="1">
        <f t="array" ref="I126">_xlfn.IFS($G126="UNKNOWN","UNKNOWN",OR($G126="FACTORY1",$G126="FACTORY2",$G126="FACTORY3"),"PLANT",TRUE,"SHARED")</f>
        <v>PLANT</v>
      </c>
      <c r="J126" s="24" t="str">
        <f>IF('query (2)'!D126="","UNKNOWN",IF(COUNTIF(Cleaning_Rules!$A$6:$A$11,TRIM('query (2)'!D126))&gt;0,"UNKNOWN",IFERROR(INDEX(Cleaning_Rules!$B$24:$B$28,MATCH(TRIM(UPPER('query (2)'!D126)),Cleaning_Rules!$A$24:$A$28,0)),TRIM(UPPER('query (2)'!D126)))))</f>
        <v>KWD7</v>
      </c>
      <c r="K126" s="25" t="str">
        <f>IF('query (2)'!D126="","",'query (2)'!D126)</f>
        <v>KWD7</v>
      </c>
      <c r="L126" s="24" t="str">
        <f>IF($J126="UNKNOWN","",_xlfn.TEXTBEFORE($J126,{"0","1","2","3","4","5","6","7","8","9"," ","-","."},1,,,$J126))</f>
        <v>KWD</v>
      </c>
      <c r="M126" s="24" t="str">
        <f>IF('query (2)'!I126&lt;&gt;"",TRIM(UPPER('query (2)'!I126)),IF($L126="","UNKNOWN",$L126))</f>
        <v>KWD</v>
      </c>
      <c r="N126" s="24" t="str">
        <f>IF('query (2)'!I126&lt;&gt;"","SOURCE",IF($L126="","UNKNOWN","DERIVED"))</f>
        <v>SOURCE</v>
      </c>
      <c r="O126" s="24" t="str">
        <f>IF('query (2)'!E126="","NOT_SPECIFIED",TRIM(UPPER('query (2)'!E126)))</f>
        <v>GRINDING 2</v>
      </c>
      <c r="P126" s="24" t="str">
        <f>IF('query (2)'!F126="","",TRIM(UPPER('query (2)'!F126)))</f>
        <v>1024-KW7G</v>
      </c>
      <c r="Q126" s="24" t="str">
        <f>IF('query (2)'!G126="","UNKNOWN",IFERROR(INDEX(Cleaning_Rules!$B$38:$B$46,MATCH(TRIM(UPPER('query (2)'!G126)),Cleaning_Rules!$A$38:$A$46,0)),"UNKNOWN"))</f>
        <v>OTHER</v>
      </c>
      <c r="R126" s="24" t="str">
        <f>IF('query (2)'!H126="","",TRIM(UPPER('query (2)'!H126)))</f>
        <v>OUTER RING DEMAGNETIZING MACHINE</v>
      </c>
      <c r="S126" s="25" t="str">
        <f>IF('query (2)'!H126="","",'query (2)'!H126)</f>
        <v>Outer ring demagnetizing machine</v>
      </c>
      <c r="T126" s="24" t="str">
        <f>IF('query (2)'!J126="","",TRIM(UPPER('query (2)'!J126)))</f>
        <v>A - DEMAGNETIZING</v>
      </c>
      <c r="U126" s="24" t="str">
        <f t="shared" si="10"/>
        <v/>
      </c>
      <c r="V126" s="24" t="str">
        <f>IF('query (2)'!K126="","NOT_SPECIFIED",IFERROR(INDEX(Cleaning_Rules!$B$32:$B$34,MATCH(TRIM(UPPER('query (2)'!K126)),Cleaning_Rules!$A$32:$A$34,0)),"UNKNOWN"))</f>
        <v>NOT_SPECIFIED</v>
      </c>
      <c r="W126" s="24" t="str">
        <f t="shared" si="11"/>
        <v>DE-839 | FACTORY3 | KWD7 | KWD | GRINDING 2 | 1024-KW7G | OTHER | OUTER RING DEMAGNETIZING MACHINE | A - DEMAGNETIZING | NOT_SPECIFIED</v>
      </c>
      <c r="X126" s="24" t="str">
        <f t="shared" si="12"/>
        <v/>
      </c>
      <c r="Y126" s="24" t="str">
        <f t="shared" si="13"/>
        <v>MISSING_STATUS; CATEGORY_NOT_USEFUL</v>
      </c>
    </row>
    <row r="127" spans="1:25" x14ac:dyDescent="0.3">
      <c r="A127" s="24" t="str">
        <f t="shared" si="7"/>
        <v>GR-016#0126</v>
      </c>
      <c r="B127" s="24" t="str">
        <f>IF('query (2)'!B127="","",TRIM(UPPER('query (2)'!B127)))</f>
        <v>GR-016</v>
      </c>
      <c r="C127" s="25" t="str">
        <f>IF('query (2)'!B127="","",'query (2)'!B127)</f>
        <v>GR-016</v>
      </c>
      <c r="D127" s="24" t="str">
        <f t="shared" si="8"/>
        <v>GR</v>
      </c>
      <c r="E127" s="24">
        <f t="shared" si="9"/>
        <v>1</v>
      </c>
      <c r="F127" s="24">
        <f>IF('query (2)'!A127="","",IFERROR(VALUE('query (2)'!A127),""))</f>
        <v>126</v>
      </c>
      <c r="G127" s="24" t="str">
        <f>IF('query (2)'!C127="","UNKNOWN",IFERROR(INDEX(Cleaning_Rules!$B$15:$B$20,MATCH(TRIM(UPPER('query (2)'!C127)),Cleaning_Rules!$A$15:$A$20,0)),"UNKNOWN"))</f>
        <v>FACTORY3</v>
      </c>
      <c r="H127" s="25" t="str">
        <f>IF('query (2)'!C127="","",'query (2)'!C127)</f>
        <v>FACTORY3</v>
      </c>
      <c r="I127" s="24" t="str" cm="1">
        <f t="array" ref="I127">_xlfn.IFS($G127="UNKNOWN","UNKNOWN",OR($G127="FACTORY1",$G127="FACTORY2",$G127="FACTORY3"),"PLANT",TRUE,"SHARED")</f>
        <v>PLANT</v>
      </c>
      <c r="J127" s="24" t="str">
        <f>IF('query (2)'!D127="","UNKNOWN",IF(COUNTIF(Cleaning_Rules!$A$6:$A$11,TRIM('query (2)'!D127))&gt;0,"UNKNOWN",IFERROR(INDEX(Cleaning_Rules!$B$24:$B$28,MATCH(TRIM(UPPER('query (2)'!D127)),Cleaning_Rules!$A$24:$A$28,0)),TRIM(UPPER('query (2)'!D127)))))</f>
        <v>KWD1</v>
      </c>
      <c r="K127" s="25" t="str">
        <f>IF('query (2)'!D127="","",'query (2)'!D127)</f>
        <v>KWD1</v>
      </c>
      <c r="L127" s="24" t="str">
        <f>IF($J127="UNKNOWN","",_xlfn.TEXTBEFORE($J127,{"0","1","2","3","4","5","6","7","8","9"," ","-","."},1,,,$J127))</f>
        <v>KWD</v>
      </c>
      <c r="M127" s="24" t="str">
        <f>IF('query (2)'!I127&lt;&gt;"",TRIM(UPPER('query (2)'!I127)),IF($L127="","UNKNOWN",$L127))</f>
        <v>KWD</v>
      </c>
      <c r="N127" s="24" t="str">
        <f>IF('query (2)'!I127&lt;&gt;"","SOURCE",IF($L127="","UNKNOWN","DERIVED"))</f>
        <v>SOURCE</v>
      </c>
      <c r="O127" s="24" t="str">
        <f>IF('query (2)'!E127="","NOT_SPECIFIED",TRIM(UPPER('query (2)'!E127)))</f>
        <v>GRINDING 2</v>
      </c>
      <c r="P127" s="24" t="str">
        <f>IF('query (2)'!F127="","",TRIM(UPPER('query (2)'!F127)))</f>
        <v>1003-KW1G</v>
      </c>
      <c r="Q127" s="24" t="str">
        <f>IF('query (2)'!G127="","UNKNOWN",IFERROR(INDEX(Cleaning_Rules!$B$38:$B$46,MATCH(TRIM(UPPER('query (2)'!G127)),Cleaning_Rules!$A$38:$A$46,0)),"UNKNOWN"))</f>
        <v>GRINDING</v>
      </c>
      <c r="R127" s="24" t="str">
        <f>IF('query (2)'!H127="","",TRIM(UPPER('query (2)'!H127)))</f>
        <v>OUTER RING RACEWAY GRINDING MACHINE</v>
      </c>
      <c r="S127" s="25" t="str">
        <f>IF('query (2)'!H127="","",'query (2)'!H127)</f>
        <v>Outer ring raceway grinding machine</v>
      </c>
      <c r="T127" s="24" t="str">
        <f>IF('query (2)'!J127="","",TRIM(UPPER('query (2)'!J127)))</f>
        <v>A - RACEWAY GRINDING</v>
      </c>
      <c r="U127" s="24" t="str">
        <f t="shared" si="10"/>
        <v/>
      </c>
      <c r="V127" s="24" t="str">
        <f>IF('query (2)'!K127="","NOT_SPECIFIED",IFERROR(INDEX(Cleaning_Rules!$B$32:$B$34,MATCH(TRIM(UPPER('query (2)'!K127)),Cleaning_Rules!$A$32:$A$34,0)),"UNKNOWN"))</f>
        <v>NOT_SPECIFIED</v>
      </c>
      <c r="W127" s="24" t="str">
        <f t="shared" si="11"/>
        <v>GR-016 | FACTORY3 | KWD1 | KWD | GRINDING 2 | 1003-KW1G | GRINDING | OUTER RING RACEWAY GRINDING MACHINE | A - RACEWAY GRINDING | NOT_SPECIFIED</v>
      </c>
      <c r="X127" s="24" t="str">
        <f t="shared" si="12"/>
        <v/>
      </c>
      <c r="Y127" s="24" t="str">
        <f t="shared" si="13"/>
        <v>MISSING_STATUS</v>
      </c>
    </row>
    <row r="128" spans="1:25" x14ac:dyDescent="0.3">
      <c r="A128" s="24" t="str">
        <f t="shared" si="7"/>
        <v>GR-351#0127</v>
      </c>
      <c r="B128" s="24" t="str">
        <f>IF('query (2)'!B128="","",TRIM(UPPER('query (2)'!B128)))</f>
        <v>GR-351</v>
      </c>
      <c r="C128" s="25" t="str">
        <f>IF('query (2)'!B128="","",'query (2)'!B128)</f>
        <v>GR-351</v>
      </c>
      <c r="D128" s="24" t="str">
        <f t="shared" si="8"/>
        <v>GR</v>
      </c>
      <c r="E128" s="24">
        <f t="shared" si="9"/>
        <v>1</v>
      </c>
      <c r="F128" s="24">
        <f>IF('query (2)'!A128="","",IFERROR(VALUE('query (2)'!A128),""))</f>
        <v>127</v>
      </c>
      <c r="G128" s="24" t="str">
        <f>IF('query (2)'!C128="","UNKNOWN",IFERROR(INDEX(Cleaning_Rules!$B$15:$B$20,MATCH(TRIM(UPPER('query (2)'!C128)),Cleaning_Rules!$A$15:$A$20,0)),"UNKNOWN"))</f>
        <v>FACTORY3</v>
      </c>
      <c r="H128" s="25" t="str">
        <f>IF('query (2)'!C128="","",'query (2)'!C128)</f>
        <v>FACTORY3</v>
      </c>
      <c r="I128" s="24" t="str" cm="1">
        <f t="array" ref="I128">_xlfn.IFS($G128="UNKNOWN","UNKNOWN",OR($G128="FACTORY1",$G128="FACTORY2",$G128="FACTORY3"),"PLANT",TRUE,"SHARED")</f>
        <v>PLANT</v>
      </c>
      <c r="J128" s="24" t="str">
        <f>IF('query (2)'!D128="","UNKNOWN",IF(COUNTIF(Cleaning_Rules!$A$6:$A$11,TRIM('query (2)'!D128))&gt;0,"UNKNOWN",IFERROR(INDEX(Cleaning_Rules!$B$24:$B$28,MATCH(TRIM(UPPER('query (2)'!D128)),Cleaning_Rules!$A$24:$A$28,0)),TRIM(UPPER('query (2)'!D128)))))</f>
        <v>KWD3</v>
      </c>
      <c r="K128" s="25" t="str">
        <f>IF('query (2)'!D128="","",'query (2)'!D128)</f>
        <v>KWD3</v>
      </c>
      <c r="L128" s="24" t="str">
        <f>IF($J128="UNKNOWN","",_xlfn.TEXTBEFORE($J128,{"0","1","2","3","4","5","6","7","8","9"," ","-","."},1,,,$J128))</f>
        <v>KWD</v>
      </c>
      <c r="M128" s="24" t="str">
        <f>IF('query (2)'!I128&lt;&gt;"",TRIM(UPPER('query (2)'!I128)),IF($L128="","UNKNOWN",$L128))</f>
        <v>KWD</v>
      </c>
      <c r="N128" s="24" t="str">
        <f>IF('query (2)'!I128&lt;&gt;"","SOURCE",IF($L128="","UNKNOWN","DERIVED"))</f>
        <v>SOURCE</v>
      </c>
      <c r="O128" s="24" t="str">
        <f>IF('query (2)'!E128="","NOT_SPECIFIED",TRIM(UPPER('query (2)'!E128)))</f>
        <v>GRINDING 2</v>
      </c>
      <c r="P128" s="24" t="str">
        <f>IF('query (2)'!F128="","",TRIM(UPPER('query (2)'!F128)))</f>
        <v>1009-KW3G</v>
      </c>
      <c r="Q128" s="24" t="str">
        <f>IF('query (2)'!G128="","UNKNOWN",IFERROR(INDEX(Cleaning_Rules!$B$38:$B$46,MATCH(TRIM(UPPER('query (2)'!G128)),Cleaning_Rules!$A$38:$A$46,0)),"UNKNOWN"))</f>
        <v>GRINDING</v>
      </c>
      <c r="R128" s="24" t="str">
        <f>IF('query (2)'!H128="","",TRIM(UPPER('query (2)'!H128)))</f>
        <v>OUTER RING RACEWAY GRINDING MACHINE</v>
      </c>
      <c r="S128" s="25" t="str">
        <f>IF('query (2)'!H128="","",'query (2)'!H128)</f>
        <v>Outer ring raceway grinding machine</v>
      </c>
      <c r="T128" s="24" t="str">
        <f>IF('query (2)'!J128="","",TRIM(UPPER('query (2)'!J128)))</f>
        <v>A - RACEWAY GRINDING</v>
      </c>
      <c r="U128" s="24" t="str">
        <f t="shared" si="10"/>
        <v/>
      </c>
      <c r="V128" s="24" t="str">
        <f>IF('query (2)'!K128="","NOT_SPECIFIED",IFERROR(INDEX(Cleaning_Rules!$B$32:$B$34,MATCH(TRIM(UPPER('query (2)'!K128)),Cleaning_Rules!$A$32:$A$34,0)),"UNKNOWN"))</f>
        <v>NOT_SPECIFIED</v>
      </c>
      <c r="W128" s="24" t="str">
        <f t="shared" si="11"/>
        <v>GR-351 | FACTORY3 | KWD3 | KWD | GRINDING 2 | 1009-KW3G | GRINDING | OUTER RING RACEWAY GRINDING MACHINE | A - RACEWAY GRINDING | NOT_SPECIFIED</v>
      </c>
      <c r="X128" s="24" t="str">
        <f t="shared" si="12"/>
        <v/>
      </c>
      <c r="Y128" s="24" t="str">
        <f t="shared" si="13"/>
        <v>MISSING_STATUS</v>
      </c>
    </row>
    <row r="129" spans="1:25" x14ac:dyDescent="0.3">
      <c r="A129" s="24" t="str">
        <f t="shared" si="7"/>
        <v>GR-473#0128</v>
      </c>
      <c r="B129" s="24" t="str">
        <f>IF('query (2)'!B129="","",TRIM(UPPER('query (2)'!B129)))</f>
        <v>GR-473</v>
      </c>
      <c r="C129" s="25" t="str">
        <f>IF('query (2)'!B129="","",'query (2)'!B129)</f>
        <v>GR-473</v>
      </c>
      <c r="D129" s="24" t="str">
        <f t="shared" si="8"/>
        <v>GR</v>
      </c>
      <c r="E129" s="24">
        <f t="shared" si="9"/>
        <v>1</v>
      </c>
      <c r="F129" s="24">
        <f>IF('query (2)'!A129="","",IFERROR(VALUE('query (2)'!A129),""))</f>
        <v>128</v>
      </c>
      <c r="G129" s="24" t="str">
        <f>IF('query (2)'!C129="","UNKNOWN",IFERROR(INDEX(Cleaning_Rules!$B$15:$B$20,MATCH(TRIM(UPPER('query (2)'!C129)),Cleaning_Rules!$A$15:$A$20,0)),"UNKNOWN"))</f>
        <v>FACTORY3</v>
      </c>
      <c r="H129" s="25" t="str">
        <f>IF('query (2)'!C129="","",'query (2)'!C129)</f>
        <v>FACTORY3</v>
      </c>
      <c r="I129" s="24" t="str" cm="1">
        <f t="array" ref="I129">_xlfn.IFS($G129="UNKNOWN","UNKNOWN",OR($G129="FACTORY1",$G129="FACTORY2",$G129="FACTORY3"),"PLANT",TRUE,"SHARED")</f>
        <v>PLANT</v>
      </c>
      <c r="J129" s="24" t="str">
        <f>IF('query (2)'!D129="","UNKNOWN",IF(COUNTIF(Cleaning_Rules!$A$6:$A$11,TRIM('query (2)'!D129))&gt;0,"UNKNOWN",IFERROR(INDEX(Cleaning_Rules!$B$24:$B$28,MATCH(TRIM(UPPER('query (2)'!D129)),Cleaning_Rules!$A$24:$A$28,0)),TRIM(UPPER('query (2)'!D129)))))</f>
        <v>KWD4</v>
      </c>
      <c r="K129" s="25" t="str">
        <f>IF('query (2)'!D129="","",'query (2)'!D129)</f>
        <v>KWD4</v>
      </c>
      <c r="L129" s="24" t="str">
        <f>IF($J129="UNKNOWN","",_xlfn.TEXTBEFORE($J129,{"0","1","2","3","4","5","6","7","8","9"," ","-","."},1,,,$J129))</f>
        <v>KWD</v>
      </c>
      <c r="M129" s="24" t="str">
        <f>IF('query (2)'!I129&lt;&gt;"",TRIM(UPPER('query (2)'!I129)),IF($L129="","UNKNOWN",$L129))</f>
        <v>KWD</v>
      </c>
      <c r="N129" s="24" t="str">
        <f>IF('query (2)'!I129&lt;&gt;"","SOURCE",IF($L129="","UNKNOWN","DERIVED"))</f>
        <v>SOURCE</v>
      </c>
      <c r="O129" s="24" t="str">
        <f>IF('query (2)'!E129="","NOT_SPECIFIED",TRIM(UPPER('query (2)'!E129)))</f>
        <v>GRINDING 2</v>
      </c>
      <c r="P129" s="24" t="str">
        <f>IF('query (2)'!F129="","",TRIM(UPPER('query (2)'!F129)))</f>
        <v>1012-KW4G</v>
      </c>
      <c r="Q129" s="24" t="str">
        <f>IF('query (2)'!G129="","UNKNOWN",IFERROR(INDEX(Cleaning_Rules!$B$38:$B$46,MATCH(TRIM(UPPER('query (2)'!G129)),Cleaning_Rules!$A$38:$A$46,0)),"UNKNOWN"))</f>
        <v>GRINDING</v>
      </c>
      <c r="R129" s="24" t="str">
        <f>IF('query (2)'!H129="","",TRIM(UPPER('query (2)'!H129)))</f>
        <v>OUTER RING RACEWAY GRINDING MACHINE</v>
      </c>
      <c r="S129" s="25" t="str">
        <f>IF('query (2)'!H129="","",'query (2)'!H129)</f>
        <v>Outer ring raceway grinding machine</v>
      </c>
      <c r="T129" s="24" t="str">
        <f>IF('query (2)'!J129="","",TRIM(UPPER('query (2)'!J129)))</f>
        <v>A - RACEWAY GRINDING</v>
      </c>
      <c r="U129" s="24" t="str">
        <f t="shared" si="10"/>
        <v/>
      </c>
      <c r="V129" s="24" t="str">
        <f>IF('query (2)'!K129="","NOT_SPECIFIED",IFERROR(INDEX(Cleaning_Rules!$B$32:$B$34,MATCH(TRIM(UPPER('query (2)'!K129)),Cleaning_Rules!$A$32:$A$34,0)),"UNKNOWN"))</f>
        <v>NOT_SPECIFIED</v>
      </c>
      <c r="W129" s="24" t="str">
        <f t="shared" si="11"/>
        <v>GR-473 | FACTORY3 | KWD4 | KWD | GRINDING 2 | 1012-KW4G | GRINDING | OUTER RING RACEWAY GRINDING MACHINE | A - RACEWAY GRINDING | NOT_SPECIFIED</v>
      </c>
      <c r="X129" s="24" t="str">
        <f t="shared" si="12"/>
        <v/>
      </c>
      <c r="Y129" s="24" t="str">
        <f t="shared" si="13"/>
        <v>MISSING_STATUS</v>
      </c>
    </row>
    <row r="130" spans="1:25" x14ac:dyDescent="0.3">
      <c r="A130" s="24" t="str">
        <f t="shared" si="7"/>
        <v>GR-589#0129</v>
      </c>
      <c r="B130" s="24" t="str">
        <f>IF('query (2)'!B130="","",TRIM(UPPER('query (2)'!B130)))</f>
        <v>GR-589</v>
      </c>
      <c r="C130" s="25" t="str">
        <f>IF('query (2)'!B130="","",'query (2)'!B130)</f>
        <v>GR-589</v>
      </c>
      <c r="D130" s="24" t="str">
        <f t="shared" si="8"/>
        <v>GR</v>
      </c>
      <c r="E130" s="24">
        <f t="shared" si="9"/>
        <v>1</v>
      </c>
      <c r="F130" s="24">
        <f>IF('query (2)'!A130="","",IFERROR(VALUE('query (2)'!A130),""))</f>
        <v>129</v>
      </c>
      <c r="G130" s="24" t="str">
        <f>IF('query (2)'!C130="","UNKNOWN",IFERROR(INDEX(Cleaning_Rules!$B$15:$B$20,MATCH(TRIM(UPPER('query (2)'!C130)),Cleaning_Rules!$A$15:$A$20,0)),"UNKNOWN"))</f>
        <v>FACTORY3</v>
      </c>
      <c r="H130" s="25" t="str">
        <f>IF('query (2)'!C130="","",'query (2)'!C130)</f>
        <v>FACTORY3</v>
      </c>
      <c r="I130" s="24" t="str" cm="1">
        <f t="array" ref="I130">_xlfn.IFS($G130="UNKNOWN","UNKNOWN",OR($G130="FACTORY1",$G130="FACTORY2",$G130="FACTORY3"),"PLANT",TRUE,"SHARED")</f>
        <v>PLANT</v>
      </c>
      <c r="J130" s="24" t="str">
        <f>IF('query (2)'!D130="","UNKNOWN",IF(COUNTIF(Cleaning_Rules!$A$6:$A$11,TRIM('query (2)'!D130))&gt;0,"UNKNOWN",IFERROR(INDEX(Cleaning_Rules!$B$24:$B$28,MATCH(TRIM(UPPER('query (2)'!D130)),Cleaning_Rules!$A$24:$A$28,0)),TRIM(UPPER('query (2)'!D130)))))</f>
        <v>KWD5</v>
      </c>
      <c r="K130" s="25" t="str">
        <f>IF('query (2)'!D130="","",'query (2)'!D130)</f>
        <v>KWD5</v>
      </c>
      <c r="L130" s="24" t="str">
        <f>IF($J130="UNKNOWN","",_xlfn.TEXTBEFORE($J130,{"0","1","2","3","4","5","6","7","8","9"," ","-","."},1,,,$J130))</f>
        <v>KWD</v>
      </c>
      <c r="M130" s="24" t="str">
        <f>IF('query (2)'!I130&lt;&gt;"",TRIM(UPPER('query (2)'!I130)),IF($L130="","UNKNOWN",$L130))</f>
        <v>KWD</v>
      </c>
      <c r="N130" s="24" t="str">
        <f>IF('query (2)'!I130&lt;&gt;"","SOURCE",IF($L130="","UNKNOWN","DERIVED"))</f>
        <v>SOURCE</v>
      </c>
      <c r="O130" s="24" t="str">
        <f>IF('query (2)'!E130="","NOT_SPECIFIED",TRIM(UPPER('query (2)'!E130)))</f>
        <v>GRINDING 2</v>
      </c>
      <c r="P130" s="24" t="str">
        <f>IF('query (2)'!F130="","",TRIM(UPPER('query (2)'!F130)))</f>
        <v>1015-KW5G</v>
      </c>
      <c r="Q130" s="24" t="str">
        <f>IF('query (2)'!G130="","UNKNOWN",IFERROR(INDEX(Cleaning_Rules!$B$38:$B$46,MATCH(TRIM(UPPER('query (2)'!G130)),Cleaning_Rules!$A$38:$A$46,0)),"UNKNOWN"))</f>
        <v>GRINDING</v>
      </c>
      <c r="R130" s="24" t="str">
        <f>IF('query (2)'!H130="","",TRIM(UPPER('query (2)'!H130)))</f>
        <v>OUTER RING RACEWAY GRINDING MACHINE</v>
      </c>
      <c r="S130" s="25" t="str">
        <f>IF('query (2)'!H130="","",'query (2)'!H130)</f>
        <v>Outer ring raceway grinding machine</v>
      </c>
      <c r="T130" s="24" t="str">
        <f>IF('query (2)'!J130="","",TRIM(UPPER('query (2)'!J130)))</f>
        <v>A - RACEWAY GRINDING</v>
      </c>
      <c r="U130" s="24" t="str">
        <f t="shared" si="10"/>
        <v/>
      </c>
      <c r="V130" s="24" t="str">
        <f>IF('query (2)'!K130="","NOT_SPECIFIED",IFERROR(INDEX(Cleaning_Rules!$B$32:$B$34,MATCH(TRIM(UPPER('query (2)'!K130)),Cleaning_Rules!$A$32:$A$34,0)),"UNKNOWN"))</f>
        <v>NOT_SPECIFIED</v>
      </c>
      <c r="W130" s="24" t="str">
        <f t="shared" si="11"/>
        <v>GR-589 | FACTORY3 | KWD5 | KWD | GRINDING 2 | 1015-KW5G | GRINDING | OUTER RING RACEWAY GRINDING MACHINE | A - RACEWAY GRINDING | NOT_SPECIFIED</v>
      </c>
      <c r="X130" s="24" t="str">
        <f t="shared" si="12"/>
        <v/>
      </c>
      <c r="Y130" s="24" t="str">
        <f t="shared" si="13"/>
        <v>MISSING_STATUS</v>
      </c>
    </row>
    <row r="131" spans="1:25" x14ac:dyDescent="0.3">
      <c r="A131" s="24" t="str">
        <f t="shared" ref="A131:A194" si="14">IF($B131="","NO_QR#"&amp;TEXT(ROW()-1,"0000"),$B131&amp;"#"&amp;TEXT(ROW()-1,"0000"))</f>
        <v>GR-694#0130</v>
      </c>
      <c r="B131" s="24" t="str">
        <f>IF('query (2)'!B131="","",TRIM(UPPER('query (2)'!B131)))</f>
        <v>GR-694</v>
      </c>
      <c r="C131" s="25" t="str">
        <f>IF('query (2)'!B131="","",'query (2)'!B131)</f>
        <v>GR-694</v>
      </c>
      <c r="D131" s="24" t="str">
        <f t="shared" ref="D131:D194" si="15">IF($B131="","",IFERROR(_xlfn.TEXTBEFORE($B131,"-"),"NO_PREFIX"))</f>
        <v>GR</v>
      </c>
      <c r="E131" s="24">
        <f t="shared" ref="E131:E194" si="16">IF($B131="","",COUNTIF($B$2:$B$974,$B131))</f>
        <v>1</v>
      </c>
      <c r="F131" s="24">
        <f>IF('query (2)'!A131="","",IFERROR(VALUE('query (2)'!A131),""))</f>
        <v>130</v>
      </c>
      <c r="G131" s="24" t="str">
        <f>IF('query (2)'!C131="","UNKNOWN",IFERROR(INDEX(Cleaning_Rules!$B$15:$B$20,MATCH(TRIM(UPPER('query (2)'!C131)),Cleaning_Rules!$A$15:$A$20,0)),"UNKNOWN"))</f>
        <v>FACTORY3</v>
      </c>
      <c r="H131" s="25" t="str">
        <f>IF('query (2)'!C131="","",'query (2)'!C131)</f>
        <v>FACTORY3</v>
      </c>
      <c r="I131" s="24" t="str" cm="1">
        <f t="array" ref="I131">_xlfn.IFS($G131="UNKNOWN","UNKNOWN",OR($G131="FACTORY1",$G131="FACTORY2",$G131="FACTORY3"),"PLANT",TRUE,"SHARED")</f>
        <v>PLANT</v>
      </c>
      <c r="J131" s="24" t="str">
        <f>IF('query (2)'!D131="","UNKNOWN",IF(COUNTIF(Cleaning_Rules!$A$6:$A$11,TRIM('query (2)'!D131))&gt;0,"UNKNOWN",IFERROR(INDEX(Cleaning_Rules!$B$24:$B$28,MATCH(TRIM(UPPER('query (2)'!D131)),Cleaning_Rules!$A$24:$A$28,0)),TRIM(UPPER('query (2)'!D131)))))</f>
        <v>KWD6</v>
      </c>
      <c r="K131" s="25" t="str">
        <f>IF('query (2)'!D131="","",'query (2)'!D131)</f>
        <v>KWD6</v>
      </c>
      <c r="L131" s="24" t="str">
        <f>IF($J131="UNKNOWN","",_xlfn.TEXTBEFORE($J131,{"0","1","2","3","4","5","6","7","8","9"," ","-","."},1,,,$J131))</f>
        <v>KWD</v>
      </c>
      <c r="M131" s="24" t="str">
        <f>IF('query (2)'!I131&lt;&gt;"",TRIM(UPPER('query (2)'!I131)),IF($L131="","UNKNOWN",$L131))</f>
        <v>KWD</v>
      </c>
      <c r="N131" s="24" t="str">
        <f>IF('query (2)'!I131&lt;&gt;"","SOURCE",IF($L131="","UNKNOWN","DERIVED"))</f>
        <v>SOURCE</v>
      </c>
      <c r="O131" s="24" t="str">
        <f>IF('query (2)'!E131="","NOT_SPECIFIED",TRIM(UPPER('query (2)'!E131)))</f>
        <v>GRINDING 2</v>
      </c>
      <c r="P131" s="24" t="str">
        <f>IF('query (2)'!F131="","",TRIM(UPPER('query (2)'!F131)))</f>
        <v xml:space="preserve">1018-KW6G
</v>
      </c>
      <c r="Q131" s="24" t="str">
        <f>IF('query (2)'!G131="","UNKNOWN",IFERROR(INDEX(Cleaning_Rules!$B$38:$B$46,MATCH(TRIM(UPPER('query (2)'!G131)),Cleaning_Rules!$A$38:$A$46,0)),"UNKNOWN"))</f>
        <v>GRINDING</v>
      </c>
      <c r="R131" s="24" t="str">
        <f>IF('query (2)'!H131="","",TRIM(UPPER('query (2)'!H131)))</f>
        <v>OUTER RING RACEWAY GRINDING MACHINE</v>
      </c>
      <c r="S131" s="25" t="str">
        <f>IF('query (2)'!H131="","",'query (2)'!H131)</f>
        <v>Outer ring raceway grinding machine</v>
      </c>
      <c r="T131" s="24" t="str">
        <f>IF('query (2)'!J131="","",TRIM(UPPER('query (2)'!J131)))</f>
        <v>A - RACEWAY GRINDING</v>
      </c>
      <c r="U131" s="24" t="str">
        <f t="shared" ref="U131:U194" si="17">IFERROR(IF(ISNUMBER(VALUE(MID($R131,SEARCH("(??-???)",$R131)+4,3))),MID($R131,SEARCH("(??-???)",$R131)+1,6),""),"")</f>
        <v/>
      </c>
      <c r="V131" s="24" t="str">
        <f>IF('query (2)'!K131="","NOT_SPECIFIED",IFERROR(INDEX(Cleaning_Rules!$B$32:$B$34,MATCH(TRIM(UPPER('query (2)'!K131)),Cleaning_Rules!$A$32:$A$34,0)),"UNKNOWN"))</f>
        <v>NOT_SPECIFIED</v>
      </c>
      <c r="W131" s="24" t="str">
        <f t="shared" ref="W131:W194" si="18">_xlfn.TEXTJOIN(" | ",TRUE,$B131,$G131,$J131,$M131,$O131,$P131,$Q131,$R131,$T131,$V131)</f>
        <v>GR-694 | FACTORY3 | KWD6 | KWD | GRINDING 2 | 1018-KW6G
 | GRINDING | OUTER RING RACEWAY GRINDING MACHINE | A - RACEWAY GRINDING | NOT_SPECIFIED</v>
      </c>
      <c r="X131" s="24" t="str">
        <f t="shared" ref="X131:X194" si="19">_xlfn.TEXTJOIN("; ",TRUE,IF($B131="","MISSING_QR",""),IF(N($E131)&gt;1,"DUPLICATE_QR",""),IF($F131="","MISSING_NO",""),IF($G131="UNKNOWN","MISSING_LOCATION",""),IF($J131="UNKNOWN","MISSING_DEPARTMENT",""),IF($N131="UNKNOWN","MISSING_SECTION",""),IF($O131="NOT_SPECIFIED","MISSING_RESPONSIBLE",""),IF($P131="","MISSING_COST_CENTER",""),IF($Q131="UNKNOWN","MISSING_CATEGORY",""),IF($R131="","MISSING_DESCRIPTION",""))</f>
        <v/>
      </c>
      <c r="Y131" s="24" t="str">
        <f t="shared" ref="Y131:Y194" si="20">_xlfn.TEXTJOIN("; ",TRUE,IF($V131="NOT_SPECIFIED","MISSING_STATUS",""),IF($Q131="OTHER","CATEGORY_NOT_USEFUL",""),IF($T131="","MISSING_PRODUCTION_NAME",""),IF($N131="DERIVED","SECTION_DERIVED",""))</f>
        <v>MISSING_STATUS</v>
      </c>
    </row>
    <row r="132" spans="1:25" x14ac:dyDescent="0.3">
      <c r="A132" s="24" t="str">
        <f t="shared" si="14"/>
        <v>GR-838#0131</v>
      </c>
      <c r="B132" s="24" t="str">
        <f>IF('query (2)'!B132="","",TRIM(UPPER('query (2)'!B132)))</f>
        <v>GR-838</v>
      </c>
      <c r="C132" s="25" t="str">
        <f>IF('query (2)'!B132="","",'query (2)'!B132)</f>
        <v>GR-838</v>
      </c>
      <c r="D132" s="24" t="str">
        <f t="shared" si="15"/>
        <v>GR</v>
      </c>
      <c r="E132" s="24">
        <f t="shared" si="16"/>
        <v>1</v>
      </c>
      <c r="F132" s="24">
        <f>IF('query (2)'!A132="","",IFERROR(VALUE('query (2)'!A132),""))</f>
        <v>131</v>
      </c>
      <c r="G132" s="24" t="str">
        <f>IF('query (2)'!C132="","UNKNOWN",IFERROR(INDEX(Cleaning_Rules!$B$15:$B$20,MATCH(TRIM(UPPER('query (2)'!C132)),Cleaning_Rules!$A$15:$A$20,0)),"UNKNOWN"))</f>
        <v>FACTORY3</v>
      </c>
      <c r="H132" s="25" t="str">
        <f>IF('query (2)'!C132="","",'query (2)'!C132)</f>
        <v>FACTORY3</v>
      </c>
      <c r="I132" s="24" t="str" cm="1">
        <f t="array" ref="I132">_xlfn.IFS($G132="UNKNOWN","UNKNOWN",OR($G132="FACTORY1",$G132="FACTORY2",$G132="FACTORY3"),"PLANT",TRUE,"SHARED")</f>
        <v>PLANT</v>
      </c>
      <c r="J132" s="24" t="str">
        <f>IF('query (2)'!D132="","UNKNOWN",IF(COUNTIF(Cleaning_Rules!$A$6:$A$11,TRIM('query (2)'!D132))&gt;0,"UNKNOWN",IFERROR(INDEX(Cleaning_Rules!$B$24:$B$28,MATCH(TRIM(UPPER('query (2)'!D132)),Cleaning_Rules!$A$24:$A$28,0)),TRIM(UPPER('query (2)'!D132)))))</f>
        <v>KWD7</v>
      </c>
      <c r="K132" s="25" t="str">
        <f>IF('query (2)'!D132="","",'query (2)'!D132)</f>
        <v>KWD7</v>
      </c>
      <c r="L132" s="24" t="str">
        <f>IF($J132="UNKNOWN","",_xlfn.TEXTBEFORE($J132,{"0","1","2","3","4","5","6","7","8","9"," ","-","."},1,,,$J132))</f>
        <v>KWD</v>
      </c>
      <c r="M132" s="24" t="str">
        <f>IF('query (2)'!I132&lt;&gt;"",TRIM(UPPER('query (2)'!I132)),IF($L132="","UNKNOWN",$L132))</f>
        <v>KWD</v>
      </c>
      <c r="N132" s="24" t="str">
        <f>IF('query (2)'!I132&lt;&gt;"","SOURCE",IF($L132="","UNKNOWN","DERIVED"))</f>
        <v>SOURCE</v>
      </c>
      <c r="O132" s="24" t="str">
        <f>IF('query (2)'!E132="","NOT_SPECIFIED",TRIM(UPPER('query (2)'!E132)))</f>
        <v>GRINDING 2</v>
      </c>
      <c r="P132" s="24" t="str">
        <f>IF('query (2)'!F132="","",TRIM(UPPER('query (2)'!F132)))</f>
        <v>1024-KW7G</v>
      </c>
      <c r="Q132" s="24" t="str">
        <f>IF('query (2)'!G132="","UNKNOWN",IFERROR(INDEX(Cleaning_Rules!$B$38:$B$46,MATCH(TRIM(UPPER('query (2)'!G132)),Cleaning_Rules!$A$38:$A$46,0)),"UNKNOWN"))</f>
        <v>GRINDING</v>
      </c>
      <c r="R132" s="24" t="str">
        <f>IF('query (2)'!H132="","",TRIM(UPPER('query (2)'!H132)))</f>
        <v>OUTER RING RACEWAY GRINDING MACHINE</v>
      </c>
      <c r="S132" s="25" t="str">
        <f>IF('query (2)'!H132="","",'query (2)'!H132)</f>
        <v>Outer ring raceway grinding machine</v>
      </c>
      <c r="T132" s="24" t="str">
        <f>IF('query (2)'!J132="","",TRIM(UPPER('query (2)'!J132)))</f>
        <v>A - RACEWAY GRINDING</v>
      </c>
      <c r="U132" s="24" t="str">
        <f t="shared" si="17"/>
        <v/>
      </c>
      <c r="V132" s="24" t="str">
        <f>IF('query (2)'!K132="","NOT_SPECIFIED",IFERROR(INDEX(Cleaning_Rules!$B$32:$B$34,MATCH(TRIM(UPPER('query (2)'!K132)),Cleaning_Rules!$A$32:$A$34,0)),"UNKNOWN"))</f>
        <v>NOT_SPECIFIED</v>
      </c>
      <c r="W132" s="24" t="str">
        <f t="shared" si="18"/>
        <v>GR-838 | FACTORY3 | KWD7 | KWD | GRINDING 2 | 1024-KW7G | GRINDING | OUTER RING RACEWAY GRINDING MACHINE | A - RACEWAY GRINDING | NOT_SPECIFIED</v>
      </c>
      <c r="X132" s="24" t="str">
        <f t="shared" si="19"/>
        <v/>
      </c>
      <c r="Y132" s="24" t="str">
        <f t="shared" si="20"/>
        <v>MISSING_STATUS</v>
      </c>
    </row>
    <row r="133" spans="1:25" x14ac:dyDescent="0.3">
      <c r="A133" s="24" t="str">
        <f t="shared" si="14"/>
        <v>GR-265#0132</v>
      </c>
      <c r="B133" s="24" t="str">
        <f>IF('query (2)'!B133="","",TRIM(UPPER('query (2)'!B133)))</f>
        <v>GR-265</v>
      </c>
      <c r="C133" s="25" t="str">
        <f>IF('query (2)'!B133="","",'query (2)'!B133)</f>
        <v>GR-265</v>
      </c>
      <c r="D133" s="24" t="str">
        <f t="shared" si="15"/>
        <v>GR</v>
      </c>
      <c r="E133" s="24">
        <f t="shared" si="16"/>
        <v>1</v>
      </c>
      <c r="F133" s="24">
        <f>IF('query (2)'!A133="","",IFERROR(VALUE('query (2)'!A133),""))</f>
        <v>132</v>
      </c>
      <c r="G133" s="24" t="str">
        <f>IF('query (2)'!C133="","UNKNOWN",IFERROR(INDEX(Cleaning_Rules!$B$15:$B$20,MATCH(TRIM(UPPER('query (2)'!C133)),Cleaning_Rules!$A$15:$A$20,0)),"UNKNOWN"))</f>
        <v>FACTORY3</v>
      </c>
      <c r="H133" s="25" t="str">
        <f>IF('query (2)'!C133="","",'query (2)'!C133)</f>
        <v>FACTORY3</v>
      </c>
      <c r="I133" s="24" t="str" cm="1">
        <f t="array" ref="I133">_xlfn.IFS($G133="UNKNOWN","UNKNOWN",OR($G133="FACTORY1",$G133="FACTORY2",$G133="FACTORY3"),"PLANT",TRUE,"SHARED")</f>
        <v>PLANT</v>
      </c>
      <c r="J133" s="24" t="str">
        <f>IF('query (2)'!D133="","UNKNOWN",IF(COUNTIF(Cleaning_Rules!$A$6:$A$11,TRIM('query (2)'!D133))&gt;0,"UNKNOWN",IFERROR(INDEX(Cleaning_Rules!$B$24:$B$28,MATCH(TRIM(UPPER('query (2)'!D133)),Cleaning_Rules!$A$24:$A$28,0)),TRIM(UPPER('query (2)'!D133)))))</f>
        <v>KWD2</v>
      </c>
      <c r="K133" s="25" t="str">
        <f>IF('query (2)'!D133="","",'query (2)'!D133)</f>
        <v>KWD2</v>
      </c>
      <c r="L133" s="24" t="str">
        <f>IF($J133="UNKNOWN","",_xlfn.TEXTBEFORE($J133,{"0","1","2","3","4","5","6","7","8","9"," ","-","."},1,,,$J133))</f>
        <v>KWD</v>
      </c>
      <c r="M133" s="24" t="str">
        <f>IF('query (2)'!I133&lt;&gt;"",TRIM(UPPER('query (2)'!I133)),IF($L133="","UNKNOWN",$L133))</f>
        <v>KWD</v>
      </c>
      <c r="N133" s="24" t="str">
        <f>IF('query (2)'!I133&lt;&gt;"","SOURCE",IF($L133="","UNKNOWN","DERIVED"))</f>
        <v>SOURCE</v>
      </c>
      <c r="O133" s="24" t="str">
        <f>IF('query (2)'!E133="","NOT_SPECIFIED",TRIM(UPPER('query (2)'!E133)))</f>
        <v>GRINDING 2</v>
      </c>
      <c r="P133" s="24" t="str">
        <f>IF('query (2)'!F133="","",TRIM(UPPER('query (2)'!F133)))</f>
        <v>1006-KW2G</v>
      </c>
      <c r="Q133" s="24" t="str">
        <f>IF('query (2)'!G133="","UNKNOWN",IFERROR(INDEX(Cleaning_Rules!$B$38:$B$46,MATCH(TRIM(UPPER('query (2)'!G133)),Cleaning_Rules!$A$38:$A$46,0)),"UNKNOWN"))</f>
        <v>GRINDING</v>
      </c>
      <c r="R133" s="24" t="str">
        <f>IF('query (2)'!H133="","",TRIM(UPPER('query (2)'!H133)))</f>
        <v>OUTER RING RACEWAY GRINDING MACHINE</v>
      </c>
      <c r="S133" s="25" t="str">
        <f>IF('query (2)'!H133="","",'query (2)'!H133)</f>
        <v>Outer ring raceway grinding machine</v>
      </c>
      <c r="T133" s="24" t="str">
        <f>IF('query (2)'!J133="","",TRIM(UPPER('query (2)'!J133)))</f>
        <v>A - RACEWAY GRINDING</v>
      </c>
      <c r="U133" s="24" t="str">
        <f t="shared" si="17"/>
        <v/>
      </c>
      <c r="V133" s="24" t="str">
        <f>IF('query (2)'!K133="","NOT_SPECIFIED",IFERROR(INDEX(Cleaning_Rules!$B$32:$B$34,MATCH(TRIM(UPPER('query (2)'!K133)),Cleaning_Rules!$A$32:$A$34,0)),"UNKNOWN"))</f>
        <v>NOT_SPECIFIED</v>
      </c>
      <c r="W133" s="24" t="str">
        <f t="shared" si="18"/>
        <v>GR-265 | FACTORY3 | KWD2 | KWD | GRINDING 2 | 1006-KW2G | GRINDING | OUTER RING RACEWAY GRINDING MACHINE | A - RACEWAY GRINDING | NOT_SPECIFIED</v>
      </c>
      <c r="X133" s="24" t="str">
        <f t="shared" si="19"/>
        <v/>
      </c>
      <c r="Y133" s="24" t="str">
        <f t="shared" si="20"/>
        <v>MISSING_STATUS</v>
      </c>
    </row>
    <row r="134" spans="1:25" x14ac:dyDescent="0.3">
      <c r="A134" s="24" t="str">
        <f t="shared" si="14"/>
        <v>GR-268#0133</v>
      </c>
      <c r="B134" s="24" t="str">
        <f>IF('query (2)'!B134="","",TRIM(UPPER('query (2)'!B134)))</f>
        <v>GR-268</v>
      </c>
      <c r="C134" s="25" t="str">
        <f>IF('query (2)'!B134="","",'query (2)'!B134)</f>
        <v>GR-268</v>
      </c>
      <c r="D134" s="24" t="str">
        <f t="shared" si="15"/>
        <v>GR</v>
      </c>
      <c r="E134" s="24">
        <f t="shared" si="16"/>
        <v>1</v>
      </c>
      <c r="F134" s="24">
        <f>IF('query (2)'!A134="","",IFERROR(VALUE('query (2)'!A134),""))</f>
        <v>133</v>
      </c>
      <c r="G134" s="24" t="str">
        <f>IF('query (2)'!C134="","UNKNOWN",IFERROR(INDEX(Cleaning_Rules!$B$15:$B$20,MATCH(TRIM(UPPER('query (2)'!C134)),Cleaning_Rules!$A$15:$A$20,0)),"UNKNOWN"))</f>
        <v>FACTORY3</v>
      </c>
      <c r="H134" s="25" t="str">
        <f>IF('query (2)'!C134="","",'query (2)'!C134)</f>
        <v>FACTORY3</v>
      </c>
      <c r="I134" s="24" t="str" cm="1">
        <f t="array" ref="I134">_xlfn.IFS($G134="UNKNOWN","UNKNOWN",OR($G134="FACTORY1",$G134="FACTORY2",$G134="FACTORY3"),"PLANT",TRUE,"SHARED")</f>
        <v>PLANT</v>
      </c>
      <c r="J134" s="24" t="str">
        <f>IF('query (2)'!D134="","UNKNOWN",IF(COUNTIF(Cleaning_Rules!$A$6:$A$11,TRIM('query (2)'!D134))&gt;0,"UNKNOWN",IFERROR(INDEX(Cleaning_Rules!$B$24:$B$28,MATCH(TRIM(UPPER('query (2)'!D134)),Cleaning_Rules!$A$24:$A$28,0)),TRIM(UPPER('query (2)'!D134)))))</f>
        <v>KWD2</v>
      </c>
      <c r="K134" s="25" t="str">
        <f>IF('query (2)'!D134="","",'query (2)'!D134)</f>
        <v>KWD2</v>
      </c>
      <c r="L134" s="24" t="str">
        <f>IF($J134="UNKNOWN","",_xlfn.TEXTBEFORE($J134,{"0","1","2","3","4","5","6","7","8","9"," ","-","."},1,,,$J134))</f>
        <v>KWD</v>
      </c>
      <c r="M134" s="24" t="str">
        <f>IF('query (2)'!I134&lt;&gt;"",TRIM(UPPER('query (2)'!I134)),IF($L134="","UNKNOWN",$L134))</f>
        <v>KWD</v>
      </c>
      <c r="N134" s="24" t="str">
        <f>IF('query (2)'!I134&lt;&gt;"","SOURCE",IF($L134="","UNKNOWN","DERIVED"))</f>
        <v>SOURCE</v>
      </c>
      <c r="O134" s="24" t="str">
        <f>IF('query (2)'!E134="","NOT_SPECIFIED",TRIM(UPPER('query (2)'!E134)))</f>
        <v>GRINDING 2</v>
      </c>
      <c r="P134" s="24" t="str">
        <f>IF('query (2)'!F134="","",TRIM(UPPER('query (2)'!F134)))</f>
        <v>1006-KW2G</v>
      </c>
      <c r="Q134" s="24" t="str">
        <f>IF('query (2)'!G134="","UNKNOWN",IFERROR(INDEX(Cleaning_Rules!$B$38:$B$46,MATCH(TRIM(UPPER('query (2)'!G134)),Cleaning_Rules!$A$38:$A$46,0)),"UNKNOWN"))</f>
        <v>OTHER</v>
      </c>
      <c r="R134" s="24" t="str">
        <f>IF('query (2)'!H134="","",TRIM(UPPER('query (2)'!H134)))</f>
        <v>OUTER RING RACEWAY SUPER FINISH MACHINE</v>
      </c>
      <c r="S134" s="25" t="str">
        <f>IF('query (2)'!H134="","",'query (2)'!H134)</f>
        <v>Outer ring raceway super finish machine</v>
      </c>
      <c r="T134" s="24" t="str">
        <f>IF('query (2)'!J134="","",TRIM(UPPER('query (2)'!J134)))</f>
        <v>A - RACEWAY SUPER FINISH</v>
      </c>
      <c r="U134" s="24" t="str">
        <f t="shared" si="17"/>
        <v/>
      </c>
      <c r="V134" s="24" t="str">
        <f>IF('query (2)'!K134="","NOT_SPECIFIED",IFERROR(INDEX(Cleaning_Rules!$B$32:$B$34,MATCH(TRIM(UPPER('query (2)'!K134)),Cleaning_Rules!$A$32:$A$34,0)),"UNKNOWN"))</f>
        <v>NOT_SPECIFIED</v>
      </c>
      <c r="W134" s="24" t="str">
        <f t="shared" si="18"/>
        <v>GR-268 | FACTORY3 | KWD2 | KWD | GRINDING 2 | 1006-KW2G | OTHER | OUTER RING RACEWAY SUPER FINISH MACHINE | A - RACEWAY SUPER FINISH | NOT_SPECIFIED</v>
      </c>
      <c r="X134" s="24" t="str">
        <f t="shared" si="19"/>
        <v/>
      </c>
      <c r="Y134" s="24" t="str">
        <f t="shared" si="20"/>
        <v>MISSING_STATUS; CATEGORY_NOT_USEFUL</v>
      </c>
    </row>
    <row r="135" spans="1:25" x14ac:dyDescent="0.3">
      <c r="A135" s="24" t="str">
        <f t="shared" si="14"/>
        <v>GR-019#0134</v>
      </c>
      <c r="B135" s="24" t="str">
        <f>IF('query (2)'!B135="","",TRIM(UPPER('query (2)'!B135)))</f>
        <v>GR-019</v>
      </c>
      <c r="C135" s="25" t="str">
        <f>IF('query (2)'!B135="","",'query (2)'!B135)</f>
        <v>GR-019</v>
      </c>
      <c r="D135" s="24" t="str">
        <f t="shared" si="15"/>
        <v>GR</v>
      </c>
      <c r="E135" s="24">
        <f t="shared" si="16"/>
        <v>1</v>
      </c>
      <c r="F135" s="24">
        <f>IF('query (2)'!A135="","",IFERROR(VALUE('query (2)'!A135),""))</f>
        <v>134</v>
      </c>
      <c r="G135" s="24" t="str">
        <f>IF('query (2)'!C135="","UNKNOWN",IFERROR(INDEX(Cleaning_Rules!$B$15:$B$20,MATCH(TRIM(UPPER('query (2)'!C135)),Cleaning_Rules!$A$15:$A$20,0)),"UNKNOWN"))</f>
        <v>FACTORY3</v>
      </c>
      <c r="H135" s="25" t="str">
        <f>IF('query (2)'!C135="","",'query (2)'!C135)</f>
        <v>FACTORY3</v>
      </c>
      <c r="I135" s="24" t="str" cm="1">
        <f t="array" ref="I135">_xlfn.IFS($G135="UNKNOWN","UNKNOWN",OR($G135="FACTORY1",$G135="FACTORY2",$G135="FACTORY3"),"PLANT",TRUE,"SHARED")</f>
        <v>PLANT</v>
      </c>
      <c r="J135" s="24" t="str">
        <f>IF('query (2)'!D135="","UNKNOWN",IF(COUNTIF(Cleaning_Rules!$A$6:$A$11,TRIM('query (2)'!D135))&gt;0,"UNKNOWN",IFERROR(INDEX(Cleaning_Rules!$B$24:$B$28,MATCH(TRIM(UPPER('query (2)'!D135)),Cleaning_Rules!$A$24:$A$28,0)),TRIM(UPPER('query (2)'!D135)))))</f>
        <v>KWD1</v>
      </c>
      <c r="K135" s="25" t="str">
        <f>IF('query (2)'!D135="","",'query (2)'!D135)</f>
        <v>KWD1</v>
      </c>
      <c r="L135" s="24" t="str">
        <f>IF($J135="UNKNOWN","",_xlfn.TEXTBEFORE($J135,{"0","1","2","3","4","5","6","7","8","9"," ","-","."},1,,,$J135))</f>
        <v>KWD</v>
      </c>
      <c r="M135" s="24" t="str">
        <f>IF('query (2)'!I135&lt;&gt;"",TRIM(UPPER('query (2)'!I135)),IF($L135="","UNKNOWN",$L135))</f>
        <v>KWD</v>
      </c>
      <c r="N135" s="24" t="str">
        <f>IF('query (2)'!I135&lt;&gt;"","SOURCE",IF($L135="","UNKNOWN","DERIVED"))</f>
        <v>SOURCE</v>
      </c>
      <c r="O135" s="24" t="str">
        <f>IF('query (2)'!E135="","NOT_SPECIFIED",TRIM(UPPER('query (2)'!E135)))</f>
        <v>GRINDING 2</v>
      </c>
      <c r="P135" s="24" t="str">
        <f>IF('query (2)'!F135="","",TRIM(UPPER('query (2)'!F135)))</f>
        <v>1003-KW1G</v>
      </c>
      <c r="Q135" s="24" t="str">
        <f>IF('query (2)'!G135="","UNKNOWN",IFERROR(INDEX(Cleaning_Rules!$B$38:$B$46,MATCH(TRIM(UPPER('query (2)'!G135)),Cleaning_Rules!$A$38:$A$46,0)),"UNKNOWN"))</f>
        <v>OTHER</v>
      </c>
      <c r="R135" s="24" t="str">
        <f>IF('query (2)'!H135="","",TRIM(UPPER('query (2)'!H135)))</f>
        <v>OUTER RING RACEWAY SUPER FINISH MACHINE</v>
      </c>
      <c r="S135" s="25" t="str">
        <f>IF('query (2)'!H135="","",'query (2)'!H135)</f>
        <v>Outer ring raceway super finish machine</v>
      </c>
      <c r="T135" s="24" t="str">
        <f>IF('query (2)'!J135="","",TRIM(UPPER('query (2)'!J135)))</f>
        <v>A - RACEWAY SUPER FINISH</v>
      </c>
      <c r="U135" s="24" t="str">
        <f t="shared" si="17"/>
        <v/>
      </c>
      <c r="V135" s="24" t="str">
        <f>IF('query (2)'!K135="","NOT_SPECIFIED",IFERROR(INDEX(Cleaning_Rules!$B$32:$B$34,MATCH(TRIM(UPPER('query (2)'!K135)),Cleaning_Rules!$A$32:$A$34,0)),"UNKNOWN"))</f>
        <v>NOT_SPECIFIED</v>
      </c>
      <c r="W135" s="24" t="str">
        <f t="shared" si="18"/>
        <v>GR-019 | FACTORY3 | KWD1 | KWD | GRINDING 2 | 1003-KW1G | OTHER | OUTER RING RACEWAY SUPER FINISH MACHINE | A - RACEWAY SUPER FINISH | NOT_SPECIFIED</v>
      </c>
      <c r="X135" s="24" t="str">
        <f t="shared" si="19"/>
        <v/>
      </c>
      <c r="Y135" s="24" t="str">
        <f t="shared" si="20"/>
        <v>MISSING_STATUS; CATEGORY_NOT_USEFUL</v>
      </c>
    </row>
    <row r="136" spans="1:25" x14ac:dyDescent="0.3">
      <c r="A136" s="24" t="str">
        <f t="shared" si="14"/>
        <v>GR-354#0135</v>
      </c>
      <c r="B136" s="24" t="str">
        <f>IF('query (2)'!B136="","",TRIM(UPPER('query (2)'!B136)))</f>
        <v>GR-354</v>
      </c>
      <c r="C136" s="25" t="str">
        <f>IF('query (2)'!B136="","",'query (2)'!B136)</f>
        <v>GR-354</v>
      </c>
      <c r="D136" s="24" t="str">
        <f t="shared" si="15"/>
        <v>GR</v>
      </c>
      <c r="E136" s="24">
        <f t="shared" si="16"/>
        <v>1</v>
      </c>
      <c r="F136" s="24">
        <f>IF('query (2)'!A136="","",IFERROR(VALUE('query (2)'!A136),""))</f>
        <v>135</v>
      </c>
      <c r="G136" s="24" t="str">
        <f>IF('query (2)'!C136="","UNKNOWN",IFERROR(INDEX(Cleaning_Rules!$B$15:$B$20,MATCH(TRIM(UPPER('query (2)'!C136)),Cleaning_Rules!$A$15:$A$20,0)),"UNKNOWN"))</f>
        <v>FACTORY3</v>
      </c>
      <c r="H136" s="25" t="str">
        <f>IF('query (2)'!C136="","",'query (2)'!C136)</f>
        <v>FACTORY3</v>
      </c>
      <c r="I136" s="24" t="str" cm="1">
        <f t="array" ref="I136">_xlfn.IFS($G136="UNKNOWN","UNKNOWN",OR($G136="FACTORY1",$G136="FACTORY2",$G136="FACTORY3"),"PLANT",TRUE,"SHARED")</f>
        <v>PLANT</v>
      </c>
      <c r="J136" s="24" t="str">
        <f>IF('query (2)'!D136="","UNKNOWN",IF(COUNTIF(Cleaning_Rules!$A$6:$A$11,TRIM('query (2)'!D136))&gt;0,"UNKNOWN",IFERROR(INDEX(Cleaning_Rules!$B$24:$B$28,MATCH(TRIM(UPPER('query (2)'!D136)),Cleaning_Rules!$A$24:$A$28,0)),TRIM(UPPER('query (2)'!D136)))))</f>
        <v>KWD3</v>
      </c>
      <c r="K136" s="25" t="str">
        <f>IF('query (2)'!D136="","",'query (2)'!D136)</f>
        <v>KWD3</v>
      </c>
      <c r="L136" s="24" t="str">
        <f>IF($J136="UNKNOWN","",_xlfn.TEXTBEFORE($J136,{"0","1","2","3","4","5","6","7","8","9"," ","-","."},1,,,$J136))</f>
        <v>KWD</v>
      </c>
      <c r="M136" s="24" t="str">
        <f>IF('query (2)'!I136&lt;&gt;"",TRIM(UPPER('query (2)'!I136)),IF($L136="","UNKNOWN",$L136))</f>
        <v>KWD</v>
      </c>
      <c r="N136" s="24" t="str">
        <f>IF('query (2)'!I136&lt;&gt;"","SOURCE",IF($L136="","UNKNOWN","DERIVED"))</f>
        <v>SOURCE</v>
      </c>
      <c r="O136" s="24" t="str">
        <f>IF('query (2)'!E136="","NOT_SPECIFIED",TRIM(UPPER('query (2)'!E136)))</f>
        <v>GRINDING 2</v>
      </c>
      <c r="P136" s="24" t="str">
        <f>IF('query (2)'!F136="","",TRIM(UPPER('query (2)'!F136)))</f>
        <v>1009-KW3G</v>
      </c>
      <c r="Q136" s="24" t="str">
        <f>IF('query (2)'!G136="","UNKNOWN",IFERROR(INDEX(Cleaning_Rules!$B$38:$B$46,MATCH(TRIM(UPPER('query (2)'!G136)),Cleaning_Rules!$A$38:$A$46,0)),"UNKNOWN"))</f>
        <v>OTHER</v>
      </c>
      <c r="R136" s="24" t="str">
        <f>IF('query (2)'!H136="","",TRIM(UPPER('query (2)'!H136)))</f>
        <v>OUTER RING RACEWAY SUPER FINISH MACHINE</v>
      </c>
      <c r="S136" s="25" t="str">
        <f>IF('query (2)'!H136="","",'query (2)'!H136)</f>
        <v>Outer ring raceway super finish machine</v>
      </c>
      <c r="T136" s="24" t="str">
        <f>IF('query (2)'!J136="","",TRIM(UPPER('query (2)'!J136)))</f>
        <v>A - RACEWAY SUPER FINISH</v>
      </c>
      <c r="U136" s="24" t="str">
        <f t="shared" si="17"/>
        <v/>
      </c>
      <c r="V136" s="24" t="str">
        <f>IF('query (2)'!K136="","NOT_SPECIFIED",IFERROR(INDEX(Cleaning_Rules!$B$32:$B$34,MATCH(TRIM(UPPER('query (2)'!K136)),Cleaning_Rules!$A$32:$A$34,0)),"UNKNOWN"))</f>
        <v>NOT_SPECIFIED</v>
      </c>
      <c r="W136" s="24" t="str">
        <f t="shared" si="18"/>
        <v>GR-354 | FACTORY3 | KWD3 | KWD | GRINDING 2 | 1009-KW3G | OTHER | OUTER RING RACEWAY SUPER FINISH MACHINE | A - RACEWAY SUPER FINISH | NOT_SPECIFIED</v>
      </c>
      <c r="X136" s="24" t="str">
        <f t="shared" si="19"/>
        <v/>
      </c>
      <c r="Y136" s="24" t="str">
        <f t="shared" si="20"/>
        <v>MISSING_STATUS; CATEGORY_NOT_USEFUL</v>
      </c>
    </row>
    <row r="137" spans="1:25" x14ac:dyDescent="0.3">
      <c r="A137" s="24" t="str">
        <f t="shared" si="14"/>
        <v>GR-476#0136</v>
      </c>
      <c r="B137" s="24" t="str">
        <f>IF('query (2)'!B137="","",TRIM(UPPER('query (2)'!B137)))</f>
        <v>GR-476</v>
      </c>
      <c r="C137" s="25" t="str">
        <f>IF('query (2)'!B137="","",'query (2)'!B137)</f>
        <v>GR-476</v>
      </c>
      <c r="D137" s="24" t="str">
        <f t="shared" si="15"/>
        <v>GR</v>
      </c>
      <c r="E137" s="24">
        <f t="shared" si="16"/>
        <v>1</v>
      </c>
      <c r="F137" s="24">
        <f>IF('query (2)'!A137="","",IFERROR(VALUE('query (2)'!A137),""))</f>
        <v>136</v>
      </c>
      <c r="G137" s="24" t="str">
        <f>IF('query (2)'!C137="","UNKNOWN",IFERROR(INDEX(Cleaning_Rules!$B$15:$B$20,MATCH(TRIM(UPPER('query (2)'!C137)),Cleaning_Rules!$A$15:$A$20,0)),"UNKNOWN"))</f>
        <v>FACTORY3</v>
      </c>
      <c r="H137" s="25" t="str">
        <f>IF('query (2)'!C137="","",'query (2)'!C137)</f>
        <v>FACTORY3</v>
      </c>
      <c r="I137" s="24" t="str" cm="1">
        <f t="array" ref="I137">_xlfn.IFS($G137="UNKNOWN","UNKNOWN",OR($G137="FACTORY1",$G137="FACTORY2",$G137="FACTORY3"),"PLANT",TRUE,"SHARED")</f>
        <v>PLANT</v>
      </c>
      <c r="J137" s="24" t="str">
        <f>IF('query (2)'!D137="","UNKNOWN",IF(COUNTIF(Cleaning_Rules!$A$6:$A$11,TRIM('query (2)'!D137))&gt;0,"UNKNOWN",IFERROR(INDEX(Cleaning_Rules!$B$24:$B$28,MATCH(TRIM(UPPER('query (2)'!D137)),Cleaning_Rules!$A$24:$A$28,0)),TRIM(UPPER('query (2)'!D137)))))</f>
        <v>KWD4</v>
      </c>
      <c r="K137" s="25" t="str">
        <f>IF('query (2)'!D137="","",'query (2)'!D137)</f>
        <v>KWD4</v>
      </c>
      <c r="L137" s="24" t="str">
        <f>IF($J137="UNKNOWN","",_xlfn.TEXTBEFORE($J137,{"0","1","2","3","4","5","6","7","8","9"," ","-","."},1,,,$J137))</f>
        <v>KWD</v>
      </c>
      <c r="M137" s="24" t="str">
        <f>IF('query (2)'!I137&lt;&gt;"",TRIM(UPPER('query (2)'!I137)),IF($L137="","UNKNOWN",$L137))</f>
        <v>KWD</v>
      </c>
      <c r="N137" s="24" t="str">
        <f>IF('query (2)'!I137&lt;&gt;"","SOURCE",IF($L137="","UNKNOWN","DERIVED"))</f>
        <v>SOURCE</v>
      </c>
      <c r="O137" s="24" t="str">
        <f>IF('query (2)'!E137="","NOT_SPECIFIED",TRIM(UPPER('query (2)'!E137)))</f>
        <v>GRINDING 2</v>
      </c>
      <c r="P137" s="24" t="str">
        <f>IF('query (2)'!F137="","",TRIM(UPPER('query (2)'!F137)))</f>
        <v>1012-KW4G</v>
      </c>
      <c r="Q137" s="24" t="str">
        <f>IF('query (2)'!G137="","UNKNOWN",IFERROR(INDEX(Cleaning_Rules!$B$38:$B$46,MATCH(TRIM(UPPER('query (2)'!G137)),Cleaning_Rules!$A$38:$A$46,0)),"UNKNOWN"))</f>
        <v>OTHER</v>
      </c>
      <c r="R137" s="24" t="str">
        <f>IF('query (2)'!H137="","",TRIM(UPPER('query (2)'!H137)))</f>
        <v>OUTER RING RACEWAY SUPER FINISH MACHINE</v>
      </c>
      <c r="S137" s="25" t="str">
        <f>IF('query (2)'!H137="","",'query (2)'!H137)</f>
        <v>Outer ring raceway super finish machine</v>
      </c>
      <c r="T137" s="24" t="str">
        <f>IF('query (2)'!J137="","",TRIM(UPPER('query (2)'!J137)))</f>
        <v>A - RACEWAY SUPER FINISH</v>
      </c>
      <c r="U137" s="24" t="str">
        <f t="shared" si="17"/>
        <v/>
      </c>
      <c r="V137" s="24" t="str">
        <f>IF('query (2)'!K137="","NOT_SPECIFIED",IFERROR(INDEX(Cleaning_Rules!$B$32:$B$34,MATCH(TRIM(UPPER('query (2)'!K137)),Cleaning_Rules!$A$32:$A$34,0)),"UNKNOWN"))</f>
        <v>NOT_SPECIFIED</v>
      </c>
      <c r="W137" s="24" t="str">
        <f t="shared" si="18"/>
        <v>GR-476 | FACTORY3 | KWD4 | KWD | GRINDING 2 | 1012-KW4G | OTHER | OUTER RING RACEWAY SUPER FINISH MACHINE | A - RACEWAY SUPER FINISH | NOT_SPECIFIED</v>
      </c>
      <c r="X137" s="24" t="str">
        <f t="shared" si="19"/>
        <v/>
      </c>
      <c r="Y137" s="24" t="str">
        <f t="shared" si="20"/>
        <v>MISSING_STATUS; CATEGORY_NOT_USEFUL</v>
      </c>
    </row>
    <row r="138" spans="1:25" x14ac:dyDescent="0.3">
      <c r="A138" s="24" t="str">
        <f t="shared" si="14"/>
        <v>GR-592#0137</v>
      </c>
      <c r="B138" s="24" t="str">
        <f>IF('query (2)'!B138="","",TRIM(UPPER('query (2)'!B138)))</f>
        <v>GR-592</v>
      </c>
      <c r="C138" s="25" t="str">
        <f>IF('query (2)'!B138="","",'query (2)'!B138)</f>
        <v>GR-592</v>
      </c>
      <c r="D138" s="24" t="str">
        <f t="shared" si="15"/>
        <v>GR</v>
      </c>
      <c r="E138" s="24">
        <f t="shared" si="16"/>
        <v>1</v>
      </c>
      <c r="F138" s="24">
        <f>IF('query (2)'!A138="","",IFERROR(VALUE('query (2)'!A138),""))</f>
        <v>137</v>
      </c>
      <c r="G138" s="24" t="str">
        <f>IF('query (2)'!C138="","UNKNOWN",IFERROR(INDEX(Cleaning_Rules!$B$15:$B$20,MATCH(TRIM(UPPER('query (2)'!C138)),Cleaning_Rules!$A$15:$A$20,0)),"UNKNOWN"))</f>
        <v>FACTORY3</v>
      </c>
      <c r="H138" s="25" t="str">
        <f>IF('query (2)'!C138="","",'query (2)'!C138)</f>
        <v>FACTORY3</v>
      </c>
      <c r="I138" s="24" t="str" cm="1">
        <f t="array" ref="I138">_xlfn.IFS($G138="UNKNOWN","UNKNOWN",OR($G138="FACTORY1",$G138="FACTORY2",$G138="FACTORY3"),"PLANT",TRUE,"SHARED")</f>
        <v>PLANT</v>
      </c>
      <c r="J138" s="24" t="str">
        <f>IF('query (2)'!D138="","UNKNOWN",IF(COUNTIF(Cleaning_Rules!$A$6:$A$11,TRIM('query (2)'!D138))&gt;0,"UNKNOWN",IFERROR(INDEX(Cleaning_Rules!$B$24:$B$28,MATCH(TRIM(UPPER('query (2)'!D138)),Cleaning_Rules!$A$24:$A$28,0)),TRIM(UPPER('query (2)'!D138)))))</f>
        <v>KWD5</v>
      </c>
      <c r="K138" s="25" t="str">
        <f>IF('query (2)'!D138="","",'query (2)'!D138)</f>
        <v>KWD5</v>
      </c>
      <c r="L138" s="24" t="str">
        <f>IF($J138="UNKNOWN","",_xlfn.TEXTBEFORE($J138,{"0","1","2","3","4","5","6","7","8","9"," ","-","."},1,,,$J138))</f>
        <v>KWD</v>
      </c>
      <c r="M138" s="24" t="str">
        <f>IF('query (2)'!I138&lt;&gt;"",TRIM(UPPER('query (2)'!I138)),IF($L138="","UNKNOWN",$L138))</f>
        <v>KWD</v>
      </c>
      <c r="N138" s="24" t="str">
        <f>IF('query (2)'!I138&lt;&gt;"","SOURCE",IF($L138="","UNKNOWN","DERIVED"))</f>
        <v>SOURCE</v>
      </c>
      <c r="O138" s="24" t="str">
        <f>IF('query (2)'!E138="","NOT_SPECIFIED",TRIM(UPPER('query (2)'!E138)))</f>
        <v>GRINDING 2</v>
      </c>
      <c r="P138" s="24" t="str">
        <f>IF('query (2)'!F138="","",TRIM(UPPER('query (2)'!F138)))</f>
        <v>1015-KW5G</v>
      </c>
      <c r="Q138" s="24" t="str">
        <f>IF('query (2)'!G138="","UNKNOWN",IFERROR(INDEX(Cleaning_Rules!$B$38:$B$46,MATCH(TRIM(UPPER('query (2)'!G138)),Cleaning_Rules!$A$38:$A$46,0)),"UNKNOWN"))</f>
        <v>OTHER</v>
      </c>
      <c r="R138" s="24" t="str">
        <f>IF('query (2)'!H138="","",TRIM(UPPER('query (2)'!H138)))</f>
        <v>OUTER RING RACEWAY SUPER FINISH MACHINE</v>
      </c>
      <c r="S138" s="25" t="str">
        <f>IF('query (2)'!H138="","",'query (2)'!H138)</f>
        <v>Outer ring raceway super finish machine</v>
      </c>
      <c r="T138" s="24" t="str">
        <f>IF('query (2)'!J138="","",TRIM(UPPER('query (2)'!J138)))</f>
        <v>A - RACEWAY SUPER FINISH</v>
      </c>
      <c r="U138" s="24" t="str">
        <f t="shared" si="17"/>
        <v/>
      </c>
      <c r="V138" s="24" t="str">
        <f>IF('query (2)'!K138="","NOT_SPECIFIED",IFERROR(INDEX(Cleaning_Rules!$B$32:$B$34,MATCH(TRIM(UPPER('query (2)'!K138)),Cleaning_Rules!$A$32:$A$34,0)),"UNKNOWN"))</f>
        <v>NOT_SPECIFIED</v>
      </c>
      <c r="W138" s="24" t="str">
        <f t="shared" si="18"/>
        <v>GR-592 | FACTORY3 | KWD5 | KWD | GRINDING 2 | 1015-KW5G | OTHER | OUTER RING RACEWAY SUPER FINISH MACHINE | A - RACEWAY SUPER FINISH | NOT_SPECIFIED</v>
      </c>
      <c r="X138" s="24" t="str">
        <f t="shared" si="19"/>
        <v/>
      </c>
      <c r="Y138" s="24" t="str">
        <f t="shared" si="20"/>
        <v>MISSING_STATUS; CATEGORY_NOT_USEFUL</v>
      </c>
    </row>
    <row r="139" spans="1:25" x14ac:dyDescent="0.3">
      <c r="A139" s="24" t="str">
        <f t="shared" si="14"/>
        <v>GR-696#0138</v>
      </c>
      <c r="B139" s="24" t="str">
        <f>IF('query (2)'!B139="","",TRIM(UPPER('query (2)'!B139)))</f>
        <v>GR-696</v>
      </c>
      <c r="C139" s="25" t="str">
        <f>IF('query (2)'!B139="","",'query (2)'!B139)</f>
        <v>GR-696</v>
      </c>
      <c r="D139" s="24" t="str">
        <f t="shared" si="15"/>
        <v>GR</v>
      </c>
      <c r="E139" s="24">
        <f t="shared" si="16"/>
        <v>1</v>
      </c>
      <c r="F139" s="24">
        <f>IF('query (2)'!A139="","",IFERROR(VALUE('query (2)'!A139),""))</f>
        <v>138</v>
      </c>
      <c r="G139" s="24" t="str">
        <f>IF('query (2)'!C139="","UNKNOWN",IFERROR(INDEX(Cleaning_Rules!$B$15:$B$20,MATCH(TRIM(UPPER('query (2)'!C139)),Cleaning_Rules!$A$15:$A$20,0)),"UNKNOWN"))</f>
        <v>FACTORY3</v>
      </c>
      <c r="H139" s="25" t="str">
        <f>IF('query (2)'!C139="","",'query (2)'!C139)</f>
        <v>FACTORY3</v>
      </c>
      <c r="I139" s="24" t="str" cm="1">
        <f t="array" ref="I139">_xlfn.IFS($G139="UNKNOWN","UNKNOWN",OR($G139="FACTORY1",$G139="FACTORY2",$G139="FACTORY3"),"PLANT",TRUE,"SHARED")</f>
        <v>PLANT</v>
      </c>
      <c r="J139" s="24" t="str">
        <f>IF('query (2)'!D139="","UNKNOWN",IF(COUNTIF(Cleaning_Rules!$A$6:$A$11,TRIM('query (2)'!D139))&gt;0,"UNKNOWN",IFERROR(INDEX(Cleaning_Rules!$B$24:$B$28,MATCH(TRIM(UPPER('query (2)'!D139)),Cleaning_Rules!$A$24:$A$28,0)),TRIM(UPPER('query (2)'!D139)))))</f>
        <v>KWD6</v>
      </c>
      <c r="K139" s="25" t="str">
        <f>IF('query (2)'!D139="","",'query (2)'!D139)</f>
        <v>KWD6</v>
      </c>
      <c r="L139" s="24" t="str">
        <f>IF($J139="UNKNOWN","",_xlfn.TEXTBEFORE($J139,{"0","1","2","3","4","5","6","7","8","9"," ","-","."},1,,,$J139))</f>
        <v>KWD</v>
      </c>
      <c r="M139" s="24" t="str">
        <f>IF('query (2)'!I139&lt;&gt;"",TRIM(UPPER('query (2)'!I139)),IF($L139="","UNKNOWN",$L139))</f>
        <v>KWD</v>
      </c>
      <c r="N139" s="24" t="str">
        <f>IF('query (2)'!I139&lt;&gt;"","SOURCE",IF($L139="","UNKNOWN","DERIVED"))</f>
        <v>SOURCE</v>
      </c>
      <c r="O139" s="24" t="str">
        <f>IF('query (2)'!E139="","NOT_SPECIFIED",TRIM(UPPER('query (2)'!E139)))</f>
        <v>GRINDING 2</v>
      </c>
      <c r="P139" s="24" t="str">
        <f>IF('query (2)'!F139="","",TRIM(UPPER('query (2)'!F139)))</f>
        <v xml:space="preserve">1018-KW6G
</v>
      </c>
      <c r="Q139" s="24" t="str">
        <f>IF('query (2)'!G139="","UNKNOWN",IFERROR(INDEX(Cleaning_Rules!$B$38:$B$46,MATCH(TRIM(UPPER('query (2)'!G139)),Cleaning_Rules!$A$38:$A$46,0)),"UNKNOWN"))</f>
        <v>OTHER</v>
      </c>
      <c r="R139" s="24" t="str">
        <f>IF('query (2)'!H139="","",TRIM(UPPER('query (2)'!H139)))</f>
        <v>OUTER RING RACEWAY SUPER FINISH MACHINE</v>
      </c>
      <c r="S139" s="25" t="str">
        <f>IF('query (2)'!H139="","",'query (2)'!H139)</f>
        <v>Outer ring raceway super finish machine</v>
      </c>
      <c r="T139" s="24" t="str">
        <f>IF('query (2)'!J139="","",TRIM(UPPER('query (2)'!J139)))</f>
        <v>A - RACEWAY SUPER FINISH</v>
      </c>
      <c r="U139" s="24" t="str">
        <f t="shared" si="17"/>
        <v/>
      </c>
      <c r="V139" s="24" t="str">
        <f>IF('query (2)'!K139="","NOT_SPECIFIED",IFERROR(INDEX(Cleaning_Rules!$B$32:$B$34,MATCH(TRIM(UPPER('query (2)'!K139)),Cleaning_Rules!$A$32:$A$34,0)),"UNKNOWN"))</f>
        <v>NOT_SPECIFIED</v>
      </c>
      <c r="W139" s="24" t="str">
        <f t="shared" si="18"/>
        <v>GR-696 | FACTORY3 | KWD6 | KWD | GRINDING 2 | 1018-KW6G
 | OTHER | OUTER RING RACEWAY SUPER FINISH MACHINE | A - RACEWAY SUPER FINISH | NOT_SPECIFIED</v>
      </c>
      <c r="X139" s="24" t="str">
        <f t="shared" si="19"/>
        <v/>
      </c>
      <c r="Y139" s="24" t="str">
        <f t="shared" si="20"/>
        <v>MISSING_STATUS; CATEGORY_NOT_USEFUL</v>
      </c>
    </row>
    <row r="140" spans="1:25" x14ac:dyDescent="0.3">
      <c r="A140" s="24" t="str">
        <f t="shared" si="14"/>
        <v>GR-841#0139</v>
      </c>
      <c r="B140" s="24" t="str">
        <f>IF('query (2)'!B140="","",TRIM(UPPER('query (2)'!B140)))</f>
        <v>GR-841</v>
      </c>
      <c r="C140" s="25" t="str">
        <f>IF('query (2)'!B140="","",'query (2)'!B140)</f>
        <v>GR-841</v>
      </c>
      <c r="D140" s="24" t="str">
        <f t="shared" si="15"/>
        <v>GR</v>
      </c>
      <c r="E140" s="24">
        <f t="shared" si="16"/>
        <v>1</v>
      </c>
      <c r="F140" s="24">
        <f>IF('query (2)'!A140="","",IFERROR(VALUE('query (2)'!A140),""))</f>
        <v>139</v>
      </c>
      <c r="G140" s="24" t="str">
        <f>IF('query (2)'!C140="","UNKNOWN",IFERROR(INDEX(Cleaning_Rules!$B$15:$B$20,MATCH(TRIM(UPPER('query (2)'!C140)),Cleaning_Rules!$A$15:$A$20,0)),"UNKNOWN"))</f>
        <v>FACTORY3</v>
      </c>
      <c r="H140" s="25" t="str">
        <f>IF('query (2)'!C140="","",'query (2)'!C140)</f>
        <v>FACTORY3</v>
      </c>
      <c r="I140" s="24" t="str" cm="1">
        <f t="array" ref="I140">_xlfn.IFS($G140="UNKNOWN","UNKNOWN",OR($G140="FACTORY1",$G140="FACTORY2",$G140="FACTORY3"),"PLANT",TRUE,"SHARED")</f>
        <v>PLANT</v>
      </c>
      <c r="J140" s="24" t="str">
        <f>IF('query (2)'!D140="","UNKNOWN",IF(COUNTIF(Cleaning_Rules!$A$6:$A$11,TRIM('query (2)'!D140))&gt;0,"UNKNOWN",IFERROR(INDEX(Cleaning_Rules!$B$24:$B$28,MATCH(TRIM(UPPER('query (2)'!D140)),Cleaning_Rules!$A$24:$A$28,0)),TRIM(UPPER('query (2)'!D140)))))</f>
        <v>KWD7</v>
      </c>
      <c r="K140" s="25" t="str">
        <f>IF('query (2)'!D140="","",'query (2)'!D140)</f>
        <v>KWD7</v>
      </c>
      <c r="L140" s="24" t="str">
        <f>IF($J140="UNKNOWN","",_xlfn.TEXTBEFORE($J140,{"0","1","2","3","4","5","6","7","8","9"," ","-","."},1,,,$J140))</f>
        <v>KWD</v>
      </c>
      <c r="M140" s="24" t="str">
        <f>IF('query (2)'!I140&lt;&gt;"",TRIM(UPPER('query (2)'!I140)),IF($L140="","UNKNOWN",$L140))</f>
        <v>KWD</v>
      </c>
      <c r="N140" s="24" t="str">
        <f>IF('query (2)'!I140&lt;&gt;"","SOURCE",IF($L140="","UNKNOWN","DERIVED"))</f>
        <v>SOURCE</v>
      </c>
      <c r="O140" s="24" t="str">
        <f>IF('query (2)'!E140="","NOT_SPECIFIED",TRIM(UPPER('query (2)'!E140)))</f>
        <v>GRINDING 2</v>
      </c>
      <c r="P140" s="24" t="str">
        <f>IF('query (2)'!F140="","",TRIM(UPPER('query (2)'!F140)))</f>
        <v>1024-KW7G</v>
      </c>
      <c r="Q140" s="24" t="str">
        <f>IF('query (2)'!G140="","UNKNOWN",IFERROR(INDEX(Cleaning_Rules!$B$38:$B$46,MATCH(TRIM(UPPER('query (2)'!G140)),Cleaning_Rules!$A$38:$A$46,0)),"UNKNOWN"))</f>
        <v>OTHER</v>
      </c>
      <c r="R140" s="24" t="str">
        <f>IF('query (2)'!H140="","",TRIM(UPPER('query (2)'!H140)))</f>
        <v>OUTER RING RACEWAY SUPER FINISH MACHINE</v>
      </c>
      <c r="S140" s="25" t="str">
        <f>IF('query (2)'!H140="","",'query (2)'!H140)</f>
        <v>Outer ring raceway super finish machine</v>
      </c>
      <c r="T140" s="24" t="str">
        <f>IF('query (2)'!J140="","",TRIM(UPPER('query (2)'!J140)))</f>
        <v>A - RACEWAY SUPER FINISH</v>
      </c>
      <c r="U140" s="24" t="str">
        <f t="shared" si="17"/>
        <v/>
      </c>
      <c r="V140" s="24" t="str">
        <f>IF('query (2)'!K140="","NOT_SPECIFIED",IFERROR(INDEX(Cleaning_Rules!$B$32:$B$34,MATCH(TRIM(UPPER('query (2)'!K140)),Cleaning_Rules!$A$32:$A$34,0)),"UNKNOWN"))</f>
        <v>NOT_SPECIFIED</v>
      </c>
      <c r="W140" s="24" t="str">
        <f t="shared" si="18"/>
        <v>GR-841 | FACTORY3 | KWD7 | KWD | GRINDING 2 | 1024-KW7G | OTHER | OUTER RING RACEWAY SUPER FINISH MACHINE | A - RACEWAY SUPER FINISH | NOT_SPECIFIED</v>
      </c>
      <c r="X140" s="24" t="str">
        <f t="shared" si="19"/>
        <v/>
      </c>
      <c r="Y140" s="24" t="str">
        <f t="shared" si="20"/>
        <v>MISSING_STATUS; CATEGORY_NOT_USEFUL</v>
      </c>
    </row>
    <row r="141" spans="1:25" x14ac:dyDescent="0.3">
      <c r="A141" s="24" t="str">
        <f t="shared" si="14"/>
        <v>CH-350#0140</v>
      </c>
      <c r="B141" s="24" t="str">
        <f>IF('query (2)'!B141="","",TRIM(UPPER('query (2)'!B141)))</f>
        <v>CH-350</v>
      </c>
      <c r="C141" s="25" t="str">
        <f>IF('query (2)'!B141="","",'query (2)'!B141)</f>
        <v>CH-350</v>
      </c>
      <c r="D141" s="24" t="str">
        <f t="shared" si="15"/>
        <v>CH</v>
      </c>
      <c r="E141" s="24">
        <f t="shared" si="16"/>
        <v>1</v>
      </c>
      <c r="F141" s="24">
        <f>IF('query (2)'!A141="","",IFERROR(VALUE('query (2)'!A141),""))</f>
        <v>140</v>
      </c>
      <c r="G141" s="24" t="str">
        <f>IF('query (2)'!C141="","UNKNOWN",IFERROR(INDEX(Cleaning_Rules!$B$15:$B$20,MATCH(TRIM(UPPER('query (2)'!C141)),Cleaning_Rules!$A$15:$A$20,0)),"UNKNOWN"))</f>
        <v>FACTORY3</v>
      </c>
      <c r="H141" s="25" t="str">
        <f>IF('query (2)'!C141="","",'query (2)'!C141)</f>
        <v>FACTORY3</v>
      </c>
      <c r="I141" s="24" t="str" cm="1">
        <f t="array" ref="I141">_xlfn.IFS($G141="UNKNOWN","UNKNOWN",OR($G141="FACTORY1",$G141="FACTORY2",$G141="FACTORY3"),"PLANT",TRUE,"SHARED")</f>
        <v>PLANT</v>
      </c>
      <c r="J141" s="24" t="str">
        <f>IF('query (2)'!D141="","UNKNOWN",IF(COUNTIF(Cleaning_Rules!$A$6:$A$11,TRIM('query (2)'!D141))&gt;0,"UNKNOWN",IFERROR(INDEX(Cleaning_Rules!$B$24:$B$28,MATCH(TRIM(UPPER('query (2)'!D141)),Cleaning_Rules!$A$24:$A$28,0)),TRIM(UPPER('query (2)'!D141)))))</f>
        <v>KWD3</v>
      </c>
      <c r="K141" s="25" t="str">
        <f>IF('query (2)'!D141="","",'query (2)'!D141)</f>
        <v>KWD3</v>
      </c>
      <c r="L141" s="24" t="str">
        <f>IF($J141="UNKNOWN","",_xlfn.TEXTBEFORE($J141,{"0","1","2","3","4","5","6","7","8","9"," ","-","."},1,,,$J141))</f>
        <v>KWD</v>
      </c>
      <c r="M141" s="24" t="str">
        <f>IF('query (2)'!I141&lt;&gt;"",TRIM(UPPER('query (2)'!I141)),IF($L141="","UNKNOWN",$L141))</f>
        <v>KWD</v>
      </c>
      <c r="N141" s="24" t="str">
        <f>IF('query (2)'!I141&lt;&gt;"","SOURCE",IF($L141="","UNKNOWN","DERIVED"))</f>
        <v>SOURCE</v>
      </c>
      <c r="O141" s="24" t="str">
        <f>IF('query (2)'!E141="","NOT_SPECIFIED",TRIM(UPPER('query (2)'!E141)))</f>
        <v>ASSEMBLY</v>
      </c>
      <c r="P141" s="24" t="str">
        <f>IF('query (2)'!F141="","",TRIM(UPPER('query (2)'!F141)))</f>
        <v>1010-KW3AI</v>
      </c>
      <c r="Q141" s="24" t="str">
        <f>IF('query (2)'!G141="","UNKNOWN",IFERROR(INDEX(Cleaning_Rules!$B$38:$B$46,MATCH(TRIM(UPPER('query (2)'!G141)),Cleaning_Rules!$A$38:$A$46,0)),"UNKNOWN"))</f>
        <v>OTHER</v>
      </c>
      <c r="R141" s="24" t="str">
        <f>IF('query (2)'!H141="","",TRIM(UPPER('query (2)'!H141)))</f>
        <v>PRE-AXIAL CLEARANCE INSPECTION EQUIPMENT</v>
      </c>
      <c r="S141" s="25" t="str">
        <f>IF('query (2)'!H141="","",'query (2)'!H141)</f>
        <v>Pre-axial clearance inspection equipment</v>
      </c>
      <c r="T141" s="24" t="str">
        <f>IF('query (2)'!J141="","",TRIM(UPPER('query (2)'!J141)))</f>
        <v>PRE-AXIAL CLEARANCE</v>
      </c>
      <c r="U141" s="24" t="str">
        <f t="shared" si="17"/>
        <v/>
      </c>
      <c r="V141" s="24" t="str">
        <f>IF('query (2)'!K141="","NOT_SPECIFIED",IFERROR(INDEX(Cleaning_Rules!$B$32:$B$34,MATCH(TRIM(UPPER('query (2)'!K141)),Cleaning_Rules!$A$32:$A$34,0)),"UNKNOWN"))</f>
        <v>NOT_SPECIFIED</v>
      </c>
      <c r="W141" s="24" t="str">
        <f t="shared" si="18"/>
        <v>CH-350 | FACTORY3 | KWD3 | KWD | ASSEMBLY | 1010-KW3AI | OTHER | PRE-AXIAL CLEARANCE INSPECTION EQUIPMENT | PRE-AXIAL CLEARANCE | NOT_SPECIFIED</v>
      </c>
      <c r="X141" s="24" t="str">
        <f t="shared" si="19"/>
        <v/>
      </c>
      <c r="Y141" s="24" t="str">
        <f t="shared" si="20"/>
        <v>MISSING_STATUS; CATEGORY_NOT_USEFUL</v>
      </c>
    </row>
    <row r="142" spans="1:25" x14ac:dyDescent="0.3">
      <c r="A142" s="24" t="str">
        <f t="shared" si="14"/>
        <v>CH-472#0141</v>
      </c>
      <c r="B142" s="24" t="str">
        <f>IF('query (2)'!B142="","",TRIM(UPPER('query (2)'!B142)))</f>
        <v>CH-472</v>
      </c>
      <c r="C142" s="25" t="str">
        <f>IF('query (2)'!B142="","",'query (2)'!B142)</f>
        <v>CH-472</v>
      </c>
      <c r="D142" s="24" t="str">
        <f t="shared" si="15"/>
        <v>CH</v>
      </c>
      <c r="E142" s="24">
        <f t="shared" si="16"/>
        <v>1</v>
      </c>
      <c r="F142" s="24">
        <f>IF('query (2)'!A142="","",IFERROR(VALUE('query (2)'!A142),""))</f>
        <v>141</v>
      </c>
      <c r="G142" s="24" t="str">
        <f>IF('query (2)'!C142="","UNKNOWN",IFERROR(INDEX(Cleaning_Rules!$B$15:$B$20,MATCH(TRIM(UPPER('query (2)'!C142)),Cleaning_Rules!$A$15:$A$20,0)),"UNKNOWN"))</f>
        <v>FACTORY3</v>
      </c>
      <c r="H142" s="25" t="str">
        <f>IF('query (2)'!C142="","",'query (2)'!C142)</f>
        <v>FACTORY3</v>
      </c>
      <c r="I142" s="24" t="str" cm="1">
        <f t="array" ref="I142">_xlfn.IFS($G142="UNKNOWN","UNKNOWN",OR($G142="FACTORY1",$G142="FACTORY2",$G142="FACTORY3"),"PLANT",TRUE,"SHARED")</f>
        <v>PLANT</v>
      </c>
      <c r="J142" s="24" t="str">
        <f>IF('query (2)'!D142="","UNKNOWN",IF(COUNTIF(Cleaning_Rules!$A$6:$A$11,TRIM('query (2)'!D142))&gt;0,"UNKNOWN",IFERROR(INDEX(Cleaning_Rules!$B$24:$B$28,MATCH(TRIM(UPPER('query (2)'!D142)),Cleaning_Rules!$A$24:$A$28,0)),TRIM(UPPER('query (2)'!D142)))))</f>
        <v>KWD4</v>
      </c>
      <c r="K142" s="25" t="str">
        <f>IF('query (2)'!D142="","",'query (2)'!D142)</f>
        <v>KWD4</v>
      </c>
      <c r="L142" s="24" t="str">
        <f>IF($J142="UNKNOWN","",_xlfn.TEXTBEFORE($J142,{"0","1","2","3","4","5","6","7","8","9"," ","-","."},1,,,$J142))</f>
        <v>KWD</v>
      </c>
      <c r="M142" s="24" t="str">
        <f>IF('query (2)'!I142&lt;&gt;"",TRIM(UPPER('query (2)'!I142)),IF($L142="","UNKNOWN",$L142))</f>
        <v>KWD</v>
      </c>
      <c r="N142" s="24" t="str">
        <f>IF('query (2)'!I142&lt;&gt;"","SOURCE",IF($L142="","UNKNOWN","DERIVED"))</f>
        <v>SOURCE</v>
      </c>
      <c r="O142" s="24" t="str">
        <f>IF('query (2)'!E142="","NOT_SPECIFIED",TRIM(UPPER('query (2)'!E142)))</f>
        <v>ASSEMBLY</v>
      </c>
      <c r="P142" s="24" t="str">
        <f>IF('query (2)'!F142="","",TRIM(UPPER('query (2)'!F142)))</f>
        <v>1013-KW4AI</v>
      </c>
      <c r="Q142" s="24" t="str">
        <f>IF('query (2)'!G142="","UNKNOWN",IFERROR(INDEX(Cleaning_Rules!$B$38:$B$46,MATCH(TRIM(UPPER('query (2)'!G142)),Cleaning_Rules!$A$38:$A$46,0)),"UNKNOWN"))</f>
        <v>OTHER</v>
      </c>
      <c r="R142" s="24" t="str">
        <f>IF('query (2)'!H142="","",TRIM(UPPER('query (2)'!H142)))</f>
        <v>PRE-AXIAL CLEARANCE INSPECTION EQUIPMENT</v>
      </c>
      <c r="S142" s="25" t="str">
        <f>IF('query (2)'!H142="","",'query (2)'!H142)</f>
        <v>Pre-axial clearance inspection equipment</v>
      </c>
      <c r="T142" s="24" t="str">
        <f>IF('query (2)'!J142="","",TRIM(UPPER('query (2)'!J142)))</f>
        <v>PRE-AXIAL CLEARANCE</v>
      </c>
      <c r="U142" s="24" t="str">
        <f t="shared" si="17"/>
        <v/>
      </c>
      <c r="V142" s="24" t="str">
        <f>IF('query (2)'!K142="","NOT_SPECIFIED",IFERROR(INDEX(Cleaning_Rules!$B$32:$B$34,MATCH(TRIM(UPPER('query (2)'!K142)),Cleaning_Rules!$A$32:$A$34,0)),"UNKNOWN"))</f>
        <v>NOT_SPECIFIED</v>
      </c>
      <c r="W142" s="24" t="str">
        <f t="shared" si="18"/>
        <v>CH-472 | FACTORY3 | KWD4 | KWD | ASSEMBLY | 1013-KW4AI | OTHER | PRE-AXIAL CLEARANCE INSPECTION EQUIPMENT | PRE-AXIAL CLEARANCE | NOT_SPECIFIED</v>
      </c>
      <c r="X142" s="24" t="str">
        <f t="shared" si="19"/>
        <v/>
      </c>
      <c r="Y142" s="24" t="str">
        <f t="shared" si="20"/>
        <v>MISSING_STATUS; CATEGORY_NOT_USEFUL</v>
      </c>
    </row>
    <row r="143" spans="1:25" x14ac:dyDescent="0.3">
      <c r="A143" s="24" t="str">
        <f t="shared" si="14"/>
        <v>CH-588#0142</v>
      </c>
      <c r="B143" s="24" t="str">
        <f>IF('query (2)'!B143="","",TRIM(UPPER('query (2)'!B143)))</f>
        <v>CH-588</v>
      </c>
      <c r="C143" s="25" t="str">
        <f>IF('query (2)'!B143="","",'query (2)'!B143)</f>
        <v>CH-588</v>
      </c>
      <c r="D143" s="24" t="str">
        <f t="shared" si="15"/>
        <v>CH</v>
      </c>
      <c r="E143" s="24">
        <f t="shared" si="16"/>
        <v>1</v>
      </c>
      <c r="F143" s="24">
        <f>IF('query (2)'!A143="","",IFERROR(VALUE('query (2)'!A143),""))</f>
        <v>142</v>
      </c>
      <c r="G143" s="24" t="str">
        <f>IF('query (2)'!C143="","UNKNOWN",IFERROR(INDEX(Cleaning_Rules!$B$15:$B$20,MATCH(TRIM(UPPER('query (2)'!C143)),Cleaning_Rules!$A$15:$A$20,0)),"UNKNOWN"))</f>
        <v>FACTORY3</v>
      </c>
      <c r="H143" s="25" t="str">
        <f>IF('query (2)'!C143="","",'query (2)'!C143)</f>
        <v>FACTORY3</v>
      </c>
      <c r="I143" s="24" t="str" cm="1">
        <f t="array" ref="I143">_xlfn.IFS($G143="UNKNOWN","UNKNOWN",OR($G143="FACTORY1",$G143="FACTORY2",$G143="FACTORY3"),"PLANT",TRUE,"SHARED")</f>
        <v>PLANT</v>
      </c>
      <c r="J143" s="24" t="str">
        <f>IF('query (2)'!D143="","UNKNOWN",IF(COUNTIF(Cleaning_Rules!$A$6:$A$11,TRIM('query (2)'!D143))&gt;0,"UNKNOWN",IFERROR(INDEX(Cleaning_Rules!$B$24:$B$28,MATCH(TRIM(UPPER('query (2)'!D143)),Cleaning_Rules!$A$24:$A$28,0)),TRIM(UPPER('query (2)'!D143)))))</f>
        <v>KWD5</v>
      </c>
      <c r="K143" s="25" t="str">
        <f>IF('query (2)'!D143="","",'query (2)'!D143)</f>
        <v>KWD5</v>
      </c>
      <c r="L143" s="24" t="str">
        <f>IF($J143="UNKNOWN","",_xlfn.TEXTBEFORE($J143,{"0","1","2","3","4","5","6","7","8","9"," ","-","."},1,,,$J143))</f>
        <v>KWD</v>
      </c>
      <c r="M143" s="24" t="str">
        <f>IF('query (2)'!I143&lt;&gt;"",TRIM(UPPER('query (2)'!I143)),IF($L143="","UNKNOWN",$L143))</f>
        <v>KWD</v>
      </c>
      <c r="N143" s="24" t="str">
        <f>IF('query (2)'!I143&lt;&gt;"","SOURCE",IF($L143="","UNKNOWN","DERIVED"))</f>
        <v>SOURCE</v>
      </c>
      <c r="O143" s="24" t="str">
        <f>IF('query (2)'!E143="","NOT_SPECIFIED",TRIM(UPPER('query (2)'!E143)))</f>
        <v>ASSEMBLY</v>
      </c>
      <c r="P143" s="24" t="str">
        <f>IF('query (2)'!F143="","",TRIM(UPPER('query (2)'!F143)))</f>
        <v>1016-KW5AI</v>
      </c>
      <c r="Q143" s="24" t="str">
        <f>IF('query (2)'!G143="","UNKNOWN",IFERROR(INDEX(Cleaning_Rules!$B$38:$B$46,MATCH(TRIM(UPPER('query (2)'!G143)),Cleaning_Rules!$A$38:$A$46,0)),"UNKNOWN"))</f>
        <v>OTHER</v>
      </c>
      <c r="R143" s="24" t="str">
        <f>IF('query (2)'!H143="","",TRIM(UPPER('query (2)'!H143)))</f>
        <v>PRE-AXIAL CLEARANCE INSPECTION EQUIPMENT</v>
      </c>
      <c r="S143" s="25" t="str">
        <f>IF('query (2)'!H143="","",'query (2)'!H143)</f>
        <v>Pre-axial clearance inspection equipment</v>
      </c>
      <c r="T143" s="24" t="str">
        <f>IF('query (2)'!J143="","",TRIM(UPPER('query (2)'!J143)))</f>
        <v>PRE-AXIAL CLEARANCE</v>
      </c>
      <c r="U143" s="24" t="str">
        <f t="shared" si="17"/>
        <v/>
      </c>
      <c r="V143" s="24" t="str">
        <f>IF('query (2)'!K143="","NOT_SPECIFIED",IFERROR(INDEX(Cleaning_Rules!$B$32:$B$34,MATCH(TRIM(UPPER('query (2)'!K143)),Cleaning_Rules!$A$32:$A$34,0)),"UNKNOWN"))</f>
        <v>NOT_SPECIFIED</v>
      </c>
      <c r="W143" s="24" t="str">
        <f t="shared" si="18"/>
        <v>CH-588 | FACTORY3 | KWD5 | KWD | ASSEMBLY | 1016-KW5AI | OTHER | PRE-AXIAL CLEARANCE INSPECTION EQUIPMENT | PRE-AXIAL CLEARANCE | NOT_SPECIFIED</v>
      </c>
      <c r="X143" s="24" t="str">
        <f t="shared" si="19"/>
        <v/>
      </c>
      <c r="Y143" s="24" t="str">
        <f t="shared" si="20"/>
        <v>MISSING_STATUS; CATEGORY_NOT_USEFUL</v>
      </c>
    </row>
    <row r="144" spans="1:25" x14ac:dyDescent="0.3">
      <c r="A144" s="24" t="str">
        <f t="shared" si="14"/>
        <v>CH-703#0143</v>
      </c>
      <c r="B144" s="24" t="str">
        <f>IF('query (2)'!B144="","",TRIM(UPPER('query (2)'!B144)))</f>
        <v>CH-703</v>
      </c>
      <c r="C144" s="25" t="str">
        <f>IF('query (2)'!B144="","",'query (2)'!B144)</f>
        <v>CH-703</v>
      </c>
      <c r="D144" s="24" t="str">
        <f t="shared" si="15"/>
        <v>CH</v>
      </c>
      <c r="E144" s="24">
        <f t="shared" si="16"/>
        <v>1</v>
      </c>
      <c r="F144" s="24">
        <f>IF('query (2)'!A144="","",IFERROR(VALUE('query (2)'!A144),""))</f>
        <v>143</v>
      </c>
      <c r="G144" s="24" t="str">
        <f>IF('query (2)'!C144="","UNKNOWN",IFERROR(INDEX(Cleaning_Rules!$B$15:$B$20,MATCH(TRIM(UPPER('query (2)'!C144)),Cleaning_Rules!$A$15:$A$20,0)),"UNKNOWN"))</f>
        <v>FACTORY3</v>
      </c>
      <c r="H144" s="25" t="str">
        <f>IF('query (2)'!C144="","",'query (2)'!C144)</f>
        <v>FACTORY3</v>
      </c>
      <c r="I144" s="24" t="str" cm="1">
        <f t="array" ref="I144">_xlfn.IFS($G144="UNKNOWN","UNKNOWN",OR($G144="FACTORY1",$G144="FACTORY2",$G144="FACTORY3"),"PLANT",TRUE,"SHARED")</f>
        <v>PLANT</v>
      </c>
      <c r="J144" s="24" t="str">
        <f>IF('query (2)'!D144="","UNKNOWN",IF(COUNTIF(Cleaning_Rules!$A$6:$A$11,TRIM('query (2)'!D144))&gt;0,"UNKNOWN",IFERROR(INDEX(Cleaning_Rules!$B$24:$B$28,MATCH(TRIM(UPPER('query (2)'!D144)),Cleaning_Rules!$A$24:$A$28,0)),TRIM(UPPER('query (2)'!D144)))))</f>
        <v>KWD6</v>
      </c>
      <c r="K144" s="25" t="str">
        <f>IF('query (2)'!D144="","",'query (2)'!D144)</f>
        <v>KWD6</v>
      </c>
      <c r="L144" s="24" t="str">
        <f>IF($J144="UNKNOWN","",_xlfn.TEXTBEFORE($J144,{"0","1","2","3","4","5","6","7","8","9"," ","-","."},1,,,$J144))</f>
        <v>KWD</v>
      </c>
      <c r="M144" s="24" t="str">
        <f>IF('query (2)'!I144&lt;&gt;"",TRIM(UPPER('query (2)'!I144)),IF($L144="","UNKNOWN",$L144))</f>
        <v>KWD</v>
      </c>
      <c r="N144" s="24" t="str">
        <f>IF('query (2)'!I144&lt;&gt;"","SOURCE",IF($L144="","UNKNOWN","DERIVED"))</f>
        <v>SOURCE</v>
      </c>
      <c r="O144" s="24" t="str">
        <f>IF('query (2)'!E144="","NOT_SPECIFIED",TRIM(UPPER('query (2)'!E144)))</f>
        <v>ASSEMBLY</v>
      </c>
      <c r="P144" s="24" t="str">
        <f>IF('query (2)'!F144="","",TRIM(UPPER('query (2)'!F144)))</f>
        <v>1019-KW6AI</v>
      </c>
      <c r="Q144" s="24" t="str">
        <f>IF('query (2)'!G144="","UNKNOWN",IFERROR(INDEX(Cleaning_Rules!$B$38:$B$46,MATCH(TRIM(UPPER('query (2)'!G144)),Cleaning_Rules!$A$38:$A$46,0)),"UNKNOWN"))</f>
        <v>OTHER</v>
      </c>
      <c r="R144" s="24" t="str">
        <f>IF('query (2)'!H144="","",TRIM(UPPER('query (2)'!H144)))</f>
        <v>PRE-AXIAL CLEARANCE INSPECTION EQUIPMENT</v>
      </c>
      <c r="S144" s="25" t="str">
        <f>IF('query (2)'!H144="","",'query (2)'!H144)</f>
        <v>Pre-axial clearance inspection equipment</v>
      </c>
      <c r="T144" s="24" t="str">
        <f>IF('query (2)'!J144="","",TRIM(UPPER('query (2)'!J144)))</f>
        <v>PRE-AXIAL CLEARANCE</v>
      </c>
      <c r="U144" s="24" t="str">
        <f t="shared" si="17"/>
        <v/>
      </c>
      <c r="V144" s="24" t="str">
        <f>IF('query (2)'!K144="","NOT_SPECIFIED",IFERROR(INDEX(Cleaning_Rules!$B$32:$B$34,MATCH(TRIM(UPPER('query (2)'!K144)),Cleaning_Rules!$A$32:$A$34,0)),"UNKNOWN"))</f>
        <v>NOT_SPECIFIED</v>
      </c>
      <c r="W144" s="24" t="str">
        <f t="shared" si="18"/>
        <v>CH-703 | FACTORY3 | KWD6 | KWD | ASSEMBLY | 1019-KW6AI | OTHER | PRE-AXIAL CLEARANCE INSPECTION EQUIPMENT | PRE-AXIAL CLEARANCE | NOT_SPECIFIED</v>
      </c>
      <c r="X144" s="24" t="str">
        <f t="shared" si="19"/>
        <v/>
      </c>
      <c r="Y144" s="24" t="str">
        <f t="shared" si="20"/>
        <v>MISSING_STATUS; CATEGORY_NOT_USEFUL</v>
      </c>
    </row>
    <row r="145" spans="1:25" x14ac:dyDescent="0.3">
      <c r="A145" s="24" t="str">
        <f t="shared" si="14"/>
        <v>CH-837#0144</v>
      </c>
      <c r="B145" s="24" t="str">
        <f>IF('query (2)'!B145="","",TRIM(UPPER('query (2)'!B145)))</f>
        <v>CH-837</v>
      </c>
      <c r="C145" s="25" t="str">
        <f>IF('query (2)'!B145="","",'query (2)'!B145)</f>
        <v>CH-837</v>
      </c>
      <c r="D145" s="24" t="str">
        <f t="shared" si="15"/>
        <v>CH</v>
      </c>
      <c r="E145" s="24">
        <f t="shared" si="16"/>
        <v>1</v>
      </c>
      <c r="F145" s="24">
        <f>IF('query (2)'!A145="","",IFERROR(VALUE('query (2)'!A145),""))</f>
        <v>144</v>
      </c>
      <c r="G145" s="24" t="str">
        <f>IF('query (2)'!C145="","UNKNOWN",IFERROR(INDEX(Cleaning_Rules!$B$15:$B$20,MATCH(TRIM(UPPER('query (2)'!C145)),Cleaning_Rules!$A$15:$A$20,0)),"UNKNOWN"))</f>
        <v>FACTORY3</v>
      </c>
      <c r="H145" s="25" t="str">
        <f>IF('query (2)'!C145="","",'query (2)'!C145)</f>
        <v>FACTORY3</v>
      </c>
      <c r="I145" s="24" t="str" cm="1">
        <f t="array" ref="I145">_xlfn.IFS($G145="UNKNOWN","UNKNOWN",OR($G145="FACTORY1",$G145="FACTORY2",$G145="FACTORY3"),"PLANT",TRUE,"SHARED")</f>
        <v>PLANT</v>
      </c>
      <c r="J145" s="24" t="str">
        <f>IF('query (2)'!D145="","UNKNOWN",IF(COUNTIF(Cleaning_Rules!$A$6:$A$11,TRIM('query (2)'!D145))&gt;0,"UNKNOWN",IFERROR(INDEX(Cleaning_Rules!$B$24:$B$28,MATCH(TRIM(UPPER('query (2)'!D145)),Cleaning_Rules!$A$24:$A$28,0)),TRIM(UPPER('query (2)'!D145)))))</f>
        <v>KWD7</v>
      </c>
      <c r="K145" s="25" t="str">
        <f>IF('query (2)'!D145="","",'query (2)'!D145)</f>
        <v>KWD7</v>
      </c>
      <c r="L145" s="24" t="str">
        <f>IF($J145="UNKNOWN","",_xlfn.TEXTBEFORE($J145,{"0","1","2","3","4","5","6","7","8","9"," ","-","."},1,,,$J145))</f>
        <v>KWD</v>
      </c>
      <c r="M145" s="24" t="str">
        <f>IF('query (2)'!I145&lt;&gt;"",TRIM(UPPER('query (2)'!I145)),IF($L145="","UNKNOWN",$L145))</f>
        <v>KWD</v>
      </c>
      <c r="N145" s="24" t="str">
        <f>IF('query (2)'!I145&lt;&gt;"","SOURCE",IF($L145="","UNKNOWN","DERIVED"))</f>
        <v>SOURCE</v>
      </c>
      <c r="O145" s="24" t="str">
        <f>IF('query (2)'!E145="","NOT_SPECIFIED",TRIM(UPPER('query (2)'!E145)))</f>
        <v>ASSEMBLY</v>
      </c>
      <c r="P145" s="24" t="str">
        <f>IF('query (2)'!F145="","",TRIM(UPPER('query (2)'!F145)))</f>
        <v>1025-KW7AI</v>
      </c>
      <c r="Q145" s="24" t="str">
        <f>IF('query (2)'!G145="","UNKNOWN",IFERROR(INDEX(Cleaning_Rules!$B$38:$B$46,MATCH(TRIM(UPPER('query (2)'!G145)),Cleaning_Rules!$A$38:$A$46,0)),"UNKNOWN"))</f>
        <v>OTHER</v>
      </c>
      <c r="R145" s="24" t="str">
        <f>IF('query (2)'!H145="","",TRIM(UPPER('query (2)'!H145)))</f>
        <v>PRE-AXIAL CLEARANCE INSPECTION EQUIPMENT</v>
      </c>
      <c r="S145" s="25" t="str">
        <f>IF('query (2)'!H145="","",'query (2)'!H145)</f>
        <v>Pre-axial clearance inspection equipment</v>
      </c>
      <c r="T145" s="24" t="str">
        <f>IF('query (2)'!J145="","",TRIM(UPPER('query (2)'!J145)))</f>
        <v>PRE-AXIAL CLEARANCE</v>
      </c>
      <c r="U145" s="24" t="str">
        <f t="shared" si="17"/>
        <v/>
      </c>
      <c r="V145" s="24" t="str">
        <f>IF('query (2)'!K145="","NOT_SPECIFIED",IFERROR(INDEX(Cleaning_Rules!$B$32:$B$34,MATCH(TRIM(UPPER('query (2)'!K145)),Cleaning_Rules!$A$32:$A$34,0)),"UNKNOWN"))</f>
        <v>NOT_SPECIFIED</v>
      </c>
      <c r="W145" s="24" t="str">
        <f t="shared" si="18"/>
        <v>CH-837 | FACTORY3 | KWD7 | KWD | ASSEMBLY | 1025-KW7AI | OTHER | PRE-AXIAL CLEARANCE INSPECTION EQUIPMENT | PRE-AXIAL CLEARANCE | NOT_SPECIFIED</v>
      </c>
      <c r="X145" s="24" t="str">
        <f t="shared" si="19"/>
        <v/>
      </c>
      <c r="Y145" s="24" t="str">
        <f t="shared" si="20"/>
        <v>MISSING_STATUS; CATEGORY_NOT_USEFUL</v>
      </c>
    </row>
    <row r="146" spans="1:25" x14ac:dyDescent="0.3">
      <c r="A146" s="24" t="str">
        <f t="shared" si="14"/>
        <v>CH-015#0145</v>
      </c>
      <c r="B146" s="24" t="str">
        <f>IF('query (2)'!B146="","",TRIM(UPPER('query (2)'!B146)))</f>
        <v>CH-015</v>
      </c>
      <c r="C146" s="25" t="str">
        <f>IF('query (2)'!B146="","",'query (2)'!B146)</f>
        <v>CH-015</v>
      </c>
      <c r="D146" s="24" t="str">
        <f t="shared" si="15"/>
        <v>CH</v>
      </c>
      <c r="E146" s="24">
        <f t="shared" si="16"/>
        <v>1</v>
      </c>
      <c r="F146" s="24">
        <f>IF('query (2)'!A146="","",IFERROR(VALUE('query (2)'!A146),""))</f>
        <v>145</v>
      </c>
      <c r="G146" s="24" t="str">
        <f>IF('query (2)'!C146="","UNKNOWN",IFERROR(INDEX(Cleaning_Rules!$B$15:$B$20,MATCH(TRIM(UPPER('query (2)'!C146)),Cleaning_Rules!$A$15:$A$20,0)),"UNKNOWN"))</f>
        <v>FACTORY3</v>
      </c>
      <c r="H146" s="25" t="str">
        <f>IF('query (2)'!C146="","",'query (2)'!C146)</f>
        <v>FACTORY3</v>
      </c>
      <c r="I146" s="24" t="str" cm="1">
        <f t="array" ref="I146">_xlfn.IFS($G146="UNKNOWN","UNKNOWN",OR($G146="FACTORY1",$G146="FACTORY2",$G146="FACTORY3"),"PLANT",TRUE,"SHARED")</f>
        <v>PLANT</v>
      </c>
      <c r="J146" s="24" t="str">
        <f>IF('query (2)'!D146="","UNKNOWN",IF(COUNTIF(Cleaning_Rules!$A$6:$A$11,TRIM('query (2)'!D146))&gt;0,"UNKNOWN",IFERROR(INDEX(Cleaning_Rules!$B$24:$B$28,MATCH(TRIM(UPPER('query (2)'!D146)),Cleaning_Rules!$A$24:$A$28,0)),TRIM(UPPER('query (2)'!D146)))))</f>
        <v>KWD1</v>
      </c>
      <c r="K146" s="25" t="str">
        <f>IF('query (2)'!D146="","",'query (2)'!D146)</f>
        <v>KWD1</v>
      </c>
      <c r="L146" s="24" t="str">
        <f>IF($J146="UNKNOWN","",_xlfn.TEXTBEFORE($J146,{"0","1","2","3","4","5","6","7","8","9"," ","-","."},1,,,$J146))</f>
        <v>KWD</v>
      </c>
      <c r="M146" s="24" t="str">
        <f>IF('query (2)'!I146&lt;&gt;"",TRIM(UPPER('query (2)'!I146)),IF($L146="","UNKNOWN",$L146))</f>
        <v>KWD</v>
      </c>
      <c r="N146" s="24" t="str">
        <f>IF('query (2)'!I146&lt;&gt;"","SOURCE",IF($L146="","UNKNOWN","DERIVED"))</f>
        <v>SOURCE</v>
      </c>
      <c r="O146" s="24" t="str">
        <f>IF('query (2)'!E146="","NOT_SPECIFIED",TRIM(UPPER('query (2)'!E146)))</f>
        <v>ASSEMBLY</v>
      </c>
      <c r="P146" s="24" t="str">
        <f>IF('query (2)'!F146="","",TRIM(UPPER('query (2)'!F146)))</f>
        <v>1004-KW1AI</v>
      </c>
      <c r="Q146" s="24" t="str">
        <f>IF('query (2)'!G146="","UNKNOWN",IFERROR(INDEX(Cleaning_Rules!$B$38:$B$46,MATCH(TRIM(UPPER('query (2)'!G146)),Cleaning_Rules!$A$38:$A$46,0)),"UNKNOWN"))</f>
        <v>OTHER</v>
      </c>
      <c r="R146" s="24" t="str">
        <f>IF('query (2)'!H146="","",TRIM(UPPER('query (2)'!H146)))</f>
        <v>PRE-AXIAL CLEARATION INSPECTION EQIUPMENT</v>
      </c>
      <c r="S146" s="25" t="str">
        <f>IF('query (2)'!H146="","",'query (2)'!H146)</f>
        <v>Pre-axial clearation inspection eqiupment</v>
      </c>
      <c r="T146" s="24" t="str">
        <f>IF('query (2)'!J146="","",TRIM(UPPER('query (2)'!J146)))</f>
        <v>PRE-AXIAL CLEARANCE</v>
      </c>
      <c r="U146" s="24" t="str">
        <f t="shared" si="17"/>
        <v/>
      </c>
      <c r="V146" s="24" t="str">
        <f>IF('query (2)'!K146="","NOT_SPECIFIED",IFERROR(INDEX(Cleaning_Rules!$B$32:$B$34,MATCH(TRIM(UPPER('query (2)'!K146)),Cleaning_Rules!$A$32:$A$34,0)),"UNKNOWN"))</f>
        <v>NOT_SPECIFIED</v>
      </c>
      <c r="W146" s="24" t="str">
        <f t="shared" si="18"/>
        <v>CH-015 | FACTORY3 | KWD1 | KWD | ASSEMBLY | 1004-KW1AI | OTHER | PRE-AXIAL CLEARATION INSPECTION EQIUPMENT | PRE-AXIAL CLEARANCE | NOT_SPECIFIED</v>
      </c>
      <c r="X146" s="24" t="str">
        <f t="shared" si="19"/>
        <v/>
      </c>
      <c r="Y146" s="24" t="str">
        <f t="shared" si="20"/>
        <v>MISSING_STATUS; CATEGORY_NOT_USEFUL</v>
      </c>
    </row>
    <row r="147" spans="1:25" x14ac:dyDescent="0.3">
      <c r="A147" s="24" t="str">
        <f t="shared" si="14"/>
        <v>CH-264#0146</v>
      </c>
      <c r="B147" s="24" t="str">
        <f>IF('query (2)'!B147="","",TRIM(UPPER('query (2)'!B147)))</f>
        <v>CH-264</v>
      </c>
      <c r="C147" s="25" t="str">
        <f>IF('query (2)'!B147="","",'query (2)'!B147)</f>
        <v>CH-264</v>
      </c>
      <c r="D147" s="24" t="str">
        <f t="shared" si="15"/>
        <v>CH</v>
      </c>
      <c r="E147" s="24">
        <f t="shared" si="16"/>
        <v>1</v>
      </c>
      <c r="F147" s="24">
        <f>IF('query (2)'!A147="","",IFERROR(VALUE('query (2)'!A147),""))</f>
        <v>146</v>
      </c>
      <c r="G147" s="24" t="str">
        <f>IF('query (2)'!C147="","UNKNOWN",IFERROR(INDEX(Cleaning_Rules!$B$15:$B$20,MATCH(TRIM(UPPER('query (2)'!C147)),Cleaning_Rules!$A$15:$A$20,0)),"UNKNOWN"))</f>
        <v>FACTORY3</v>
      </c>
      <c r="H147" s="25" t="str">
        <f>IF('query (2)'!C147="","",'query (2)'!C147)</f>
        <v>FACTORY3</v>
      </c>
      <c r="I147" s="24" t="str" cm="1">
        <f t="array" ref="I147">_xlfn.IFS($G147="UNKNOWN","UNKNOWN",OR($G147="FACTORY1",$G147="FACTORY2",$G147="FACTORY3"),"PLANT",TRUE,"SHARED")</f>
        <v>PLANT</v>
      </c>
      <c r="J147" s="24" t="str">
        <f>IF('query (2)'!D147="","UNKNOWN",IF(COUNTIF(Cleaning_Rules!$A$6:$A$11,TRIM('query (2)'!D147))&gt;0,"UNKNOWN",IFERROR(INDEX(Cleaning_Rules!$B$24:$B$28,MATCH(TRIM(UPPER('query (2)'!D147)),Cleaning_Rules!$A$24:$A$28,0)),TRIM(UPPER('query (2)'!D147)))))</f>
        <v>KWD2</v>
      </c>
      <c r="K147" s="25" t="str">
        <f>IF('query (2)'!D147="","",'query (2)'!D147)</f>
        <v>KWD2</v>
      </c>
      <c r="L147" s="24" t="str">
        <f>IF($J147="UNKNOWN","",_xlfn.TEXTBEFORE($J147,{"0","1","2","3","4","5","6","7","8","9"," ","-","."},1,,,$J147))</f>
        <v>KWD</v>
      </c>
      <c r="M147" s="24" t="str">
        <f>IF('query (2)'!I147&lt;&gt;"",TRIM(UPPER('query (2)'!I147)),IF($L147="","UNKNOWN",$L147))</f>
        <v>KWD</v>
      </c>
      <c r="N147" s="24" t="str">
        <f>IF('query (2)'!I147&lt;&gt;"","SOURCE",IF($L147="","UNKNOWN","DERIVED"))</f>
        <v>SOURCE</v>
      </c>
      <c r="O147" s="24" t="str">
        <f>IF('query (2)'!E147="","NOT_SPECIFIED",TRIM(UPPER('query (2)'!E147)))</f>
        <v>ASSEMBLY</v>
      </c>
      <c r="P147" s="24" t="str">
        <f>IF('query (2)'!F147="","",TRIM(UPPER('query (2)'!F147)))</f>
        <v>1007-KW2AI</v>
      </c>
      <c r="Q147" s="24" t="str">
        <f>IF('query (2)'!G147="","UNKNOWN",IFERROR(INDEX(Cleaning_Rules!$B$38:$B$46,MATCH(TRIM(UPPER('query (2)'!G147)),Cleaning_Rules!$A$38:$A$46,0)),"UNKNOWN"))</f>
        <v>OTHER</v>
      </c>
      <c r="R147" s="24" t="str">
        <f>IF('query (2)'!H147="","",TRIM(UPPER('query (2)'!H147)))</f>
        <v>PRE-AXIAL CLEARATION INSPECTION EQIUPMENT</v>
      </c>
      <c r="S147" s="25" t="str">
        <f>IF('query (2)'!H147="","",'query (2)'!H147)</f>
        <v>Pre-axial clearation inspection eqiupment</v>
      </c>
      <c r="T147" s="24" t="str">
        <f>IF('query (2)'!J147="","",TRIM(UPPER('query (2)'!J147)))</f>
        <v>PRE-AXIAL CLEARANCE</v>
      </c>
      <c r="U147" s="24" t="str">
        <f t="shared" si="17"/>
        <v/>
      </c>
      <c r="V147" s="24" t="str">
        <f>IF('query (2)'!K147="","NOT_SPECIFIED",IFERROR(INDEX(Cleaning_Rules!$B$32:$B$34,MATCH(TRIM(UPPER('query (2)'!K147)),Cleaning_Rules!$A$32:$A$34,0)),"UNKNOWN"))</f>
        <v>NOT_SPECIFIED</v>
      </c>
      <c r="W147" s="24" t="str">
        <f t="shared" si="18"/>
        <v>CH-264 | FACTORY3 | KWD2 | KWD | ASSEMBLY | 1007-KW2AI | OTHER | PRE-AXIAL CLEARATION INSPECTION EQIUPMENT | PRE-AXIAL CLEARANCE | NOT_SPECIFIED</v>
      </c>
      <c r="X147" s="24" t="str">
        <f t="shared" si="19"/>
        <v/>
      </c>
      <c r="Y147" s="24" t="str">
        <f t="shared" si="20"/>
        <v>MISSING_STATUS; CATEGORY_NOT_USEFUL</v>
      </c>
    </row>
    <row r="148" spans="1:25" x14ac:dyDescent="0.3">
      <c r="A148" s="24" t="str">
        <f t="shared" si="14"/>
        <v>CH-026#0147</v>
      </c>
      <c r="B148" s="24" t="str">
        <f>IF('query (2)'!B148="","",TRIM(UPPER('query (2)'!B148)))</f>
        <v>CH-026</v>
      </c>
      <c r="C148" s="25" t="str">
        <f>IF('query (2)'!B148="","",'query (2)'!B148)</f>
        <v>CH-026</v>
      </c>
      <c r="D148" s="24" t="str">
        <f t="shared" si="15"/>
        <v>CH</v>
      </c>
      <c r="E148" s="24">
        <f t="shared" si="16"/>
        <v>1</v>
      </c>
      <c r="F148" s="24">
        <f>IF('query (2)'!A148="","",IFERROR(VALUE('query (2)'!A148),""))</f>
        <v>147</v>
      </c>
      <c r="G148" s="24" t="str">
        <f>IF('query (2)'!C148="","UNKNOWN",IFERROR(INDEX(Cleaning_Rules!$B$15:$B$20,MATCH(TRIM(UPPER('query (2)'!C148)),Cleaning_Rules!$A$15:$A$20,0)),"UNKNOWN"))</f>
        <v>FACTORY3</v>
      </c>
      <c r="H148" s="25" t="str">
        <f>IF('query (2)'!C148="","",'query (2)'!C148)</f>
        <v>FACTORY3</v>
      </c>
      <c r="I148" s="24" t="str" cm="1">
        <f t="array" ref="I148">_xlfn.IFS($G148="UNKNOWN","UNKNOWN",OR($G148="FACTORY1",$G148="FACTORY2",$G148="FACTORY3"),"PLANT",TRUE,"SHARED")</f>
        <v>PLANT</v>
      </c>
      <c r="J148" s="24" t="str">
        <f>IF('query (2)'!D148="","UNKNOWN",IF(COUNTIF(Cleaning_Rules!$A$6:$A$11,TRIM('query (2)'!D148))&gt;0,"UNKNOWN",IFERROR(INDEX(Cleaning_Rules!$B$24:$B$28,MATCH(TRIM(UPPER('query (2)'!D148)),Cleaning_Rules!$A$24:$A$28,0)),TRIM(UPPER('query (2)'!D148)))))</f>
        <v>KWD1</v>
      </c>
      <c r="K148" s="25" t="str">
        <f>IF('query (2)'!D148="","",'query (2)'!D148)</f>
        <v>KWD1</v>
      </c>
      <c r="L148" s="24" t="str">
        <f>IF($J148="UNKNOWN","",_xlfn.TEXTBEFORE($J148,{"0","1","2","3","4","5","6","7","8","9"," ","-","."},1,,,$J148))</f>
        <v>KWD</v>
      </c>
      <c r="M148" s="24" t="str">
        <f>IF('query (2)'!I148&lt;&gt;"",TRIM(UPPER('query (2)'!I148)),IF($L148="","UNKNOWN",$L148))</f>
        <v>KWD</v>
      </c>
      <c r="N148" s="24" t="str">
        <f>IF('query (2)'!I148&lt;&gt;"","SOURCE",IF($L148="","UNKNOWN","DERIVED"))</f>
        <v>SOURCE</v>
      </c>
      <c r="O148" s="24" t="str">
        <f>IF('query (2)'!E148="","NOT_SPECIFIED",TRIM(UPPER('query (2)'!E148)))</f>
        <v>ASSEMBLY</v>
      </c>
      <c r="P148" s="24" t="str">
        <f>IF('query (2)'!F148="","",TRIM(UPPER('query (2)'!F148)))</f>
        <v>1004-KW1AI</v>
      </c>
      <c r="Q148" s="24" t="str">
        <f>IF('query (2)'!G148="","UNKNOWN",IFERROR(INDEX(Cleaning_Rules!$B$38:$B$46,MATCH(TRIM(UPPER('query (2)'!G148)),Cleaning_Rules!$A$38:$A$46,0)),"UNKNOWN"))</f>
        <v>OTHER</v>
      </c>
      <c r="R148" s="24" t="str">
        <f>IF('query (2)'!H148="","",TRIM(UPPER('query (2)'!H148)))</f>
        <v>SEAL CHECKER</v>
      </c>
      <c r="S148" s="25" t="str">
        <f>IF('query (2)'!H148="","",'query (2)'!H148)</f>
        <v>Seal checker</v>
      </c>
      <c r="T148" s="24" t="str">
        <f>IF('query (2)'!J148="","",TRIM(UPPER('query (2)'!J148)))</f>
        <v>SEAL HEIGHT CHECKING</v>
      </c>
      <c r="U148" s="24" t="str">
        <f t="shared" si="17"/>
        <v/>
      </c>
      <c r="V148" s="24" t="str">
        <f>IF('query (2)'!K148="","NOT_SPECIFIED",IFERROR(INDEX(Cleaning_Rules!$B$32:$B$34,MATCH(TRIM(UPPER('query (2)'!K148)),Cleaning_Rules!$A$32:$A$34,0)),"UNKNOWN"))</f>
        <v>NOT_SPECIFIED</v>
      </c>
      <c r="W148" s="24" t="str">
        <f t="shared" si="18"/>
        <v>CH-026 | FACTORY3 | KWD1 | KWD | ASSEMBLY | 1004-KW1AI | OTHER | SEAL CHECKER | SEAL HEIGHT CHECKING | NOT_SPECIFIED</v>
      </c>
      <c r="X148" s="24" t="str">
        <f t="shared" si="19"/>
        <v/>
      </c>
      <c r="Y148" s="24" t="str">
        <f t="shared" si="20"/>
        <v>MISSING_STATUS; CATEGORY_NOT_USEFUL</v>
      </c>
    </row>
    <row r="149" spans="1:25" x14ac:dyDescent="0.3">
      <c r="A149" s="24" t="str">
        <f t="shared" si="14"/>
        <v>CH-361#0148</v>
      </c>
      <c r="B149" s="24" t="str">
        <f>IF('query (2)'!B149="","",TRIM(UPPER('query (2)'!B149)))</f>
        <v>CH-361</v>
      </c>
      <c r="C149" s="25" t="str">
        <f>IF('query (2)'!B149="","",'query (2)'!B149)</f>
        <v>CH-361</v>
      </c>
      <c r="D149" s="24" t="str">
        <f t="shared" si="15"/>
        <v>CH</v>
      </c>
      <c r="E149" s="24">
        <f t="shared" si="16"/>
        <v>1</v>
      </c>
      <c r="F149" s="24">
        <f>IF('query (2)'!A149="","",IFERROR(VALUE('query (2)'!A149),""))</f>
        <v>148</v>
      </c>
      <c r="G149" s="24" t="str">
        <f>IF('query (2)'!C149="","UNKNOWN",IFERROR(INDEX(Cleaning_Rules!$B$15:$B$20,MATCH(TRIM(UPPER('query (2)'!C149)),Cleaning_Rules!$A$15:$A$20,0)),"UNKNOWN"))</f>
        <v>FACTORY3</v>
      </c>
      <c r="H149" s="25" t="str">
        <f>IF('query (2)'!C149="","",'query (2)'!C149)</f>
        <v>FACTORY3</v>
      </c>
      <c r="I149" s="24" t="str" cm="1">
        <f t="array" ref="I149">_xlfn.IFS($G149="UNKNOWN","UNKNOWN",OR($G149="FACTORY1",$G149="FACTORY2",$G149="FACTORY3"),"PLANT",TRUE,"SHARED")</f>
        <v>PLANT</v>
      </c>
      <c r="J149" s="24" t="str">
        <f>IF('query (2)'!D149="","UNKNOWN",IF(COUNTIF(Cleaning_Rules!$A$6:$A$11,TRIM('query (2)'!D149))&gt;0,"UNKNOWN",IFERROR(INDEX(Cleaning_Rules!$B$24:$B$28,MATCH(TRIM(UPPER('query (2)'!D149)),Cleaning_Rules!$A$24:$A$28,0)),TRIM(UPPER('query (2)'!D149)))))</f>
        <v>KWD3</v>
      </c>
      <c r="K149" s="25" t="str">
        <f>IF('query (2)'!D149="","",'query (2)'!D149)</f>
        <v>KWD3</v>
      </c>
      <c r="L149" s="24" t="str">
        <f>IF($J149="UNKNOWN","",_xlfn.TEXTBEFORE($J149,{"0","1","2","3","4","5","6","7","8","9"," ","-","."},1,,,$J149))</f>
        <v>KWD</v>
      </c>
      <c r="M149" s="24" t="str">
        <f>IF('query (2)'!I149&lt;&gt;"",TRIM(UPPER('query (2)'!I149)),IF($L149="","UNKNOWN",$L149))</f>
        <v>KWD</v>
      </c>
      <c r="N149" s="24" t="str">
        <f>IF('query (2)'!I149&lt;&gt;"","SOURCE",IF($L149="","UNKNOWN","DERIVED"))</f>
        <v>SOURCE</v>
      </c>
      <c r="O149" s="24" t="str">
        <f>IF('query (2)'!E149="","NOT_SPECIFIED",TRIM(UPPER('query (2)'!E149)))</f>
        <v>ASSEMBLY</v>
      </c>
      <c r="P149" s="24" t="str">
        <f>IF('query (2)'!F149="","",TRIM(UPPER('query (2)'!F149)))</f>
        <v>1010-KW3AI</v>
      </c>
      <c r="Q149" s="24" t="str">
        <f>IF('query (2)'!G149="","UNKNOWN",IFERROR(INDEX(Cleaning_Rules!$B$38:$B$46,MATCH(TRIM(UPPER('query (2)'!G149)),Cleaning_Rules!$A$38:$A$46,0)),"UNKNOWN"))</f>
        <v>OTHER</v>
      </c>
      <c r="R149" s="24" t="str">
        <f>IF('query (2)'!H149="","",TRIM(UPPER('query (2)'!H149)))</f>
        <v>SEAL CHECKER</v>
      </c>
      <c r="S149" s="25" t="str">
        <f>IF('query (2)'!H149="","",'query (2)'!H149)</f>
        <v>Seal checker</v>
      </c>
      <c r="T149" s="24" t="str">
        <f>IF('query (2)'!J149="","",TRIM(UPPER('query (2)'!J149)))</f>
        <v>SEAL HEIGHT CHECKING</v>
      </c>
      <c r="U149" s="24" t="str">
        <f t="shared" si="17"/>
        <v/>
      </c>
      <c r="V149" s="24" t="str">
        <f>IF('query (2)'!K149="","NOT_SPECIFIED",IFERROR(INDEX(Cleaning_Rules!$B$32:$B$34,MATCH(TRIM(UPPER('query (2)'!K149)),Cleaning_Rules!$A$32:$A$34,0)),"UNKNOWN"))</f>
        <v>NOT_SPECIFIED</v>
      </c>
      <c r="W149" s="24" t="str">
        <f t="shared" si="18"/>
        <v>CH-361 | FACTORY3 | KWD3 | KWD | ASSEMBLY | 1010-KW3AI | OTHER | SEAL CHECKER | SEAL HEIGHT CHECKING | NOT_SPECIFIED</v>
      </c>
      <c r="X149" s="24" t="str">
        <f t="shared" si="19"/>
        <v/>
      </c>
      <c r="Y149" s="24" t="str">
        <f t="shared" si="20"/>
        <v>MISSING_STATUS; CATEGORY_NOT_USEFUL</v>
      </c>
    </row>
    <row r="150" spans="1:25" x14ac:dyDescent="0.3">
      <c r="A150" s="24" t="str">
        <f t="shared" si="14"/>
        <v>CH-483#0149</v>
      </c>
      <c r="B150" s="24" t="str">
        <f>IF('query (2)'!B150="","",TRIM(UPPER('query (2)'!B150)))</f>
        <v>CH-483</v>
      </c>
      <c r="C150" s="25" t="str">
        <f>IF('query (2)'!B150="","",'query (2)'!B150)</f>
        <v>CH-483</v>
      </c>
      <c r="D150" s="24" t="str">
        <f t="shared" si="15"/>
        <v>CH</v>
      </c>
      <c r="E150" s="24">
        <f t="shared" si="16"/>
        <v>1</v>
      </c>
      <c r="F150" s="24">
        <f>IF('query (2)'!A150="","",IFERROR(VALUE('query (2)'!A150),""))</f>
        <v>149</v>
      </c>
      <c r="G150" s="24" t="str">
        <f>IF('query (2)'!C150="","UNKNOWN",IFERROR(INDEX(Cleaning_Rules!$B$15:$B$20,MATCH(TRIM(UPPER('query (2)'!C150)),Cleaning_Rules!$A$15:$A$20,0)),"UNKNOWN"))</f>
        <v>FACTORY3</v>
      </c>
      <c r="H150" s="25" t="str">
        <f>IF('query (2)'!C150="","",'query (2)'!C150)</f>
        <v>FACTORY3</v>
      </c>
      <c r="I150" s="24" t="str" cm="1">
        <f t="array" ref="I150">_xlfn.IFS($G150="UNKNOWN","UNKNOWN",OR($G150="FACTORY1",$G150="FACTORY2",$G150="FACTORY3"),"PLANT",TRUE,"SHARED")</f>
        <v>PLANT</v>
      </c>
      <c r="J150" s="24" t="str">
        <f>IF('query (2)'!D150="","UNKNOWN",IF(COUNTIF(Cleaning_Rules!$A$6:$A$11,TRIM('query (2)'!D150))&gt;0,"UNKNOWN",IFERROR(INDEX(Cleaning_Rules!$B$24:$B$28,MATCH(TRIM(UPPER('query (2)'!D150)),Cleaning_Rules!$A$24:$A$28,0)),TRIM(UPPER('query (2)'!D150)))))</f>
        <v>KWD4</v>
      </c>
      <c r="K150" s="25" t="str">
        <f>IF('query (2)'!D150="","",'query (2)'!D150)</f>
        <v>KWD4</v>
      </c>
      <c r="L150" s="24" t="str">
        <f>IF($J150="UNKNOWN","",_xlfn.TEXTBEFORE($J150,{"0","1","2","3","4","5","6","7","8","9"," ","-","."},1,,,$J150))</f>
        <v>KWD</v>
      </c>
      <c r="M150" s="24" t="str">
        <f>IF('query (2)'!I150&lt;&gt;"",TRIM(UPPER('query (2)'!I150)),IF($L150="","UNKNOWN",$L150))</f>
        <v>KWD</v>
      </c>
      <c r="N150" s="24" t="str">
        <f>IF('query (2)'!I150&lt;&gt;"","SOURCE",IF($L150="","UNKNOWN","DERIVED"))</f>
        <v>SOURCE</v>
      </c>
      <c r="O150" s="24" t="str">
        <f>IF('query (2)'!E150="","NOT_SPECIFIED",TRIM(UPPER('query (2)'!E150)))</f>
        <v>ASSEMBLY</v>
      </c>
      <c r="P150" s="24" t="str">
        <f>IF('query (2)'!F150="","",TRIM(UPPER('query (2)'!F150)))</f>
        <v>1013-KW4AI</v>
      </c>
      <c r="Q150" s="24" t="str">
        <f>IF('query (2)'!G150="","UNKNOWN",IFERROR(INDEX(Cleaning_Rules!$B$38:$B$46,MATCH(TRIM(UPPER('query (2)'!G150)),Cleaning_Rules!$A$38:$A$46,0)),"UNKNOWN"))</f>
        <v>OTHER</v>
      </c>
      <c r="R150" s="24" t="str">
        <f>IF('query (2)'!H150="","",TRIM(UPPER('query (2)'!H150)))</f>
        <v>SEAL CHECKER</v>
      </c>
      <c r="S150" s="25" t="str">
        <f>IF('query (2)'!H150="","",'query (2)'!H150)</f>
        <v>Seal checker</v>
      </c>
      <c r="T150" s="24" t="str">
        <f>IF('query (2)'!J150="","",TRIM(UPPER('query (2)'!J150)))</f>
        <v>SEAL HEIGHT CHECKING</v>
      </c>
      <c r="U150" s="24" t="str">
        <f t="shared" si="17"/>
        <v/>
      </c>
      <c r="V150" s="24" t="str">
        <f>IF('query (2)'!K150="","NOT_SPECIFIED",IFERROR(INDEX(Cleaning_Rules!$B$32:$B$34,MATCH(TRIM(UPPER('query (2)'!K150)),Cleaning_Rules!$A$32:$A$34,0)),"UNKNOWN"))</f>
        <v>NOT_SPECIFIED</v>
      </c>
      <c r="W150" s="24" t="str">
        <f t="shared" si="18"/>
        <v>CH-483 | FACTORY3 | KWD4 | KWD | ASSEMBLY | 1013-KW4AI | OTHER | SEAL CHECKER | SEAL HEIGHT CHECKING | NOT_SPECIFIED</v>
      </c>
      <c r="X150" s="24" t="str">
        <f t="shared" si="19"/>
        <v/>
      </c>
      <c r="Y150" s="24" t="str">
        <f t="shared" si="20"/>
        <v>MISSING_STATUS; CATEGORY_NOT_USEFUL</v>
      </c>
    </row>
    <row r="151" spans="1:25" x14ac:dyDescent="0.3">
      <c r="A151" s="24" t="str">
        <f t="shared" si="14"/>
        <v>CH-600#0150</v>
      </c>
      <c r="B151" s="24" t="str">
        <f>IF('query (2)'!B151="","",TRIM(UPPER('query (2)'!B151)))</f>
        <v>CH-600</v>
      </c>
      <c r="C151" s="25" t="str">
        <f>IF('query (2)'!B151="","",'query (2)'!B151)</f>
        <v>CH-600</v>
      </c>
      <c r="D151" s="24" t="str">
        <f t="shared" si="15"/>
        <v>CH</v>
      </c>
      <c r="E151" s="24">
        <f t="shared" si="16"/>
        <v>1</v>
      </c>
      <c r="F151" s="24">
        <f>IF('query (2)'!A151="","",IFERROR(VALUE('query (2)'!A151),""))</f>
        <v>150</v>
      </c>
      <c r="G151" s="24" t="str">
        <f>IF('query (2)'!C151="","UNKNOWN",IFERROR(INDEX(Cleaning_Rules!$B$15:$B$20,MATCH(TRIM(UPPER('query (2)'!C151)),Cleaning_Rules!$A$15:$A$20,0)),"UNKNOWN"))</f>
        <v>FACTORY3</v>
      </c>
      <c r="H151" s="25" t="str">
        <f>IF('query (2)'!C151="","",'query (2)'!C151)</f>
        <v>FACTORY3</v>
      </c>
      <c r="I151" s="24" t="str" cm="1">
        <f t="array" ref="I151">_xlfn.IFS($G151="UNKNOWN","UNKNOWN",OR($G151="FACTORY1",$G151="FACTORY2",$G151="FACTORY3"),"PLANT",TRUE,"SHARED")</f>
        <v>PLANT</v>
      </c>
      <c r="J151" s="24" t="str">
        <f>IF('query (2)'!D151="","UNKNOWN",IF(COUNTIF(Cleaning_Rules!$A$6:$A$11,TRIM('query (2)'!D151))&gt;0,"UNKNOWN",IFERROR(INDEX(Cleaning_Rules!$B$24:$B$28,MATCH(TRIM(UPPER('query (2)'!D151)),Cleaning_Rules!$A$24:$A$28,0)),TRIM(UPPER('query (2)'!D151)))))</f>
        <v>KWD5</v>
      </c>
      <c r="K151" s="25" t="str">
        <f>IF('query (2)'!D151="","",'query (2)'!D151)</f>
        <v>KWD5</v>
      </c>
      <c r="L151" s="24" t="str">
        <f>IF($J151="UNKNOWN","",_xlfn.TEXTBEFORE($J151,{"0","1","2","3","4","5","6","7","8","9"," ","-","."},1,,,$J151))</f>
        <v>KWD</v>
      </c>
      <c r="M151" s="24" t="str">
        <f>IF('query (2)'!I151&lt;&gt;"",TRIM(UPPER('query (2)'!I151)),IF($L151="","UNKNOWN",$L151))</f>
        <v>KWD</v>
      </c>
      <c r="N151" s="24" t="str">
        <f>IF('query (2)'!I151&lt;&gt;"","SOURCE",IF($L151="","UNKNOWN","DERIVED"))</f>
        <v>SOURCE</v>
      </c>
      <c r="O151" s="24" t="str">
        <f>IF('query (2)'!E151="","NOT_SPECIFIED",TRIM(UPPER('query (2)'!E151)))</f>
        <v>ASSEMBLY</v>
      </c>
      <c r="P151" s="24" t="str">
        <f>IF('query (2)'!F151="","",TRIM(UPPER('query (2)'!F151)))</f>
        <v>1016-KW5AI</v>
      </c>
      <c r="Q151" s="24" t="str">
        <f>IF('query (2)'!G151="","UNKNOWN",IFERROR(INDEX(Cleaning_Rules!$B$38:$B$46,MATCH(TRIM(UPPER('query (2)'!G151)),Cleaning_Rules!$A$38:$A$46,0)),"UNKNOWN"))</f>
        <v>OTHER</v>
      </c>
      <c r="R151" s="24" t="str">
        <f>IF('query (2)'!H151="","",TRIM(UPPER('query (2)'!H151)))</f>
        <v>SEAL CHECKER</v>
      </c>
      <c r="S151" s="25" t="str">
        <f>IF('query (2)'!H151="","",'query (2)'!H151)</f>
        <v>Seal checker</v>
      </c>
      <c r="T151" s="24" t="str">
        <f>IF('query (2)'!J151="","",TRIM(UPPER('query (2)'!J151)))</f>
        <v>SEAL HEIGHT CHECKING</v>
      </c>
      <c r="U151" s="24" t="str">
        <f t="shared" si="17"/>
        <v/>
      </c>
      <c r="V151" s="24" t="str">
        <f>IF('query (2)'!K151="","NOT_SPECIFIED",IFERROR(INDEX(Cleaning_Rules!$B$32:$B$34,MATCH(TRIM(UPPER('query (2)'!K151)),Cleaning_Rules!$A$32:$A$34,0)),"UNKNOWN"))</f>
        <v>NOT_SPECIFIED</v>
      </c>
      <c r="W151" s="24" t="str">
        <f t="shared" si="18"/>
        <v>CH-600 | FACTORY3 | KWD5 | KWD | ASSEMBLY | 1016-KW5AI | OTHER | SEAL CHECKER | SEAL HEIGHT CHECKING | NOT_SPECIFIED</v>
      </c>
      <c r="X151" s="24" t="str">
        <f t="shared" si="19"/>
        <v/>
      </c>
      <c r="Y151" s="24" t="str">
        <f t="shared" si="20"/>
        <v>MISSING_STATUS; CATEGORY_NOT_USEFUL</v>
      </c>
    </row>
    <row r="152" spans="1:25" x14ac:dyDescent="0.3">
      <c r="A152" s="24" t="str">
        <f t="shared" si="14"/>
        <v>CH-709#0151</v>
      </c>
      <c r="B152" s="24" t="str">
        <f>IF('query (2)'!B152="","",TRIM(UPPER('query (2)'!B152)))</f>
        <v>CH-709</v>
      </c>
      <c r="C152" s="25" t="str">
        <f>IF('query (2)'!B152="","",'query (2)'!B152)</f>
        <v>CH-709</v>
      </c>
      <c r="D152" s="24" t="str">
        <f t="shared" si="15"/>
        <v>CH</v>
      </c>
      <c r="E152" s="24">
        <f t="shared" si="16"/>
        <v>1</v>
      </c>
      <c r="F152" s="24">
        <f>IF('query (2)'!A152="","",IFERROR(VALUE('query (2)'!A152),""))</f>
        <v>151</v>
      </c>
      <c r="G152" s="24" t="str">
        <f>IF('query (2)'!C152="","UNKNOWN",IFERROR(INDEX(Cleaning_Rules!$B$15:$B$20,MATCH(TRIM(UPPER('query (2)'!C152)),Cleaning_Rules!$A$15:$A$20,0)),"UNKNOWN"))</f>
        <v>FACTORY3</v>
      </c>
      <c r="H152" s="25" t="str">
        <f>IF('query (2)'!C152="","",'query (2)'!C152)</f>
        <v>FACTORY3</v>
      </c>
      <c r="I152" s="24" t="str" cm="1">
        <f t="array" ref="I152">_xlfn.IFS($G152="UNKNOWN","UNKNOWN",OR($G152="FACTORY1",$G152="FACTORY2",$G152="FACTORY3"),"PLANT",TRUE,"SHARED")</f>
        <v>PLANT</v>
      </c>
      <c r="J152" s="24" t="str">
        <f>IF('query (2)'!D152="","UNKNOWN",IF(COUNTIF(Cleaning_Rules!$A$6:$A$11,TRIM('query (2)'!D152))&gt;0,"UNKNOWN",IFERROR(INDEX(Cleaning_Rules!$B$24:$B$28,MATCH(TRIM(UPPER('query (2)'!D152)),Cleaning_Rules!$A$24:$A$28,0)),TRIM(UPPER('query (2)'!D152)))))</f>
        <v>KWD6</v>
      </c>
      <c r="K152" s="25" t="str">
        <f>IF('query (2)'!D152="","",'query (2)'!D152)</f>
        <v>KWD6</v>
      </c>
      <c r="L152" s="24" t="str">
        <f>IF($J152="UNKNOWN","",_xlfn.TEXTBEFORE($J152,{"0","1","2","3","4","5","6","7","8","9"," ","-","."},1,,,$J152))</f>
        <v>KWD</v>
      </c>
      <c r="M152" s="24" t="str">
        <f>IF('query (2)'!I152&lt;&gt;"",TRIM(UPPER('query (2)'!I152)),IF($L152="","UNKNOWN",$L152))</f>
        <v>KWD</v>
      </c>
      <c r="N152" s="24" t="str">
        <f>IF('query (2)'!I152&lt;&gt;"","SOURCE",IF($L152="","UNKNOWN","DERIVED"))</f>
        <v>SOURCE</v>
      </c>
      <c r="O152" s="24" t="str">
        <f>IF('query (2)'!E152="","NOT_SPECIFIED",TRIM(UPPER('query (2)'!E152)))</f>
        <v>ASSEMBLY</v>
      </c>
      <c r="P152" s="24" t="str">
        <f>IF('query (2)'!F152="","",TRIM(UPPER('query (2)'!F152)))</f>
        <v>1019-KW6AI</v>
      </c>
      <c r="Q152" s="24" t="str">
        <f>IF('query (2)'!G152="","UNKNOWN",IFERROR(INDEX(Cleaning_Rules!$B$38:$B$46,MATCH(TRIM(UPPER('query (2)'!G152)),Cleaning_Rules!$A$38:$A$46,0)),"UNKNOWN"))</f>
        <v>OTHER</v>
      </c>
      <c r="R152" s="24" t="str">
        <f>IF('query (2)'!H152="","",TRIM(UPPER('query (2)'!H152)))</f>
        <v>SEAL INSPECTION MACHINE</v>
      </c>
      <c r="S152" s="25" t="str">
        <f>IF('query (2)'!H152="","",'query (2)'!H152)</f>
        <v>Seal inspection machine</v>
      </c>
      <c r="T152" s="24" t="str">
        <f>IF('query (2)'!J152="","",TRIM(UPPER('query (2)'!J152)))</f>
        <v>SEAL HEIGHT CHECKING</v>
      </c>
      <c r="U152" s="24" t="str">
        <f t="shared" si="17"/>
        <v/>
      </c>
      <c r="V152" s="24" t="str">
        <f>IF('query (2)'!K152="","NOT_SPECIFIED",IFERROR(INDEX(Cleaning_Rules!$B$32:$B$34,MATCH(TRIM(UPPER('query (2)'!K152)),Cleaning_Rules!$A$32:$A$34,0)),"UNKNOWN"))</f>
        <v>NOT_SPECIFIED</v>
      </c>
      <c r="W152" s="24" t="str">
        <f t="shared" si="18"/>
        <v>CH-709 | FACTORY3 | KWD6 | KWD | ASSEMBLY | 1019-KW6AI | OTHER | SEAL INSPECTION MACHINE | SEAL HEIGHT CHECKING | NOT_SPECIFIED</v>
      </c>
      <c r="X152" s="24" t="str">
        <f t="shared" si="19"/>
        <v/>
      </c>
      <c r="Y152" s="24" t="str">
        <f t="shared" si="20"/>
        <v>MISSING_STATUS; CATEGORY_NOT_USEFUL</v>
      </c>
    </row>
    <row r="153" spans="1:25" x14ac:dyDescent="0.3">
      <c r="A153" s="24" t="str">
        <f t="shared" si="14"/>
        <v>CH-848#0152</v>
      </c>
      <c r="B153" s="24" t="str">
        <f>IF('query (2)'!B153="","",TRIM(UPPER('query (2)'!B153)))</f>
        <v>CH-848</v>
      </c>
      <c r="C153" s="25" t="str">
        <f>IF('query (2)'!B153="","",'query (2)'!B153)</f>
        <v>CH-848</v>
      </c>
      <c r="D153" s="24" t="str">
        <f t="shared" si="15"/>
        <v>CH</v>
      </c>
      <c r="E153" s="24">
        <f t="shared" si="16"/>
        <v>1</v>
      </c>
      <c r="F153" s="24">
        <f>IF('query (2)'!A153="","",IFERROR(VALUE('query (2)'!A153),""))</f>
        <v>152</v>
      </c>
      <c r="G153" s="24" t="str">
        <f>IF('query (2)'!C153="","UNKNOWN",IFERROR(INDEX(Cleaning_Rules!$B$15:$B$20,MATCH(TRIM(UPPER('query (2)'!C153)),Cleaning_Rules!$A$15:$A$20,0)),"UNKNOWN"))</f>
        <v>FACTORY3</v>
      </c>
      <c r="H153" s="25" t="str">
        <f>IF('query (2)'!C153="","",'query (2)'!C153)</f>
        <v>FACTORY3</v>
      </c>
      <c r="I153" s="24" t="str" cm="1">
        <f t="array" ref="I153">_xlfn.IFS($G153="UNKNOWN","UNKNOWN",OR($G153="FACTORY1",$G153="FACTORY2",$G153="FACTORY3"),"PLANT",TRUE,"SHARED")</f>
        <v>PLANT</v>
      </c>
      <c r="J153" s="24" t="str">
        <f>IF('query (2)'!D153="","UNKNOWN",IF(COUNTIF(Cleaning_Rules!$A$6:$A$11,TRIM('query (2)'!D153))&gt;0,"UNKNOWN",IFERROR(INDEX(Cleaning_Rules!$B$24:$B$28,MATCH(TRIM(UPPER('query (2)'!D153)),Cleaning_Rules!$A$24:$A$28,0)),TRIM(UPPER('query (2)'!D153)))))</f>
        <v>KWD7</v>
      </c>
      <c r="K153" s="25" t="str">
        <f>IF('query (2)'!D153="","",'query (2)'!D153)</f>
        <v>KWD7</v>
      </c>
      <c r="L153" s="24" t="str">
        <f>IF($J153="UNKNOWN","",_xlfn.TEXTBEFORE($J153,{"0","1","2","3","4","5","6","7","8","9"," ","-","."},1,,,$J153))</f>
        <v>KWD</v>
      </c>
      <c r="M153" s="24" t="str">
        <f>IF('query (2)'!I153&lt;&gt;"",TRIM(UPPER('query (2)'!I153)),IF($L153="","UNKNOWN",$L153))</f>
        <v>KWD</v>
      </c>
      <c r="N153" s="24" t="str">
        <f>IF('query (2)'!I153&lt;&gt;"","SOURCE",IF($L153="","UNKNOWN","DERIVED"))</f>
        <v>SOURCE</v>
      </c>
      <c r="O153" s="24" t="str">
        <f>IF('query (2)'!E153="","NOT_SPECIFIED",TRIM(UPPER('query (2)'!E153)))</f>
        <v>ASSEMBLY</v>
      </c>
      <c r="P153" s="24" t="str">
        <f>IF('query (2)'!F153="","",TRIM(UPPER('query (2)'!F153)))</f>
        <v>1025-KW7AI</v>
      </c>
      <c r="Q153" s="24" t="str">
        <f>IF('query (2)'!G153="","UNKNOWN",IFERROR(INDEX(Cleaning_Rules!$B$38:$B$46,MATCH(TRIM(UPPER('query (2)'!G153)),Cleaning_Rules!$A$38:$A$46,0)),"UNKNOWN"))</f>
        <v>OTHER</v>
      </c>
      <c r="R153" s="24" t="str">
        <f>IF('query (2)'!H153="","",TRIM(UPPER('query (2)'!H153)))</f>
        <v>SEAL INSPECTION MACHINE</v>
      </c>
      <c r="S153" s="25" t="str">
        <f>IF('query (2)'!H153="","",'query (2)'!H153)</f>
        <v>Seal inspection machine</v>
      </c>
      <c r="T153" s="24" t="str">
        <f>IF('query (2)'!J153="","",TRIM(UPPER('query (2)'!J153)))</f>
        <v>SEAL HEIGHT CHECKING</v>
      </c>
      <c r="U153" s="24" t="str">
        <f t="shared" si="17"/>
        <v/>
      </c>
      <c r="V153" s="24" t="str">
        <f>IF('query (2)'!K153="","NOT_SPECIFIED",IFERROR(INDEX(Cleaning_Rules!$B$32:$B$34,MATCH(TRIM(UPPER('query (2)'!K153)),Cleaning_Rules!$A$32:$A$34,0)),"UNKNOWN"))</f>
        <v>NOT_SPECIFIED</v>
      </c>
      <c r="W153" s="24" t="str">
        <f t="shared" si="18"/>
        <v>CH-848 | FACTORY3 | KWD7 | KWD | ASSEMBLY | 1025-KW7AI | OTHER | SEAL INSPECTION MACHINE | SEAL HEIGHT CHECKING | NOT_SPECIFIED</v>
      </c>
      <c r="X153" s="24" t="str">
        <f t="shared" si="19"/>
        <v/>
      </c>
      <c r="Y153" s="24" t="str">
        <f t="shared" si="20"/>
        <v>MISSING_STATUS; CATEGORY_NOT_USEFUL</v>
      </c>
    </row>
    <row r="154" spans="1:25" x14ac:dyDescent="0.3">
      <c r="A154" s="24" t="str">
        <f t="shared" si="14"/>
        <v>CH-484#0153</v>
      </c>
      <c r="B154" s="24" t="str">
        <f>IF('query (2)'!B154="","",TRIM(UPPER('query (2)'!B154)))</f>
        <v>CH-484</v>
      </c>
      <c r="C154" s="25" t="str">
        <f>IF('query (2)'!B154="","",'query (2)'!B154)</f>
        <v>CH-484</v>
      </c>
      <c r="D154" s="24" t="str">
        <f t="shared" si="15"/>
        <v>CH</v>
      </c>
      <c r="E154" s="24">
        <f t="shared" si="16"/>
        <v>1</v>
      </c>
      <c r="F154" s="24">
        <f>IF('query (2)'!A154="","",IFERROR(VALUE('query (2)'!A154),""))</f>
        <v>153</v>
      </c>
      <c r="G154" s="24" t="str">
        <f>IF('query (2)'!C154="","UNKNOWN",IFERROR(INDEX(Cleaning_Rules!$B$15:$B$20,MATCH(TRIM(UPPER('query (2)'!C154)),Cleaning_Rules!$A$15:$A$20,0)),"UNKNOWN"))</f>
        <v>FACTORY3</v>
      </c>
      <c r="H154" s="25" t="str">
        <f>IF('query (2)'!C154="","",'query (2)'!C154)</f>
        <v>FACTORY3</v>
      </c>
      <c r="I154" s="24" t="str" cm="1">
        <f t="array" ref="I154">_xlfn.IFS($G154="UNKNOWN","UNKNOWN",OR($G154="FACTORY1",$G154="FACTORY2",$G154="FACTORY3"),"PLANT",TRUE,"SHARED")</f>
        <v>PLANT</v>
      </c>
      <c r="J154" s="24" t="str">
        <f>IF('query (2)'!D154="","UNKNOWN",IF(COUNTIF(Cleaning_Rules!$A$6:$A$11,TRIM('query (2)'!D154))&gt;0,"UNKNOWN",IFERROR(INDEX(Cleaning_Rules!$B$24:$B$28,MATCH(TRIM(UPPER('query (2)'!D154)),Cleaning_Rules!$A$24:$A$28,0)),TRIM(UPPER('query (2)'!D154)))))</f>
        <v>KWD6</v>
      </c>
      <c r="K154" s="25" t="str">
        <f>IF('query (2)'!D154="","",'query (2)'!D154)</f>
        <v>KWD6</v>
      </c>
      <c r="L154" s="24" t="str">
        <f>IF($J154="UNKNOWN","",_xlfn.TEXTBEFORE($J154,{"0","1","2","3","4","5","6","7","8","9"," ","-","."},1,,,$J154))</f>
        <v>KWD</v>
      </c>
      <c r="M154" s="24" t="str">
        <f>IF('query (2)'!I154&lt;&gt;"",TRIM(UPPER('query (2)'!I154)),IF($L154="","UNKNOWN",$L154))</f>
        <v>KWD</v>
      </c>
      <c r="N154" s="24" t="str">
        <f>IF('query (2)'!I154&lt;&gt;"","SOURCE",IF($L154="","UNKNOWN","DERIVED"))</f>
        <v>SOURCE</v>
      </c>
      <c r="O154" s="24" t="str">
        <f>IF('query (2)'!E154="","NOT_SPECIFIED",TRIM(UPPER('query (2)'!E154)))</f>
        <v>ASSEMBLY</v>
      </c>
      <c r="P154" s="24" t="str">
        <f>IF('query (2)'!F154="","",TRIM(UPPER('query (2)'!F154)))</f>
        <v>1019-KW6AI</v>
      </c>
      <c r="Q154" s="24" t="str">
        <f>IF('query (2)'!G154="","UNKNOWN",IFERROR(INDEX(Cleaning_Rules!$B$38:$B$46,MATCH(TRIM(UPPER('query (2)'!G154)),Cleaning_Rules!$A$38:$A$46,0)),"UNKNOWN"))</f>
        <v>OTHER</v>
      </c>
      <c r="R154" s="24" t="str">
        <f>IF('query (2)'!H154="","",TRIM(UPPER('query (2)'!H154)))</f>
        <v>SEAL MAGNETIC ENCODER MACHINE</v>
      </c>
      <c r="S154" s="25" t="str">
        <f>IF('query (2)'!H154="","",'query (2)'!H154)</f>
        <v>Seal magnetic encoder machine</v>
      </c>
      <c r="T154" s="24" t="str">
        <f>IF('query (2)'!J154="","",TRIM(UPPER('query (2)'!J154)))</f>
        <v>SEAL ENCODER HEIGHT CHECKING</v>
      </c>
      <c r="U154" s="24" t="str">
        <f t="shared" si="17"/>
        <v/>
      </c>
      <c r="V154" s="24" t="str">
        <f>IF('query (2)'!K154="","NOT_SPECIFIED",IFERROR(INDEX(Cleaning_Rules!$B$32:$B$34,MATCH(TRIM(UPPER('query (2)'!K154)),Cleaning_Rules!$A$32:$A$34,0)),"UNKNOWN"))</f>
        <v>NOT_SPECIFIED</v>
      </c>
      <c r="W154" s="24" t="str">
        <f t="shared" si="18"/>
        <v>CH-484 | FACTORY3 | KWD6 | KWD | ASSEMBLY | 1019-KW6AI | OTHER | SEAL MAGNETIC ENCODER MACHINE | SEAL ENCODER HEIGHT CHECKING | NOT_SPECIFIED</v>
      </c>
      <c r="X154" s="24" t="str">
        <f t="shared" si="19"/>
        <v/>
      </c>
      <c r="Y154" s="24" t="str">
        <f t="shared" si="20"/>
        <v>MISSING_STATUS; CATEGORY_NOT_USEFUL</v>
      </c>
    </row>
    <row r="155" spans="1:25" x14ac:dyDescent="0.3">
      <c r="A155" s="24" t="str">
        <f t="shared" si="14"/>
        <v>AS-024#0154</v>
      </c>
      <c r="B155" s="24" t="str">
        <f>IF('query (2)'!B155="","",TRIM(UPPER('query (2)'!B155)))</f>
        <v>AS-024</v>
      </c>
      <c r="C155" s="25" t="str">
        <f>IF('query (2)'!B155="","",'query (2)'!B155)</f>
        <v>AS-024</v>
      </c>
      <c r="D155" s="24" t="str">
        <f t="shared" si="15"/>
        <v>AS</v>
      </c>
      <c r="E155" s="24">
        <f t="shared" si="16"/>
        <v>1</v>
      </c>
      <c r="F155" s="24">
        <f>IF('query (2)'!A155="","",IFERROR(VALUE('query (2)'!A155),""))</f>
        <v>154</v>
      </c>
      <c r="G155" s="24" t="str">
        <f>IF('query (2)'!C155="","UNKNOWN",IFERROR(INDEX(Cleaning_Rules!$B$15:$B$20,MATCH(TRIM(UPPER('query (2)'!C155)),Cleaning_Rules!$A$15:$A$20,0)),"UNKNOWN"))</f>
        <v>FACTORY3</v>
      </c>
      <c r="H155" s="25" t="str">
        <f>IF('query (2)'!C155="","",'query (2)'!C155)</f>
        <v>FACTORY3</v>
      </c>
      <c r="I155" s="24" t="str" cm="1">
        <f t="array" ref="I155">_xlfn.IFS($G155="UNKNOWN","UNKNOWN",OR($G155="FACTORY1",$G155="FACTORY2",$G155="FACTORY3"),"PLANT",TRUE,"SHARED")</f>
        <v>PLANT</v>
      </c>
      <c r="J155" s="24" t="str">
        <f>IF('query (2)'!D155="","UNKNOWN",IF(COUNTIF(Cleaning_Rules!$A$6:$A$11,TRIM('query (2)'!D155))&gt;0,"UNKNOWN",IFERROR(INDEX(Cleaning_Rules!$B$24:$B$28,MATCH(TRIM(UPPER('query (2)'!D155)),Cleaning_Rules!$A$24:$A$28,0)),TRIM(UPPER('query (2)'!D155)))))</f>
        <v>KWD1</v>
      </c>
      <c r="K155" s="25" t="str">
        <f>IF('query (2)'!D155="","",'query (2)'!D155)</f>
        <v>KWD1</v>
      </c>
      <c r="L155" s="24" t="str">
        <f>IF($J155="UNKNOWN","",_xlfn.TEXTBEFORE($J155,{"0","1","2","3","4","5","6","7","8","9"," ","-","."},1,,,$J155))</f>
        <v>KWD</v>
      </c>
      <c r="M155" s="24" t="str">
        <f>IF('query (2)'!I155&lt;&gt;"",TRIM(UPPER('query (2)'!I155)),IF($L155="","UNKNOWN",$L155))</f>
        <v>KWD</v>
      </c>
      <c r="N155" s="24" t="str">
        <f>IF('query (2)'!I155&lt;&gt;"","SOURCE",IF($L155="","UNKNOWN","DERIVED"))</f>
        <v>SOURCE</v>
      </c>
      <c r="O155" s="24" t="str">
        <f>IF('query (2)'!E155="","NOT_SPECIFIED",TRIM(UPPER('query (2)'!E155)))</f>
        <v>ASSEMBLY</v>
      </c>
      <c r="P155" s="24" t="str">
        <f>IF('query (2)'!F155="","",TRIM(UPPER('query (2)'!F155)))</f>
        <v>1004-KW1AI</v>
      </c>
      <c r="Q155" s="24" t="str">
        <f>IF('query (2)'!G155="","UNKNOWN",IFERROR(INDEX(Cleaning_Rules!$B$38:$B$46,MATCH(TRIM(UPPER('query (2)'!G155)),Cleaning_Rules!$A$38:$A$46,0)),"UNKNOWN"))</f>
        <v>OTHER</v>
      </c>
      <c r="R155" s="24" t="str">
        <f>IF('query (2)'!H155="","",TRIM(UPPER('query (2)'!H155)))</f>
        <v>SEAL PRESS MACHINE</v>
      </c>
      <c r="S155" s="25" t="str">
        <f>IF('query (2)'!H155="","",'query (2)'!H155)</f>
        <v>Seal press machine</v>
      </c>
      <c r="T155" s="24" t="str">
        <f>IF('query (2)'!J155="","",TRIM(UPPER('query (2)'!J155)))</f>
        <v>SEAL PRESSING NO.1</v>
      </c>
      <c r="U155" s="24" t="str">
        <f t="shared" si="17"/>
        <v/>
      </c>
      <c r="V155" s="24" t="str">
        <f>IF('query (2)'!K155="","NOT_SPECIFIED",IFERROR(INDEX(Cleaning_Rules!$B$32:$B$34,MATCH(TRIM(UPPER('query (2)'!K155)),Cleaning_Rules!$A$32:$A$34,0)),"UNKNOWN"))</f>
        <v>NOT_SPECIFIED</v>
      </c>
      <c r="W155" s="24" t="str">
        <f t="shared" si="18"/>
        <v>AS-024 | FACTORY3 | KWD1 | KWD | ASSEMBLY | 1004-KW1AI | OTHER | SEAL PRESS MACHINE | SEAL PRESSING NO.1 | NOT_SPECIFIED</v>
      </c>
      <c r="X155" s="24" t="str">
        <f t="shared" si="19"/>
        <v/>
      </c>
      <c r="Y155" s="24" t="str">
        <f t="shared" si="20"/>
        <v>MISSING_STATUS; CATEGORY_NOT_USEFUL</v>
      </c>
    </row>
    <row r="156" spans="1:25" x14ac:dyDescent="0.3">
      <c r="A156" s="24" t="str">
        <f t="shared" si="14"/>
        <v>AS-025#0155</v>
      </c>
      <c r="B156" s="24" t="str">
        <f>IF('query (2)'!B156="","",TRIM(UPPER('query (2)'!B156)))</f>
        <v>AS-025</v>
      </c>
      <c r="C156" s="25" t="str">
        <f>IF('query (2)'!B156="","",'query (2)'!B156)</f>
        <v>AS-025</v>
      </c>
      <c r="D156" s="24" t="str">
        <f t="shared" si="15"/>
        <v>AS</v>
      </c>
      <c r="E156" s="24">
        <f t="shared" si="16"/>
        <v>1</v>
      </c>
      <c r="F156" s="24">
        <f>IF('query (2)'!A156="","",IFERROR(VALUE('query (2)'!A156),""))</f>
        <v>155</v>
      </c>
      <c r="G156" s="24" t="str">
        <f>IF('query (2)'!C156="","UNKNOWN",IFERROR(INDEX(Cleaning_Rules!$B$15:$B$20,MATCH(TRIM(UPPER('query (2)'!C156)),Cleaning_Rules!$A$15:$A$20,0)),"UNKNOWN"))</f>
        <v>FACTORY3</v>
      </c>
      <c r="H156" s="25" t="str">
        <f>IF('query (2)'!C156="","",'query (2)'!C156)</f>
        <v>FACTORY3</v>
      </c>
      <c r="I156" s="24" t="str" cm="1">
        <f t="array" ref="I156">_xlfn.IFS($G156="UNKNOWN","UNKNOWN",OR($G156="FACTORY1",$G156="FACTORY2",$G156="FACTORY3"),"PLANT",TRUE,"SHARED")</f>
        <v>PLANT</v>
      </c>
      <c r="J156" s="24" t="str">
        <f>IF('query (2)'!D156="","UNKNOWN",IF(COUNTIF(Cleaning_Rules!$A$6:$A$11,TRIM('query (2)'!D156))&gt;0,"UNKNOWN",IFERROR(INDEX(Cleaning_Rules!$B$24:$B$28,MATCH(TRIM(UPPER('query (2)'!D156)),Cleaning_Rules!$A$24:$A$28,0)),TRIM(UPPER('query (2)'!D156)))))</f>
        <v>KWD1</v>
      </c>
      <c r="K156" s="25" t="str">
        <f>IF('query (2)'!D156="","",'query (2)'!D156)</f>
        <v>KWD1</v>
      </c>
      <c r="L156" s="24" t="str">
        <f>IF($J156="UNKNOWN","",_xlfn.TEXTBEFORE($J156,{"0","1","2","3","4","5","6","7","8","9"," ","-","."},1,,,$J156))</f>
        <v>KWD</v>
      </c>
      <c r="M156" s="24" t="str">
        <f>IF('query (2)'!I156&lt;&gt;"",TRIM(UPPER('query (2)'!I156)),IF($L156="","UNKNOWN",$L156))</f>
        <v>KWD</v>
      </c>
      <c r="N156" s="24" t="str">
        <f>IF('query (2)'!I156&lt;&gt;"","SOURCE",IF($L156="","UNKNOWN","DERIVED"))</f>
        <v>SOURCE</v>
      </c>
      <c r="O156" s="24" t="str">
        <f>IF('query (2)'!E156="","NOT_SPECIFIED",TRIM(UPPER('query (2)'!E156)))</f>
        <v>ASSEMBLY</v>
      </c>
      <c r="P156" s="24" t="str">
        <f>IF('query (2)'!F156="","",TRIM(UPPER('query (2)'!F156)))</f>
        <v>1004-KW1AI</v>
      </c>
      <c r="Q156" s="24" t="str">
        <f>IF('query (2)'!G156="","UNKNOWN",IFERROR(INDEX(Cleaning_Rules!$B$38:$B$46,MATCH(TRIM(UPPER('query (2)'!G156)),Cleaning_Rules!$A$38:$A$46,0)),"UNKNOWN"))</f>
        <v>OTHER</v>
      </c>
      <c r="R156" s="24" t="str">
        <f>IF('query (2)'!H156="","",TRIM(UPPER('query (2)'!H156)))</f>
        <v>SEAL PRESS MACHINE</v>
      </c>
      <c r="S156" s="25" t="str">
        <f>IF('query (2)'!H156="","",'query (2)'!H156)</f>
        <v>Seal press machine</v>
      </c>
      <c r="T156" s="24" t="str">
        <f>IF('query (2)'!J156="","",TRIM(UPPER('query (2)'!J156)))</f>
        <v>SEAL PRESSING NO.2</v>
      </c>
      <c r="U156" s="24" t="str">
        <f t="shared" si="17"/>
        <v/>
      </c>
      <c r="V156" s="24" t="str">
        <f>IF('query (2)'!K156="","NOT_SPECIFIED",IFERROR(INDEX(Cleaning_Rules!$B$32:$B$34,MATCH(TRIM(UPPER('query (2)'!K156)),Cleaning_Rules!$A$32:$A$34,0)),"UNKNOWN"))</f>
        <v>NOT_SPECIFIED</v>
      </c>
      <c r="W156" s="24" t="str">
        <f t="shared" si="18"/>
        <v>AS-025 | FACTORY3 | KWD1 | KWD | ASSEMBLY | 1004-KW1AI | OTHER | SEAL PRESS MACHINE | SEAL PRESSING NO.2 | NOT_SPECIFIED</v>
      </c>
      <c r="X156" s="24" t="str">
        <f t="shared" si="19"/>
        <v/>
      </c>
      <c r="Y156" s="24" t="str">
        <f t="shared" si="20"/>
        <v>MISSING_STATUS; CATEGORY_NOT_USEFUL</v>
      </c>
    </row>
    <row r="157" spans="1:25" x14ac:dyDescent="0.3">
      <c r="A157" s="24" t="str">
        <f t="shared" si="14"/>
        <v>AS-359#0156</v>
      </c>
      <c r="B157" s="24" t="str">
        <f>IF('query (2)'!B157="","",TRIM(UPPER('query (2)'!B157)))</f>
        <v>AS-359</v>
      </c>
      <c r="C157" s="25" t="str">
        <f>IF('query (2)'!B157="","",'query (2)'!B157)</f>
        <v>AS-359</v>
      </c>
      <c r="D157" s="24" t="str">
        <f t="shared" si="15"/>
        <v>AS</v>
      </c>
      <c r="E157" s="24">
        <f t="shared" si="16"/>
        <v>1</v>
      </c>
      <c r="F157" s="24">
        <f>IF('query (2)'!A157="","",IFERROR(VALUE('query (2)'!A157),""))</f>
        <v>156</v>
      </c>
      <c r="G157" s="24" t="str">
        <f>IF('query (2)'!C157="","UNKNOWN",IFERROR(INDEX(Cleaning_Rules!$B$15:$B$20,MATCH(TRIM(UPPER('query (2)'!C157)),Cleaning_Rules!$A$15:$A$20,0)),"UNKNOWN"))</f>
        <v>FACTORY3</v>
      </c>
      <c r="H157" s="25" t="str">
        <f>IF('query (2)'!C157="","",'query (2)'!C157)</f>
        <v>FACTORY3</v>
      </c>
      <c r="I157" s="24" t="str" cm="1">
        <f t="array" ref="I157">_xlfn.IFS($G157="UNKNOWN","UNKNOWN",OR($G157="FACTORY1",$G157="FACTORY2",$G157="FACTORY3"),"PLANT",TRUE,"SHARED")</f>
        <v>PLANT</v>
      </c>
      <c r="J157" s="24" t="str">
        <f>IF('query (2)'!D157="","UNKNOWN",IF(COUNTIF(Cleaning_Rules!$A$6:$A$11,TRIM('query (2)'!D157))&gt;0,"UNKNOWN",IFERROR(INDEX(Cleaning_Rules!$B$24:$B$28,MATCH(TRIM(UPPER('query (2)'!D157)),Cleaning_Rules!$A$24:$A$28,0)),TRIM(UPPER('query (2)'!D157)))))</f>
        <v>KWD3</v>
      </c>
      <c r="K157" s="25" t="str">
        <f>IF('query (2)'!D157="","",'query (2)'!D157)</f>
        <v>KWD3</v>
      </c>
      <c r="L157" s="24" t="str">
        <f>IF($J157="UNKNOWN","",_xlfn.TEXTBEFORE($J157,{"0","1","2","3","4","5","6","7","8","9"," ","-","."},1,,,$J157))</f>
        <v>KWD</v>
      </c>
      <c r="M157" s="24" t="str">
        <f>IF('query (2)'!I157&lt;&gt;"",TRIM(UPPER('query (2)'!I157)),IF($L157="","UNKNOWN",$L157))</f>
        <v>KWD</v>
      </c>
      <c r="N157" s="24" t="str">
        <f>IF('query (2)'!I157&lt;&gt;"","SOURCE",IF($L157="","UNKNOWN","DERIVED"))</f>
        <v>SOURCE</v>
      </c>
      <c r="O157" s="24" t="str">
        <f>IF('query (2)'!E157="","NOT_SPECIFIED",TRIM(UPPER('query (2)'!E157)))</f>
        <v>ASSEMBLY</v>
      </c>
      <c r="P157" s="24" t="str">
        <f>IF('query (2)'!F157="","",TRIM(UPPER('query (2)'!F157)))</f>
        <v>1010-KW3AI</v>
      </c>
      <c r="Q157" s="24" t="str">
        <f>IF('query (2)'!G157="","UNKNOWN",IFERROR(INDEX(Cleaning_Rules!$B$38:$B$46,MATCH(TRIM(UPPER('query (2)'!G157)),Cleaning_Rules!$A$38:$A$46,0)),"UNKNOWN"))</f>
        <v>OTHER</v>
      </c>
      <c r="R157" s="24" t="str">
        <f>IF('query (2)'!H157="","",TRIM(UPPER('query (2)'!H157)))</f>
        <v>SEAL PRESS MACHINE</v>
      </c>
      <c r="S157" s="25" t="str">
        <f>IF('query (2)'!H157="","",'query (2)'!H157)</f>
        <v>Seal press machine</v>
      </c>
      <c r="T157" s="24" t="str">
        <f>IF('query (2)'!J157="","",TRIM(UPPER('query (2)'!J157)))</f>
        <v>SEAL PRESSING NO.1</v>
      </c>
      <c r="U157" s="24" t="str">
        <f t="shared" si="17"/>
        <v/>
      </c>
      <c r="V157" s="24" t="str">
        <f>IF('query (2)'!K157="","NOT_SPECIFIED",IFERROR(INDEX(Cleaning_Rules!$B$32:$B$34,MATCH(TRIM(UPPER('query (2)'!K157)),Cleaning_Rules!$A$32:$A$34,0)),"UNKNOWN"))</f>
        <v>NOT_SPECIFIED</v>
      </c>
      <c r="W157" s="24" t="str">
        <f t="shared" si="18"/>
        <v>AS-359 | FACTORY3 | KWD3 | KWD | ASSEMBLY | 1010-KW3AI | OTHER | SEAL PRESS MACHINE | SEAL PRESSING NO.1 | NOT_SPECIFIED</v>
      </c>
      <c r="X157" s="24" t="str">
        <f t="shared" si="19"/>
        <v/>
      </c>
      <c r="Y157" s="24" t="str">
        <f t="shared" si="20"/>
        <v>MISSING_STATUS; CATEGORY_NOT_USEFUL</v>
      </c>
    </row>
    <row r="158" spans="1:25" x14ac:dyDescent="0.3">
      <c r="A158" s="24" t="str">
        <f t="shared" si="14"/>
        <v>AS-360#0157</v>
      </c>
      <c r="B158" s="24" t="str">
        <f>IF('query (2)'!B158="","",TRIM(UPPER('query (2)'!B158)))</f>
        <v>AS-360</v>
      </c>
      <c r="C158" s="25" t="str">
        <f>IF('query (2)'!B158="","",'query (2)'!B158)</f>
        <v>AS-360</v>
      </c>
      <c r="D158" s="24" t="str">
        <f t="shared" si="15"/>
        <v>AS</v>
      </c>
      <c r="E158" s="24">
        <f t="shared" si="16"/>
        <v>1</v>
      </c>
      <c r="F158" s="24">
        <f>IF('query (2)'!A158="","",IFERROR(VALUE('query (2)'!A158),""))</f>
        <v>157</v>
      </c>
      <c r="G158" s="24" t="str">
        <f>IF('query (2)'!C158="","UNKNOWN",IFERROR(INDEX(Cleaning_Rules!$B$15:$B$20,MATCH(TRIM(UPPER('query (2)'!C158)),Cleaning_Rules!$A$15:$A$20,0)),"UNKNOWN"))</f>
        <v>FACTORY3</v>
      </c>
      <c r="H158" s="25" t="str">
        <f>IF('query (2)'!C158="","",'query (2)'!C158)</f>
        <v>FACTORY3</v>
      </c>
      <c r="I158" s="24" t="str" cm="1">
        <f t="array" ref="I158">_xlfn.IFS($G158="UNKNOWN","UNKNOWN",OR($G158="FACTORY1",$G158="FACTORY2",$G158="FACTORY3"),"PLANT",TRUE,"SHARED")</f>
        <v>PLANT</v>
      </c>
      <c r="J158" s="24" t="str">
        <f>IF('query (2)'!D158="","UNKNOWN",IF(COUNTIF(Cleaning_Rules!$A$6:$A$11,TRIM('query (2)'!D158))&gt;0,"UNKNOWN",IFERROR(INDEX(Cleaning_Rules!$B$24:$B$28,MATCH(TRIM(UPPER('query (2)'!D158)),Cleaning_Rules!$A$24:$A$28,0)),TRIM(UPPER('query (2)'!D158)))))</f>
        <v>KWD3</v>
      </c>
      <c r="K158" s="25" t="str">
        <f>IF('query (2)'!D158="","",'query (2)'!D158)</f>
        <v>KWD3</v>
      </c>
      <c r="L158" s="24" t="str">
        <f>IF($J158="UNKNOWN","",_xlfn.TEXTBEFORE($J158,{"0","1","2","3","4","5","6","7","8","9"," ","-","."},1,,,$J158))</f>
        <v>KWD</v>
      </c>
      <c r="M158" s="24" t="str">
        <f>IF('query (2)'!I158&lt;&gt;"",TRIM(UPPER('query (2)'!I158)),IF($L158="","UNKNOWN",$L158))</f>
        <v>KWD</v>
      </c>
      <c r="N158" s="24" t="str">
        <f>IF('query (2)'!I158&lt;&gt;"","SOURCE",IF($L158="","UNKNOWN","DERIVED"))</f>
        <v>SOURCE</v>
      </c>
      <c r="O158" s="24" t="str">
        <f>IF('query (2)'!E158="","NOT_SPECIFIED",TRIM(UPPER('query (2)'!E158)))</f>
        <v>ASSEMBLY</v>
      </c>
      <c r="P158" s="24" t="str">
        <f>IF('query (2)'!F158="","",TRIM(UPPER('query (2)'!F158)))</f>
        <v>1010-KW3AI</v>
      </c>
      <c r="Q158" s="24" t="str">
        <f>IF('query (2)'!G158="","UNKNOWN",IFERROR(INDEX(Cleaning_Rules!$B$38:$B$46,MATCH(TRIM(UPPER('query (2)'!G158)),Cleaning_Rules!$A$38:$A$46,0)),"UNKNOWN"))</f>
        <v>OTHER</v>
      </c>
      <c r="R158" s="24" t="str">
        <f>IF('query (2)'!H158="","",TRIM(UPPER('query (2)'!H158)))</f>
        <v>SEAL PRESS MACHINE</v>
      </c>
      <c r="S158" s="25" t="str">
        <f>IF('query (2)'!H158="","",'query (2)'!H158)</f>
        <v>Seal press machine</v>
      </c>
      <c r="T158" s="24" t="str">
        <f>IF('query (2)'!J158="","",TRIM(UPPER('query (2)'!J158)))</f>
        <v>SEAL PRESSING NO.2</v>
      </c>
      <c r="U158" s="24" t="str">
        <f t="shared" si="17"/>
        <v/>
      </c>
      <c r="V158" s="24" t="str">
        <f>IF('query (2)'!K158="","NOT_SPECIFIED",IFERROR(INDEX(Cleaning_Rules!$B$32:$B$34,MATCH(TRIM(UPPER('query (2)'!K158)),Cleaning_Rules!$A$32:$A$34,0)),"UNKNOWN"))</f>
        <v>NOT_SPECIFIED</v>
      </c>
      <c r="W158" s="24" t="str">
        <f t="shared" si="18"/>
        <v>AS-360 | FACTORY3 | KWD3 | KWD | ASSEMBLY | 1010-KW3AI | OTHER | SEAL PRESS MACHINE | SEAL PRESSING NO.2 | NOT_SPECIFIED</v>
      </c>
      <c r="X158" s="24" t="str">
        <f t="shared" si="19"/>
        <v/>
      </c>
      <c r="Y158" s="24" t="str">
        <f t="shared" si="20"/>
        <v>MISSING_STATUS; CATEGORY_NOT_USEFUL</v>
      </c>
    </row>
    <row r="159" spans="1:25" x14ac:dyDescent="0.3">
      <c r="A159" s="24" t="str">
        <f t="shared" si="14"/>
        <v>AS-481#0158</v>
      </c>
      <c r="B159" s="24" t="str">
        <f>IF('query (2)'!B159="","",TRIM(UPPER('query (2)'!B159)))</f>
        <v>AS-481</v>
      </c>
      <c r="C159" s="25" t="str">
        <f>IF('query (2)'!B159="","",'query (2)'!B159)</f>
        <v>AS-481</v>
      </c>
      <c r="D159" s="24" t="str">
        <f t="shared" si="15"/>
        <v>AS</v>
      </c>
      <c r="E159" s="24">
        <f t="shared" si="16"/>
        <v>1</v>
      </c>
      <c r="F159" s="24">
        <f>IF('query (2)'!A159="","",IFERROR(VALUE('query (2)'!A159),""))</f>
        <v>158</v>
      </c>
      <c r="G159" s="24" t="str">
        <f>IF('query (2)'!C159="","UNKNOWN",IFERROR(INDEX(Cleaning_Rules!$B$15:$B$20,MATCH(TRIM(UPPER('query (2)'!C159)),Cleaning_Rules!$A$15:$A$20,0)),"UNKNOWN"))</f>
        <v>FACTORY3</v>
      </c>
      <c r="H159" s="25" t="str">
        <f>IF('query (2)'!C159="","",'query (2)'!C159)</f>
        <v>FACTORY3</v>
      </c>
      <c r="I159" s="24" t="str" cm="1">
        <f t="array" ref="I159">_xlfn.IFS($G159="UNKNOWN","UNKNOWN",OR($G159="FACTORY1",$G159="FACTORY2",$G159="FACTORY3"),"PLANT",TRUE,"SHARED")</f>
        <v>PLANT</v>
      </c>
      <c r="J159" s="24" t="str">
        <f>IF('query (2)'!D159="","UNKNOWN",IF(COUNTIF(Cleaning_Rules!$A$6:$A$11,TRIM('query (2)'!D159))&gt;0,"UNKNOWN",IFERROR(INDEX(Cleaning_Rules!$B$24:$B$28,MATCH(TRIM(UPPER('query (2)'!D159)),Cleaning_Rules!$A$24:$A$28,0)),TRIM(UPPER('query (2)'!D159)))))</f>
        <v>KWD4</v>
      </c>
      <c r="K159" s="25" t="str">
        <f>IF('query (2)'!D159="","",'query (2)'!D159)</f>
        <v>KWD4</v>
      </c>
      <c r="L159" s="24" t="str">
        <f>IF($J159="UNKNOWN","",_xlfn.TEXTBEFORE($J159,{"0","1","2","3","4","5","6","7","8","9"," ","-","."},1,,,$J159))</f>
        <v>KWD</v>
      </c>
      <c r="M159" s="24" t="str">
        <f>IF('query (2)'!I159&lt;&gt;"",TRIM(UPPER('query (2)'!I159)),IF($L159="","UNKNOWN",$L159))</f>
        <v>KWD</v>
      </c>
      <c r="N159" s="24" t="str">
        <f>IF('query (2)'!I159&lt;&gt;"","SOURCE",IF($L159="","UNKNOWN","DERIVED"))</f>
        <v>SOURCE</v>
      </c>
      <c r="O159" s="24" t="str">
        <f>IF('query (2)'!E159="","NOT_SPECIFIED",TRIM(UPPER('query (2)'!E159)))</f>
        <v>ASSEMBLY</v>
      </c>
      <c r="P159" s="24" t="str">
        <f>IF('query (2)'!F159="","",TRIM(UPPER('query (2)'!F159)))</f>
        <v>1013-KW4AI</v>
      </c>
      <c r="Q159" s="24" t="str">
        <f>IF('query (2)'!G159="","UNKNOWN",IFERROR(INDEX(Cleaning_Rules!$B$38:$B$46,MATCH(TRIM(UPPER('query (2)'!G159)),Cleaning_Rules!$A$38:$A$46,0)),"UNKNOWN"))</f>
        <v>OTHER</v>
      </c>
      <c r="R159" s="24" t="str">
        <f>IF('query (2)'!H159="","",TRIM(UPPER('query (2)'!H159)))</f>
        <v>SEAL PRESS MACHINE</v>
      </c>
      <c r="S159" s="25" t="str">
        <f>IF('query (2)'!H159="","",'query (2)'!H159)</f>
        <v>Seal press machine</v>
      </c>
      <c r="T159" s="24" t="str">
        <f>IF('query (2)'!J159="","",TRIM(UPPER('query (2)'!J159)))</f>
        <v>SEAL PRESSING NO.1</v>
      </c>
      <c r="U159" s="24" t="str">
        <f t="shared" si="17"/>
        <v/>
      </c>
      <c r="V159" s="24" t="str">
        <f>IF('query (2)'!K159="","NOT_SPECIFIED",IFERROR(INDEX(Cleaning_Rules!$B$32:$B$34,MATCH(TRIM(UPPER('query (2)'!K159)),Cleaning_Rules!$A$32:$A$34,0)),"UNKNOWN"))</f>
        <v>NOT_SPECIFIED</v>
      </c>
      <c r="W159" s="24" t="str">
        <f t="shared" si="18"/>
        <v>AS-481 | FACTORY3 | KWD4 | KWD | ASSEMBLY | 1013-KW4AI | OTHER | SEAL PRESS MACHINE | SEAL PRESSING NO.1 | NOT_SPECIFIED</v>
      </c>
      <c r="X159" s="24" t="str">
        <f t="shared" si="19"/>
        <v/>
      </c>
      <c r="Y159" s="24" t="str">
        <f t="shared" si="20"/>
        <v>MISSING_STATUS; CATEGORY_NOT_USEFUL</v>
      </c>
    </row>
    <row r="160" spans="1:25" x14ac:dyDescent="0.3">
      <c r="A160" s="24" t="str">
        <f t="shared" si="14"/>
        <v>AS-482#0159</v>
      </c>
      <c r="B160" s="24" t="str">
        <f>IF('query (2)'!B160="","",TRIM(UPPER('query (2)'!B160)))</f>
        <v>AS-482</v>
      </c>
      <c r="C160" s="25" t="str">
        <f>IF('query (2)'!B160="","",'query (2)'!B160)</f>
        <v>AS-482</v>
      </c>
      <c r="D160" s="24" t="str">
        <f t="shared" si="15"/>
        <v>AS</v>
      </c>
      <c r="E160" s="24">
        <f t="shared" si="16"/>
        <v>1</v>
      </c>
      <c r="F160" s="24">
        <f>IF('query (2)'!A160="","",IFERROR(VALUE('query (2)'!A160),""))</f>
        <v>159</v>
      </c>
      <c r="G160" s="24" t="str">
        <f>IF('query (2)'!C160="","UNKNOWN",IFERROR(INDEX(Cleaning_Rules!$B$15:$B$20,MATCH(TRIM(UPPER('query (2)'!C160)),Cleaning_Rules!$A$15:$A$20,0)),"UNKNOWN"))</f>
        <v>FACTORY3</v>
      </c>
      <c r="H160" s="25" t="str">
        <f>IF('query (2)'!C160="","",'query (2)'!C160)</f>
        <v>FACTORY3</v>
      </c>
      <c r="I160" s="24" t="str" cm="1">
        <f t="array" ref="I160">_xlfn.IFS($G160="UNKNOWN","UNKNOWN",OR($G160="FACTORY1",$G160="FACTORY2",$G160="FACTORY3"),"PLANT",TRUE,"SHARED")</f>
        <v>PLANT</v>
      </c>
      <c r="J160" s="24" t="str">
        <f>IF('query (2)'!D160="","UNKNOWN",IF(COUNTIF(Cleaning_Rules!$A$6:$A$11,TRIM('query (2)'!D160))&gt;0,"UNKNOWN",IFERROR(INDEX(Cleaning_Rules!$B$24:$B$28,MATCH(TRIM(UPPER('query (2)'!D160)),Cleaning_Rules!$A$24:$A$28,0)),TRIM(UPPER('query (2)'!D160)))))</f>
        <v>KWD4</v>
      </c>
      <c r="K160" s="25" t="str">
        <f>IF('query (2)'!D160="","",'query (2)'!D160)</f>
        <v>KWD4</v>
      </c>
      <c r="L160" s="24" t="str">
        <f>IF($J160="UNKNOWN","",_xlfn.TEXTBEFORE($J160,{"0","1","2","3","4","5","6","7","8","9"," ","-","."},1,,,$J160))</f>
        <v>KWD</v>
      </c>
      <c r="M160" s="24" t="str">
        <f>IF('query (2)'!I160&lt;&gt;"",TRIM(UPPER('query (2)'!I160)),IF($L160="","UNKNOWN",$L160))</f>
        <v>KWD</v>
      </c>
      <c r="N160" s="24" t="str">
        <f>IF('query (2)'!I160&lt;&gt;"","SOURCE",IF($L160="","UNKNOWN","DERIVED"))</f>
        <v>SOURCE</v>
      </c>
      <c r="O160" s="24" t="str">
        <f>IF('query (2)'!E160="","NOT_SPECIFIED",TRIM(UPPER('query (2)'!E160)))</f>
        <v>ASSEMBLY</v>
      </c>
      <c r="P160" s="24" t="str">
        <f>IF('query (2)'!F160="","",TRIM(UPPER('query (2)'!F160)))</f>
        <v>1013-KW4AI</v>
      </c>
      <c r="Q160" s="24" t="str">
        <f>IF('query (2)'!G160="","UNKNOWN",IFERROR(INDEX(Cleaning_Rules!$B$38:$B$46,MATCH(TRIM(UPPER('query (2)'!G160)),Cleaning_Rules!$A$38:$A$46,0)),"UNKNOWN"))</f>
        <v>OTHER</v>
      </c>
      <c r="R160" s="24" t="str">
        <f>IF('query (2)'!H160="","",TRIM(UPPER('query (2)'!H160)))</f>
        <v>SEAL PRESS MACHINE</v>
      </c>
      <c r="S160" s="25" t="str">
        <f>IF('query (2)'!H160="","",'query (2)'!H160)</f>
        <v>Seal press machine</v>
      </c>
      <c r="T160" s="24" t="str">
        <f>IF('query (2)'!J160="","",TRIM(UPPER('query (2)'!J160)))</f>
        <v>SEAL PRESSING NO.2</v>
      </c>
      <c r="U160" s="24" t="str">
        <f t="shared" si="17"/>
        <v/>
      </c>
      <c r="V160" s="24" t="str">
        <f>IF('query (2)'!K160="","NOT_SPECIFIED",IFERROR(INDEX(Cleaning_Rules!$B$32:$B$34,MATCH(TRIM(UPPER('query (2)'!K160)),Cleaning_Rules!$A$32:$A$34,0)),"UNKNOWN"))</f>
        <v>NOT_SPECIFIED</v>
      </c>
      <c r="W160" s="24" t="str">
        <f t="shared" si="18"/>
        <v>AS-482 | FACTORY3 | KWD4 | KWD | ASSEMBLY | 1013-KW4AI | OTHER | SEAL PRESS MACHINE | SEAL PRESSING NO.2 | NOT_SPECIFIED</v>
      </c>
      <c r="X160" s="24" t="str">
        <f t="shared" si="19"/>
        <v/>
      </c>
      <c r="Y160" s="24" t="str">
        <f t="shared" si="20"/>
        <v>MISSING_STATUS; CATEGORY_NOT_USEFUL</v>
      </c>
    </row>
    <row r="161" spans="1:25" x14ac:dyDescent="0.3">
      <c r="A161" s="24" t="str">
        <f t="shared" si="14"/>
        <v>AS-598#0160</v>
      </c>
      <c r="B161" s="24" t="str">
        <f>IF('query (2)'!B161="","",TRIM(UPPER('query (2)'!B161)))</f>
        <v>AS-598</v>
      </c>
      <c r="C161" s="25" t="str">
        <f>IF('query (2)'!B161="","",'query (2)'!B161)</f>
        <v>AS-598</v>
      </c>
      <c r="D161" s="24" t="str">
        <f t="shared" si="15"/>
        <v>AS</v>
      </c>
      <c r="E161" s="24">
        <f t="shared" si="16"/>
        <v>1</v>
      </c>
      <c r="F161" s="24">
        <f>IF('query (2)'!A161="","",IFERROR(VALUE('query (2)'!A161),""))</f>
        <v>160</v>
      </c>
      <c r="G161" s="24" t="str">
        <f>IF('query (2)'!C161="","UNKNOWN",IFERROR(INDEX(Cleaning_Rules!$B$15:$B$20,MATCH(TRIM(UPPER('query (2)'!C161)),Cleaning_Rules!$A$15:$A$20,0)),"UNKNOWN"))</f>
        <v>FACTORY3</v>
      </c>
      <c r="H161" s="25" t="str">
        <f>IF('query (2)'!C161="","",'query (2)'!C161)</f>
        <v>FACTORY3</v>
      </c>
      <c r="I161" s="24" t="str" cm="1">
        <f t="array" ref="I161">_xlfn.IFS($G161="UNKNOWN","UNKNOWN",OR($G161="FACTORY1",$G161="FACTORY2",$G161="FACTORY3"),"PLANT",TRUE,"SHARED")</f>
        <v>PLANT</v>
      </c>
      <c r="J161" s="24" t="str">
        <f>IF('query (2)'!D161="","UNKNOWN",IF(COUNTIF(Cleaning_Rules!$A$6:$A$11,TRIM('query (2)'!D161))&gt;0,"UNKNOWN",IFERROR(INDEX(Cleaning_Rules!$B$24:$B$28,MATCH(TRIM(UPPER('query (2)'!D161)),Cleaning_Rules!$A$24:$A$28,0)),TRIM(UPPER('query (2)'!D161)))))</f>
        <v>KWD5</v>
      </c>
      <c r="K161" s="25" t="str">
        <f>IF('query (2)'!D161="","",'query (2)'!D161)</f>
        <v>KWD5</v>
      </c>
      <c r="L161" s="24" t="str">
        <f>IF($J161="UNKNOWN","",_xlfn.TEXTBEFORE($J161,{"0","1","2","3","4","5","6","7","8","9"," ","-","."},1,,,$J161))</f>
        <v>KWD</v>
      </c>
      <c r="M161" s="24" t="str">
        <f>IF('query (2)'!I161&lt;&gt;"",TRIM(UPPER('query (2)'!I161)),IF($L161="","UNKNOWN",$L161))</f>
        <v>KWD</v>
      </c>
      <c r="N161" s="24" t="str">
        <f>IF('query (2)'!I161&lt;&gt;"","SOURCE",IF($L161="","UNKNOWN","DERIVED"))</f>
        <v>SOURCE</v>
      </c>
      <c r="O161" s="24" t="str">
        <f>IF('query (2)'!E161="","NOT_SPECIFIED",TRIM(UPPER('query (2)'!E161)))</f>
        <v>ASSEMBLY</v>
      </c>
      <c r="P161" s="24" t="str">
        <f>IF('query (2)'!F161="","",TRIM(UPPER('query (2)'!F161)))</f>
        <v>1016-KW5AI</v>
      </c>
      <c r="Q161" s="24" t="str">
        <f>IF('query (2)'!G161="","UNKNOWN",IFERROR(INDEX(Cleaning_Rules!$B$38:$B$46,MATCH(TRIM(UPPER('query (2)'!G161)),Cleaning_Rules!$A$38:$A$46,0)),"UNKNOWN"))</f>
        <v>OTHER</v>
      </c>
      <c r="R161" s="24" t="str">
        <f>IF('query (2)'!H161="","",TRIM(UPPER('query (2)'!H161)))</f>
        <v>SEAL PRESS MACHINE</v>
      </c>
      <c r="S161" s="25" t="str">
        <f>IF('query (2)'!H161="","",'query (2)'!H161)</f>
        <v>Seal press machine</v>
      </c>
      <c r="T161" s="24" t="str">
        <f>IF('query (2)'!J161="","",TRIM(UPPER('query (2)'!J161)))</f>
        <v>SEAL PRESSING NO.1</v>
      </c>
      <c r="U161" s="24" t="str">
        <f t="shared" si="17"/>
        <v/>
      </c>
      <c r="V161" s="24" t="str">
        <f>IF('query (2)'!K161="","NOT_SPECIFIED",IFERROR(INDEX(Cleaning_Rules!$B$32:$B$34,MATCH(TRIM(UPPER('query (2)'!K161)),Cleaning_Rules!$A$32:$A$34,0)),"UNKNOWN"))</f>
        <v>NOT_SPECIFIED</v>
      </c>
      <c r="W161" s="24" t="str">
        <f t="shared" si="18"/>
        <v>AS-598 | FACTORY3 | KWD5 | KWD | ASSEMBLY | 1016-KW5AI | OTHER | SEAL PRESS MACHINE | SEAL PRESSING NO.1 | NOT_SPECIFIED</v>
      </c>
      <c r="X161" s="24" t="str">
        <f t="shared" si="19"/>
        <v/>
      </c>
      <c r="Y161" s="24" t="str">
        <f t="shared" si="20"/>
        <v>MISSING_STATUS; CATEGORY_NOT_USEFUL</v>
      </c>
    </row>
    <row r="162" spans="1:25" x14ac:dyDescent="0.3">
      <c r="A162" s="24" t="str">
        <f t="shared" si="14"/>
        <v>AS-599#0161</v>
      </c>
      <c r="B162" s="24" t="str">
        <f>IF('query (2)'!B162="","",TRIM(UPPER('query (2)'!B162)))</f>
        <v>AS-599</v>
      </c>
      <c r="C162" s="25" t="str">
        <f>IF('query (2)'!B162="","",'query (2)'!B162)</f>
        <v>AS-599</v>
      </c>
      <c r="D162" s="24" t="str">
        <f t="shared" si="15"/>
        <v>AS</v>
      </c>
      <c r="E162" s="24">
        <f t="shared" si="16"/>
        <v>1</v>
      </c>
      <c r="F162" s="24">
        <f>IF('query (2)'!A162="","",IFERROR(VALUE('query (2)'!A162),""))</f>
        <v>161</v>
      </c>
      <c r="G162" s="24" t="str">
        <f>IF('query (2)'!C162="","UNKNOWN",IFERROR(INDEX(Cleaning_Rules!$B$15:$B$20,MATCH(TRIM(UPPER('query (2)'!C162)),Cleaning_Rules!$A$15:$A$20,0)),"UNKNOWN"))</f>
        <v>FACTORY3</v>
      </c>
      <c r="H162" s="25" t="str">
        <f>IF('query (2)'!C162="","",'query (2)'!C162)</f>
        <v>FACTORY3</v>
      </c>
      <c r="I162" s="24" t="str" cm="1">
        <f t="array" ref="I162">_xlfn.IFS($G162="UNKNOWN","UNKNOWN",OR($G162="FACTORY1",$G162="FACTORY2",$G162="FACTORY3"),"PLANT",TRUE,"SHARED")</f>
        <v>PLANT</v>
      </c>
      <c r="J162" s="24" t="str">
        <f>IF('query (2)'!D162="","UNKNOWN",IF(COUNTIF(Cleaning_Rules!$A$6:$A$11,TRIM('query (2)'!D162))&gt;0,"UNKNOWN",IFERROR(INDEX(Cleaning_Rules!$B$24:$B$28,MATCH(TRIM(UPPER('query (2)'!D162)),Cleaning_Rules!$A$24:$A$28,0)),TRIM(UPPER('query (2)'!D162)))))</f>
        <v>KWD5</v>
      </c>
      <c r="K162" s="25" t="str">
        <f>IF('query (2)'!D162="","",'query (2)'!D162)</f>
        <v>KWD5</v>
      </c>
      <c r="L162" s="24" t="str">
        <f>IF($J162="UNKNOWN","",_xlfn.TEXTBEFORE($J162,{"0","1","2","3","4","5","6","7","8","9"," ","-","."},1,,,$J162))</f>
        <v>KWD</v>
      </c>
      <c r="M162" s="24" t="str">
        <f>IF('query (2)'!I162&lt;&gt;"",TRIM(UPPER('query (2)'!I162)),IF($L162="","UNKNOWN",$L162))</f>
        <v>KWD</v>
      </c>
      <c r="N162" s="24" t="str">
        <f>IF('query (2)'!I162&lt;&gt;"","SOURCE",IF($L162="","UNKNOWN","DERIVED"))</f>
        <v>SOURCE</v>
      </c>
      <c r="O162" s="24" t="str">
        <f>IF('query (2)'!E162="","NOT_SPECIFIED",TRIM(UPPER('query (2)'!E162)))</f>
        <v>ASSEMBLY</v>
      </c>
      <c r="P162" s="24" t="str">
        <f>IF('query (2)'!F162="","",TRIM(UPPER('query (2)'!F162)))</f>
        <v>1016-KW5AI</v>
      </c>
      <c r="Q162" s="24" t="str">
        <f>IF('query (2)'!G162="","UNKNOWN",IFERROR(INDEX(Cleaning_Rules!$B$38:$B$46,MATCH(TRIM(UPPER('query (2)'!G162)),Cleaning_Rules!$A$38:$A$46,0)),"UNKNOWN"))</f>
        <v>OTHER</v>
      </c>
      <c r="R162" s="24" t="str">
        <f>IF('query (2)'!H162="","",TRIM(UPPER('query (2)'!H162)))</f>
        <v>SEAL PRESS MACHINE</v>
      </c>
      <c r="S162" s="25" t="str">
        <f>IF('query (2)'!H162="","",'query (2)'!H162)</f>
        <v>Seal press machine</v>
      </c>
      <c r="T162" s="24" t="str">
        <f>IF('query (2)'!J162="","",TRIM(UPPER('query (2)'!J162)))</f>
        <v>SEAL PRESSING NO.2</v>
      </c>
      <c r="U162" s="24" t="str">
        <f t="shared" si="17"/>
        <v/>
      </c>
      <c r="V162" s="24" t="str">
        <f>IF('query (2)'!K162="","NOT_SPECIFIED",IFERROR(INDEX(Cleaning_Rules!$B$32:$B$34,MATCH(TRIM(UPPER('query (2)'!K162)),Cleaning_Rules!$A$32:$A$34,0)),"UNKNOWN"))</f>
        <v>NOT_SPECIFIED</v>
      </c>
      <c r="W162" s="24" t="str">
        <f t="shared" si="18"/>
        <v>AS-599 | FACTORY3 | KWD5 | KWD | ASSEMBLY | 1016-KW5AI | OTHER | SEAL PRESS MACHINE | SEAL PRESSING NO.2 | NOT_SPECIFIED</v>
      </c>
      <c r="X162" s="24" t="str">
        <f t="shared" si="19"/>
        <v/>
      </c>
      <c r="Y162" s="24" t="str">
        <f t="shared" si="20"/>
        <v>MISSING_STATUS; CATEGORY_NOT_USEFUL</v>
      </c>
    </row>
    <row r="163" spans="1:25" x14ac:dyDescent="0.3">
      <c r="A163" s="24" t="str">
        <f t="shared" si="14"/>
        <v>AS-707#0162</v>
      </c>
      <c r="B163" s="24" t="str">
        <f>IF('query (2)'!B163="","",TRIM(UPPER('query (2)'!B163)))</f>
        <v>AS-707</v>
      </c>
      <c r="C163" s="25" t="str">
        <f>IF('query (2)'!B163="","",'query (2)'!B163)</f>
        <v>AS-707</v>
      </c>
      <c r="D163" s="24" t="str">
        <f t="shared" si="15"/>
        <v>AS</v>
      </c>
      <c r="E163" s="24">
        <f t="shared" si="16"/>
        <v>1</v>
      </c>
      <c r="F163" s="24">
        <f>IF('query (2)'!A163="","",IFERROR(VALUE('query (2)'!A163),""))</f>
        <v>162</v>
      </c>
      <c r="G163" s="24" t="str">
        <f>IF('query (2)'!C163="","UNKNOWN",IFERROR(INDEX(Cleaning_Rules!$B$15:$B$20,MATCH(TRIM(UPPER('query (2)'!C163)),Cleaning_Rules!$A$15:$A$20,0)),"UNKNOWN"))</f>
        <v>FACTORY3</v>
      </c>
      <c r="H163" s="25" t="str">
        <f>IF('query (2)'!C163="","",'query (2)'!C163)</f>
        <v>FACTORY3</v>
      </c>
      <c r="I163" s="24" t="str" cm="1">
        <f t="array" ref="I163">_xlfn.IFS($G163="UNKNOWN","UNKNOWN",OR($G163="FACTORY1",$G163="FACTORY2",$G163="FACTORY3"),"PLANT",TRUE,"SHARED")</f>
        <v>PLANT</v>
      </c>
      <c r="J163" s="24" t="str">
        <f>IF('query (2)'!D163="","UNKNOWN",IF(COUNTIF(Cleaning_Rules!$A$6:$A$11,TRIM('query (2)'!D163))&gt;0,"UNKNOWN",IFERROR(INDEX(Cleaning_Rules!$B$24:$B$28,MATCH(TRIM(UPPER('query (2)'!D163)),Cleaning_Rules!$A$24:$A$28,0)),TRIM(UPPER('query (2)'!D163)))))</f>
        <v>KWD6</v>
      </c>
      <c r="K163" s="25" t="str">
        <f>IF('query (2)'!D163="","",'query (2)'!D163)</f>
        <v>KWD6</v>
      </c>
      <c r="L163" s="24" t="str">
        <f>IF($J163="UNKNOWN","",_xlfn.TEXTBEFORE($J163,{"0","1","2","3","4","5","6","7","8","9"," ","-","."},1,,,$J163))</f>
        <v>KWD</v>
      </c>
      <c r="M163" s="24" t="str">
        <f>IF('query (2)'!I163&lt;&gt;"",TRIM(UPPER('query (2)'!I163)),IF($L163="","UNKNOWN",$L163))</f>
        <v>KWD</v>
      </c>
      <c r="N163" s="24" t="str">
        <f>IF('query (2)'!I163&lt;&gt;"","SOURCE",IF($L163="","UNKNOWN","DERIVED"))</f>
        <v>SOURCE</v>
      </c>
      <c r="O163" s="24" t="str">
        <f>IF('query (2)'!E163="","NOT_SPECIFIED",TRIM(UPPER('query (2)'!E163)))</f>
        <v>ASSEMBLY</v>
      </c>
      <c r="P163" s="24" t="str">
        <f>IF('query (2)'!F163="","",TRIM(UPPER('query (2)'!F163)))</f>
        <v>1019-KW6AI</v>
      </c>
      <c r="Q163" s="24" t="str">
        <f>IF('query (2)'!G163="","UNKNOWN",IFERROR(INDEX(Cleaning_Rules!$B$38:$B$46,MATCH(TRIM(UPPER('query (2)'!G163)),Cleaning_Rules!$A$38:$A$46,0)),"UNKNOWN"))</f>
        <v>OTHER</v>
      </c>
      <c r="R163" s="24" t="str">
        <f>IF('query (2)'!H163="","",TRIM(UPPER('query (2)'!H163)))</f>
        <v>SEAL PRESS MACHINE</v>
      </c>
      <c r="S163" s="25" t="str">
        <f>IF('query (2)'!H163="","",'query (2)'!H163)</f>
        <v>Seal press machine</v>
      </c>
      <c r="T163" s="24" t="str">
        <f>IF('query (2)'!J163="","",TRIM(UPPER('query (2)'!J163)))</f>
        <v>SEAL PRESSING NO.1</v>
      </c>
      <c r="U163" s="24" t="str">
        <f t="shared" si="17"/>
        <v/>
      </c>
      <c r="V163" s="24" t="str">
        <f>IF('query (2)'!K163="","NOT_SPECIFIED",IFERROR(INDEX(Cleaning_Rules!$B$32:$B$34,MATCH(TRIM(UPPER('query (2)'!K163)),Cleaning_Rules!$A$32:$A$34,0)),"UNKNOWN"))</f>
        <v>NOT_SPECIFIED</v>
      </c>
      <c r="W163" s="24" t="str">
        <f t="shared" si="18"/>
        <v>AS-707 | FACTORY3 | KWD6 | KWD | ASSEMBLY | 1019-KW6AI | OTHER | SEAL PRESS MACHINE | SEAL PRESSING NO.1 | NOT_SPECIFIED</v>
      </c>
      <c r="X163" s="24" t="str">
        <f t="shared" si="19"/>
        <v/>
      </c>
      <c r="Y163" s="24" t="str">
        <f t="shared" si="20"/>
        <v>MISSING_STATUS; CATEGORY_NOT_USEFUL</v>
      </c>
    </row>
    <row r="164" spans="1:25" x14ac:dyDescent="0.3">
      <c r="A164" s="24" t="str">
        <f t="shared" si="14"/>
        <v>AS-708#0163</v>
      </c>
      <c r="B164" s="24" t="str">
        <f>IF('query (2)'!B164="","",TRIM(UPPER('query (2)'!B164)))</f>
        <v>AS-708</v>
      </c>
      <c r="C164" s="25" t="str">
        <f>IF('query (2)'!B164="","",'query (2)'!B164)</f>
        <v>AS-708</v>
      </c>
      <c r="D164" s="24" t="str">
        <f t="shared" si="15"/>
        <v>AS</v>
      </c>
      <c r="E164" s="24">
        <f t="shared" si="16"/>
        <v>1</v>
      </c>
      <c r="F164" s="24">
        <f>IF('query (2)'!A164="","",IFERROR(VALUE('query (2)'!A164),""))</f>
        <v>163</v>
      </c>
      <c r="G164" s="24" t="str">
        <f>IF('query (2)'!C164="","UNKNOWN",IFERROR(INDEX(Cleaning_Rules!$B$15:$B$20,MATCH(TRIM(UPPER('query (2)'!C164)),Cleaning_Rules!$A$15:$A$20,0)),"UNKNOWN"))</f>
        <v>FACTORY3</v>
      </c>
      <c r="H164" s="25" t="str">
        <f>IF('query (2)'!C164="","",'query (2)'!C164)</f>
        <v>FACTORY3</v>
      </c>
      <c r="I164" s="24" t="str" cm="1">
        <f t="array" ref="I164">_xlfn.IFS($G164="UNKNOWN","UNKNOWN",OR($G164="FACTORY1",$G164="FACTORY2",$G164="FACTORY3"),"PLANT",TRUE,"SHARED")</f>
        <v>PLANT</v>
      </c>
      <c r="J164" s="24" t="str">
        <f>IF('query (2)'!D164="","UNKNOWN",IF(COUNTIF(Cleaning_Rules!$A$6:$A$11,TRIM('query (2)'!D164))&gt;0,"UNKNOWN",IFERROR(INDEX(Cleaning_Rules!$B$24:$B$28,MATCH(TRIM(UPPER('query (2)'!D164)),Cleaning_Rules!$A$24:$A$28,0)),TRIM(UPPER('query (2)'!D164)))))</f>
        <v>KWD6</v>
      </c>
      <c r="K164" s="25" t="str">
        <f>IF('query (2)'!D164="","",'query (2)'!D164)</f>
        <v>KWD6</v>
      </c>
      <c r="L164" s="24" t="str">
        <f>IF($J164="UNKNOWN","",_xlfn.TEXTBEFORE($J164,{"0","1","2","3","4","5","6","7","8","9"," ","-","."},1,,,$J164))</f>
        <v>KWD</v>
      </c>
      <c r="M164" s="24" t="str">
        <f>IF('query (2)'!I164&lt;&gt;"",TRIM(UPPER('query (2)'!I164)),IF($L164="","UNKNOWN",$L164))</f>
        <v>KWD</v>
      </c>
      <c r="N164" s="24" t="str">
        <f>IF('query (2)'!I164&lt;&gt;"","SOURCE",IF($L164="","UNKNOWN","DERIVED"))</f>
        <v>SOURCE</v>
      </c>
      <c r="O164" s="24" t="str">
        <f>IF('query (2)'!E164="","NOT_SPECIFIED",TRIM(UPPER('query (2)'!E164)))</f>
        <v>ASSEMBLY</v>
      </c>
      <c r="P164" s="24" t="str">
        <f>IF('query (2)'!F164="","",TRIM(UPPER('query (2)'!F164)))</f>
        <v>1019-KW6AI</v>
      </c>
      <c r="Q164" s="24" t="str">
        <f>IF('query (2)'!G164="","UNKNOWN",IFERROR(INDEX(Cleaning_Rules!$B$38:$B$46,MATCH(TRIM(UPPER('query (2)'!G164)),Cleaning_Rules!$A$38:$A$46,0)),"UNKNOWN"))</f>
        <v>OTHER</v>
      </c>
      <c r="R164" s="24" t="str">
        <f>IF('query (2)'!H164="","",TRIM(UPPER('query (2)'!H164)))</f>
        <v>SEAL PRESS MACHINE</v>
      </c>
      <c r="S164" s="25" t="str">
        <f>IF('query (2)'!H164="","",'query (2)'!H164)</f>
        <v>Seal press machine</v>
      </c>
      <c r="T164" s="24" t="str">
        <f>IF('query (2)'!J164="","",TRIM(UPPER('query (2)'!J164)))</f>
        <v>SEAL PRESSING NO.2</v>
      </c>
      <c r="U164" s="24" t="str">
        <f t="shared" si="17"/>
        <v/>
      </c>
      <c r="V164" s="24" t="str">
        <f>IF('query (2)'!K164="","NOT_SPECIFIED",IFERROR(INDEX(Cleaning_Rules!$B$32:$B$34,MATCH(TRIM(UPPER('query (2)'!K164)),Cleaning_Rules!$A$32:$A$34,0)),"UNKNOWN"))</f>
        <v>NOT_SPECIFIED</v>
      </c>
      <c r="W164" s="24" t="str">
        <f t="shared" si="18"/>
        <v>AS-708 | FACTORY3 | KWD6 | KWD | ASSEMBLY | 1019-KW6AI | OTHER | SEAL PRESS MACHINE | SEAL PRESSING NO.2 | NOT_SPECIFIED</v>
      </c>
      <c r="X164" s="24" t="str">
        <f t="shared" si="19"/>
        <v/>
      </c>
      <c r="Y164" s="24" t="str">
        <f t="shared" si="20"/>
        <v>MISSING_STATUS; CATEGORY_NOT_USEFUL</v>
      </c>
    </row>
    <row r="165" spans="1:25" x14ac:dyDescent="0.3">
      <c r="A165" s="24" t="str">
        <f t="shared" si="14"/>
        <v>AS-846#0164</v>
      </c>
      <c r="B165" s="24" t="str">
        <f>IF('query (2)'!B165="","",TRIM(UPPER('query (2)'!B165)))</f>
        <v>AS-846</v>
      </c>
      <c r="C165" s="25" t="str">
        <f>IF('query (2)'!B165="","",'query (2)'!B165)</f>
        <v>AS-846</v>
      </c>
      <c r="D165" s="24" t="str">
        <f t="shared" si="15"/>
        <v>AS</v>
      </c>
      <c r="E165" s="24">
        <f t="shared" si="16"/>
        <v>1</v>
      </c>
      <c r="F165" s="24">
        <f>IF('query (2)'!A165="","",IFERROR(VALUE('query (2)'!A165),""))</f>
        <v>164</v>
      </c>
      <c r="G165" s="24" t="str">
        <f>IF('query (2)'!C165="","UNKNOWN",IFERROR(INDEX(Cleaning_Rules!$B$15:$B$20,MATCH(TRIM(UPPER('query (2)'!C165)),Cleaning_Rules!$A$15:$A$20,0)),"UNKNOWN"))</f>
        <v>FACTORY3</v>
      </c>
      <c r="H165" s="25" t="str">
        <f>IF('query (2)'!C165="","",'query (2)'!C165)</f>
        <v>FACTORY3</v>
      </c>
      <c r="I165" s="24" t="str" cm="1">
        <f t="array" ref="I165">_xlfn.IFS($G165="UNKNOWN","UNKNOWN",OR($G165="FACTORY1",$G165="FACTORY2",$G165="FACTORY3"),"PLANT",TRUE,"SHARED")</f>
        <v>PLANT</v>
      </c>
      <c r="J165" s="24" t="str">
        <f>IF('query (2)'!D165="","UNKNOWN",IF(COUNTIF(Cleaning_Rules!$A$6:$A$11,TRIM('query (2)'!D165))&gt;0,"UNKNOWN",IFERROR(INDEX(Cleaning_Rules!$B$24:$B$28,MATCH(TRIM(UPPER('query (2)'!D165)),Cleaning_Rules!$A$24:$A$28,0)),TRIM(UPPER('query (2)'!D165)))))</f>
        <v>KWD7</v>
      </c>
      <c r="K165" s="25" t="str">
        <f>IF('query (2)'!D165="","",'query (2)'!D165)</f>
        <v>KWD7</v>
      </c>
      <c r="L165" s="24" t="str">
        <f>IF($J165="UNKNOWN","",_xlfn.TEXTBEFORE($J165,{"0","1","2","3","4","5","6","7","8","9"," ","-","."},1,,,$J165))</f>
        <v>KWD</v>
      </c>
      <c r="M165" s="24" t="str">
        <f>IF('query (2)'!I165&lt;&gt;"",TRIM(UPPER('query (2)'!I165)),IF($L165="","UNKNOWN",$L165))</f>
        <v>KWD</v>
      </c>
      <c r="N165" s="24" t="str">
        <f>IF('query (2)'!I165&lt;&gt;"","SOURCE",IF($L165="","UNKNOWN","DERIVED"))</f>
        <v>SOURCE</v>
      </c>
      <c r="O165" s="24" t="str">
        <f>IF('query (2)'!E165="","NOT_SPECIFIED",TRIM(UPPER('query (2)'!E165)))</f>
        <v>ASSEMBLY</v>
      </c>
      <c r="P165" s="24" t="str">
        <f>IF('query (2)'!F165="","",TRIM(UPPER('query (2)'!F165)))</f>
        <v>1025-KW7AI</v>
      </c>
      <c r="Q165" s="24" t="str">
        <f>IF('query (2)'!G165="","UNKNOWN",IFERROR(INDEX(Cleaning_Rules!$B$38:$B$46,MATCH(TRIM(UPPER('query (2)'!G165)),Cleaning_Rules!$A$38:$A$46,0)),"UNKNOWN"))</f>
        <v>OTHER</v>
      </c>
      <c r="R165" s="24" t="str">
        <f>IF('query (2)'!H165="","",TRIM(UPPER('query (2)'!H165)))</f>
        <v>SEAL PRESS MACHINE</v>
      </c>
      <c r="S165" s="25" t="str">
        <f>IF('query (2)'!H165="","",'query (2)'!H165)</f>
        <v>Seal press machine</v>
      </c>
      <c r="T165" s="24" t="str">
        <f>IF('query (2)'!J165="","",TRIM(UPPER('query (2)'!J165)))</f>
        <v>SEAL PRESSING NO.1</v>
      </c>
      <c r="U165" s="24" t="str">
        <f t="shared" si="17"/>
        <v/>
      </c>
      <c r="V165" s="24" t="str">
        <f>IF('query (2)'!K165="","NOT_SPECIFIED",IFERROR(INDEX(Cleaning_Rules!$B$32:$B$34,MATCH(TRIM(UPPER('query (2)'!K165)),Cleaning_Rules!$A$32:$A$34,0)),"UNKNOWN"))</f>
        <v>NOT_SPECIFIED</v>
      </c>
      <c r="W165" s="24" t="str">
        <f t="shared" si="18"/>
        <v>AS-846 | FACTORY3 | KWD7 | KWD | ASSEMBLY | 1025-KW7AI | OTHER | SEAL PRESS MACHINE | SEAL PRESSING NO.1 | NOT_SPECIFIED</v>
      </c>
      <c r="X165" s="24" t="str">
        <f t="shared" si="19"/>
        <v/>
      </c>
      <c r="Y165" s="24" t="str">
        <f t="shared" si="20"/>
        <v>MISSING_STATUS; CATEGORY_NOT_USEFUL</v>
      </c>
    </row>
    <row r="166" spans="1:25" x14ac:dyDescent="0.3">
      <c r="A166" s="24" t="str">
        <f t="shared" si="14"/>
        <v>AS-847#0165</v>
      </c>
      <c r="B166" s="24" t="str">
        <f>IF('query (2)'!B166="","",TRIM(UPPER('query (2)'!B166)))</f>
        <v>AS-847</v>
      </c>
      <c r="C166" s="25" t="str">
        <f>IF('query (2)'!B166="","",'query (2)'!B166)</f>
        <v>AS-847</v>
      </c>
      <c r="D166" s="24" t="str">
        <f t="shared" si="15"/>
        <v>AS</v>
      </c>
      <c r="E166" s="24">
        <f t="shared" si="16"/>
        <v>1</v>
      </c>
      <c r="F166" s="24">
        <f>IF('query (2)'!A166="","",IFERROR(VALUE('query (2)'!A166),""))</f>
        <v>165</v>
      </c>
      <c r="G166" s="24" t="str">
        <f>IF('query (2)'!C166="","UNKNOWN",IFERROR(INDEX(Cleaning_Rules!$B$15:$B$20,MATCH(TRIM(UPPER('query (2)'!C166)),Cleaning_Rules!$A$15:$A$20,0)),"UNKNOWN"))</f>
        <v>FACTORY3</v>
      </c>
      <c r="H166" s="25" t="str">
        <f>IF('query (2)'!C166="","",'query (2)'!C166)</f>
        <v>FACTORY3</v>
      </c>
      <c r="I166" s="24" t="str" cm="1">
        <f t="array" ref="I166">_xlfn.IFS($G166="UNKNOWN","UNKNOWN",OR($G166="FACTORY1",$G166="FACTORY2",$G166="FACTORY3"),"PLANT",TRUE,"SHARED")</f>
        <v>PLANT</v>
      </c>
      <c r="J166" s="24" t="str">
        <f>IF('query (2)'!D166="","UNKNOWN",IF(COUNTIF(Cleaning_Rules!$A$6:$A$11,TRIM('query (2)'!D166))&gt;0,"UNKNOWN",IFERROR(INDEX(Cleaning_Rules!$B$24:$B$28,MATCH(TRIM(UPPER('query (2)'!D166)),Cleaning_Rules!$A$24:$A$28,0)),TRIM(UPPER('query (2)'!D166)))))</f>
        <v>KWD7</v>
      </c>
      <c r="K166" s="25" t="str">
        <f>IF('query (2)'!D166="","",'query (2)'!D166)</f>
        <v>KWD7</v>
      </c>
      <c r="L166" s="24" t="str">
        <f>IF($J166="UNKNOWN","",_xlfn.TEXTBEFORE($J166,{"0","1","2","3","4","5","6","7","8","9"," ","-","."},1,,,$J166))</f>
        <v>KWD</v>
      </c>
      <c r="M166" s="24" t="str">
        <f>IF('query (2)'!I166&lt;&gt;"",TRIM(UPPER('query (2)'!I166)),IF($L166="","UNKNOWN",$L166))</f>
        <v>KWD</v>
      </c>
      <c r="N166" s="24" t="str">
        <f>IF('query (2)'!I166&lt;&gt;"","SOURCE",IF($L166="","UNKNOWN","DERIVED"))</f>
        <v>SOURCE</v>
      </c>
      <c r="O166" s="24" t="str">
        <f>IF('query (2)'!E166="","NOT_SPECIFIED",TRIM(UPPER('query (2)'!E166)))</f>
        <v>ASSEMBLY</v>
      </c>
      <c r="P166" s="24" t="str">
        <f>IF('query (2)'!F166="","",TRIM(UPPER('query (2)'!F166)))</f>
        <v>1025-KW7AI</v>
      </c>
      <c r="Q166" s="24" t="str">
        <f>IF('query (2)'!G166="","UNKNOWN",IFERROR(INDEX(Cleaning_Rules!$B$38:$B$46,MATCH(TRIM(UPPER('query (2)'!G166)),Cleaning_Rules!$A$38:$A$46,0)),"UNKNOWN"))</f>
        <v>OTHER</v>
      </c>
      <c r="R166" s="24" t="str">
        <f>IF('query (2)'!H166="","",TRIM(UPPER('query (2)'!H166)))</f>
        <v>SEAL PRESS MACHINE</v>
      </c>
      <c r="S166" s="25" t="str">
        <f>IF('query (2)'!H166="","",'query (2)'!H166)</f>
        <v>Seal press machine</v>
      </c>
      <c r="T166" s="24" t="str">
        <f>IF('query (2)'!J166="","",TRIM(UPPER('query (2)'!J166)))</f>
        <v>SEAL PRESSING NO.2</v>
      </c>
      <c r="U166" s="24" t="str">
        <f t="shared" si="17"/>
        <v/>
      </c>
      <c r="V166" s="24" t="str">
        <f>IF('query (2)'!K166="","NOT_SPECIFIED",IFERROR(INDEX(Cleaning_Rules!$B$32:$B$34,MATCH(TRIM(UPPER('query (2)'!K166)),Cleaning_Rules!$A$32:$A$34,0)),"UNKNOWN"))</f>
        <v>NOT_SPECIFIED</v>
      </c>
      <c r="W166" s="24" t="str">
        <f t="shared" si="18"/>
        <v>AS-847 | FACTORY3 | KWD7 | KWD | ASSEMBLY | 1025-KW7AI | OTHER | SEAL PRESS MACHINE | SEAL PRESSING NO.2 | NOT_SPECIFIED</v>
      </c>
      <c r="X166" s="24" t="str">
        <f t="shared" si="19"/>
        <v/>
      </c>
      <c r="Y166" s="24" t="str">
        <f t="shared" si="20"/>
        <v>MISSING_STATUS; CATEGORY_NOT_USEFUL</v>
      </c>
    </row>
    <row r="167" spans="1:25" x14ac:dyDescent="0.3">
      <c r="A167" s="24" t="str">
        <f t="shared" si="14"/>
        <v>CH-012#0166</v>
      </c>
      <c r="B167" s="24" t="str">
        <f>IF('query (2)'!B167="","",TRIM(UPPER('query (2)'!B167)))</f>
        <v>CH-012</v>
      </c>
      <c r="C167" s="25" t="str">
        <f>IF('query (2)'!B167="","",'query (2)'!B167)</f>
        <v>CH-012</v>
      </c>
      <c r="D167" s="24" t="str">
        <f t="shared" si="15"/>
        <v>CH</v>
      </c>
      <c r="E167" s="24">
        <f t="shared" si="16"/>
        <v>1</v>
      </c>
      <c r="F167" s="24">
        <f>IF('query (2)'!A167="","",IFERROR(VALUE('query (2)'!A167),""))</f>
        <v>166</v>
      </c>
      <c r="G167" s="24" t="str">
        <f>IF('query (2)'!C167="","UNKNOWN",IFERROR(INDEX(Cleaning_Rules!$B$15:$B$20,MATCH(TRIM(UPPER('query (2)'!C167)),Cleaning_Rules!$A$15:$A$20,0)),"UNKNOWN"))</f>
        <v>FACTORY3</v>
      </c>
      <c r="H167" s="25" t="str">
        <f>IF('query (2)'!C167="","",'query (2)'!C167)</f>
        <v>FACTORY3</v>
      </c>
      <c r="I167" s="24" t="str" cm="1">
        <f t="array" ref="I167">_xlfn.IFS($G167="UNKNOWN","UNKNOWN",OR($G167="FACTORY1",$G167="FACTORY2",$G167="FACTORY3"),"PLANT",TRUE,"SHARED")</f>
        <v>PLANT</v>
      </c>
      <c r="J167" s="24" t="str">
        <f>IF('query (2)'!D167="","UNKNOWN",IF(COUNTIF(Cleaning_Rules!$A$6:$A$11,TRIM('query (2)'!D167))&gt;0,"UNKNOWN",IFERROR(INDEX(Cleaning_Rules!$B$24:$B$28,MATCH(TRIM(UPPER('query (2)'!D167)),Cleaning_Rules!$A$24:$A$28,0)),TRIM(UPPER('query (2)'!D167)))))</f>
        <v>KWD1</v>
      </c>
      <c r="K167" s="25" t="str">
        <f>IF('query (2)'!D167="","",'query (2)'!D167)</f>
        <v>KWD1</v>
      </c>
      <c r="L167" s="24" t="str">
        <f>IF($J167="UNKNOWN","",_xlfn.TEXTBEFORE($J167,{"0","1","2","3","4","5","6","7","8","9"," ","-","."},1,,,$J167))</f>
        <v>KWD</v>
      </c>
      <c r="M167" s="24" t="str">
        <f>IF('query (2)'!I167&lt;&gt;"",TRIM(UPPER('query (2)'!I167)),IF($L167="","UNKNOWN",$L167))</f>
        <v>KWD</v>
      </c>
      <c r="N167" s="24" t="str">
        <f>IF('query (2)'!I167&lt;&gt;"","SOURCE",IF($L167="","UNKNOWN","DERIVED"))</f>
        <v>SOURCE</v>
      </c>
      <c r="O167" s="24" t="str">
        <f>IF('query (2)'!E167="","NOT_SPECIFIED",TRIM(UPPER('query (2)'!E167)))</f>
        <v>ASSEMBLY</v>
      </c>
      <c r="P167" s="24" t="str">
        <f>IF('query (2)'!F167="","",TRIM(UPPER('query (2)'!F167)))</f>
        <v>1004-KW1AI</v>
      </c>
      <c r="Q167" s="24" t="str">
        <f>IF('query (2)'!G167="","UNKNOWN",IFERROR(INDEX(Cleaning_Rules!$B$38:$B$46,MATCH(TRIM(UPPER('query (2)'!G167)),Cleaning_Rules!$A$38:$A$46,0)),"UNKNOWN"))</f>
        <v>OTHER</v>
      </c>
      <c r="R167" s="24" t="str">
        <f>IF('query (2)'!H167="","",TRIM(UPPER('query (2)'!H167)))</f>
        <v>SEMI ASSEMBLY INSPECTION MACHINE</v>
      </c>
      <c r="S167" s="25" t="str">
        <f>IF('query (2)'!H167="","",'query (2)'!H167)</f>
        <v>Semi assembly inspection machine</v>
      </c>
      <c r="T167" s="24" t="str">
        <f>IF('query (2)'!J167="","",TRIM(UPPER('query (2)'!J167)))</f>
        <v>SEMI ASSEMBLY</v>
      </c>
      <c r="U167" s="24" t="str">
        <f t="shared" si="17"/>
        <v/>
      </c>
      <c r="V167" s="24" t="str">
        <f>IF('query (2)'!K167="","NOT_SPECIFIED",IFERROR(INDEX(Cleaning_Rules!$B$32:$B$34,MATCH(TRIM(UPPER('query (2)'!K167)),Cleaning_Rules!$A$32:$A$34,0)),"UNKNOWN"))</f>
        <v>NOT_SPECIFIED</v>
      </c>
      <c r="W167" s="24" t="str">
        <f t="shared" si="18"/>
        <v>CH-012 | FACTORY3 | KWD1 | KWD | ASSEMBLY | 1004-KW1AI | OTHER | SEMI ASSEMBLY INSPECTION MACHINE | SEMI ASSEMBLY | NOT_SPECIFIED</v>
      </c>
      <c r="X167" s="24" t="str">
        <f t="shared" si="19"/>
        <v/>
      </c>
      <c r="Y167" s="24" t="str">
        <f t="shared" si="20"/>
        <v>MISSING_STATUS; CATEGORY_NOT_USEFUL</v>
      </c>
    </row>
    <row r="168" spans="1:25" x14ac:dyDescent="0.3">
      <c r="A168" s="24" t="str">
        <f t="shared" si="14"/>
        <v>CH-261#0167</v>
      </c>
      <c r="B168" s="24" t="str">
        <f>IF('query (2)'!B168="","",TRIM(UPPER('query (2)'!B168)))</f>
        <v>CH-261</v>
      </c>
      <c r="C168" s="25" t="str">
        <f>IF('query (2)'!B168="","",'query (2)'!B168)</f>
        <v>CH-261</v>
      </c>
      <c r="D168" s="24" t="str">
        <f t="shared" si="15"/>
        <v>CH</v>
      </c>
      <c r="E168" s="24">
        <f t="shared" si="16"/>
        <v>1</v>
      </c>
      <c r="F168" s="24">
        <f>IF('query (2)'!A168="","",IFERROR(VALUE('query (2)'!A168),""))</f>
        <v>167</v>
      </c>
      <c r="G168" s="24" t="str">
        <f>IF('query (2)'!C168="","UNKNOWN",IFERROR(INDEX(Cleaning_Rules!$B$15:$B$20,MATCH(TRIM(UPPER('query (2)'!C168)),Cleaning_Rules!$A$15:$A$20,0)),"UNKNOWN"))</f>
        <v>FACTORY3</v>
      </c>
      <c r="H168" s="25" t="str">
        <f>IF('query (2)'!C168="","",'query (2)'!C168)</f>
        <v>FACTORY3</v>
      </c>
      <c r="I168" s="24" t="str" cm="1">
        <f t="array" ref="I168">_xlfn.IFS($G168="UNKNOWN","UNKNOWN",OR($G168="FACTORY1",$G168="FACTORY2",$G168="FACTORY3"),"PLANT",TRUE,"SHARED")</f>
        <v>PLANT</v>
      </c>
      <c r="J168" s="24" t="str">
        <f>IF('query (2)'!D168="","UNKNOWN",IF(COUNTIF(Cleaning_Rules!$A$6:$A$11,TRIM('query (2)'!D168))&gt;0,"UNKNOWN",IFERROR(INDEX(Cleaning_Rules!$B$24:$B$28,MATCH(TRIM(UPPER('query (2)'!D168)),Cleaning_Rules!$A$24:$A$28,0)),TRIM(UPPER('query (2)'!D168)))))</f>
        <v>KWD2</v>
      </c>
      <c r="K168" s="25" t="str">
        <f>IF('query (2)'!D168="","",'query (2)'!D168)</f>
        <v>KWD2</v>
      </c>
      <c r="L168" s="24" t="str">
        <f>IF($J168="UNKNOWN","",_xlfn.TEXTBEFORE($J168,{"0","1","2","3","4","5","6","7","8","9"," ","-","."},1,,,$J168))</f>
        <v>KWD</v>
      </c>
      <c r="M168" s="24" t="str">
        <f>IF('query (2)'!I168&lt;&gt;"",TRIM(UPPER('query (2)'!I168)),IF($L168="","UNKNOWN",$L168))</f>
        <v>KWD</v>
      </c>
      <c r="N168" s="24" t="str">
        <f>IF('query (2)'!I168&lt;&gt;"","SOURCE",IF($L168="","UNKNOWN","DERIVED"))</f>
        <v>SOURCE</v>
      </c>
      <c r="O168" s="24" t="str">
        <f>IF('query (2)'!E168="","NOT_SPECIFIED",TRIM(UPPER('query (2)'!E168)))</f>
        <v>ASSEMBLY</v>
      </c>
      <c r="P168" s="24" t="str">
        <f>IF('query (2)'!F168="","",TRIM(UPPER('query (2)'!F168)))</f>
        <v>1007-KW2AI</v>
      </c>
      <c r="Q168" s="24" t="str">
        <f>IF('query (2)'!G168="","UNKNOWN",IFERROR(INDEX(Cleaning_Rules!$B$38:$B$46,MATCH(TRIM(UPPER('query (2)'!G168)),Cleaning_Rules!$A$38:$A$46,0)),"UNKNOWN"))</f>
        <v>OTHER</v>
      </c>
      <c r="R168" s="24" t="str">
        <f>IF('query (2)'!H168="","",TRIM(UPPER('query (2)'!H168)))</f>
        <v>SEMI ASSEMBLY INSPECTION MACHINE</v>
      </c>
      <c r="S168" s="25" t="str">
        <f>IF('query (2)'!H168="","",'query (2)'!H168)</f>
        <v>Semi assembly inspection machine</v>
      </c>
      <c r="T168" s="24" t="str">
        <f>IF('query (2)'!J168="","",TRIM(UPPER('query (2)'!J168)))</f>
        <v>SEMI ASSEMBLY</v>
      </c>
      <c r="U168" s="24" t="str">
        <f t="shared" si="17"/>
        <v/>
      </c>
      <c r="V168" s="24" t="str">
        <f>IF('query (2)'!K168="","NOT_SPECIFIED",IFERROR(INDEX(Cleaning_Rules!$B$32:$B$34,MATCH(TRIM(UPPER('query (2)'!K168)),Cleaning_Rules!$A$32:$A$34,0)),"UNKNOWN"))</f>
        <v>NOT_SPECIFIED</v>
      </c>
      <c r="W168" s="24" t="str">
        <f t="shared" si="18"/>
        <v>CH-261 | FACTORY3 | KWD2 | KWD | ASSEMBLY | 1007-KW2AI | OTHER | SEMI ASSEMBLY INSPECTION MACHINE | SEMI ASSEMBLY | NOT_SPECIFIED</v>
      </c>
      <c r="X168" s="24" t="str">
        <f t="shared" si="19"/>
        <v/>
      </c>
      <c r="Y168" s="24" t="str">
        <f t="shared" si="20"/>
        <v>MISSING_STATUS; CATEGORY_NOT_USEFUL</v>
      </c>
    </row>
    <row r="169" spans="1:25" x14ac:dyDescent="0.3">
      <c r="A169" s="24" t="str">
        <f t="shared" si="14"/>
        <v>CH-347#0168</v>
      </c>
      <c r="B169" s="24" t="str">
        <f>IF('query (2)'!B169="","",TRIM(UPPER('query (2)'!B169)))</f>
        <v>CH-347</v>
      </c>
      <c r="C169" s="25" t="str">
        <f>IF('query (2)'!B169="","",'query (2)'!B169)</f>
        <v>CH-347</v>
      </c>
      <c r="D169" s="24" t="str">
        <f t="shared" si="15"/>
        <v>CH</v>
      </c>
      <c r="E169" s="24">
        <f t="shared" si="16"/>
        <v>1</v>
      </c>
      <c r="F169" s="24">
        <f>IF('query (2)'!A169="","",IFERROR(VALUE('query (2)'!A169),""))</f>
        <v>168</v>
      </c>
      <c r="G169" s="24" t="str">
        <f>IF('query (2)'!C169="","UNKNOWN",IFERROR(INDEX(Cleaning_Rules!$B$15:$B$20,MATCH(TRIM(UPPER('query (2)'!C169)),Cleaning_Rules!$A$15:$A$20,0)),"UNKNOWN"))</f>
        <v>FACTORY3</v>
      </c>
      <c r="H169" s="25" t="str">
        <f>IF('query (2)'!C169="","",'query (2)'!C169)</f>
        <v>FACTORY3</v>
      </c>
      <c r="I169" s="24" t="str" cm="1">
        <f t="array" ref="I169">_xlfn.IFS($G169="UNKNOWN","UNKNOWN",OR($G169="FACTORY1",$G169="FACTORY2",$G169="FACTORY3"),"PLANT",TRUE,"SHARED")</f>
        <v>PLANT</v>
      </c>
      <c r="J169" s="24" t="str">
        <f>IF('query (2)'!D169="","UNKNOWN",IF(COUNTIF(Cleaning_Rules!$A$6:$A$11,TRIM('query (2)'!D169))&gt;0,"UNKNOWN",IFERROR(INDEX(Cleaning_Rules!$B$24:$B$28,MATCH(TRIM(UPPER('query (2)'!D169)),Cleaning_Rules!$A$24:$A$28,0)),TRIM(UPPER('query (2)'!D169)))))</f>
        <v>KWD3</v>
      </c>
      <c r="K169" s="25" t="str">
        <f>IF('query (2)'!D169="","",'query (2)'!D169)</f>
        <v>KWD3</v>
      </c>
      <c r="L169" s="24" t="str">
        <f>IF($J169="UNKNOWN","",_xlfn.TEXTBEFORE($J169,{"0","1","2","3","4","5","6","7","8","9"," ","-","."},1,,,$J169))</f>
        <v>KWD</v>
      </c>
      <c r="M169" s="24" t="str">
        <f>IF('query (2)'!I169&lt;&gt;"",TRIM(UPPER('query (2)'!I169)),IF($L169="","UNKNOWN",$L169))</f>
        <v>KWD</v>
      </c>
      <c r="N169" s="24" t="str">
        <f>IF('query (2)'!I169&lt;&gt;"","SOURCE",IF($L169="","UNKNOWN","DERIVED"))</f>
        <v>SOURCE</v>
      </c>
      <c r="O169" s="24" t="str">
        <f>IF('query (2)'!E169="","NOT_SPECIFIED",TRIM(UPPER('query (2)'!E169)))</f>
        <v>ASSEMBLY</v>
      </c>
      <c r="P169" s="24" t="str">
        <f>IF('query (2)'!F169="","",TRIM(UPPER('query (2)'!F169)))</f>
        <v>1010-KW3AI</v>
      </c>
      <c r="Q169" s="24" t="str">
        <f>IF('query (2)'!G169="","UNKNOWN",IFERROR(INDEX(Cleaning_Rules!$B$38:$B$46,MATCH(TRIM(UPPER('query (2)'!G169)),Cleaning_Rules!$A$38:$A$46,0)),"UNKNOWN"))</f>
        <v>OTHER</v>
      </c>
      <c r="R169" s="24" t="str">
        <f>IF('query (2)'!H169="","",TRIM(UPPER('query (2)'!H169)))</f>
        <v>SEMI ASSEMBLY INSPECTION MACHINE</v>
      </c>
      <c r="S169" s="25" t="str">
        <f>IF('query (2)'!H169="","",'query (2)'!H169)</f>
        <v>Semi assembly inspection machine</v>
      </c>
      <c r="T169" s="24" t="str">
        <f>IF('query (2)'!J169="","",TRIM(UPPER('query (2)'!J169)))</f>
        <v>SEMI ASSEMBLY</v>
      </c>
      <c r="U169" s="24" t="str">
        <f t="shared" si="17"/>
        <v/>
      </c>
      <c r="V169" s="24" t="str">
        <f>IF('query (2)'!K169="","NOT_SPECIFIED",IFERROR(INDEX(Cleaning_Rules!$B$32:$B$34,MATCH(TRIM(UPPER('query (2)'!K169)),Cleaning_Rules!$A$32:$A$34,0)),"UNKNOWN"))</f>
        <v>NOT_SPECIFIED</v>
      </c>
      <c r="W169" s="24" t="str">
        <f t="shared" si="18"/>
        <v>CH-347 | FACTORY3 | KWD3 | KWD | ASSEMBLY | 1010-KW3AI | OTHER | SEMI ASSEMBLY INSPECTION MACHINE | SEMI ASSEMBLY | NOT_SPECIFIED</v>
      </c>
      <c r="X169" s="24" t="str">
        <f t="shared" si="19"/>
        <v/>
      </c>
      <c r="Y169" s="24" t="str">
        <f t="shared" si="20"/>
        <v>MISSING_STATUS; CATEGORY_NOT_USEFUL</v>
      </c>
    </row>
    <row r="170" spans="1:25" x14ac:dyDescent="0.3">
      <c r="A170" s="24" t="str">
        <f t="shared" si="14"/>
        <v>CH-469#0169</v>
      </c>
      <c r="B170" s="24" t="str">
        <f>IF('query (2)'!B170="","",TRIM(UPPER('query (2)'!B170)))</f>
        <v>CH-469</v>
      </c>
      <c r="C170" s="25" t="str">
        <f>IF('query (2)'!B170="","",'query (2)'!B170)</f>
        <v>CH-469</v>
      </c>
      <c r="D170" s="24" t="str">
        <f t="shared" si="15"/>
        <v>CH</v>
      </c>
      <c r="E170" s="24">
        <f t="shared" si="16"/>
        <v>1</v>
      </c>
      <c r="F170" s="24">
        <f>IF('query (2)'!A170="","",IFERROR(VALUE('query (2)'!A170),""))</f>
        <v>169</v>
      </c>
      <c r="G170" s="24" t="str">
        <f>IF('query (2)'!C170="","UNKNOWN",IFERROR(INDEX(Cleaning_Rules!$B$15:$B$20,MATCH(TRIM(UPPER('query (2)'!C170)),Cleaning_Rules!$A$15:$A$20,0)),"UNKNOWN"))</f>
        <v>FACTORY3</v>
      </c>
      <c r="H170" s="25" t="str">
        <f>IF('query (2)'!C170="","",'query (2)'!C170)</f>
        <v>FACTORY3</v>
      </c>
      <c r="I170" s="24" t="str" cm="1">
        <f t="array" ref="I170">_xlfn.IFS($G170="UNKNOWN","UNKNOWN",OR($G170="FACTORY1",$G170="FACTORY2",$G170="FACTORY3"),"PLANT",TRUE,"SHARED")</f>
        <v>PLANT</v>
      </c>
      <c r="J170" s="24" t="str">
        <f>IF('query (2)'!D170="","UNKNOWN",IF(COUNTIF(Cleaning_Rules!$A$6:$A$11,TRIM('query (2)'!D170))&gt;0,"UNKNOWN",IFERROR(INDEX(Cleaning_Rules!$B$24:$B$28,MATCH(TRIM(UPPER('query (2)'!D170)),Cleaning_Rules!$A$24:$A$28,0)),TRIM(UPPER('query (2)'!D170)))))</f>
        <v>KWD4</v>
      </c>
      <c r="K170" s="25" t="str">
        <f>IF('query (2)'!D170="","",'query (2)'!D170)</f>
        <v>KWD4</v>
      </c>
      <c r="L170" s="24" t="str">
        <f>IF($J170="UNKNOWN","",_xlfn.TEXTBEFORE($J170,{"0","1","2","3","4","5","6","7","8","9"," ","-","."},1,,,$J170))</f>
        <v>KWD</v>
      </c>
      <c r="M170" s="24" t="str">
        <f>IF('query (2)'!I170&lt;&gt;"",TRIM(UPPER('query (2)'!I170)),IF($L170="","UNKNOWN",$L170))</f>
        <v>KWD</v>
      </c>
      <c r="N170" s="24" t="str">
        <f>IF('query (2)'!I170&lt;&gt;"","SOURCE",IF($L170="","UNKNOWN","DERIVED"))</f>
        <v>SOURCE</v>
      </c>
      <c r="O170" s="24" t="str">
        <f>IF('query (2)'!E170="","NOT_SPECIFIED",TRIM(UPPER('query (2)'!E170)))</f>
        <v>ASSEMBLY</v>
      </c>
      <c r="P170" s="24" t="str">
        <f>IF('query (2)'!F170="","",TRIM(UPPER('query (2)'!F170)))</f>
        <v>1013-KW4AI</v>
      </c>
      <c r="Q170" s="24" t="str">
        <f>IF('query (2)'!G170="","UNKNOWN",IFERROR(INDEX(Cleaning_Rules!$B$38:$B$46,MATCH(TRIM(UPPER('query (2)'!G170)),Cleaning_Rules!$A$38:$A$46,0)),"UNKNOWN"))</f>
        <v>OTHER</v>
      </c>
      <c r="R170" s="24" t="str">
        <f>IF('query (2)'!H170="","",TRIM(UPPER('query (2)'!H170)))</f>
        <v>SEMI ASSEMBLY INSPECTION MACHINE</v>
      </c>
      <c r="S170" s="25" t="str">
        <f>IF('query (2)'!H170="","",'query (2)'!H170)</f>
        <v>Semi assembly inspection machine</v>
      </c>
      <c r="T170" s="24" t="str">
        <f>IF('query (2)'!J170="","",TRIM(UPPER('query (2)'!J170)))</f>
        <v>SEMI ASSEMBLY</v>
      </c>
      <c r="U170" s="24" t="str">
        <f t="shared" si="17"/>
        <v/>
      </c>
      <c r="V170" s="24" t="str">
        <f>IF('query (2)'!K170="","NOT_SPECIFIED",IFERROR(INDEX(Cleaning_Rules!$B$32:$B$34,MATCH(TRIM(UPPER('query (2)'!K170)),Cleaning_Rules!$A$32:$A$34,0)),"UNKNOWN"))</f>
        <v>NOT_SPECIFIED</v>
      </c>
      <c r="W170" s="24" t="str">
        <f t="shared" si="18"/>
        <v>CH-469 | FACTORY3 | KWD4 | KWD | ASSEMBLY | 1013-KW4AI | OTHER | SEMI ASSEMBLY INSPECTION MACHINE | SEMI ASSEMBLY | NOT_SPECIFIED</v>
      </c>
      <c r="X170" s="24" t="str">
        <f t="shared" si="19"/>
        <v/>
      </c>
      <c r="Y170" s="24" t="str">
        <f t="shared" si="20"/>
        <v>MISSING_STATUS; CATEGORY_NOT_USEFUL</v>
      </c>
    </row>
    <row r="171" spans="1:25" x14ac:dyDescent="0.3">
      <c r="A171" s="24" t="str">
        <f t="shared" si="14"/>
        <v>CH-585#0170</v>
      </c>
      <c r="B171" s="24" t="str">
        <f>IF('query (2)'!B171="","",TRIM(UPPER('query (2)'!B171)))</f>
        <v>CH-585</v>
      </c>
      <c r="C171" s="25" t="str">
        <f>IF('query (2)'!B171="","",'query (2)'!B171)</f>
        <v>CH-585</v>
      </c>
      <c r="D171" s="24" t="str">
        <f t="shared" si="15"/>
        <v>CH</v>
      </c>
      <c r="E171" s="24">
        <f t="shared" si="16"/>
        <v>1</v>
      </c>
      <c r="F171" s="24">
        <f>IF('query (2)'!A171="","",IFERROR(VALUE('query (2)'!A171),""))</f>
        <v>170</v>
      </c>
      <c r="G171" s="24" t="str">
        <f>IF('query (2)'!C171="","UNKNOWN",IFERROR(INDEX(Cleaning_Rules!$B$15:$B$20,MATCH(TRIM(UPPER('query (2)'!C171)),Cleaning_Rules!$A$15:$A$20,0)),"UNKNOWN"))</f>
        <v>FACTORY3</v>
      </c>
      <c r="H171" s="25" t="str">
        <f>IF('query (2)'!C171="","",'query (2)'!C171)</f>
        <v>FACTORY3</v>
      </c>
      <c r="I171" s="24" t="str" cm="1">
        <f t="array" ref="I171">_xlfn.IFS($G171="UNKNOWN","UNKNOWN",OR($G171="FACTORY1",$G171="FACTORY2",$G171="FACTORY3"),"PLANT",TRUE,"SHARED")</f>
        <v>PLANT</v>
      </c>
      <c r="J171" s="24" t="str">
        <f>IF('query (2)'!D171="","UNKNOWN",IF(COUNTIF(Cleaning_Rules!$A$6:$A$11,TRIM('query (2)'!D171))&gt;0,"UNKNOWN",IFERROR(INDEX(Cleaning_Rules!$B$24:$B$28,MATCH(TRIM(UPPER('query (2)'!D171)),Cleaning_Rules!$A$24:$A$28,0)),TRIM(UPPER('query (2)'!D171)))))</f>
        <v>KWD5</v>
      </c>
      <c r="K171" s="25" t="str">
        <f>IF('query (2)'!D171="","",'query (2)'!D171)</f>
        <v>KWD5</v>
      </c>
      <c r="L171" s="24" t="str">
        <f>IF($J171="UNKNOWN","",_xlfn.TEXTBEFORE($J171,{"0","1","2","3","4","5","6","7","8","9"," ","-","."},1,,,$J171))</f>
        <v>KWD</v>
      </c>
      <c r="M171" s="24" t="str">
        <f>IF('query (2)'!I171&lt;&gt;"",TRIM(UPPER('query (2)'!I171)),IF($L171="","UNKNOWN",$L171))</f>
        <v>KWD</v>
      </c>
      <c r="N171" s="24" t="str">
        <f>IF('query (2)'!I171&lt;&gt;"","SOURCE",IF($L171="","UNKNOWN","DERIVED"))</f>
        <v>SOURCE</v>
      </c>
      <c r="O171" s="24" t="str">
        <f>IF('query (2)'!E171="","NOT_SPECIFIED",TRIM(UPPER('query (2)'!E171)))</f>
        <v>ASSEMBLY</v>
      </c>
      <c r="P171" s="24" t="str">
        <f>IF('query (2)'!F171="","",TRIM(UPPER('query (2)'!F171)))</f>
        <v>1016-KW5AI</v>
      </c>
      <c r="Q171" s="24" t="str">
        <f>IF('query (2)'!G171="","UNKNOWN",IFERROR(INDEX(Cleaning_Rules!$B$38:$B$46,MATCH(TRIM(UPPER('query (2)'!G171)),Cleaning_Rules!$A$38:$A$46,0)),"UNKNOWN"))</f>
        <v>OTHER</v>
      </c>
      <c r="R171" s="24" t="str">
        <f>IF('query (2)'!H171="","",TRIM(UPPER('query (2)'!H171)))</f>
        <v>SEMI ASSEMBLY INSPECTION MACHINE</v>
      </c>
      <c r="S171" s="25" t="str">
        <f>IF('query (2)'!H171="","",'query (2)'!H171)</f>
        <v>Semi assembly inspection machine</v>
      </c>
      <c r="T171" s="24" t="str">
        <f>IF('query (2)'!J171="","",TRIM(UPPER('query (2)'!J171)))</f>
        <v>SEMI ASSEMBLY</v>
      </c>
      <c r="U171" s="24" t="str">
        <f t="shared" si="17"/>
        <v/>
      </c>
      <c r="V171" s="24" t="str">
        <f>IF('query (2)'!K171="","NOT_SPECIFIED",IFERROR(INDEX(Cleaning_Rules!$B$32:$B$34,MATCH(TRIM(UPPER('query (2)'!K171)),Cleaning_Rules!$A$32:$A$34,0)),"UNKNOWN"))</f>
        <v>NOT_SPECIFIED</v>
      </c>
      <c r="W171" s="24" t="str">
        <f t="shared" si="18"/>
        <v>CH-585 | FACTORY3 | KWD5 | KWD | ASSEMBLY | 1016-KW5AI | OTHER | SEMI ASSEMBLY INSPECTION MACHINE | SEMI ASSEMBLY | NOT_SPECIFIED</v>
      </c>
      <c r="X171" s="24" t="str">
        <f t="shared" si="19"/>
        <v/>
      </c>
      <c r="Y171" s="24" t="str">
        <f t="shared" si="20"/>
        <v>MISSING_STATUS; CATEGORY_NOT_USEFUL</v>
      </c>
    </row>
    <row r="172" spans="1:25" x14ac:dyDescent="0.3">
      <c r="A172" s="24" t="str">
        <f t="shared" si="14"/>
        <v>CH-701#0171</v>
      </c>
      <c r="B172" s="24" t="str">
        <f>IF('query (2)'!B172="","",TRIM(UPPER('query (2)'!B172)))</f>
        <v>CH-701</v>
      </c>
      <c r="C172" s="25" t="str">
        <f>IF('query (2)'!B172="","",'query (2)'!B172)</f>
        <v>CH-701</v>
      </c>
      <c r="D172" s="24" t="str">
        <f t="shared" si="15"/>
        <v>CH</v>
      </c>
      <c r="E172" s="24">
        <f t="shared" si="16"/>
        <v>1</v>
      </c>
      <c r="F172" s="24">
        <f>IF('query (2)'!A172="","",IFERROR(VALUE('query (2)'!A172),""))</f>
        <v>171</v>
      </c>
      <c r="G172" s="24" t="str">
        <f>IF('query (2)'!C172="","UNKNOWN",IFERROR(INDEX(Cleaning_Rules!$B$15:$B$20,MATCH(TRIM(UPPER('query (2)'!C172)),Cleaning_Rules!$A$15:$A$20,0)),"UNKNOWN"))</f>
        <v>FACTORY3</v>
      </c>
      <c r="H172" s="25" t="str">
        <f>IF('query (2)'!C172="","",'query (2)'!C172)</f>
        <v>FACTORY3</v>
      </c>
      <c r="I172" s="24" t="str" cm="1">
        <f t="array" ref="I172">_xlfn.IFS($G172="UNKNOWN","UNKNOWN",OR($G172="FACTORY1",$G172="FACTORY2",$G172="FACTORY3"),"PLANT",TRUE,"SHARED")</f>
        <v>PLANT</v>
      </c>
      <c r="J172" s="24" t="str">
        <f>IF('query (2)'!D172="","UNKNOWN",IF(COUNTIF(Cleaning_Rules!$A$6:$A$11,TRIM('query (2)'!D172))&gt;0,"UNKNOWN",IFERROR(INDEX(Cleaning_Rules!$B$24:$B$28,MATCH(TRIM(UPPER('query (2)'!D172)),Cleaning_Rules!$A$24:$A$28,0)),TRIM(UPPER('query (2)'!D172)))))</f>
        <v>KWD6</v>
      </c>
      <c r="K172" s="25" t="str">
        <f>IF('query (2)'!D172="","",'query (2)'!D172)</f>
        <v>KWD6</v>
      </c>
      <c r="L172" s="24" t="str">
        <f>IF($J172="UNKNOWN","",_xlfn.TEXTBEFORE($J172,{"0","1","2","3","4","5","6","7","8","9"," ","-","."},1,,,$J172))</f>
        <v>KWD</v>
      </c>
      <c r="M172" s="24" t="str">
        <f>IF('query (2)'!I172&lt;&gt;"",TRIM(UPPER('query (2)'!I172)),IF($L172="","UNKNOWN",$L172))</f>
        <v>KWD</v>
      </c>
      <c r="N172" s="24" t="str">
        <f>IF('query (2)'!I172&lt;&gt;"","SOURCE",IF($L172="","UNKNOWN","DERIVED"))</f>
        <v>SOURCE</v>
      </c>
      <c r="O172" s="24" t="str">
        <f>IF('query (2)'!E172="","NOT_SPECIFIED",TRIM(UPPER('query (2)'!E172)))</f>
        <v>ASSEMBLY</v>
      </c>
      <c r="P172" s="24" t="str">
        <f>IF('query (2)'!F172="","",TRIM(UPPER('query (2)'!F172)))</f>
        <v>1019-KW6AI</v>
      </c>
      <c r="Q172" s="24" t="str">
        <f>IF('query (2)'!G172="","UNKNOWN",IFERROR(INDEX(Cleaning_Rules!$B$38:$B$46,MATCH(TRIM(UPPER('query (2)'!G172)),Cleaning_Rules!$A$38:$A$46,0)),"UNKNOWN"))</f>
        <v>OTHER</v>
      </c>
      <c r="R172" s="24" t="str">
        <f>IF('query (2)'!H172="","",TRIM(UPPER('query (2)'!H172)))</f>
        <v>SEMI ASSEMBLY INSPECTION MACHINE</v>
      </c>
      <c r="S172" s="25" t="str">
        <f>IF('query (2)'!H172="","",'query (2)'!H172)</f>
        <v>Semi assembly inspection machine</v>
      </c>
      <c r="T172" s="24" t="str">
        <f>IF('query (2)'!J172="","",TRIM(UPPER('query (2)'!J172)))</f>
        <v>SEMI ASSEMBLY</v>
      </c>
      <c r="U172" s="24" t="str">
        <f t="shared" si="17"/>
        <v/>
      </c>
      <c r="V172" s="24" t="str">
        <f>IF('query (2)'!K172="","NOT_SPECIFIED",IFERROR(INDEX(Cleaning_Rules!$B$32:$B$34,MATCH(TRIM(UPPER('query (2)'!K172)),Cleaning_Rules!$A$32:$A$34,0)),"UNKNOWN"))</f>
        <v>NOT_SPECIFIED</v>
      </c>
      <c r="W172" s="24" t="str">
        <f t="shared" si="18"/>
        <v>CH-701 | FACTORY3 | KWD6 | KWD | ASSEMBLY | 1019-KW6AI | OTHER | SEMI ASSEMBLY INSPECTION MACHINE | SEMI ASSEMBLY | NOT_SPECIFIED</v>
      </c>
      <c r="X172" s="24" t="str">
        <f t="shared" si="19"/>
        <v/>
      </c>
      <c r="Y172" s="24" t="str">
        <f t="shared" si="20"/>
        <v>MISSING_STATUS; CATEGORY_NOT_USEFUL</v>
      </c>
    </row>
    <row r="173" spans="1:25" x14ac:dyDescent="0.3">
      <c r="A173" s="24" t="str">
        <f t="shared" si="14"/>
        <v>CH-834#0172</v>
      </c>
      <c r="B173" s="24" t="str">
        <f>IF('query (2)'!B173="","",TRIM(UPPER('query (2)'!B173)))</f>
        <v>CH-834</v>
      </c>
      <c r="C173" s="25" t="str">
        <f>IF('query (2)'!B173="","",'query (2)'!B173)</f>
        <v>CH-834</v>
      </c>
      <c r="D173" s="24" t="str">
        <f t="shared" si="15"/>
        <v>CH</v>
      </c>
      <c r="E173" s="24">
        <f t="shared" si="16"/>
        <v>1</v>
      </c>
      <c r="F173" s="24">
        <f>IF('query (2)'!A173="","",IFERROR(VALUE('query (2)'!A173),""))</f>
        <v>172</v>
      </c>
      <c r="G173" s="24" t="str">
        <f>IF('query (2)'!C173="","UNKNOWN",IFERROR(INDEX(Cleaning_Rules!$B$15:$B$20,MATCH(TRIM(UPPER('query (2)'!C173)),Cleaning_Rules!$A$15:$A$20,0)),"UNKNOWN"))</f>
        <v>FACTORY3</v>
      </c>
      <c r="H173" s="25" t="str">
        <f>IF('query (2)'!C173="","",'query (2)'!C173)</f>
        <v>FACTORY3</v>
      </c>
      <c r="I173" s="24" t="str" cm="1">
        <f t="array" ref="I173">_xlfn.IFS($G173="UNKNOWN","UNKNOWN",OR($G173="FACTORY1",$G173="FACTORY2",$G173="FACTORY3"),"PLANT",TRUE,"SHARED")</f>
        <v>PLANT</v>
      </c>
      <c r="J173" s="24" t="str">
        <f>IF('query (2)'!D173="","UNKNOWN",IF(COUNTIF(Cleaning_Rules!$A$6:$A$11,TRIM('query (2)'!D173))&gt;0,"UNKNOWN",IFERROR(INDEX(Cleaning_Rules!$B$24:$B$28,MATCH(TRIM(UPPER('query (2)'!D173)),Cleaning_Rules!$A$24:$A$28,0)),TRIM(UPPER('query (2)'!D173)))))</f>
        <v>KWD7</v>
      </c>
      <c r="K173" s="25" t="str">
        <f>IF('query (2)'!D173="","",'query (2)'!D173)</f>
        <v>KWD7</v>
      </c>
      <c r="L173" s="24" t="str">
        <f>IF($J173="UNKNOWN","",_xlfn.TEXTBEFORE($J173,{"0","1","2","3","4","5","6","7","8","9"," ","-","."},1,,,$J173))</f>
        <v>KWD</v>
      </c>
      <c r="M173" s="24" t="str">
        <f>IF('query (2)'!I173&lt;&gt;"",TRIM(UPPER('query (2)'!I173)),IF($L173="","UNKNOWN",$L173))</f>
        <v>KWD</v>
      </c>
      <c r="N173" s="24" t="str">
        <f>IF('query (2)'!I173&lt;&gt;"","SOURCE",IF($L173="","UNKNOWN","DERIVED"))</f>
        <v>SOURCE</v>
      </c>
      <c r="O173" s="24" t="str">
        <f>IF('query (2)'!E173="","NOT_SPECIFIED",TRIM(UPPER('query (2)'!E173)))</f>
        <v>ASSEMBLY</v>
      </c>
      <c r="P173" s="24" t="str">
        <f>IF('query (2)'!F173="","",TRIM(UPPER('query (2)'!F173)))</f>
        <v>1025-KW7AI</v>
      </c>
      <c r="Q173" s="24" t="str">
        <f>IF('query (2)'!G173="","UNKNOWN",IFERROR(INDEX(Cleaning_Rules!$B$38:$B$46,MATCH(TRIM(UPPER('query (2)'!G173)),Cleaning_Rules!$A$38:$A$46,0)),"UNKNOWN"))</f>
        <v>OTHER</v>
      </c>
      <c r="R173" s="24" t="str">
        <f>IF('query (2)'!H173="","",TRIM(UPPER('query (2)'!H173)))</f>
        <v>SEMI ASSEMBLY INSPECTION MACHINE</v>
      </c>
      <c r="S173" s="25" t="str">
        <f>IF('query (2)'!H173="","",'query (2)'!H173)</f>
        <v>Semi assembly inspection machine</v>
      </c>
      <c r="T173" s="24" t="str">
        <f>IF('query (2)'!J173="","",TRIM(UPPER('query (2)'!J173)))</f>
        <v>SEMI ASSEMBLY</v>
      </c>
      <c r="U173" s="24" t="str">
        <f t="shared" si="17"/>
        <v/>
      </c>
      <c r="V173" s="24" t="str">
        <f>IF('query (2)'!K173="","NOT_SPECIFIED",IFERROR(INDEX(Cleaning_Rules!$B$32:$B$34,MATCH(TRIM(UPPER('query (2)'!K173)),Cleaning_Rules!$A$32:$A$34,0)),"UNKNOWN"))</f>
        <v>NOT_SPECIFIED</v>
      </c>
      <c r="W173" s="24" t="str">
        <f t="shared" si="18"/>
        <v>CH-834 | FACTORY3 | KWD7 | KWD | ASSEMBLY | 1025-KW7AI | OTHER | SEMI ASSEMBLY INSPECTION MACHINE | SEMI ASSEMBLY | NOT_SPECIFIED</v>
      </c>
      <c r="X173" s="24" t="str">
        <f t="shared" si="19"/>
        <v/>
      </c>
      <c r="Y173" s="24" t="str">
        <f t="shared" si="20"/>
        <v>MISSING_STATUS; CATEGORY_NOT_USEFUL</v>
      </c>
    </row>
    <row r="174" spans="1:25" x14ac:dyDescent="0.3">
      <c r="A174" s="24" t="str">
        <f t="shared" si="14"/>
        <v>CH-027#0173</v>
      </c>
      <c r="B174" s="24" t="str">
        <f>IF('query (2)'!B174="","",TRIM(UPPER('query (2)'!B174)))</f>
        <v>CH-027</v>
      </c>
      <c r="C174" s="25" t="str">
        <f>IF('query (2)'!B174="","",'query (2)'!B174)</f>
        <v>CH-027</v>
      </c>
      <c r="D174" s="24" t="str">
        <f t="shared" si="15"/>
        <v>CH</v>
      </c>
      <c r="E174" s="24">
        <f t="shared" si="16"/>
        <v>1</v>
      </c>
      <c r="F174" s="24">
        <f>IF('query (2)'!A174="","",IFERROR(VALUE('query (2)'!A174),""))</f>
        <v>173</v>
      </c>
      <c r="G174" s="24" t="str">
        <f>IF('query (2)'!C174="","UNKNOWN",IFERROR(INDEX(Cleaning_Rules!$B$15:$B$20,MATCH(TRIM(UPPER('query (2)'!C174)),Cleaning_Rules!$A$15:$A$20,0)),"UNKNOWN"))</f>
        <v>FACTORY3</v>
      </c>
      <c r="H174" s="25" t="str">
        <f>IF('query (2)'!C174="","",'query (2)'!C174)</f>
        <v>FACTORY3</v>
      </c>
      <c r="I174" s="24" t="str" cm="1">
        <f t="array" ref="I174">_xlfn.IFS($G174="UNKNOWN","UNKNOWN",OR($G174="FACTORY1",$G174="FACTORY2",$G174="FACTORY3"),"PLANT",TRUE,"SHARED")</f>
        <v>PLANT</v>
      </c>
      <c r="J174" s="24" t="str">
        <f>IF('query (2)'!D174="","UNKNOWN",IF(COUNTIF(Cleaning_Rules!$A$6:$A$11,TRIM('query (2)'!D174))&gt;0,"UNKNOWN",IFERROR(INDEX(Cleaning_Rules!$B$24:$B$28,MATCH(TRIM(UPPER('query (2)'!D174)),Cleaning_Rules!$A$24:$A$28,0)),TRIM(UPPER('query (2)'!D174)))))</f>
        <v>KWD1</v>
      </c>
      <c r="K174" s="25" t="str">
        <f>IF('query (2)'!D174="","",'query (2)'!D174)</f>
        <v>KWD1</v>
      </c>
      <c r="L174" s="24" t="str">
        <f>IF($J174="UNKNOWN","",_xlfn.TEXTBEFORE($J174,{"0","1","2","3","4","5","6","7","8","9"," ","-","."},1,,,$J174))</f>
        <v>KWD</v>
      </c>
      <c r="M174" s="24" t="str">
        <f>IF('query (2)'!I174&lt;&gt;"",TRIM(UPPER('query (2)'!I174)),IF($L174="","UNKNOWN",$L174))</f>
        <v>KWD</v>
      </c>
      <c r="N174" s="24" t="str">
        <f>IF('query (2)'!I174&lt;&gt;"","SOURCE",IF($L174="","UNKNOWN","DERIVED"))</f>
        <v>SOURCE</v>
      </c>
      <c r="O174" s="24" t="str">
        <f>IF('query (2)'!E174="","NOT_SPECIFIED",TRIM(UPPER('query (2)'!E174)))</f>
        <v>ASSEMBLY</v>
      </c>
      <c r="P174" s="24" t="str">
        <f>IF('query (2)'!F174="","",TRIM(UPPER('query (2)'!F174)))</f>
        <v>1004-KW1AI</v>
      </c>
      <c r="Q174" s="24" t="str">
        <f>IF('query (2)'!G174="","UNKNOWN",IFERROR(INDEX(Cleaning_Rules!$B$38:$B$46,MATCH(TRIM(UPPER('query (2)'!G174)),Cleaning_Rules!$A$38:$A$46,0)),"UNKNOWN"))</f>
        <v>OTHER</v>
      </c>
      <c r="R174" s="24" t="str">
        <f>IF('query (2)'!H174="","",TRIM(UPPER('query (2)'!H174)))</f>
        <v>WEIGHT CHECKER</v>
      </c>
      <c r="S174" s="25" t="str">
        <f>IF('query (2)'!H174="","",'query (2)'!H174)</f>
        <v>Weight checker</v>
      </c>
      <c r="T174" s="24" t="str">
        <f>IF('query (2)'!J174="","",TRIM(UPPER('query (2)'!J174)))</f>
        <v>WEIGHT CHECKER</v>
      </c>
      <c r="U174" s="24" t="str">
        <f t="shared" si="17"/>
        <v/>
      </c>
      <c r="V174" s="24" t="str">
        <f>IF('query (2)'!K174="","NOT_SPECIFIED",IFERROR(INDEX(Cleaning_Rules!$B$32:$B$34,MATCH(TRIM(UPPER('query (2)'!K174)),Cleaning_Rules!$A$32:$A$34,0)),"UNKNOWN"))</f>
        <v>NOT_SPECIFIED</v>
      </c>
      <c r="W174" s="24" t="str">
        <f t="shared" si="18"/>
        <v>CH-027 | FACTORY3 | KWD1 | KWD | ASSEMBLY | 1004-KW1AI | OTHER | WEIGHT CHECKER | WEIGHT CHECKER | NOT_SPECIFIED</v>
      </c>
      <c r="X174" s="24" t="str">
        <f t="shared" si="19"/>
        <v/>
      </c>
      <c r="Y174" s="24" t="str">
        <f t="shared" si="20"/>
        <v>MISSING_STATUS; CATEGORY_NOT_USEFUL</v>
      </c>
    </row>
    <row r="175" spans="1:25" x14ac:dyDescent="0.3">
      <c r="A175" s="24" t="str">
        <f t="shared" si="14"/>
        <v>CH-273#0174</v>
      </c>
      <c r="B175" s="24" t="str">
        <f>IF('query (2)'!B175="","",TRIM(UPPER('query (2)'!B175)))</f>
        <v>CH-273</v>
      </c>
      <c r="C175" s="25" t="str">
        <f>IF('query (2)'!B175="","",'query (2)'!B175)</f>
        <v>CH-273</v>
      </c>
      <c r="D175" s="24" t="str">
        <f t="shared" si="15"/>
        <v>CH</v>
      </c>
      <c r="E175" s="24">
        <f t="shared" si="16"/>
        <v>1</v>
      </c>
      <c r="F175" s="24">
        <f>IF('query (2)'!A175="","",IFERROR(VALUE('query (2)'!A175),""))</f>
        <v>174</v>
      </c>
      <c r="G175" s="24" t="str">
        <f>IF('query (2)'!C175="","UNKNOWN",IFERROR(INDEX(Cleaning_Rules!$B$15:$B$20,MATCH(TRIM(UPPER('query (2)'!C175)),Cleaning_Rules!$A$15:$A$20,0)),"UNKNOWN"))</f>
        <v>FACTORY3</v>
      </c>
      <c r="H175" s="25" t="str">
        <f>IF('query (2)'!C175="","",'query (2)'!C175)</f>
        <v>FACTORY3</v>
      </c>
      <c r="I175" s="24" t="str" cm="1">
        <f t="array" ref="I175">_xlfn.IFS($G175="UNKNOWN","UNKNOWN",OR($G175="FACTORY1",$G175="FACTORY2",$G175="FACTORY3"),"PLANT",TRUE,"SHARED")</f>
        <v>PLANT</v>
      </c>
      <c r="J175" s="24" t="str">
        <f>IF('query (2)'!D175="","UNKNOWN",IF(COUNTIF(Cleaning_Rules!$A$6:$A$11,TRIM('query (2)'!D175))&gt;0,"UNKNOWN",IFERROR(INDEX(Cleaning_Rules!$B$24:$B$28,MATCH(TRIM(UPPER('query (2)'!D175)),Cleaning_Rules!$A$24:$A$28,0)),TRIM(UPPER('query (2)'!D175)))))</f>
        <v>KWD2</v>
      </c>
      <c r="K175" s="25" t="str">
        <f>IF('query (2)'!D175="","",'query (2)'!D175)</f>
        <v>KWD2</v>
      </c>
      <c r="L175" s="24" t="str">
        <f>IF($J175="UNKNOWN","",_xlfn.TEXTBEFORE($J175,{"0","1","2","3","4","5","6","7","8","9"," ","-","."},1,,,$J175))</f>
        <v>KWD</v>
      </c>
      <c r="M175" s="24" t="str">
        <f>IF('query (2)'!I175&lt;&gt;"",TRIM(UPPER('query (2)'!I175)),IF($L175="","UNKNOWN",$L175))</f>
        <v>KWD</v>
      </c>
      <c r="N175" s="24" t="str">
        <f>IF('query (2)'!I175&lt;&gt;"","SOURCE",IF($L175="","UNKNOWN","DERIVED"))</f>
        <v>SOURCE</v>
      </c>
      <c r="O175" s="24" t="str">
        <f>IF('query (2)'!E175="","NOT_SPECIFIED",TRIM(UPPER('query (2)'!E175)))</f>
        <v>ASSEMBLY</v>
      </c>
      <c r="P175" s="24" t="str">
        <f>IF('query (2)'!F175="","",TRIM(UPPER('query (2)'!F175)))</f>
        <v>1007-KW2AI</v>
      </c>
      <c r="Q175" s="24" t="str">
        <f>IF('query (2)'!G175="","UNKNOWN",IFERROR(INDEX(Cleaning_Rules!$B$38:$B$46,MATCH(TRIM(UPPER('query (2)'!G175)),Cleaning_Rules!$A$38:$A$46,0)),"UNKNOWN"))</f>
        <v>OTHER</v>
      </c>
      <c r="R175" s="24" t="str">
        <f>IF('query (2)'!H175="","",TRIM(UPPER('query (2)'!H175)))</f>
        <v>WEIGHT CHECKER</v>
      </c>
      <c r="S175" s="25" t="str">
        <f>IF('query (2)'!H175="","",'query (2)'!H175)</f>
        <v>Weight checker</v>
      </c>
      <c r="T175" s="24" t="str">
        <f>IF('query (2)'!J175="","",TRIM(UPPER('query (2)'!J175)))</f>
        <v>WEIGHT CHECKER</v>
      </c>
      <c r="U175" s="24" t="str">
        <f t="shared" si="17"/>
        <v/>
      </c>
      <c r="V175" s="24" t="str">
        <f>IF('query (2)'!K175="","NOT_SPECIFIED",IFERROR(INDEX(Cleaning_Rules!$B$32:$B$34,MATCH(TRIM(UPPER('query (2)'!K175)),Cleaning_Rules!$A$32:$A$34,0)),"UNKNOWN"))</f>
        <v>NOT_SPECIFIED</v>
      </c>
      <c r="W175" s="24" t="str">
        <f t="shared" si="18"/>
        <v>CH-273 | FACTORY3 | KWD2 | KWD | ASSEMBLY | 1007-KW2AI | OTHER | WEIGHT CHECKER | WEIGHT CHECKER | NOT_SPECIFIED</v>
      </c>
      <c r="X175" s="24" t="str">
        <f t="shared" si="19"/>
        <v/>
      </c>
      <c r="Y175" s="24" t="str">
        <f t="shared" si="20"/>
        <v>MISSING_STATUS; CATEGORY_NOT_USEFUL</v>
      </c>
    </row>
    <row r="176" spans="1:25" x14ac:dyDescent="0.3">
      <c r="A176" s="24" t="str">
        <f t="shared" si="14"/>
        <v>CH-362#0175</v>
      </c>
      <c r="B176" s="24" t="str">
        <f>IF('query (2)'!B176="","",TRIM(UPPER('query (2)'!B176)))</f>
        <v>CH-362</v>
      </c>
      <c r="C176" s="25" t="str">
        <f>IF('query (2)'!B176="","",'query (2)'!B176)</f>
        <v>CH-362</v>
      </c>
      <c r="D176" s="24" t="str">
        <f t="shared" si="15"/>
        <v>CH</v>
      </c>
      <c r="E176" s="24">
        <f t="shared" si="16"/>
        <v>1</v>
      </c>
      <c r="F176" s="24">
        <f>IF('query (2)'!A176="","",IFERROR(VALUE('query (2)'!A176),""))</f>
        <v>175</v>
      </c>
      <c r="G176" s="24" t="str">
        <f>IF('query (2)'!C176="","UNKNOWN",IFERROR(INDEX(Cleaning_Rules!$B$15:$B$20,MATCH(TRIM(UPPER('query (2)'!C176)),Cleaning_Rules!$A$15:$A$20,0)),"UNKNOWN"))</f>
        <v>FACTORY3</v>
      </c>
      <c r="H176" s="25" t="str">
        <f>IF('query (2)'!C176="","",'query (2)'!C176)</f>
        <v>FACTORY3</v>
      </c>
      <c r="I176" s="24" t="str" cm="1">
        <f t="array" ref="I176">_xlfn.IFS($G176="UNKNOWN","UNKNOWN",OR($G176="FACTORY1",$G176="FACTORY2",$G176="FACTORY3"),"PLANT",TRUE,"SHARED")</f>
        <v>PLANT</v>
      </c>
      <c r="J176" s="24" t="str">
        <f>IF('query (2)'!D176="","UNKNOWN",IF(COUNTIF(Cleaning_Rules!$A$6:$A$11,TRIM('query (2)'!D176))&gt;0,"UNKNOWN",IFERROR(INDEX(Cleaning_Rules!$B$24:$B$28,MATCH(TRIM(UPPER('query (2)'!D176)),Cleaning_Rules!$A$24:$A$28,0)),TRIM(UPPER('query (2)'!D176)))))</f>
        <v>KWD3</v>
      </c>
      <c r="K176" s="25" t="str">
        <f>IF('query (2)'!D176="","",'query (2)'!D176)</f>
        <v>KWD3</v>
      </c>
      <c r="L176" s="24" t="str">
        <f>IF($J176="UNKNOWN","",_xlfn.TEXTBEFORE($J176,{"0","1","2","3","4","5","6","7","8","9"," ","-","."},1,,,$J176))</f>
        <v>KWD</v>
      </c>
      <c r="M176" s="24" t="str">
        <f>IF('query (2)'!I176&lt;&gt;"",TRIM(UPPER('query (2)'!I176)),IF($L176="","UNKNOWN",$L176))</f>
        <v>KWD</v>
      </c>
      <c r="N176" s="24" t="str">
        <f>IF('query (2)'!I176&lt;&gt;"","SOURCE",IF($L176="","UNKNOWN","DERIVED"))</f>
        <v>SOURCE</v>
      </c>
      <c r="O176" s="24" t="str">
        <f>IF('query (2)'!E176="","NOT_SPECIFIED",TRIM(UPPER('query (2)'!E176)))</f>
        <v>ASSEMBLY</v>
      </c>
      <c r="P176" s="24" t="str">
        <f>IF('query (2)'!F176="","",TRIM(UPPER('query (2)'!F176)))</f>
        <v>1010-KW3AI</v>
      </c>
      <c r="Q176" s="24" t="str">
        <f>IF('query (2)'!G176="","UNKNOWN",IFERROR(INDEX(Cleaning_Rules!$B$38:$B$46,MATCH(TRIM(UPPER('query (2)'!G176)),Cleaning_Rules!$A$38:$A$46,0)),"UNKNOWN"))</f>
        <v>OTHER</v>
      </c>
      <c r="R176" s="24" t="str">
        <f>IF('query (2)'!H176="","",TRIM(UPPER('query (2)'!H176)))</f>
        <v>WEIGHT CHECKER</v>
      </c>
      <c r="S176" s="25" t="str">
        <f>IF('query (2)'!H176="","",'query (2)'!H176)</f>
        <v>Weight checker</v>
      </c>
      <c r="T176" s="24" t="str">
        <f>IF('query (2)'!J176="","",TRIM(UPPER('query (2)'!J176)))</f>
        <v>WEIGHT CHECKER</v>
      </c>
      <c r="U176" s="24" t="str">
        <f t="shared" si="17"/>
        <v/>
      </c>
      <c r="V176" s="24" t="str">
        <f>IF('query (2)'!K176="","NOT_SPECIFIED",IFERROR(INDEX(Cleaning_Rules!$B$32:$B$34,MATCH(TRIM(UPPER('query (2)'!K176)),Cleaning_Rules!$A$32:$A$34,0)),"UNKNOWN"))</f>
        <v>NOT_SPECIFIED</v>
      </c>
      <c r="W176" s="24" t="str">
        <f t="shared" si="18"/>
        <v>CH-362 | FACTORY3 | KWD3 | KWD | ASSEMBLY | 1010-KW3AI | OTHER | WEIGHT CHECKER | WEIGHT CHECKER | NOT_SPECIFIED</v>
      </c>
      <c r="X176" s="24" t="str">
        <f t="shared" si="19"/>
        <v/>
      </c>
      <c r="Y176" s="24" t="str">
        <f t="shared" si="20"/>
        <v>MISSING_STATUS; CATEGORY_NOT_USEFUL</v>
      </c>
    </row>
    <row r="177" spans="1:25" x14ac:dyDescent="0.3">
      <c r="A177" s="24" t="str">
        <f t="shared" si="14"/>
        <v>CH-485#0176</v>
      </c>
      <c r="B177" s="24" t="str">
        <f>IF('query (2)'!B177="","",TRIM(UPPER('query (2)'!B177)))</f>
        <v>CH-485</v>
      </c>
      <c r="C177" s="25" t="str">
        <f>IF('query (2)'!B177="","",'query (2)'!B177)</f>
        <v>CH-485</v>
      </c>
      <c r="D177" s="24" t="str">
        <f t="shared" si="15"/>
        <v>CH</v>
      </c>
      <c r="E177" s="24">
        <f t="shared" si="16"/>
        <v>1</v>
      </c>
      <c r="F177" s="24">
        <f>IF('query (2)'!A177="","",IFERROR(VALUE('query (2)'!A177),""))</f>
        <v>176</v>
      </c>
      <c r="G177" s="24" t="str">
        <f>IF('query (2)'!C177="","UNKNOWN",IFERROR(INDEX(Cleaning_Rules!$B$15:$B$20,MATCH(TRIM(UPPER('query (2)'!C177)),Cleaning_Rules!$A$15:$A$20,0)),"UNKNOWN"))</f>
        <v>FACTORY3</v>
      </c>
      <c r="H177" s="25" t="str">
        <f>IF('query (2)'!C177="","",'query (2)'!C177)</f>
        <v>FACTORY3</v>
      </c>
      <c r="I177" s="24" t="str" cm="1">
        <f t="array" ref="I177">_xlfn.IFS($G177="UNKNOWN","UNKNOWN",OR($G177="FACTORY1",$G177="FACTORY2",$G177="FACTORY3"),"PLANT",TRUE,"SHARED")</f>
        <v>PLANT</v>
      </c>
      <c r="J177" s="24" t="str">
        <f>IF('query (2)'!D177="","UNKNOWN",IF(COUNTIF(Cleaning_Rules!$A$6:$A$11,TRIM('query (2)'!D177))&gt;0,"UNKNOWN",IFERROR(INDEX(Cleaning_Rules!$B$24:$B$28,MATCH(TRIM(UPPER('query (2)'!D177)),Cleaning_Rules!$A$24:$A$28,0)),TRIM(UPPER('query (2)'!D177)))))</f>
        <v>KWD4</v>
      </c>
      <c r="K177" s="25" t="str">
        <f>IF('query (2)'!D177="","",'query (2)'!D177)</f>
        <v>KWD4</v>
      </c>
      <c r="L177" s="24" t="str">
        <f>IF($J177="UNKNOWN","",_xlfn.TEXTBEFORE($J177,{"0","1","2","3","4","5","6","7","8","9"," ","-","."},1,,,$J177))</f>
        <v>KWD</v>
      </c>
      <c r="M177" s="24" t="str">
        <f>IF('query (2)'!I177&lt;&gt;"",TRIM(UPPER('query (2)'!I177)),IF($L177="","UNKNOWN",$L177))</f>
        <v>KWD</v>
      </c>
      <c r="N177" s="24" t="str">
        <f>IF('query (2)'!I177&lt;&gt;"","SOURCE",IF($L177="","UNKNOWN","DERIVED"))</f>
        <v>SOURCE</v>
      </c>
      <c r="O177" s="24" t="str">
        <f>IF('query (2)'!E177="","NOT_SPECIFIED",TRIM(UPPER('query (2)'!E177)))</f>
        <v>ASSEMBLY</v>
      </c>
      <c r="P177" s="24" t="str">
        <f>IF('query (2)'!F177="","",TRIM(UPPER('query (2)'!F177)))</f>
        <v>1013-KW4AI</v>
      </c>
      <c r="Q177" s="24" t="str">
        <f>IF('query (2)'!G177="","UNKNOWN",IFERROR(INDEX(Cleaning_Rules!$B$38:$B$46,MATCH(TRIM(UPPER('query (2)'!G177)),Cleaning_Rules!$A$38:$A$46,0)),"UNKNOWN"))</f>
        <v>OTHER</v>
      </c>
      <c r="R177" s="24" t="str">
        <f>IF('query (2)'!H177="","",TRIM(UPPER('query (2)'!H177)))</f>
        <v>WEIGHT CHECKER</v>
      </c>
      <c r="S177" s="25" t="str">
        <f>IF('query (2)'!H177="","",'query (2)'!H177)</f>
        <v>Weight checker</v>
      </c>
      <c r="T177" s="24" t="str">
        <f>IF('query (2)'!J177="","",TRIM(UPPER('query (2)'!J177)))</f>
        <v>WEIGHT CHECKER</v>
      </c>
      <c r="U177" s="24" t="str">
        <f t="shared" si="17"/>
        <v/>
      </c>
      <c r="V177" s="24" t="str">
        <f>IF('query (2)'!K177="","NOT_SPECIFIED",IFERROR(INDEX(Cleaning_Rules!$B$32:$B$34,MATCH(TRIM(UPPER('query (2)'!K177)),Cleaning_Rules!$A$32:$A$34,0)),"UNKNOWN"))</f>
        <v>NOT_SPECIFIED</v>
      </c>
      <c r="W177" s="24" t="str">
        <f t="shared" si="18"/>
        <v>CH-485 | FACTORY3 | KWD4 | KWD | ASSEMBLY | 1013-KW4AI | OTHER | WEIGHT CHECKER | WEIGHT CHECKER | NOT_SPECIFIED</v>
      </c>
      <c r="X177" s="24" t="str">
        <f t="shared" si="19"/>
        <v/>
      </c>
      <c r="Y177" s="24" t="str">
        <f t="shared" si="20"/>
        <v>MISSING_STATUS; CATEGORY_NOT_USEFUL</v>
      </c>
    </row>
    <row r="178" spans="1:25" x14ac:dyDescent="0.3">
      <c r="A178" s="24" t="str">
        <f t="shared" si="14"/>
        <v>CH-601#0177</v>
      </c>
      <c r="B178" s="24" t="str">
        <f>IF('query (2)'!B178="","",TRIM(UPPER('query (2)'!B178)))</f>
        <v>CH-601</v>
      </c>
      <c r="C178" s="25" t="str">
        <f>IF('query (2)'!B178="","",'query (2)'!B178)</f>
        <v>CH-601</v>
      </c>
      <c r="D178" s="24" t="str">
        <f t="shared" si="15"/>
        <v>CH</v>
      </c>
      <c r="E178" s="24">
        <f t="shared" si="16"/>
        <v>1</v>
      </c>
      <c r="F178" s="24">
        <f>IF('query (2)'!A178="","",IFERROR(VALUE('query (2)'!A178),""))</f>
        <v>177</v>
      </c>
      <c r="G178" s="24" t="str">
        <f>IF('query (2)'!C178="","UNKNOWN",IFERROR(INDEX(Cleaning_Rules!$B$15:$B$20,MATCH(TRIM(UPPER('query (2)'!C178)),Cleaning_Rules!$A$15:$A$20,0)),"UNKNOWN"))</f>
        <v>FACTORY3</v>
      </c>
      <c r="H178" s="25" t="str">
        <f>IF('query (2)'!C178="","",'query (2)'!C178)</f>
        <v>FACTORY3</v>
      </c>
      <c r="I178" s="24" t="str" cm="1">
        <f t="array" ref="I178">_xlfn.IFS($G178="UNKNOWN","UNKNOWN",OR($G178="FACTORY1",$G178="FACTORY2",$G178="FACTORY3"),"PLANT",TRUE,"SHARED")</f>
        <v>PLANT</v>
      </c>
      <c r="J178" s="24" t="str">
        <f>IF('query (2)'!D178="","UNKNOWN",IF(COUNTIF(Cleaning_Rules!$A$6:$A$11,TRIM('query (2)'!D178))&gt;0,"UNKNOWN",IFERROR(INDEX(Cleaning_Rules!$B$24:$B$28,MATCH(TRIM(UPPER('query (2)'!D178)),Cleaning_Rules!$A$24:$A$28,0)),TRIM(UPPER('query (2)'!D178)))))</f>
        <v>KWD5</v>
      </c>
      <c r="K178" s="25" t="str">
        <f>IF('query (2)'!D178="","",'query (2)'!D178)</f>
        <v>KWD5</v>
      </c>
      <c r="L178" s="24" t="str">
        <f>IF($J178="UNKNOWN","",_xlfn.TEXTBEFORE($J178,{"0","1","2","3","4","5","6","7","8","9"," ","-","."},1,,,$J178))</f>
        <v>KWD</v>
      </c>
      <c r="M178" s="24" t="str">
        <f>IF('query (2)'!I178&lt;&gt;"",TRIM(UPPER('query (2)'!I178)),IF($L178="","UNKNOWN",$L178))</f>
        <v>KWD</v>
      </c>
      <c r="N178" s="24" t="str">
        <f>IF('query (2)'!I178&lt;&gt;"","SOURCE",IF($L178="","UNKNOWN","DERIVED"))</f>
        <v>SOURCE</v>
      </c>
      <c r="O178" s="24" t="str">
        <f>IF('query (2)'!E178="","NOT_SPECIFIED",TRIM(UPPER('query (2)'!E178)))</f>
        <v>ASSEMBLY</v>
      </c>
      <c r="P178" s="24" t="str">
        <f>IF('query (2)'!F178="","",TRIM(UPPER('query (2)'!F178)))</f>
        <v>1016-KW5AI</v>
      </c>
      <c r="Q178" s="24" t="str">
        <f>IF('query (2)'!G178="","UNKNOWN",IFERROR(INDEX(Cleaning_Rules!$B$38:$B$46,MATCH(TRIM(UPPER('query (2)'!G178)),Cleaning_Rules!$A$38:$A$46,0)),"UNKNOWN"))</f>
        <v>OTHER</v>
      </c>
      <c r="R178" s="24" t="str">
        <f>IF('query (2)'!H178="","",TRIM(UPPER('query (2)'!H178)))</f>
        <v>WEIGHT CHECKER</v>
      </c>
      <c r="S178" s="25" t="str">
        <f>IF('query (2)'!H178="","",'query (2)'!H178)</f>
        <v>Weight checker</v>
      </c>
      <c r="T178" s="24" t="str">
        <f>IF('query (2)'!J178="","",TRIM(UPPER('query (2)'!J178)))</f>
        <v>WEIGHT CHECKER</v>
      </c>
      <c r="U178" s="24" t="str">
        <f t="shared" si="17"/>
        <v/>
      </c>
      <c r="V178" s="24" t="str">
        <f>IF('query (2)'!K178="","NOT_SPECIFIED",IFERROR(INDEX(Cleaning_Rules!$B$32:$B$34,MATCH(TRIM(UPPER('query (2)'!K178)),Cleaning_Rules!$A$32:$A$34,0)),"UNKNOWN"))</f>
        <v>NOT_SPECIFIED</v>
      </c>
      <c r="W178" s="24" t="str">
        <f t="shared" si="18"/>
        <v>CH-601 | FACTORY3 | KWD5 | KWD | ASSEMBLY | 1016-KW5AI | OTHER | WEIGHT CHECKER | WEIGHT CHECKER | NOT_SPECIFIED</v>
      </c>
      <c r="X178" s="24" t="str">
        <f t="shared" si="19"/>
        <v/>
      </c>
      <c r="Y178" s="24" t="str">
        <f t="shared" si="20"/>
        <v>MISSING_STATUS; CATEGORY_NOT_USEFUL</v>
      </c>
    </row>
    <row r="179" spans="1:25" x14ac:dyDescent="0.3">
      <c r="A179" s="24" t="str">
        <f t="shared" si="14"/>
        <v>CH-710#0178</v>
      </c>
      <c r="B179" s="24" t="str">
        <f>IF('query (2)'!B179="","",TRIM(UPPER('query (2)'!B179)))</f>
        <v>CH-710</v>
      </c>
      <c r="C179" s="25" t="str">
        <f>IF('query (2)'!B179="","",'query (2)'!B179)</f>
        <v>CH-710</v>
      </c>
      <c r="D179" s="24" t="str">
        <f t="shared" si="15"/>
        <v>CH</v>
      </c>
      <c r="E179" s="24">
        <f t="shared" si="16"/>
        <v>1</v>
      </c>
      <c r="F179" s="24">
        <f>IF('query (2)'!A179="","",IFERROR(VALUE('query (2)'!A179),""))</f>
        <v>178</v>
      </c>
      <c r="G179" s="24" t="str">
        <f>IF('query (2)'!C179="","UNKNOWN",IFERROR(INDEX(Cleaning_Rules!$B$15:$B$20,MATCH(TRIM(UPPER('query (2)'!C179)),Cleaning_Rules!$A$15:$A$20,0)),"UNKNOWN"))</f>
        <v>FACTORY3</v>
      </c>
      <c r="H179" s="25" t="str">
        <f>IF('query (2)'!C179="","",'query (2)'!C179)</f>
        <v>FACTORY3</v>
      </c>
      <c r="I179" s="24" t="str" cm="1">
        <f t="array" ref="I179">_xlfn.IFS($G179="UNKNOWN","UNKNOWN",OR($G179="FACTORY1",$G179="FACTORY2",$G179="FACTORY3"),"PLANT",TRUE,"SHARED")</f>
        <v>PLANT</v>
      </c>
      <c r="J179" s="24" t="str">
        <f>IF('query (2)'!D179="","UNKNOWN",IF(COUNTIF(Cleaning_Rules!$A$6:$A$11,TRIM('query (2)'!D179))&gt;0,"UNKNOWN",IFERROR(INDEX(Cleaning_Rules!$B$24:$B$28,MATCH(TRIM(UPPER('query (2)'!D179)),Cleaning_Rules!$A$24:$A$28,0)),TRIM(UPPER('query (2)'!D179)))))</f>
        <v>KWD6</v>
      </c>
      <c r="K179" s="25" t="str">
        <f>IF('query (2)'!D179="","",'query (2)'!D179)</f>
        <v>KWD6</v>
      </c>
      <c r="L179" s="24" t="str">
        <f>IF($J179="UNKNOWN","",_xlfn.TEXTBEFORE($J179,{"0","1","2","3","4","5","6","7","8","9"," ","-","."},1,,,$J179))</f>
        <v>KWD</v>
      </c>
      <c r="M179" s="24" t="str">
        <f>IF('query (2)'!I179&lt;&gt;"",TRIM(UPPER('query (2)'!I179)),IF($L179="","UNKNOWN",$L179))</f>
        <v>KWD</v>
      </c>
      <c r="N179" s="24" t="str">
        <f>IF('query (2)'!I179&lt;&gt;"","SOURCE",IF($L179="","UNKNOWN","DERIVED"))</f>
        <v>SOURCE</v>
      </c>
      <c r="O179" s="24" t="str">
        <f>IF('query (2)'!E179="","NOT_SPECIFIED",TRIM(UPPER('query (2)'!E179)))</f>
        <v>ASSEMBLY</v>
      </c>
      <c r="P179" s="24" t="str">
        <f>IF('query (2)'!F179="","",TRIM(UPPER('query (2)'!F179)))</f>
        <v>1019-KW6AI</v>
      </c>
      <c r="Q179" s="24" t="str">
        <f>IF('query (2)'!G179="","UNKNOWN",IFERROR(INDEX(Cleaning_Rules!$B$38:$B$46,MATCH(TRIM(UPPER('query (2)'!G179)),Cleaning_Rules!$A$38:$A$46,0)),"UNKNOWN"))</f>
        <v>OTHER</v>
      </c>
      <c r="R179" s="24" t="str">
        <f>IF('query (2)'!H179="","",TRIM(UPPER('query (2)'!H179)))</f>
        <v>WEIGHT CHECKER</v>
      </c>
      <c r="S179" s="25" t="str">
        <f>IF('query (2)'!H179="","",'query (2)'!H179)</f>
        <v>Weight checker</v>
      </c>
      <c r="T179" s="24" t="str">
        <f>IF('query (2)'!J179="","",TRIM(UPPER('query (2)'!J179)))</f>
        <v>WEIGHT CHECKER</v>
      </c>
      <c r="U179" s="24" t="str">
        <f t="shared" si="17"/>
        <v/>
      </c>
      <c r="V179" s="24" t="str">
        <f>IF('query (2)'!K179="","NOT_SPECIFIED",IFERROR(INDEX(Cleaning_Rules!$B$32:$B$34,MATCH(TRIM(UPPER('query (2)'!K179)),Cleaning_Rules!$A$32:$A$34,0)),"UNKNOWN"))</f>
        <v>NOT_SPECIFIED</v>
      </c>
      <c r="W179" s="24" t="str">
        <f t="shared" si="18"/>
        <v>CH-710 | FACTORY3 | KWD6 | KWD | ASSEMBLY | 1019-KW6AI | OTHER | WEIGHT CHECKER | WEIGHT CHECKER | NOT_SPECIFIED</v>
      </c>
      <c r="X179" s="24" t="str">
        <f t="shared" si="19"/>
        <v/>
      </c>
      <c r="Y179" s="24" t="str">
        <f t="shared" si="20"/>
        <v>MISSING_STATUS; CATEGORY_NOT_USEFUL</v>
      </c>
    </row>
    <row r="180" spans="1:25" x14ac:dyDescent="0.3">
      <c r="A180" s="24" t="str">
        <f t="shared" si="14"/>
        <v>CH-850#0179</v>
      </c>
      <c r="B180" s="24" t="str">
        <f>IF('query (2)'!B180="","",TRIM(UPPER('query (2)'!B180)))</f>
        <v>CH-850</v>
      </c>
      <c r="C180" s="25" t="str">
        <f>IF('query (2)'!B180="","",'query (2)'!B180)</f>
        <v>CH-850</v>
      </c>
      <c r="D180" s="24" t="str">
        <f t="shared" si="15"/>
        <v>CH</v>
      </c>
      <c r="E180" s="24">
        <f t="shared" si="16"/>
        <v>1</v>
      </c>
      <c r="F180" s="24">
        <f>IF('query (2)'!A180="","",IFERROR(VALUE('query (2)'!A180),""))</f>
        <v>179</v>
      </c>
      <c r="G180" s="24" t="str">
        <f>IF('query (2)'!C180="","UNKNOWN",IFERROR(INDEX(Cleaning_Rules!$B$15:$B$20,MATCH(TRIM(UPPER('query (2)'!C180)),Cleaning_Rules!$A$15:$A$20,0)),"UNKNOWN"))</f>
        <v>FACTORY3</v>
      </c>
      <c r="H180" s="25" t="str">
        <f>IF('query (2)'!C180="","",'query (2)'!C180)</f>
        <v>FACTORY3</v>
      </c>
      <c r="I180" s="24" t="str" cm="1">
        <f t="array" ref="I180">_xlfn.IFS($G180="UNKNOWN","UNKNOWN",OR($G180="FACTORY1",$G180="FACTORY2",$G180="FACTORY3"),"PLANT",TRUE,"SHARED")</f>
        <v>PLANT</v>
      </c>
      <c r="J180" s="24" t="str">
        <f>IF('query (2)'!D180="","UNKNOWN",IF(COUNTIF(Cleaning_Rules!$A$6:$A$11,TRIM('query (2)'!D180))&gt;0,"UNKNOWN",IFERROR(INDEX(Cleaning_Rules!$B$24:$B$28,MATCH(TRIM(UPPER('query (2)'!D180)),Cleaning_Rules!$A$24:$A$28,0)),TRIM(UPPER('query (2)'!D180)))))</f>
        <v>KWD7</v>
      </c>
      <c r="K180" s="25" t="str">
        <f>IF('query (2)'!D180="","",'query (2)'!D180)</f>
        <v>KWD7</v>
      </c>
      <c r="L180" s="24" t="str">
        <f>IF($J180="UNKNOWN","",_xlfn.TEXTBEFORE($J180,{"0","1","2","3","4","5","6","7","8","9"," ","-","."},1,,,$J180))</f>
        <v>KWD</v>
      </c>
      <c r="M180" s="24" t="str">
        <f>IF('query (2)'!I180&lt;&gt;"",TRIM(UPPER('query (2)'!I180)),IF($L180="","UNKNOWN",$L180))</f>
        <v>KWD</v>
      </c>
      <c r="N180" s="24" t="str">
        <f>IF('query (2)'!I180&lt;&gt;"","SOURCE",IF($L180="","UNKNOWN","DERIVED"))</f>
        <v>SOURCE</v>
      </c>
      <c r="O180" s="24" t="str">
        <f>IF('query (2)'!E180="","NOT_SPECIFIED",TRIM(UPPER('query (2)'!E180)))</f>
        <v>ASSEMBLY</v>
      </c>
      <c r="P180" s="24" t="str">
        <f>IF('query (2)'!F180="","",TRIM(UPPER('query (2)'!F180)))</f>
        <v>1025-KW7AI</v>
      </c>
      <c r="Q180" s="24" t="str">
        <f>IF('query (2)'!G180="","UNKNOWN",IFERROR(INDEX(Cleaning_Rules!$B$38:$B$46,MATCH(TRIM(UPPER('query (2)'!G180)),Cleaning_Rules!$A$38:$A$46,0)),"UNKNOWN"))</f>
        <v>OTHER</v>
      </c>
      <c r="R180" s="24" t="str">
        <f>IF('query (2)'!H180="","",TRIM(UPPER('query (2)'!H180)))</f>
        <v>WEIGHT CHECKER</v>
      </c>
      <c r="S180" s="25" t="str">
        <f>IF('query (2)'!H180="","",'query (2)'!H180)</f>
        <v>Weight checker</v>
      </c>
      <c r="T180" s="24" t="str">
        <f>IF('query (2)'!J180="","",TRIM(UPPER('query (2)'!J180)))</f>
        <v>WEIGHT CHECKER</v>
      </c>
      <c r="U180" s="24" t="str">
        <f t="shared" si="17"/>
        <v/>
      </c>
      <c r="V180" s="24" t="str">
        <f>IF('query (2)'!K180="","NOT_SPECIFIED",IFERROR(INDEX(Cleaning_Rules!$B$32:$B$34,MATCH(TRIM(UPPER('query (2)'!K180)),Cleaning_Rules!$A$32:$A$34,0)),"UNKNOWN"))</f>
        <v>NOT_SPECIFIED</v>
      </c>
      <c r="W180" s="24" t="str">
        <f t="shared" si="18"/>
        <v>CH-850 | FACTORY3 | KWD7 | KWD | ASSEMBLY | 1025-KW7AI | OTHER | WEIGHT CHECKER | WEIGHT CHECKER | NOT_SPECIFIED</v>
      </c>
      <c r="X180" s="24" t="str">
        <f t="shared" si="19"/>
        <v/>
      </c>
      <c r="Y180" s="24" t="str">
        <f t="shared" si="20"/>
        <v>MISSING_STATUS; CATEGORY_NOT_USEFUL</v>
      </c>
    </row>
    <row r="181" spans="1:25" x14ac:dyDescent="0.3">
      <c r="A181" s="24" t="str">
        <f t="shared" si="14"/>
        <v>AR-247#0180</v>
      </c>
      <c r="B181" s="24" t="str">
        <f>IF('query (2)'!B181="","",TRIM(UPPER('query (2)'!B181)))</f>
        <v>AR-247</v>
      </c>
      <c r="C181" s="25" t="str">
        <f>IF('query (2)'!B181="","",'query (2)'!B181)</f>
        <v>AR-247</v>
      </c>
      <c r="D181" s="24" t="str">
        <f t="shared" si="15"/>
        <v>AR</v>
      </c>
      <c r="E181" s="24">
        <f t="shared" si="16"/>
        <v>1</v>
      </c>
      <c r="F181" s="24">
        <f>IF('query (2)'!A181="","",IFERROR(VALUE('query (2)'!A181),""))</f>
        <v>185</v>
      </c>
      <c r="G181" s="24" t="str">
        <f>IF('query (2)'!C181="","UNKNOWN",IFERROR(INDEX(Cleaning_Rules!$B$15:$B$20,MATCH(TRIM(UPPER('query (2)'!C181)),Cleaning_Rules!$A$15:$A$20,0)),"UNKNOWN"))</f>
        <v>FACTORY1</v>
      </c>
      <c r="H181" s="25" t="str">
        <f>IF('query (2)'!C181="","",'query (2)'!C181)</f>
        <v>FACTORY1</v>
      </c>
      <c r="I181" s="24" t="str" cm="1">
        <f t="array" ref="I181">_xlfn.IFS($G181="UNKNOWN","UNKNOWN",OR($G181="FACTORY1",$G181="FACTORY2",$G181="FACTORY3"),"PLANT",TRUE,"SHARED")</f>
        <v>PLANT</v>
      </c>
      <c r="J181" s="24" t="str">
        <f>IF('query (2)'!D181="","UNKNOWN",IF(COUNTIF(Cleaning_Rules!$A$6:$A$11,TRIM('query (2)'!D181))&gt;0,"UNKNOWN",IFERROR(INDEX(Cleaning_Rules!$B$24:$B$28,MATCH(TRIM(UPPER('query (2)'!D181)),Cleaning_Rules!$A$24:$A$28,0)),TRIM(UPPER('query (2)'!D181)))))</f>
        <v>UNKNOWN</v>
      </c>
      <c r="K181" s="25" t="str">
        <f>IF('query (2)'!D181="","",'query (2)'!D181)</f>
        <v/>
      </c>
      <c r="L181" s="24" t="str">
        <f>IF($J181="UNKNOWN","",_xlfn.TEXTBEFORE($J181,{"0","1","2","3","4","5","6","7","8","9"," ","-","."},1,,,$J181))</f>
        <v/>
      </c>
      <c r="M181" s="24" t="str">
        <f>IF('query (2)'!I181&lt;&gt;"",TRIM(UPPER('query (2)'!I181)),IF($L181="","UNKNOWN",$L181))</f>
        <v>UNKNOWN</v>
      </c>
      <c r="N181" s="24" t="str">
        <f>IF('query (2)'!I181&lt;&gt;"","SOURCE",IF($L181="","UNKNOWN","DERIVED"))</f>
        <v>UNKNOWN</v>
      </c>
      <c r="O181" s="24" t="str">
        <f>IF('query (2)'!E181="","NOT_SPECIFIED",TRIM(UPPER('query (2)'!E181)))</f>
        <v>NOT_SPECIFIED</v>
      </c>
      <c r="P181" s="24" t="str">
        <f>IF('query (2)'!F181="","",TRIM(UPPER('query (2)'!F181)))</f>
        <v/>
      </c>
      <c r="Q181" s="24" t="str">
        <f>IF('query (2)'!G181="","UNKNOWN",IFERROR(INDEX(Cleaning_Rules!$B$38:$B$46,MATCH(TRIM(UPPER('query (2)'!G181)),Cleaning_Rules!$A$38:$A$46,0)),"UNKNOWN"))</f>
        <v>OTHER</v>
      </c>
      <c r="R181" s="24" t="str">
        <f>IF('query (2)'!H181="","",TRIM(UPPER('query (2)'!H181)))</f>
        <v>RUST PREVENTION M/C</v>
      </c>
      <c r="S181" s="25" t="str">
        <f>IF('query (2)'!H181="","",'query (2)'!H181)</f>
        <v>Rust  Prevention  M/C</v>
      </c>
      <c r="T181" s="24" t="str">
        <f>IF('query (2)'!J181="","",TRIM(UPPER('query (2)'!J181)))</f>
        <v/>
      </c>
      <c r="U181" s="24" t="str">
        <f t="shared" si="17"/>
        <v/>
      </c>
      <c r="V181" s="24" t="str">
        <f>IF('query (2)'!K181="","NOT_SPECIFIED",IFERROR(INDEX(Cleaning_Rules!$B$32:$B$34,MATCH(TRIM(UPPER('query (2)'!K181)),Cleaning_Rules!$A$32:$A$34,0)),"UNKNOWN"))</f>
        <v>NOT_SPECIFIED</v>
      </c>
      <c r="W181" s="24" t="str">
        <f t="shared" si="18"/>
        <v>AR-247 | FACTORY1 | UNKNOWN | UNKNOWN | NOT_SPECIFIED | OTHER | RUST PREVENTION M/C | NOT_SPECIFIED</v>
      </c>
      <c r="X181" s="24" t="str">
        <f t="shared" si="19"/>
        <v>MISSING_DEPARTMENT; MISSING_SECTION; MISSING_RESPONSIBLE; MISSING_COST_CENTER</v>
      </c>
      <c r="Y181" s="24" t="str">
        <f t="shared" si="20"/>
        <v>MISSING_STATUS; CATEGORY_NOT_USEFUL; MISSING_PRODUCTION_NAME</v>
      </c>
    </row>
    <row r="182" spans="1:25" x14ac:dyDescent="0.3">
      <c r="A182" s="24" t="str">
        <f t="shared" si="14"/>
        <v>YMQ1#0181</v>
      </c>
      <c r="B182" s="24" t="str">
        <f>IF('query (2)'!B182="","",TRIM(UPPER('query (2)'!B182)))</f>
        <v>YMQ1</v>
      </c>
      <c r="C182" s="25" t="str">
        <f>IF('query (2)'!B182="","",'query (2)'!B182)</f>
        <v>YMQ1</v>
      </c>
      <c r="D182" s="24" t="str">
        <f t="shared" si="15"/>
        <v>NO_PREFIX</v>
      </c>
      <c r="E182" s="24">
        <f t="shared" si="16"/>
        <v>1</v>
      </c>
      <c r="F182" s="24">
        <f>IF('query (2)'!A182="","",IFERROR(VALUE('query (2)'!A182),""))</f>
        <v>200</v>
      </c>
      <c r="G182" s="24" t="str">
        <f>IF('query (2)'!C182="","UNKNOWN",IFERROR(INDEX(Cleaning_Rules!$B$15:$B$20,MATCH(TRIM(UPPER('query (2)'!C182)),Cleaning_Rules!$A$15:$A$20,0)),"UNKNOWN"))</f>
        <v>FACTORY1</v>
      </c>
      <c r="H182" s="25" t="str">
        <f>IF('query (2)'!C182="","",'query (2)'!C182)</f>
        <v>FACTORY1</v>
      </c>
      <c r="I182" s="24" t="str" cm="1">
        <f t="array" ref="I182">_xlfn.IFS($G182="UNKNOWN","UNKNOWN",OR($G182="FACTORY1",$G182="FACTORY2",$G182="FACTORY3"),"PLANT",TRUE,"SHARED")</f>
        <v>PLANT</v>
      </c>
      <c r="J182" s="24" t="str">
        <f>IF('query (2)'!D182="","UNKNOWN",IF(COUNTIF(Cleaning_Rules!$A$6:$A$11,TRIM('query (2)'!D182))&gt;0,"UNKNOWN",IFERROR(INDEX(Cleaning_Rules!$B$24:$B$28,MATCH(TRIM(UPPER('query (2)'!D182)),Cleaning_Rules!$A$24:$A$28,0)),TRIM(UPPER('query (2)'!D182)))))</f>
        <v>HT</v>
      </c>
      <c r="K182" s="25" t="str">
        <f>IF('query (2)'!D182="","",'query (2)'!D182)</f>
        <v>HT</v>
      </c>
      <c r="L182" s="24" t="str">
        <f>IF($J182="UNKNOWN","",_xlfn.TEXTBEFORE($J182,{"0","1","2","3","4","5","6","7","8","9"," ","-","."},1,,,$J182))</f>
        <v>HT</v>
      </c>
      <c r="M182" s="24" t="str">
        <f>IF('query (2)'!I182&lt;&gt;"",TRIM(UPPER('query (2)'!I182)),IF($L182="","UNKNOWN",$L182))</f>
        <v>HT</v>
      </c>
      <c r="N182" s="24" t="str">
        <f>IF('query (2)'!I182&lt;&gt;"","SOURCE",IF($L182="","UNKNOWN","DERIVED"))</f>
        <v>SOURCE</v>
      </c>
      <c r="O182" s="24" t="str">
        <f>IF('query (2)'!E182="","NOT_SPECIFIED",TRIM(UPPER('query (2)'!E182)))</f>
        <v>GRINDING 1</v>
      </c>
      <c r="P182" s="24" t="str">
        <f>IF('query (2)'!F182="","",TRIM(UPPER('query (2)'!F182)))</f>
        <v>2003-HT1</v>
      </c>
      <c r="Q182" s="24" t="str">
        <f>IF('query (2)'!G182="","UNKNOWN",IFERROR(INDEX(Cleaning_Rules!$B$38:$B$46,MATCH(TRIM(UPPER('query (2)'!G182)),Cleaning_Rules!$A$38:$A$46,0)),"UNKNOWN"))</f>
        <v>OTHER</v>
      </c>
      <c r="R182" s="24" t="str">
        <f>IF('query (2)'!H182="","",TRIM(UPPER('query (2)'!H182)))</f>
        <v>FURNACE1</v>
      </c>
      <c r="S182" s="25" t="str">
        <f>IF('query (2)'!H182="","",'query (2)'!H182)</f>
        <v>Furnace1</v>
      </c>
      <c r="T182" s="24" t="str">
        <f>IF('query (2)'!J182="","",TRIM(UPPER('query (2)'!J182)))</f>
        <v/>
      </c>
      <c r="U182" s="24" t="str">
        <f t="shared" si="17"/>
        <v/>
      </c>
      <c r="V182" s="24" t="str">
        <f>IF('query (2)'!K182="","NOT_SPECIFIED",IFERROR(INDEX(Cleaning_Rules!$B$32:$B$34,MATCH(TRIM(UPPER('query (2)'!K182)),Cleaning_Rules!$A$32:$A$34,0)),"UNKNOWN"))</f>
        <v>APPROVED</v>
      </c>
      <c r="W182" s="24" t="str">
        <f t="shared" si="18"/>
        <v>YMQ1 | FACTORY1 | HT | HT | GRINDING 1 | 2003-HT1 | OTHER | FURNACE1 | APPROVED</v>
      </c>
      <c r="X182" s="24" t="str">
        <f t="shared" si="19"/>
        <v/>
      </c>
      <c r="Y182" s="24" t="str">
        <f t="shared" si="20"/>
        <v>CATEGORY_NOT_USEFUL; MISSING_PRODUCTION_NAME</v>
      </c>
    </row>
    <row r="183" spans="1:25" x14ac:dyDescent="0.3">
      <c r="A183" s="24" t="str">
        <f t="shared" si="14"/>
        <v>YMQ2#0182</v>
      </c>
      <c r="B183" s="24" t="str">
        <f>IF('query (2)'!B183="","",TRIM(UPPER('query (2)'!B183)))</f>
        <v>YMQ2</v>
      </c>
      <c r="C183" s="25" t="str">
        <f>IF('query (2)'!B183="","",'query (2)'!B183)</f>
        <v>YMQ2</v>
      </c>
      <c r="D183" s="24" t="str">
        <f t="shared" si="15"/>
        <v>NO_PREFIX</v>
      </c>
      <c r="E183" s="24">
        <f t="shared" si="16"/>
        <v>1</v>
      </c>
      <c r="F183" s="24">
        <f>IF('query (2)'!A183="","",IFERROR(VALUE('query (2)'!A183),""))</f>
        <v>201</v>
      </c>
      <c r="G183" s="24" t="str">
        <f>IF('query (2)'!C183="","UNKNOWN",IFERROR(INDEX(Cleaning_Rules!$B$15:$B$20,MATCH(TRIM(UPPER('query (2)'!C183)),Cleaning_Rules!$A$15:$A$20,0)),"UNKNOWN"))</f>
        <v>FACTORY1</v>
      </c>
      <c r="H183" s="25" t="str">
        <f>IF('query (2)'!C183="","",'query (2)'!C183)</f>
        <v>FACTORY1</v>
      </c>
      <c r="I183" s="24" t="str" cm="1">
        <f t="array" ref="I183">_xlfn.IFS($G183="UNKNOWN","UNKNOWN",OR($G183="FACTORY1",$G183="FACTORY2",$G183="FACTORY3"),"PLANT",TRUE,"SHARED")</f>
        <v>PLANT</v>
      </c>
      <c r="J183" s="24" t="str">
        <f>IF('query (2)'!D183="","UNKNOWN",IF(COUNTIF(Cleaning_Rules!$A$6:$A$11,TRIM('query (2)'!D183))&gt;0,"UNKNOWN",IFERROR(INDEX(Cleaning_Rules!$B$24:$B$28,MATCH(TRIM(UPPER('query (2)'!D183)),Cleaning_Rules!$A$24:$A$28,0)),TRIM(UPPER('query (2)'!D183)))))</f>
        <v>HT</v>
      </c>
      <c r="K183" s="25" t="str">
        <f>IF('query (2)'!D183="","",'query (2)'!D183)</f>
        <v>HT</v>
      </c>
      <c r="L183" s="24" t="str">
        <f>IF($J183="UNKNOWN","",_xlfn.TEXTBEFORE($J183,{"0","1","2","3","4","5","6","7","8","9"," ","-","."},1,,,$J183))</f>
        <v>HT</v>
      </c>
      <c r="M183" s="24" t="str">
        <f>IF('query (2)'!I183&lt;&gt;"",TRIM(UPPER('query (2)'!I183)),IF($L183="","UNKNOWN",$L183))</f>
        <v>HT</v>
      </c>
      <c r="N183" s="24" t="str">
        <f>IF('query (2)'!I183&lt;&gt;"","SOURCE",IF($L183="","UNKNOWN","DERIVED"))</f>
        <v>SOURCE</v>
      </c>
      <c r="O183" s="24" t="str">
        <f>IF('query (2)'!E183="","NOT_SPECIFIED",TRIM(UPPER('query (2)'!E183)))</f>
        <v>GRINDING 1</v>
      </c>
      <c r="P183" s="24" t="str">
        <f>IF('query (2)'!F183="","",TRIM(UPPER('query (2)'!F183)))</f>
        <v>2004-HT2</v>
      </c>
      <c r="Q183" s="24" t="str">
        <f>IF('query (2)'!G183="","UNKNOWN",IFERROR(INDEX(Cleaning_Rules!$B$38:$B$46,MATCH(TRIM(UPPER('query (2)'!G183)),Cleaning_Rules!$A$38:$A$46,0)),"UNKNOWN"))</f>
        <v>OTHER</v>
      </c>
      <c r="R183" s="24" t="str">
        <f>IF('query (2)'!H183="","",TRIM(UPPER('query (2)'!H183)))</f>
        <v>FURNACE2</v>
      </c>
      <c r="S183" s="25" t="str">
        <f>IF('query (2)'!H183="","",'query (2)'!H183)</f>
        <v>Furnace2</v>
      </c>
      <c r="T183" s="24" t="str">
        <f>IF('query (2)'!J183="","",TRIM(UPPER('query (2)'!J183)))</f>
        <v/>
      </c>
      <c r="U183" s="24" t="str">
        <f t="shared" si="17"/>
        <v/>
      </c>
      <c r="V183" s="24" t="str">
        <f>IF('query (2)'!K183="","NOT_SPECIFIED",IFERROR(INDEX(Cleaning_Rules!$B$32:$B$34,MATCH(TRIM(UPPER('query (2)'!K183)),Cleaning_Rules!$A$32:$A$34,0)),"UNKNOWN"))</f>
        <v>APPROVED</v>
      </c>
      <c r="W183" s="24" t="str">
        <f t="shared" si="18"/>
        <v>YMQ2 | FACTORY1 | HT | HT | GRINDING 1 | 2004-HT2 | OTHER | FURNACE2 | APPROVED</v>
      </c>
      <c r="X183" s="24" t="str">
        <f t="shared" si="19"/>
        <v/>
      </c>
      <c r="Y183" s="24" t="str">
        <f t="shared" si="20"/>
        <v>CATEGORY_NOT_USEFUL; MISSING_PRODUCTION_NAME</v>
      </c>
    </row>
    <row r="184" spans="1:25" x14ac:dyDescent="0.3">
      <c r="A184" s="24" t="str">
        <f t="shared" si="14"/>
        <v>YMQ3#0183</v>
      </c>
      <c r="B184" s="24" t="str">
        <f>IF('query (2)'!B184="","",TRIM(UPPER('query (2)'!B184)))</f>
        <v>YMQ3</v>
      </c>
      <c r="C184" s="25" t="str">
        <f>IF('query (2)'!B184="","",'query (2)'!B184)</f>
        <v>YMQ3</v>
      </c>
      <c r="D184" s="24" t="str">
        <f t="shared" si="15"/>
        <v>NO_PREFIX</v>
      </c>
      <c r="E184" s="24">
        <f t="shared" si="16"/>
        <v>1</v>
      </c>
      <c r="F184" s="24">
        <f>IF('query (2)'!A184="","",IFERROR(VALUE('query (2)'!A184),""))</f>
        <v>202</v>
      </c>
      <c r="G184" s="24" t="str">
        <f>IF('query (2)'!C184="","UNKNOWN",IFERROR(INDEX(Cleaning_Rules!$B$15:$B$20,MATCH(TRIM(UPPER('query (2)'!C184)),Cleaning_Rules!$A$15:$A$20,0)),"UNKNOWN"))</f>
        <v>FACTORY1</v>
      </c>
      <c r="H184" s="25" t="str">
        <f>IF('query (2)'!C184="","",'query (2)'!C184)</f>
        <v>FACTORY1</v>
      </c>
      <c r="I184" s="24" t="str" cm="1">
        <f t="array" ref="I184">_xlfn.IFS($G184="UNKNOWN","UNKNOWN",OR($G184="FACTORY1",$G184="FACTORY2",$G184="FACTORY3"),"PLANT",TRUE,"SHARED")</f>
        <v>PLANT</v>
      </c>
      <c r="J184" s="24" t="str">
        <f>IF('query (2)'!D184="","UNKNOWN",IF(COUNTIF(Cleaning_Rules!$A$6:$A$11,TRIM('query (2)'!D184))&gt;0,"UNKNOWN",IFERROR(INDEX(Cleaning_Rules!$B$24:$B$28,MATCH(TRIM(UPPER('query (2)'!D184)),Cleaning_Rules!$A$24:$A$28,0)),TRIM(UPPER('query (2)'!D184)))))</f>
        <v>HT</v>
      </c>
      <c r="K184" s="25" t="str">
        <f>IF('query (2)'!D184="","",'query (2)'!D184)</f>
        <v>HT</v>
      </c>
      <c r="L184" s="24" t="str">
        <f>IF($J184="UNKNOWN","",_xlfn.TEXTBEFORE($J184,{"0","1","2","3","4","5","6","7","8","9"," ","-","."},1,,,$J184))</f>
        <v>HT</v>
      </c>
      <c r="M184" s="24" t="str">
        <f>IF('query (2)'!I184&lt;&gt;"",TRIM(UPPER('query (2)'!I184)),IF($L184="","UNKNOWN",$L184))</f>
        <v>HT</v>
      </c>
      <c r="N184" s="24" t="str">
        <f>IF('query (2)'!I184&lt;&gt;"","SOURCE",IF($L184="","UNKNOWN","DERIVED"))</f>
        <v>SOURCE</v>
      </c>
      <c r="O184" s="24" t="str">
        <f>IF('query (2)'!E184="","NOT_SPECIFIED",TRIM(UPPER('query (2)'!E184)))</f>
        <v>GRINDING 1</v>
      </c>
      <c r="P184" s="24" t="str">
        <f>IF('query (2)'!F184="","",TRIM(UPPER('query (2)'!F184)))</f>
        <v>2005-HT3</v>
      </c>
      <c r="Q184" s="24" t="str">
        <f>IF('query (2)'!G184="","UNKNOWN",IFERROR(INDEX(Cleaning_Rules!$B$38:$B$46,MATCH(TRIM(UPPER('query (2)'!G184)),Cleaning_Rules!$A$38:$A$46,0)),"UNKNOWN"))</f>
        <v>OTHER</v>
      </c>
      <c r="R184" s="24" t="str">
        <f>IF('query (2)'!H184="","",TRIM(UPPER('query (2)'!H184)))</f>
        <v>FURNACE3</v>
      </c>
      <c r="S184" s="25" t="str">
        <f>IF('query (2)'!H184="","",'query (2)'!H184)</f>
        <v>Furnace3</v>
      </c>
      <c r="T184" s="24" t="str">
        <f>IF('query (2)'!J184="","",TRIM(UPPER('query (2)'!J184)))</f>
        <v/>
      </c>
      <c r="U184" s="24" t="str">
        <f t="shared" si="17"/>
        <v/>
      </c>
      <c r="V184" s="24" t="str">
        <f>IF('query (2)'!K184="","NOT_SPECIFIED",IFERROR(INDEX(Cleaning_Rules!$B$32:$B$34,MATCH(TRIM(UPPER('query (2)'!K184)),Cleaning_Rules!$A$32:$A$34,0)),"UNKNOWN"))</f>
        <v>APPROVED</v>
      </c>
      <c r="W184" s="24" t="str">
        <f t="shared" si="18"/>
        <v>YMQ3 | FACTORY1 | HT | HT | GRINDING 1 | 2005-HT3 | OTHER | FURNACE3 | APPROVED</v>
      </c>
      <c r="X184" s="24" t="str">
        <f t="shared" si="19"/>
        <v/>
      </c>
      <c r="Y184" s="24" t="str">
        <f t="shared" si="20"/>
        <v>CATEGORY_NOT_USEFUL; MISSING_PRODUCTION_NAME</v>
      </c>
    </row>
    <row r="185" spans="1:25" x14ac:dyDescent="0.3">
      <c r="A185" s="24" t="str">
        <f t="shared" si="14"/>
        <v>YMQ4#0184</v>
      </c>
      <c r="B185" s="24" t="str">
        <f>IF('query (2)'!B185="","",TRIM(UPPER('query (2)'!B185)))</f>
        <v>YMQ4</v>
      </c>
      <c r="C185" s="25" t="str">
        <f>IF('query (2)'!B185="","",'query (2)'!B185)</f>
        <v>YMQ4</v>
      </c>
      <c r="D185" s="24" t="str">
        <f t="shared" si="15"/>
        <v>NO_PREFIX</v>
      </c>
      <c r="E185" s="24">
        <f t="shared" si="16"/>
        <v>1</v>
      </c>
      <c r="F185" s="24">
        <f>IF('query (2)'!A185="","",IFERROR(VALUE('query (2)'!A185),""))</f>
        <v>203</v>
      </c>
      <c r="G185" s="24" t="str">
        <f>IF('query (2)'!C185="","UNKNOWN",IFERROR(INDEX(Cleaning_Rules!$B$15:$B$20,MATCH(TRIM(UPPER('query (2)'!C185)),Cleaning_Rules!$A$15:$A$20,0)),"UNKNOWN"))</f>
        <v>FACTORY1</v>
      </c>
      <c r="H185" s="25" t="str">
        <f>IF('query (2)'!C185="","",'query (2)'!C185)</f>
        <v>FACTORY1</v>
      </c>
      <c r="I185" s="24" t="str" cm="1">
        <f t="array" ref="I185">_xlfn.IFS($G185="UNKNOWN","UNKNOWN",OR($G185="FACTORY1",$G185="FACTORY2",$G185="FACTORY3"),"PLANT",TRUE,"SHARED")</f>
        <v>PLANT</v>
      </c>
      <c r="J185" s="24" t="str">
        <f>IF('query (2)'!D185="","UNKNOWN",IF(COUNTIF(Cleaning_Rules!$A$6:$A$11,TRIM('query (2)'!D185))&gt;0,"UNKNOWN",IFERROR(INDEX(Cleaning_Rules!$B$24:$B$28,MATCH(TRIM(UPPER('query (2)'!D185)),Cleaning_Rules!$A$24:$A$28,0)),TRIM(UPPER('query (2)'!D185)))))</f>
        <v>HT</v>
      </c>
      <c r="K185" s="25" t="str">
        <f>IF('query (2)'!D185="","",'query (2)'!D185)</f>
        <v>HT</v>
      </c>
      <c r="L185" s="24" t="str">
        <f>IF($J185="UNKNOWN","",_xlfn.TEXTBEFORE($J185,{"0","1","2","3","4","5","6","7","8","9"," ","-","."},1,,,$J185))</f>
        <v>HT</v>
      </c>
      <c r="M185" s="24" t="str">
        <f>IF('query (2)'!I185&lt;&gt;"",TRIM(UPPER('query (2)'!I185)),IF($L185="","UNKNOWN",$L185))</f>
        <v>HT</v>
      </c>
      <c r="N185" s="24" t="str">
        <f>IF('query (2)'!I185&lt;&gt;"","SOURCE",IF($L185="","UNKNOWN","DERIVED"))</f>
        <v>SOURCE</v>
      </c>
      <c r="O185" s="24" t="str">
        <f>IF('query (2)'!E185="","NOT_SPECIFIED",TRIM(UPPER('query (2)'!E185)))</f>
        <v>GRINDING 1</v>
      </c>
      <c r="P185" s="24" t="str">
        <f>IF('query (2)'!F185="","",TRIM(UPPER('query (2)'!F185)))</f>
        <v>2006-HT4</v>
      </c>
      <c r="Q185" s="24" t="str">
        <f>IF('query (2)'!G185="","UNKNOWN",IFERROR(INDEX(Cleaning_Rules!$B$38:$B$46,MATCH(TRIM(UPPER('query (2)'!G185)),Cleaning_Rules!$A$38:$A$46,0)),"UNKNOWN"))</f>
        <v>OTHER</v>
      </c>
      <c r="R185" s="24" t="str">
        <f>IF('query (2)'!H185="","",TRIM(UPPER('query (2)'!H185)))</f>
        <v>FURNACE4</v>
      </c>
      <c r="S185" s="25" t="str">
        <f>IF('query (2)'!H185="","",'query (2)'!H185)</f>
        <v>Furnace4</v>
      </c>
      <c r="T185" s="24" t="str">
        <f>IF('query (2)'!J185="","",TRIM(UPPER('query (2)'!J185)))</f>
        <v/>
      </c>
      <c r="U185" s="24" t="str">
        <f t="shared" si="17"/>
        <v/>
      </c>
      <c r="V185" s="24" t="str">
        <f>IF('query (2)'!K185="","NOT_SPECIFIED",IFERROR(INDEX(Cleaning_Rules!$B$32:$B$34,MATCH(TRIM(UPPER('query (2)'!K185)),Cleaning_Rules!$A$32:$A$34,0)),"UNKNOWN"))</f>
        <v>APPROVED</v>
      </c>
      <c r="W185" s="24" t="str">
        <f t="shared" si="18"/>
        <v>YMQ4 | FACTORY1 | HT | HT | GRINDING 1 | 2006-HT4 | OTHER | FURNACE4 | APPROVED</v>
      </c>
      <c r="X185" s="24" t="str">
        <f t="shared" si="19"/>
        <v/>
      </c>
      <c r="Y185" s="24" t="str">
        <f t="shared" si="20"/>
        <v>CATEGORY_NOT_USEFUL; MISSING_PRODUCTION_NAME</v>
      </c>
    </row>
    <row r="186" spans="1:25" x14ac:dyDescent="0.3">
      <c r="A186" s="24" t="str">
        <f t="shared" si="14"/>
        <v>YMQ5#0185</v>
      </c>
      <c r="B186" s="24" t="str">
        <f>IF('query (2)'!B186="","",TRIM(UPPER('query (2)'!B186)))</f>
        <v>YMQ5</v>
      </c>
      <c r="C186" s="25" t="str">
        <f>IF('query (2)'!B186="","",'query (2)'!B186)</f>
        <v>YMQ5</v>
      </c>
      <c r="D186" s="24" t="str">
        <f t="shared" si="15"/>
        <v>NO_PREFIX</v>
      </c>
      <c r="E186" s="24">
        <f t="shared" si="16"/>
        <v>1</v>
      </c>
      <c r="F186" s="24">
        <f>IF('query (2)'!A186="","",IFERROR(VALUE('query (2)'!A186),""))</f>
        <v>204</v>
      </c>
      <c r="G186" s="24" t="str">
        <f>IF('query (2)'!C186="","UNKNOWN",IFERROR(INDEX(Cleaning_Rules!$B$15:$B$20,MATCH(TRIM(UPPER('query (2)'!C186)),Cleaning_Rules!$A$15:$A$20,0)),"UNKNOWN"))</f>
        <v>FACTORY1</v>
      </c>
      <c r="H186" s="25" t="str">
        <f>IF('query (2)'!C186="","",'query (2)'!C186)</f>
        <v>FACTORY1</v>
      </c>
      <c r="I186" s="24" t="str" cm="1">
        <f t="array" ref="I186">_xlfn.IFS($G186="UNKNOWN","UNKNOWN",OR($G186="FACTORY1",$G186="FACTORY2",$G186="FACTORY3"),"PLANT",TRUE,"SHARED")</f>
        <v>PLANT</v>
      </c>
      <c r="J186" s="24" t="str">
        <f>IF('query (2)'!D186="","UNKNOWN",IF(COUNTIF(Cleaning_Rules!$A$6:$A$11,TRIM('query (2)'!D186))&gt;0,"UNKNOWN",IFERROR(INDEX(Cleaning_Rules!$B$24:$B$28,MATCH(TRIM(UPPER('query (2)'!D186)),Cleaning_Rules!$A$24:$A$28,0)),TRIM(UPPER('query (2)'!D186)))))</f>
        <v>HT</v>
      </c>
      <c r="K186" s="25" t="str">
        <f>IF('query (2)'!D186="","",'query (2)'!D186)</f>
        <v>HT</v>
      </c>
      <c r="L186" s="24" t="str">
        <f>IF($J186="UNKNOWN","",_xlfn.TEXTBEFORE($J186,{"0","1","2","3","4","5","6","7","8","9"," ","-","."},1,,,$J186))</f>
        <v>HT</v>
      </c>
      <c r="M186" s="24" t="str">
        <f>IF('query (2)'!I186&lt;&gt;"",TRIM(UPPER('query (2)'!I186)),IF($L186="","UNKNOWN",$L186))</f>
        <v>HT</v>
      </c>
      <c r="N186" s="24" t="str">
        <f>IF('query (2)'!I186&lt;&gt;"","SOURCE",IF($L186="","UNKNOWN","DERIVED"))</f>
        <v>SOURCE</v>
      </c>
      <c r="O186" s="24" t="str">
        <f>IF('query (2)'!E186="","NOT_SPECIFIED",TRIM(UPPER('query (2)'!E186)))</f>
        <v>GRINDING 1</v>
      </c>
      <c r="P186" s="24" t="str">
        <f>IF('query (2)'!F186="","",TRIM(UPPER('query (2)'!F186)))</f>
        <v>2007-HT5</v>
      </c>
      <c r="Q186" s="24" t="str">
        <f>IF('query (2)'!G186="","UNKNOWN",IFERROR(INDEX(Cleaning_Rules!$B$38:$B$46,MATCH(TRIM(UPPER('query (2)'!G186)),Cleaning_Rules!$A$38:$A$46,0)),"UNKNOWN"))</f>
        <v>OTHER</v>
      </c>
      <c r="R186" s="24" t="str">
        <f>IF('query (2)'!H186="","",TRIM(UPPER('query (2)'!H186)))</f>
        <v>FURNACE5</v>
      </c>
      <c r="S186" s="25" t="str">
        <f>IF('query (2)'!H186="","",'query (2)'!H186)</f>
        <v>Furnace5</v>
      </c>
      <c r="T186" s="24" t="str">
        <f>IF('query (2)'!J186="","",TRIM(UPPER('query (2)'!J186)))</f>
        <v/>
      </c>
      <c r="U186" s="24" t="str">
        <f t="shared" si="17"/>
        <v/>
      </c>
      <c r="V186" s="24" t="str">
        <f>IF('query (2)'!K186="","NOT_SPECIFIED",IFERROR(INDEX(Cleaning_Rules!$B$32:$B$34,MATCH(TRIM(UPPER('query (2)'!K186)),Cleaning_Rules!$A$32:$A$34,0)),"UNKNOWN"))</f>
        <v>APPROVED</v>
      </c>
      <c r="W186" s="24" t="str">
        <f t="shared" si="18"/>
        <v>YMQ5 | FACTORY1 | HT | HT | GRINDING 1 | 2007-HT5 | OTHER | FURNACE5 | APPROVED</v>
      </c>
      <c r="X186" s="24" t="str">
        <f t="shared" si="19"/>
        <v/>
      </c>
      <c r="Y186" s="24" t="str">
        <f t="shared" si="20"/>
        <v>CATEGORY_NOT_USEFUL; MISSING_PRODUCTION_NAME</v>
      </c>
    </row>
    <row r="187" spans="1:25" x14ac:dyDescent="0.3">
      <c r="A187" s="24" t="str">
        <f t="shared" si="14"/>
        <v>GR-120#0186</v>
      </c>
      <c r="B187" s="24" t="str">
        <f>IF('query (2)'!B187="","",TRIM(UPPER('query (2)'!B187)))</f>
        <v>GR-120</v>
      </c>
      <c r="C187" s="25" t="str">
        <f>IF('query (2)'!B187="","",'query (2)'!B187)</f>
        <v>GR-120</v>
      </c>
      <c r="D187" s="24" t="str">
        <f t="shared" si="15"/>
        <v>GR</v>
      </c>
      <c r="E187" s="24">
        <f t="shared" si="16"/>
        <v>1</v>
      </c>
      <c r="F187" s="24">
        <f>IF('query (2)'!A187="","",IFERROR(VALUE('query (2)'!A187),""))</f>
        <v>205</v>
      </c>
      <c r="G187" s="24" t="str">
        <f>IF('query (2)'!C187="","UNKNOWN",IFERROR(INDEX(Cleaning_Rules!$B$15:$B$20,MATCH(TRIM(UPPER('query (2)'!C187)),Cleaning_Rules!$A$15:$A$20,0)),"UNKNOWN"))</f>
        <v>FACTORY2</v>
      </c>
      <c r="H187" s="25" t="str">
        <f>IF('query (2)'!C187="","",'query (2)'!C187)</f>
        <v>FACTORY2</v>
      </c>
      <c r="I187" s="24" t="str" cm="1">
        <f t="array" ref="I187">_xlfn.IFS($G187="UNKNOWN","UNKNOWN",OR($G187="FACTORY1",$G187="FACTORY2",$G187="FACTORY3"),"PLANT",TRUE,"SHARED")</f>
        <v>PLANT</v>
      </c>
      <c r="J187" s="24" t="str">
        <f>IF('query (2)'!D187="","UNKNOWN",IF(COUNTIF(Cleaning_Rules!$A$6:$A$11,TRIM('query (2)'!D187))&gt;0,"UNKNOWN",IFERROR(INDEX(Cleaning_Rules!$B$24:$B$28,MATCH(TRIM(UPPER('query (2)'!D187)),Cleaning_Rules!$A$24:$A$28,0)),TRIM(UPPER('query (2)'!D187)))))</f>
        <v>MCB1</v>
      </c>
      <c r="K187" s="25" t="str">
        <f>IF('query (2)'!D187="","",'query (2)'!D187)</f>
        <v>MCB1</v>
      </c>
      <c r="L187" s="24" t="str">
        <f>IF($J187="UNKNOWN","",_xlfn.TEXTBEFORE($J187,{"0","1","2","3","4","5","6","7","8","9"," ","-","."},1,,,$J187))</f>
        <v>MCB</v>
      </c>
      <c r="M187" s="24" t="str">
        <f>IF('query (2)'!I187&lt;&gt;"",TRIM(UPPER('query (2)'!I187)),IF($L187="","UNKNOWN",$L187))</f>
        <v>MCB</v>
      </c>
      <c r="N187" s="24" t="str">
        <f>IF('query (2)'!I187&lt;&gt;"","SOURCE",IF($L187="","UNKNOWN","DERIVED"))</f>
        <v>SOURCE</v>
      </c>
      <c r="O187" s="24" t="str">
        <f>IF('query (2)'!E187="","NOT_SPECIFIED",TRIM(UPPER('query (2)'!E187)))</f>
        <v>GRINDING 2</v>
      </c>
      <c r="P187" s="24" t="str">
        <f>IF('query (2)'!F187="","",TRIM(UPPER('query (2)'!F187)))</f>
        <v>1303-MC1G</v>
      </c>
      <c r="Q187" s="24" t="str">
        <f>IF('query (2)'!G187="","UNKNOWN",IFERROR(INDEX(Cleaning_Rules!$B$38:$B$46,MATCH(TRIM(UPPER('query (2)'!G187)),Cleaning_Rules!$A$38:$A$46,0)),"UNKNOWN"))</f>
        <v>OTHER</v>
      </c>
      <c r="R187" s="24" t="str">
        <f>IF('query (2)'!H187="","",TRIM(UPPER('query (2)'!H187)))</f>
        <v>INNER RING RACEWAY GRINDING M/C</v>
      </c>
      <c r="S187" s="25" t="str">
        <f>IF('query (2)'!H187="","",'query (2)'!H187)</f>
        <v>Inner ring raceway grinding M/C</v>
      </c>
      <c r="T187" s="24" t="str">
        <f>IF('query (2)'!J187="","",TRIM(UPPER('query (2)'!J187)))</f>
        <v>B - RACEWAY GRINDING</v>
      </c>
      <c r="U187" s="24" t="str">
        <f t="shared" si="17"/>
        <v/>
      </c>
      <c r="V187" s="24" t="str">
        <f>IF('query (2)'!K187="","NOT_SPECIFIED",IFERROR(INDEX(Cleaning_Rules!$B$32:$B$34,MATCH(TRIM(UPPER('query (2)'!K187)),Cleaning_Rules!$A$32:$A$34,0)),"UNKNOWN"))</f>
        <v>NOT_SPECIFIED</v>
      </c>
      <c r="W187" s="24" t="str">
        <f t="shared" si="18"/>
        <v>GR-120 | FACTORY2 | MCB1 | MCB | GRINDING 2 | 1303-MC1G | OTHER | INNER RING RACEWAY GRINDING M/C | B - RACEWAY GRINDING | NOT_SPECIFIED</v>
      </c>
      <c r="X187" s="24" t="str">
        <f t="shared" si="19"/>
        <v/>
      </c>
      <c r="Y187" s="24" t="str">
        <f t="shared" si="20"/>
        <v>MISSING_STATUS; CATEGORY_NOT_USEFUL</v>
      </c>
    </row>
    <row r="188" spans="1:25" x14ac:dyDescent="0.3">
      <c r="A188" s="24" t="str">
        <f t="shared" si="14"/>
        <v>GR-122#0187</v>
      </c>
      <c r="B188" s="24" t="str">
        <f>IF('query (2)'!B188="","",TRIM(UPPER('query (2)'!B188)))</f>
        <v>GR-122</v>
      </c>
      <c r="C188" s="25" t="str">
        <f>IF('query (2)'!B188="","",'query (2)'!B188)</f>
        <v>GR-122</v>
      </c>
      <c r="D188" s="24" t="str">
        <f t="shared" si="15"/>
        <v>GR</v>
      </c>
      <c r="E188" s="24">
        <f t="shared" si="16"/>
        <v>1</v>
      </c>
      <c r="F188" s="24">
        <f>IF('query (2)'!A188="","",IFERROR(VALUE('query (2)'!A188),""))</f>
        <v>206</v>
      </c>
      <c r="G188" s="24" t="str">
        <f>IF('query (2)'!C188="","UNKNOWN",IFERROR(INDEX(Cleaning_Rules!$B$15:$B$20,MATCH(TRIM(UPPER('query (2)'!C188)),Cleaning_Rules!$A$15:$A$20,0)),"UNKNOWN"))</f>
        <v>FACTORY2</v>
      </c>
      <c r="H188" s="25" t="str">
        <f>IF('query (2)'!C188="","",'query (2)'!C188)</f>
        <v>FACTORY2</v>
      </c>
      <c r="I188" s="24" t="str" cm="1">
        <f t="array" ref="I188">_xlfn.IFS($G188="UNKNOWN","UNKNOWN",OR($G188="FACTORY1",$G188="FACTORY2",$G188="FACTORY3"),"PLANT",TRUE,"SHARED")</f>
        <v>PLANT</v>
      </c>
      <c r="J188" s="24" t="str">
        <f>IF('query (2)'!D188="","UNKNOWN",IF(COUNTIF(Cleaning_Rules!$A$6:$A$11,TRIM('query (2)'!D188))&gt;0,"UNKNOWN",IFERROR(INDEX(Cleaning_Rules!$B$24:$B$28,MATCH(TRIM(UPPER('query (2)'!D188)),Cleaning_Rules!$A$24:$A$28,0)),TRIM(UPPER('query (2)'!D188)))))</f>
        <v>MCB1</v>
      </c>
      <c r="K188" s="25" t="str">
        <f>IF('query (2)'!D188="","",'query (2)'!D188)</f>
        <v>MCB1</v>
      </c>
      <c r="L188" s="24" t="str">
        <f>IF($J188="UNKNOWN","",_xlfn.TEXTBEFORE($J188,{"0","1","2","3","4","5","6","7","8","9"," ","-","."},1,,,$J188))</f>
        <v>MCB</v>
      </c>
      <c r="M188" s="24" t="str">
        <f>IF('query (2)'!I188&lt;&gt;"",TRIM(UPPER('query (2)'!I188)),IF($L188="","UNKNOWN",$L188))</f>
        <v>MCB</v>
      </c>
      <c r="N188" s="24" t="str">
        <f>IF('query (2)'!I188&lt;&gt;"","SOURCE",IF($L188="","UNKNOWN","DERIVED"))</f>
        <v>SOURCE</v>
      </c>
      <c r="O188" s="24" t="str">
        <f>IF('query (2)'!E188="","NOT_SPECIFIED",TRIM(UPPER('query (2)'!E188)))</f>
        <v>GRINDING 2</v>
      </c>
      <c r="P188" s="24" t="str">
        <f>IF('query (2)'!F188="","",TRIM(UPPER('query (2)'!F188)))</f>
        <v>1303-MC1G</v>
      </c>
      <c r="Q188" s="24" t="str">
        <f>IF('query (2)'!G188="","UNKNOWN",IFERROR(INDEX(Cleaning_Rules!$B$38:$B$46,MATCH(TRIM(UPPER('query (2)'!G188)),Cleaning_Rules!$A$38:$A$46,0)),"UNKNOWN"))</f>
        <v>OTHER</v>
      </c>
      <c r="R188" s="24" t="str">
        <f>IF('query (2)'!H188="","",TRIM(UPPER('query (2)'!H188)))</f>
        <v>INNER RING BORE GRINDING M/C</v>
      </c>
      <c r="S188" s="25" t="str">
        <f>IF('query (2)'!H188="","",'query (2)'!H188)</f>
        <v>Inner ring bore grinding M/C</v>
      </c>
      <c r="T188" s="24" t="str">
        <f>IF('query (2)'!J188="","",TRIM(UPPER('query (2)'!J188)))</f>
        <v>B - BORE GRINDING</v>
      </c>
      <c r="U188" s="24" t="str">
        <f t="shared" si="17"/>
        <v/>
      </c>
      <c r="V188" s="24" t="str">
        <f>IF('query (2)'!K188="","NOT_SPECIFIED",IFERROR(INDEX(Cleaning_Rules!$B$32:$B$34,MATCH(TRIM(UPPER('query (2)'!K188)),Cleaning_Rules!$A$32:$A$34,0)),"UNKNOWN"))</f>
        <v>NOT_SPECIFIED</v>
      </c>
      <c r="W188" s="24" t="str">
        <f t="shared" si="18"/>
        <v>GR-122 | FACTORY2 | MCB1 | MCB | GRINDING 2 | 1303-MC1G | OTHER | INNER RING BORE GRINDING M/C | B - BORE GRINDING | NOT_SPECIFIED</v>
      </c>
      <c r="X188" s="24" t="str">
        <f t="shared" si="19"/>
        <v/>
      </c>
      <c r="Y188" s="24" t="str">
        <f t="shared" si="20"/>
        <v>MISSING_STATUS; CATEGORY_NOT_USEFUL</v>
      </c>
    </row>
    <row r="189" spans="1:25" x14ac:dyDescent="0.3">
      <c r="A189" s="24" t="str">
        <f t="shared" si="14"/>
        <v>DE-124#0188</v>
      </c>
      <c r="B189" s="24" t="str">
        <f>IF('query (2)'!B189="","",TRIM(UPPER('query (2)'!B189)))</f>
        <v>DE-124</v>
      </c>
      <c r="C189" s="25" t="str">
        <f>IF('query (2)'!B189="","",'query (2)'!B189)</f>
        <v>DE-124</v>
      </c>
      <c r="D189" s="24" t="str">
        <f t="shared" si="15"/>
        <v>DE</v>
      </c>
      <c r="E189" s="24">
        <f t="shared" si="16"/>
        <v>1</v>
      </c>
      <c r="F189" s="24">
        <f>IF('query (2)'!A189="","",IFERROR(VALUE('query (2)'!A189),""))</f>
        <v>207</v>
      </c>
      <c r="G189" s="24" t="str">
        <f>IF('query (2)'!C189="","UNKNOWN",IFERROR(INDEX(Cleaning_Rules!$B$15:$B$20,MATCH(TRIM(UPPER('query (2)'!C189)),Cleaning_Rules!$A$15:$A$20,0)),"UNKNOWN"))</f>
        <v>FACTORY2</v>
      </c>
      <c r="H189" s="25" t="str">
        <f>IF('query (2)'!C189="","",'query (2)'!C189)</f>
        <v>FACTORY2</v>
      </c>
      <c r="I189" s="24" t="str" cm="1">
        <f t="array" ref="I189">_xlfn.IFS($G189="UNKNOWN","UNKNOWN",OR($G189="FACTORY1",$G189="FACTORY2",$G189="FACTORY3"),"PLANT",TRUE,"SHARED")</f>
        <v>PLANT</v>
      </c>
      <c r="J189" s="24" t="str">
        <f>IF('query (2)'!D189="","UNKNOWN",IF(COUNTIF(Cleaning_Rules!$A$6:$A$11,TRIM('query (2)'!D189))&gt;0,"UNKNOWN",IFERROR(INDEX(Cleaning_Rules!$B$24:$B$28,MATCH(TRIM(UPPER('query (2)'!D189)),Cleaning_Rules!$A$24:$A$28,0)),TRIM(UPPER('query (2)'!D189)))))</f>
        <v>MCB1</v>
      </c>
      <c r="K189" s="25" t="str">
        <f>IF('query (2)'!D189="","",'query (2)'!D189)</f>
        <v>MCB1</v>
      </c>
      <c r="L189" s="24" t="str">
        <f>IF($J189="UNKNOWN","",_xlfn.TEXTBEFORE($J189,{"0","1","2","3","4","5","6","7","8","9"," ","-","."},1,,,$J189))</f>
        <v>MCB</v>
      </c>
      <c r="M189" s="24" t="str">
        <f>IF('query (2)'!I189&lt;&gt;"",TRIM(UPPER('query (2)'!I189)),IF($L189="","UNKNOWN",$L189))</f>
        <v>MCB</v>
      </c>
      <c r="N189" s="24" t="str">
        <f>IF('query (2)'!I189&lt;&gt;"","SOURCE",IF($L189="","UNKNOWN","DERIVED"))</f>
        <v>SOURCE</v>
      </c>
      <c r="O189" s="24" t="str">
        <f>IF('query (2)'!E189="","NOT_SPECIFIED",TRIM(UPPER('query (2)'!E189)))</f>
        <v>GRINDING 2</v>
      </c>
      <c r="P189" s="24" t="str">
        <f>IF('query (2)'!F189="","",TRIM(UPPER('query (2)'!F189)))</f>
        <v>1303-MC1G</v>
      </c>
      <c r="Q189" s="24" t="str">
        <f>IF('query (2)'!G189="","UNKNOWN",IFERROR(INDEX(Cleaning_Rules!$B$38:$B$46,MATCH(TRIM(UPPER('query (2)'!G189)),Cleaning_Rules!$A$38:$A$46,0)),"UNKNOWN"))</f>
        <v>OTHER</v>
      </c>
      <c r="R189" s="24" t="str">
        <f>IF('query (2)'!H189="","",TRIM(UPPER('query (2)'!H189)))</f>
        <v>DEMAGNETIZING FOR INNER RING M/C</v>
      </c>
      <c r="S189" s="25" t="str">
        <f>IF('query (2)'!H189="","",'query (2)'!H189)</f>
        <v>Demagnetizing for  inner  ring  M/C</v>
      </c>
      <c r="T189" s="24" t="str">
        <f>IF('query (2)'!J189="","",TRIM(UPPER('query (2)'!J189)))</f>
        <v>B - DEMAGNETIZING</v>
      </c>
      <c r="U189" s="24" t="str">
        <f t="shared" si="17"/>
        <v/>
      </c>
      <c r="V189" s="24" t="str">
        <f>IF('query (2)'!K189="","NOT_SPECIFIED",IFERROR(INDEX(Cleaning_Rules!$B$32:$B$34,MATCH(TRIM(UPPER('query (2)'!K189)),Cleaning_Rules!$A$32:$A$34,0)),"UNKNOWN"))</f>
        <v>NOT_SPECIFIED</v>
      </c>
      <c r="W189" s="24" t="str">
        <f t="shared" si="18"/>
        <v>DE-124 | FACTORY2 | MCB1 | MCB | GRINDING 2 | 1303-MC1G | OTHER | DEMAGNETIZING FOR INNER RING M/C | B - DEMAGNETIZING | NOT_SPECIFIED</v>
      </c>
      <c r="X189" s="24" t="str">
        <f t="shared" si="19"/>
        <v/>
      </c>
      <c r="Y189" s="24" t="str">
        <f t="shared" si="20"/>
        <v>MISSING_STATUS; CATEGORY_NOT_USEFUL</v>
      </c>
    </row>
    <row r="190" spans="1:25" x14ac:dyDescent="0.3">
      <c r="A190" s="24" t="str">
        <f t="shared" si="14"/>
        <v>GR-125#0189</v>
      </c>
      <c r="B190" s="24" t="str">
        <f>IF('query (2)'!B190="","",TRIM(UPPER('query (2)'!B190)))</f>
        <v>GR-125</v>
      </c>
      <c r="C190" s="25" t="str">
        <f>IF('query (2)'!B190="","",'query (2)'!B190)</f>
        <v>GR-125</v>
      </c>
      <c r="D190" s="24" t="str">
        <f t="shared" si="15"/>
        <v>GR</v>
      </c>
      <c r="E190" s="24">
        <f t="shared" si="16"/>
        <v>1</v>
      </c>
      <c r="F190" s="24">
        <f>IF('query (2)'!A190="","",IFERROR(VALUE('query (2)'!A190),""))</f>
        <v>208</v>
      </c>
      <c r="G190" s="24" t="str">
        <f>IF('query (2)'!C190="","UNKNOWN",IFERROR(INDEX(Cleaning_Rules!$B$15:$B$20,MATCH(TRIM(UPPER('query (2)'!C190)),Cleaning_Rules!$A$15:$A$20,0)),"UNKNOWN"))</f>
        <v>FACTORY2</v>
      </c>
      <c r="H190" s="25" t="str">
        <f>IF('query (2)'!C190="","",'query (2)'!C190)</f>
        <v>FACTORY2</v>
      </c>
      <c r="I190" s="24" t="str" cm="1">
        <f t="array" ref="I190">_xlfn.IFS($G190="UNKNOWN","UNKNOWN",OR($G190="FACTORY1",$G190="FACTORY2",$G190="FACTORY3"),"PLANT",TRUE,"SHARED")</f>
        <v>PLANT</v>
      </c>
      <c r="J190" s="24" t="str">
        <f>IF('query (2)'!D190="","UNKNOWN",IF(COUNTIF(Cleaning_Rules!$A$6:$A$11,TRIM('query (2)'!D190))&gt;0,"UNKNOWN",IFERROR(INDEX(Cleaning_Rules!$B$24:$B$28,MATCH(TRIM(UPPER('query (2)'!D190)),Cleaning_Rules!$A$24:$A$28,0)),TRIM(UPPER('query (2)'!D190)))))</f>
        <v>MCB1</v>
      </c>
      <c r="K190" s="25" t="str">
        <f>IF('query (2)'!D190="","",'query (2)'!D190)</f>
        <v>MCB1</v>
      </c>
      <c r="L190" s="24" t="str">
        <f>IF($J190="UNKNOWN","",_xlfn.TEXTBEFORE($J190,{"0","1","2","3","4","5","6","7","8","9"," ","-","."},1,,,$J190))</f>
        <v>MCB</v>
      </c>
      <c r="M190" s="24" t="str">
        <f>IF('query (2)'!I190&lt;&gt;"",TRIM(UPPER('query (2)'!I190)),IF($L190="","UNKNOWN",$L190))</f>
        <v>MCB</v>
      </c>
      <c r="N190" s="24" t="str">
        <f>IF('query (2)'!I190&lt;&gt;"","SOURCE",IF($L190="","UNKNOWN","DERIVED"))</f>
        <v>SOURCE</v>
      </c>
      <c r="O190" s="24" t="str">
        <f>IF('query (2)'!E190="","NOT_SPECIFIED",TRIM(UPPER('query (2)'!E190)))</f>
        <v>GRINDING 2</v>
      </c>
      <c r="P190" s="24" t="str">
        <f>IF('query (2)'!F190="","",TRIM(UPPER('query (2)'!F190)))</f>
        <v>1303-MC1G</v>
      </c>
      <c r="Q190" s="24" t="str">
        <f>IF('query (2)'!G190="","UNKNOWN",IFERROR(INDEX(Cleaning_Rules!$B$38:$B$46,MATCH(TRIM(UPPER('query (2)'!G190)),Cleaning_Rules!$A$38:$A$46,0)),"UNKNOWN"))</f>
        <v>OTHER</v>
      </c>
      <c r="R190" s="24" t="str">
        <f>IF('query (2)'!H190="","",TRIM(UPPER('query (2)'!H190)))</f>
        <v>INNER RING RACEWAY SUPER FINISH M/C</v>
      </c>
      <c r="S190" s="25" t="str">
        <f>IF('query (2)'!H190="","",'query (2)'!H190)</f>
        <v>Inner ring raceway super finish M/C</v>
      </c>
      <c r="T190" s="24" t="str">
        <f>IF('query (2)'!J190="","",TRIM(UPPER('query (2)'!J190)))</f>
        <v>B - RACEWAY SUPER FINISH</v>
      </c>
      <c r="U190" s="24" t="str">
        <f t="shared" si="17"/>
        <v/>
      </c>
      <c r="V190" s="24" t="str">
        <f>IF('query (2)'!K190="","NOT_SPECIFIED",IFERROR(INDEX(Cleaning_Rules!$B$32:$B$34,MATCH(TRIM(UPPER('query (2)'!K190)),Cleaning_Rules!$A$32:$A$34,0)),"UNKNOWN"))</f>
        <v>NOT_SPECIFIED</v>
      </c>
      <c r="W190" s="24" t="str">
        <f t="shared" si="18"/>
        <v>GR-125 | FACTORY2 | MCB1 | MCB | GRINDING 2 | 1303-MC1G | OTHER | INNER RING RACEWAY SUPER FINISH M/C | B - RACEWAY SUPER FINISH | NOT_SPECIFIED</v>
      </c>
      <c r="X190" s="24" t="str">
        <f t="shared" si="19"/>
        <v/>
      </c>
      <c r="Y190" s="24" t="str">
        <f t="shared" si="20"/>
        <v>MISSING_STATUS; CATEGORY_NOT_USEFUL</v>
      </c>
    </row>
    <row r="191" spans="1:25" x14ac:dyDescent="0.3">
      <c r="A191" s="24" t="str">
        <f t="shared" si="14"/>
        <v>WA-913#0190</v>
      </c>
      <c r="B191" s="24" t="str">
        <f>IF('query (2)'!B191="","",TRIM(UPPER('query (2)'!B191)))</f>
        <v>WA-913</v>
      </c>
      <c r="C191" s="25" t="str">
        <f>IF('query (2)'!B191="","",'query (2)'!B191)</f>
        <v>WA-913</v>
      </c>
      <c r="D191" s="24" t="str">
        <f t="shared" si="15"/>
        <v>WA</v>
      </c>
      <c r="E191" s="24">
        <f t="shared" si="16"/>
        <v>1</v>
      </c>
      <c r="F191" s="24">
        <f>IF('query (2)'!A191="","",IFERROR(VALUE('query (2)'!A191),""))</f>
        <v>209</v>
      </c>
      <c r="G191" s="24" t="str">
        <f>IF('query (2)'!C191="","UNKNOWN",IFERROR(INDEX(Cleaning_Rules!$B$15:$B$20,MATCH(TRIM(UPPER('query (2)'!C191)),Cleaning_Rules!$A$15:$A$20,0)),"UNKNOWN"))</f>
        <v>FACTORY2</v>
      </c>
      <c r="H191" s="25" t="str">
        <f>IF('query (2)'!C191="","",'query (2)'!C191)</f>
        <v>FACTORY2</v>
      </c>
      <c r="I191" s="24" t="str" cm="1">
        <f t="array" ref="I191">_xlfn.IFS($G191="UNKNOWN","UNKNOWN",OR($G191="FACTORY1",$G191="FACTORY2",$G191="FACTORY3"),"PLANT",TRUE,"SHARED")</f>
        <v>PLANT</v>
      </c>
      <c r="J191" s="24" t="str">
        <f>IF('query (2)'!D191="","UNKNOWN",IF(COUNTIF(Cleaning_Rules!$A$6:$A$11,TRIM('query (2)'!D191))&gt;0,"UNKNOWN",IFERROR(INDEX(Cleaning_Rules!$B$24:$B$28,MATCH(TRIM(UPPER('query (2)'!D191)),Cleaning_Rules!$A$24:$A$28,0)),TRIM(UPPER('query (2)'!D191)))))</f>
        <v>MCB1</v>
      </c>
      <c r="K191" s="25" t="str">
        <f>IF('query (2)'!D191="","",'query (2)'!D191)</f>
        <v>MCB1</v>
      </c>
      <c r="L191" s="24" t="str">
        <f>IF($J191="UNKNOWN","",_xlfn.TEXTBEFORE($J191,{"0","1","2","3","4","5","6","7","8","9"," ","-","."},1,,,$J191))</f>
        <v>MCB</v>
      </c>
      <c r="M191" s="24" t="str">
        <f>IF('query (2)'!I191&lt;&gt;"",TRIM(UPPER('query (2)'!I191)),IF($L191="","UNKNOWN",$L191))</f>
        <v>MCB</v>
      </c>
      <c r="N191" s="24" t="str">
        <f>IF('query (2)'!I191&lt;&gt;"","SOURCE",IF($L191="","UNKNOWN","DERIVED"))</f>
        <v>SOURCE</v>
      </c>
      <c r="O191" s="24" t="str">
        <f>IF('query (2)'!E191="","NOT_SPECIFIED",TRIM(UPPER('query (2)'!E191)))</f>
        <v>GRINDING 2</v>
      </c>
      <c r="P191" s="24" t="str">
        <f>IF('query (2)'!F191="","",TRIM(UPPER('query (2)'!F191)))</f>
        <v>1303-MC1G</v>
      </c>
      <c r="Q191" s="24" t="str">
        <f>IF('query (2)'!G191="","UNKNOWN",IFERROR(INDEX(Cleaning_Rules!$B$38:$B$46,MATCH(TRIM(UPPER('query (2)'!G191)),Cleaning_Rules!$A$38:$A$46,0)),"UNKNOWN"))</f>
        <v>OTHER</v>
      </c>
      <c r="R191" s="24" t="str">
        <f>IF('query (2)'!H191="","",TRIM(UPPER('query (2)'!H191)))</f>
        <v>OUTER/INNER RING PART WASH EQUIPMENT M/C (WA-132)</v>
      </c>
      <c r="S191" s="25" t="str">
        <f>IF('query (2)'!H191="","",'query (2)'!H191)</f>
        <v>Outer/Inner ring part wash equipment  M/C  (WA-132)</v>
      </c>
      <c r="T191" s="24" t="str">
        <f>IF('query (2)'!J191="","",TRIM(UPPER('query (2)'!J191)))</f>
        <v>A&amp;B - PART WASH EQUIPMENT</v>
      </c>
      <c r="U191" s="24" t="str">
        <f t="shared" si="17"/>
        <v>WA-132</v>
      </c>
      <c r="V191" s="24" t="str">
        <f>IF('query (2)'!K191="","NOT_SPECIFIED",IFERROR(INDEX(Cleaning_Rules!$B$32:$B$34,MATCH(TRIM(UPPER('query (2)'!K191)),Cleaning_Rules!$A$32:$A$34,0)),"UNKNOWN"))</f>
        <v>NOT_SPECIFIED</v>
      </c>
      <c r="W191" s="24" t="str">
        <f t="shared" si="18"/>
        <v>WA-913 | FACTORY2 | MCB1 | MCB | GRINDING 2 | 1303-MC1G | OTHER | OUTER/INNER RING PART WASH EQUIPMENT M/C (WA-132) | A&amp;B - PART WASH EQUIPMENT | NOT_SPECIFIED</v>
      </c>
      <c r="X191" s="24" t="str">
        <f t="shared" si="19"/>
        <v/>
      </c>
      <c r="Y191" s="24" t="str">
        <f t="shared" si="20"/>
        <v>MISSING_STATUS; CATEGORY_NOT_USEFUL</v>
      </c>
    </row>
    <row r="192" spans="1:25" x14ac:dyDescent="0.3">
      <c r="A192" s="24" t="str">
        <f t="shared" si="14"/>
        <v>CH-914#0191</v>
      </c>
      <c r="B192" s="24" t="str">
        <f>IF('query (2)'!B192="","",TRIM(UPPER('query (2)'!B192)))</f>
        <v>CH-914</v>
      </c>
      <c r="C192" s="25" t="str">
        <f>IF('query (2)'!B192="","",'query (2)'!B192)</f>
        <v>CH-914</v>
      </c>
      <c r="D192" s="24" t="str">
        <f t="shared" si="15"/>
        <v>CH</v>
      </c>
      <c r="E192" s="24">
        <f t="shared" si="16"/>
        <v>1</v>
      </c>
      <c r="F192" s="24">
        <f>IF('query (2)'!A192="","",IFERROR(VALUE('query (2)'!A192),""))</f>
        <v>210</v>
      </c>
      <c r="G192" s="24" t="str">
        <f>IF('query (2)'!C192="","UNKNOWN",IFERROR(INDEX(Cleaning_Rules!$B$15:$B$20,MATCH(TRIM(UPPER('query (2)'!C192)),Cleaning_Rules!$A$15:$A$20,0)),"UNKNOWN"))</f>
        <v>FACTORY2</v>
      </c>
      <c r="H192" s="25" t="str">
        <f>IF('query (2)'!C192="","",'query (2)'!C192)</f>
        <v>FACTORY2</v>
      </c>
      <c r="I192" s="24" t="str" cm="1">
        <f t="array" ref="I192">_xlfn.IFS($G192="UNKNOWN","UNKNOWN",OR($G192="FACTORY1",$G192="FACTORY2",$G192="FACTORY3"),"PLANT",TRUE,"SHARED")</f>
        <v>PLANT</v>
      </c>
      <c r="J192" s="24" t="str">
        <f>IF('query (2)'!D192="","UNKNOWN",IF(COUNTIF(Cleaning_Rules!$A$6:$A$11,TRIM('query (2)'!D192))&gt;0,"UNKNOWN",IFERROR(INDEX(Cleaning_Rules!$B$24:$B$28,MATCH(TRIM(UPPER('query (2)'!D192)),Cleaning_Rules!$A$24:$A$28,0)),TRIM(UPPER('query (2)'!D192)))))</f>
        <v>MCB1</v>
      </c>
      <c r="K192" s="25" t="str">
        <f>IF('query (2)'!D192="","",'query (2)'!D192)</f>
        <v>MCB1</v>
      </c>
      <c r="L192" s="24" t="str">
        <f>IF($J192="UNKNOWN","",_xlfn.TEXTBEFORE($J192,{"0","1","2","3","4","5","6","7","8","9"," ","-","."},1,,,$J192))</f>
        <v>MCB</v>
      </c>
      <c r="M192" s="24" t="str">
        <f>IF('query (2)'!I192&lt;&gt;"",TRIM(UPPER('query (2)'!I192)),IF($L192="","UNKNOWN",$L192))</f>
        <v>MCB</v>
      </c>
      <c r="N192" s="24" t="str">
        <f>IF('query (2)'!I192&lt;&gt;"","SOURCE",IF($L192="","UNKNOWN","DERIVED"))</f>
        <v>SOURCE</v>
      </c>
      <c r="O192" s="24" t="str">
        <f>IF('query (2)'!E192="","NOT_SPECIFIED",TRIM(UPPER('query (2)'!E192)))</f>
        <v>GRINDING 2</v>
      </c>
      <c r="P192" s="24" t="str">
        <f>IF('query (2)'!F192="","",TRIM(UPPER('query (2)'!F192)))</f>
        <v>1303-MC1G</v>
      </c>
      <c r="Q192" s="24" t="str">
        <f>IF('query (2)'!G192="","UNKNOWN",IFERROR(INDEX(Cleaning_Rules!$B$38:$B$46,MATCH(TRIM(UPPER('query (2)'!G192)),Cleaning_Rules!$A$38:$A$46,0)),"UNKNOWN"))</f>
        <v>OTHER</v>
      </c>
      <c r="R192" s="24" t="str">
        <f>IF('query (2)'!H192="","",TRIM(UPPER('query (2)'!H192)))</f>
        <v>OUTER/INNER EDDY CURRENT TESTER M/C</v>
      </c>
      <c r="S192" s="25" t="str">
        <f>IF('query (2)'!H192="","",'query (2)'!H192)</f>
        <v>Outer/Inner Eddy current tester  M/C</v>
      </c>
      <c r="T192" s="24" t="str">
        <f>IF('query (2)'!J192="","",TRIM(UPPER('query (2)'!J192)))</f>
        <v>A&amp;B - E.C.T.</v>
      </c>
      <c r="U192" s="24" t="str">
        <f t="shared" si="17"/>
        <v/>
      </c>
      <c r="V192" s="24" t="str">
        <f>IF('query (2)'!K192="","NOT_SPECIFIED",IFERROR(INDEX(Cleaning_Rules!$B$32:$B$34,MATCH(TRIM(UPPER('query (2)'!K192)),Cleaning_Rules!$A$32:$A$34,0)),"UNKNOWN"))</f>
        <v>NOT_SPECIFIED</v>
      </c>
      <c r="W192" s="24" t="str">
        <f t="shared" si="18"/>
        <v>CH-914 | FACTORY2 | MCB1 | MCB | GRINDING 2 | 1303-MC1G | OTHER | OUTER/INNER EDDY CURRENT TESTER M/C | A&amp;B - E.C.T. | NOT_SPECIFIED</v>
      </c>
      <c r="X192" s="24" t="str">
        <f t="shared" si="19"/>
        <v/>
      </c>
      <c r="Y192" s="24" t="str">
        <f t="shared" si="20"/>
        <v>MISSING_STATUS; CATEGORY_NOT_USEFUL</v>
      </c>
    </row>
    <row r="193" spans="1:25" x14ac:dyDescent="0.3">
      <c r="A193" s="24" t="str">
        <f t="shared" si="14"/>
        <v>GR-129#0192</v>
      </c>
      <c r="B193" s="24" t="str">
        <f>IF('query (2)'!B193="","",TRIM(UPPER('query (2)'!B193)))</f>
        <v>GR-129</v>
      </c>
      <c r="C193" s="25" t="str">
        <f>IF('query (2)'!B193="","",'query (2)'!B193)</f>
        <v>GR-129</v>
      </c>
      <c r="D193" s="24" t="str">
        <f t="shared" si="15"/>
        <v>GR</v>
      </c>
      <c r="E193" s="24">
        <f t="shared" si="16"/>
        <v>1</v>
      </c>
      <c r="F193" s="24">
        <f>IF('query (2)'!A193="","",IFERROR(VALUE('query (2)'!A193),""))</f>
        <v>211</v>
      </c>
      <c r="G193" s="24" t="str">
        <f>IF('query (2)'!C193="","UNKNOWN",IFERROR(INDEX(Cleaning_Rules!$B$15:$B$20,MATCH(TRIM(UPPER('query (2)'!C193)),Cleaning_Rules!$A$15:$A$20,0)),"UNKNOWN"))</f>
        <v>FACTORY2</v>
      </c>
      <c r="H193" s="25" t="str">
        <f>IF('query (2)'!C193="","",'query (2)'!C193)</f>
        <v>FACTORY2</v>
      </c>
      <c r="I193" s="24" t="str" cm="1">
        <f t="array" ref="I193">_xlfn.IFS($G193="UNKNOWN","UNKNOWN",OR($G193="FACTORY1",$G193="FACTORY2",$G193="FACTORY3"),"PLANT",TRUE,"SHARED")</f>
        <v>PLANT</v>
      </c>
      <c r="J193" s="24" t="str">
        <f>IF('query (2)'!D193="","UNKNOWN",IF(COUNTIF(Cleaning_Rules!$A$6:$A$11,TRIM('query (2)'!D193))&gt;0,"UNKNOWN",IFERROR(INDEX(Cleaning_Rules!$B$24:$B$28,MATCH(TRIM(UPPER('query (2)'!D193)),Cleaning_Rules!$A$24:$A$28,0)),TRIM(UPPER('query (2)'!D193)))))</f>
        <v>MCB1</v>
      </c>
      <c r="K193" s="25" t="str">
        <f>IF('query (2)'!D193="","",'query (2)'!D193)</f>
        <v>MCB1</v>
      </c>
      <c r="L193" s="24" t="str">
        <f>IF($J193="UNKNOWN","",_xlfn.TEXTBEFORE($J193,{"0","1","2","3","4","5","6","7","8","9"," ","-","."},1,,,$J193))</f>
        <v>MCB</v>
      </c>
      <c r="M193" s="24" t="str">
        <f>IF('query (2)'!I193&lt;&gt;"",TRIM(UPPER('query (2)'!I193)),IF($L193="","UNKNOWN",$L193))</f>
        <v>MCB</v>
      </c>
      <c r="N193" s="24" t="str">
        <f>IF('query (2)'!I193&lt;&gt;"","SOURCE",IF($L193="","UNKNOWN","DERIVED"))</f>
        <v>SOURCE</v>
      </c>
      <c r="O193" s="24" t="str">
        <f>IF('query (2)'!E193="","NOT_SPECIFIED",TRIM(UPPER('query (2)'!E193)))</f>
        <v>GRINDING 2</v>
      </c>
      <c r="P193" s="24" t="str">
        <f>IF('query (2)'!F193="","",TRIM(UPPER('query (2)'!F193)))</f>
        <v>1303-MC1G</v>
      </c>
      <c r="Q193" s="24" t="str">
        <f>IF('query (2)'!G193="","UNKNOWN",IFERROR(INDEX(Cleaning_Rules!$B$38:$B$46,MATCH(TRIM(UPPER('query (2)'!G193)),Cleaning_Rules!$A$38:$A$46,0)),"UNKNOWN"))</f>
        <v>OTHER</v>
      </c>
      <c r="R193" s="24" t="str">
        <f>IF('query (2)'!H193="","",TRIM(UPPER('query (2)'!H193)))</f>
        <v>OUTER RING RACEWAY GRINDING M/C</v>
      </c>
      <c r="S193" s="25" t="str">
        <f>IF('query (2)'!H193="","",'query (2)'!H193)</f>
        <v>Outer ring raceway grinding M/C</v>
      </c>
      <c r="T193" s="24" t="str">
        <f>IF('query (2)'!J193="","",TRIM(UPPER('query (2)'!J193)))</f>
        <v>A - RACEWAY GRINDING</v>
      </c>
      <c r="U193" s="24" t="str">
        <f t="shared" si="17"/>
        <v/>
      </c>
      <c r="V193" s="24" t="str">
        <f>IF('query (2)'!K193="","NOT_SPECIFIED",IFERROR(INDEX(Cleaning_Rules!$B$32:$B$34,MATCH(TRIM(UPPER('query (2)'!K193)),Cleaning_Rules!$A$32:$A$34,0)),"UNKNOWN"))</f>
        <v>NOT_SPECIFIED</v>
      </c>
      <c r="W193" s="24" t="str">
        <f t="shared" si="18"/>
        <v>GR-129 | FACTORY2 | MCB1 | MCB | GRINDING 2 | 1303-MC1G | OTHER | OUTER RING RACEWAY GRINDING M/C | A - RACEWAY GRINDING | NOT_SPECIFIED</v>
      </c>
      <c r="X193" s="24" t="str">
        <f t="shared" si="19"/>
        <v/>
      </c>
      <c r="Y193" s="24" t="str">
        <f t="shared" si="20"/>
        <v>MISSING_STATUS; CATEGORY_NOT_USEFUL</v>
      </c>
    </row>
    <row r="194" spans="1:25" x14ac:dyDescent="0.3">
      <c r="A194" s="24" t="str">
        <f t="shared" si="14"/>
        <v>DE-130#0193</v>
      </c>
      <c r="B194" s="24" t="str">
        <f>IF('query (2)'!B194="","",TRIM(UPPER('query (2)'!B194)))</f>
        <v>DE-130</v>
      </c>
      <c r="C194" s="25" t="str">
        <f>IF('query (2)'!B194="","",'query (2)'!B194)</f>
        <v>DE-130</v>
      </c>
      <c r="D194" s="24" t="str">
        <f t="shared" si="15"/>
        <v>DE</v>
      </c>
      <c r="E194" s="24">
        <f t="shared" si="16"/>
        <v>1</v>
      </c>
      <c r="F194" s="24">
        <f>IF('query (2)'!A194="","",IFERROR(VALUE('query (2)'!A194),""))</f>
        <v>212</v>
      </c>
      <c r="G194" s="24" t="str">
        <f>IF('query (2)'!C194="","UNKNOWN",IFERROR(INDEX(Cleaning_Rules!$B$15:$B$20,MATCH(TRIM(UPPER('query (2)'!C194)),Cleaning_Rules!$A$15:$A$20,0)),"UNKNOWN"))</f>
        <v>FACTORY2</v>
      </c>
      <c r="H194" s="25" t="str">
        <f>IF('query (2)'!C194="","",'query (2)'!C194)</f>
        <v>FACTORY2</v>
      </c>
      <c r="I194" s="24" t="str" cm="1">
        <f t="array" ref="I194">_xlfn.IFS($G194="UNKNOWN","UNKNOWN",OR($G194="FACTORY1",$G194="FACTORY2",$G194="FACTORY3"),"PLANT",TRUE,"SHARED")</f>
        <v>PLANT</v>
      </c>
      <c r="J194" s="24" t="str">
        <f>IF('query (2)'!D194="","UNKNOWN",IF(COUNTIF(Cleaning_Rules!$A$6:$A$11,TRIM('query (2)'!D194))&gt;0,"UNKNOWN",IFERROR(INDEX(Cleaning_Rules!$B$24:$B$28,MATCH(TRIM(UPPER('query (2)'!D194)),Cleaning_Rules!$A$24:$A$28,0)),TRIM(UPPER('query (2)'!D194)))))</f>
        <v>MCB1</v>
      </c>
      <c r="K194" s="25" t="str">
        <f>IF('query (2)'!D194="","",'query (2)'!D194)</f>
        <v>MCB1</v>
      </c>
      <c r="L194" s="24" t="str">
        <f>IF($J194="UNKNOWN","",_xlfn.TEXTBEFORE($J194,{"0","1","2","3","4","5","6","7","8","9"," ","-","."},1,,,$J194))</f>
        <v>MCB</v>
      </c>
      <c r="M194" s="24" t="str">
        <f>IF('query (2)'!I194&lt;&gt;"",TRIM(UPPER('query (2)'!I194)),IF($L194="","UNKNOWN",$L194))</f>
        <v>MCB</v>
      </c>
      <c r="N194" s="24" t="str">
        <f>IF('query (2)'!I194&lt;&gt;"","SOURCE",IF($L194="","UNKNOWN","DERIVED"))</f>
        <v>SOURCE</v>
      </c>
      <c r="O194" s="24" t="str">
        <f>IF('query (2)'!E194="","NOT_SPECIFIED",TRIM(UPPER('query (2)'!E194)))</f>
        <v>GRINDING 2</v>
      </c>
      <c r="P194" s="24" t="str">
        <f>IF('query (2)'!F194="","",TRIM(UPPER('query (2)'!F194)))</f>
        <v>1303-MC1G</v>
      </c>
      <c r="Q194" s="24" t="str">
        <f>IF('query (2)'!G194="","UNKNOWN",IFERROR(INDEX(Cleaning_Rules!$B$38:$B$46,MATCH(TRIM(UPPER('query (2)'!G194)),Cleaning_Rules!$A$38:$A$46,0)),"UNKNOWN"))</f>
        <v>OTHER</v>
      </c>
      <c r="R194" s="24" t="str">
        <f>IF('query (2)'!H194="","",TRIM(UPPER('query (2)'!H194)))</f>
        <v>DEMAGNETIZING FOR OUTER RING M/C</v>
      </c>
      <c r="S194" s="25" t="str">
        <f>IF('query (2)'!H194="","",'query (2)'!H194)</f>
        <v>Demagnetizing  for  outer  ring  M/C</v>
      </c>
      <c r="T194" s="24" t="str">
        <f>IF('query (2)'!J194="","",TRIM(UPPER('query (2)'!J194)))</f>
        <v>A - DEMAGNETIZING</v>
      </c>
      <c r="U194" s="24" t="str">
        <f t="shared" si="17"/>
        <v/>
      </c>
      <c r="V194" s="24" t="str">
        <f>IF('query (2)'!K194="","NOT_SPECIFIED",IFERROR(INDEX(Cleaning_Rules!$B$32:$B$34,MATCH(TRIM(UPPER('query (2)'!K194)),Cleaning_Rules!$A$32:$A$34,0)),"UNKNOWN"))</f>
        <v>NOT_SPECIFIED</v>
      </c>
      <c r="W194" s="24" t="str">
        <f t="shared" si="18"/>
        <v>DE-130 | FACTORY2 | MCB1 | MCB | GRINDING 2 | 1303-MC1G | OTHER | DEMAGNETIZING FOR OUTER RING M/C | A - DEMAGNETIZING | NOT_SPECIFIED</v>
      </c>
      <c r="X194" s="24" t="str">
        <f t="shared" si="19"/>
        <v/>
      </c>
      <c r="Y194" s="24" t="str">
        <f t="shared" si="20"/>
        <v>MISSING_STATUS; CATEGORY_NOT_USEFUL</v>
      </c>
    </row>
    <row r="195" spans="1:25" x14ac:dyDescent="0.3">
      <c r="A195" s="24" t="str">
        <f t="shared" ref="A195:A258" si="21">IF($B195="","NO_QR#"&amp;TEXT(ROW()-1,"0000"),$B195&amp;"#"&amp;TEXT(ROW()-1,"0000"))</f>
        <v>GR-131#0194</v>
      </c>
      <c r="B195" s="24" t="str">
        <f>IF('query (2)'!B195="","",TRIM(UPPER('query (2)'!B195)))</f>
        <v>GR-131</v>
      </c>
      <c r="C195" s="25" t="str">
        <f>IF('query (2)'!B195="","",'query (2)'!B195)</f>
        <v>GR-131</v>
      </c>
      <c r="D195" s="24" t="str">
        <f t="shared" ref="D195:D258" si="22">IF($B195="","",IFERROR(_xlfn.TEXTBEFORE($B195,"-"),"NO_PREFIX"))</f>
        <v>GR</v>
      </c>
      <c r="E195" s="24">
        <f t="shared" ref="E195:E258" si="23">IF($B195="","",COUNTIF($B$2:$B$974,$B195))</f>
        <v>1</v>
      </c>
      <c r="F195" s="24">
        <f>IF('query (2)'!A195="","",IFERROR(VALUE('query (2)'!A195),""))</f>
        <v>213</v>
      </c>
      <c r="G195" s="24" t="str">
        <f>IF('query (2)'!C195="","UNKNOWN",IFERROR(INDEX(Cleaning_Rules!$B$15:$B$20,MATCH(TRIM(UPPER('query (2)'!C195)),Cleaning_Rules!$A$15:$A$20,0)),"UNKNOWN"))</f>
        <v>FACTORY2</v>
      </c>
      <c r="H195" s="25" t="str">
        <f>IF('query (2)'!C195="","",'query (2)'!C195)</f>
        <v>FACTORY2</v>
      </c>
      <c r="I195" s="24" t="str" cm="1">
        <f t="array" ref="I195">_xlfn.IFS($G195="UNKNOWN","UNKNOWN",OR($G195="FACTORY1",$G195="FACTORY2",$G195="FACTORY3"),"PLANT",TRUE,"SHARED")</f>
        <v>PLANT</v>
      </c>
      <c r="J195" s="24" t="str">
        <f>IF('query (2)'!D195="","UNKNOWN",IF(COUNTIF(Cleaning_Rules!$A$6:$A$11,TRIM('query (2)'!D195))&gt;0,"UNKNOWN",IFERROR(INDEX(Cleaning_Rules!$B$24:$B$28,MATCH(TRIM(UPPER('query (2)'!D195)),Cleaning_Rules!$A$24:$A$28,0)),TRIM(UPPER('query (2)'!D195)))))</f>
        <v>MCB1</v>
      </c>
      <c r="K195" s="25" t="str">
        <f>IF('query (2)'!D195="","",'query (2)'!D195)</f>
        <v>MCB1</v>
      </c>
      <c r="L195" s="24" t="str">
        <f>IF($J195="UNKNOWN","",_xlfn.TEXTBEFORE($J195,{"0","1","2","3","4","5","6","7","8","9"," ","-","."},1,,,$J195))</f>
        <v>MCB</v>
      </c>
      <c r="M195" s="24" t="str">
        <f>IF('query (2)'!I195&lt;&gt;"",TRIM(UPPER('query (2)'!I195)),IF($L195="","UNKNOWN",$L195))</f>
        <v>MCB</v>
      </c>
      <c r="N195" s="24" t="str">
        <f>IF('query (2)'!I195&lt;&gt;"","SOURCE",IF($L195="","UNKNOWN","DERIVED"))</f>
        <v>SOURCE</v>
      </c>
      <c r="O195" s="24" t="str">
        <f>IF('query (2)'!E195="","NOT_SPECIFIED",TRIM(UPPER('query (2)'!E195)))</f>
        <v>GRINDING 2</v>
      </c>
      <c r="P195" s="24" t="str">
        <f>IF('query (2)'!F195="","",TRIM(UPPER('query (2)'!F195)))</f>
        <v>1303-MC1G</v>
      </c>
      <c r="Q195" s="24" t="str">
        <f>IF('query (2)'!G195="","UNKNOWN",IFERROR(INDEX(Cleaning_Rules!$B$38:$B$46,MATCH(TRIM(UPPER('query (2)'!G195)),Cleaning_Rules!$A$38:$A$46,0)),"UNKNOWN"))</f>
        <v>OTHER</v>
      </c>
      <c r="R195" s="24" t="str">
        <f>IF('query (2)'!H195="","",TRIM(UPPER('query (2)'!H195)))</f>
        <v>OUTER RING RACEWAY SUPER FINISH M/C</v>
      </c>
      <c r="S195" s="25" t="str">
        <f>IF('query (2)'!H195="","",'query (2)'!H195)</f>
        <v>Outer ring raceway super finish M/C</v>
      </c>
      <c r="T195" s="24" t="str">
        <f>IF('query (2)'!J195="","",TRIM(UPPER('query (2)'!J195)))</f>
        <v>A - RACEWAY SUPER FINISH</v>
      </c>
      <c r="U195" s="24" t="str">
        <f t="shared" ref="U195:U258" si="24">IFERROR(IF(ISNUMBER(VALUE(MID($R195,SEARCH("(??-???)",$R195)+4,3))),MID($R195,SEARCH("(??-???)",$R195)+1,6),""),"")</f>
        <v/>
      </c>
      <c r="V195" s="24" t="str">
        <f>IF('query (2)'!K195="","NOT_SPECIFIED",IFERROR(INDEX(Cleaning_Rules!$B$32:$B$34,MATCH(TRIM(UPPER('query (2)'!K195)),Cleaning_Rules!$A$32:$A$34,0)),"UNKNOWN"))</f>
        <v>NOT_SPECIFIED</v>
      </c>
      <c r="W195" s="24" t="str">
        <f t="shared" ref="W195:W258" si="25">_xlfn.TEXTJOIN(" | ",TRUE,$B195,$G195,$J195,$M195,$O195,$P195,$Q195,$R195,$T195,$V195)</f>
        <v>GR-131 | FACTORY2 | MCB1 | MCB | GRINDING 2 | 1303-MC1G | OTHER | OUTER RING RACEWAY SUPER FINISH M/C | A - RACEWAY SUPER FINISH | NOT_SPECIFIED</v>
      </c>
      <c r="X195" s="24" t="str">
        <f t="shared" ref="X195:X258" si="26">_xlfn.TEXTJOIN("; ",TRUE,IF($B195="","MISSING_QR",""),IF(N($E195)&gt;1,"DUPLICATE_QR",""),IF($F195="","MISSING_NO",""),IF($G195="UNKNOWN","MISSING_LOCATION",""),IF($J195="UNKNOWN","MISSING_DEPARTMENT",""),IF($N195="UNKNOWN","MISSING_SECTION",""),IF($O195="NOT_SPECIFIED","MISSING_RESPONSIBLE",""),IF($P195="","MISSING_COST_CENTER",""),IF($Q195="UNKNOWN","MISSING_CATEGORY",""),IF($R195="","MISSING_DESCRIPTION",""))</f>
        <v/>
      </c>
      <c r="Y195" s="24" t="str">
        <f t="shared" ref="Y195:Y258" si="27">_xlfn.TEXTJOIN("; ",TRUE,IF($V195="NOT_SPECIFIED","MISSING_STATUS",""),IF($Q195="OTHER","CATEGORY_NOT_USEFUL",""),IF($T195="","MISSING_PRODUCTION_NAME",""),IF($N195="DERIVED","SECTION_DERIVED",""))</f>
        <v>MISSING_STATUS; CATEGORY_NOT_USEFUL</v>
      </c>
    </row>
    <row r="196" spans="1:25" x14ac:dyDescent="0.3">
      <c r="A196" s="24" t="str">
        <f t="shared" si="21"/>
        <v>CH-134#0195</v>
      </c>
      <c r="B196" s="24" t="str">
        <f>IF('query (2)'!B196="","",TRIM(UPPER('query (2)'!B196)))</f>
        <v>CH-134</v>
      </c>
      <c r="C196" s="25" t="str">
        <f>IF('query (2)'!B196="","",'query (2)'!B196)</f>
        <v>CH-134</v>
      </c>
      <c r="D196" s="24" t="str">
        <f t="shared" si="22"/>
        <v>CH</v>
      </c>
      <c r="E196" s="24">
        <f t="shared" si="23"/>
        <v>1</v>
      </c>
      <c r="F196" s="24">
        <f>IF('query (2)'!A196="","",IFERROR(VALUE('query (2)'!A196),""))</f>
        <v>214</v>
      </c>
      <c r="G196" s="24" t="str">
        <f>IF('query (2)'!C196="","UNKNOWN",IFERROR(INDEX(Cleaning_Rules!$B$15:$B$20,MATCH(TRIM(UPPER('query (2)'!C196)),Cleaning_Rules!$A$15:$A$20,0)),"UNKNOWN"))</f>
        <v>FACTORY2</v>
      </c>
      <c r="H196" s="25" t="str">
        <f>IF('query (2)'!C196="","",'query (2)'!C196)</f>
        <v>FACTORY2</v>
      </c>
      <c r="I196" s="24" t="str" cm="1">
        <f t="array" ref="I196">_xlfn.IFS($G196="UNKNOWN","UNKNOWN",OR($G196="FACTORY1",$G196="FACTORY2",$G196="FACTORY3"),"PLANT",TRUE,"SHARED")</f>
        <v>PLANT</v>
      </c>
      <c r="J196" s="24" t="str">
        <f>IF('query (2)'!D196="","UNKNOWN",IF(COUNTIF(Cleaning_Rules!$A$6:$A$11,TRIM('query (2)'!D196))&gt;0,"UNKNOWN",IFERROR(INDEX(Cleaning_Rules!$B$24:$B$28,MATCH(TRIM(UPPER('query (2)'!D196)),Cleaning_Rules!$A$24:$A$28,0)),TRIM(UPPER('query (2)'!D196)))))</f>
        <v>MCB1</v>
      </c>
      <c r="K196" s="25" t="str">
        <f>IF('query (2)'!D196="","",'query (2)'!D196)</f>
        <v>MCB1</v>
      </c>
      <c r="L196" s="24" t="str">
        <f>IF($J196="UNKNOWN","",_xlfn.TEXTBEFORE($J196,{"0","1","2","3","4","5","6","7","8","9"," ","-","."},1,,,$J196))</f>
        <v>MCB</v>
      </c>
      <c r="M196" s="24" t="str">
        <f>IF('query (2)'!I196&lt;&gt;"",TRIM(UPPER('query (2)'!I196)),IF($L196="","UNKNOWN",$L196))</f>
        <v>MCB</v>
      </c>
      <c r="N196" s="24" t="str">
        <f>IF('query (2)'!I196&lt;&gt;"","SOURCE",IF($L196="","UNKNOWN","DERIVED"))</f>
        <v>SOURCE</v>
      </c>
      <c r="O196" s="24" t="str">
        <f>IF('query (2)'!E196="","NOT_SPECIFIED",TRIM(UPPER('query (2)'!E196)))</f>
        <v>ASSEMBLY</v>
      </c>
      <c r="P196" s="24" t="str">
        <f>IF('query (2)'!F196="","",TRIM(UPPER('query (2)'!F196)))</f>
        <v>1304-MC1AI</v>
      </c>
      <c r="Q196" s="24" t="str">
        <f>IF('query (2)'!G196="","UNKNOWN",IFERROR(INDEX(Cleaning_Rules!$B$38:$B$46,MATCH(TRIM(UPPER('query (2)'!G196)),Cleaning_Rules!$A$38:$A$46,0)),"UNKNOWN"))</f>
        <v>OTHER</v>
      </c>
      <c r="R196" s="24" t="str">
        <f>IF('query (2)'!H196="","",TRIM(UPPER('query (2)'!H196)))</f>
        <v>A &amp; B MEASURING M/C</v>
      </c>
      <c r="S196" s="25" t="str">
        <f>IF('query (2)'!H196="","",'query (2)'!H196)</f>
        <v>A &amp; B measuring M/C</v>
      </c>
      <c r="T196" s="24" t="str">
        <f>IF('query (2)'!J196="","",TRIM(UPPER('query (2)'!J196)))</f>
        <v>A &amp;B- MEASURE FOR MATCHING</v>
      </c>
      <c r="U196" s="24" t="str">
        <f t="shared" si="24"/>
        <v/>
      </c>
      <c r="V196" s="24" t="str">
        <f>IF('query (2)'!K196="","NOT_SPECIFIED",IFERROR(INDEX(Cleaning_Rules!$B$32:$B$34,MATCH(TRIM(UPPER('query (2)'!K196)),Cleaning_Rules!$A$32:$A$34,0)),"UNKNOWN"))</f>
        <v>NOT_SPECIFIED</v>
      </c>
      <c r="W196" s="24" t="str">
        <f t="shared" si="25"/>
        <v>CH-134 | FACTORY2 | MCB1 | MCB | ASSEMBLY | 1304-MC1AI | OTHER | A &amp; B MEASURING M/C | A &amp;B- MEASURE FOR MATCHING | NOT_SPECIFIED</v>
      </c>
      <c r="X196" s="24" t="str">
        <f t="shared" si="26"/>
        <v/>
      </c>
      <c r="Y196" s="24" t="str">
        <f t="shared" si="27"/>
        <v>MISSING_STATUS; CATEGORY_NOT_USEFUL</v>
      </c>
    </row>
    <row r="197" spans="1:25" x14ac:dyDescent="0.3">
      <c r="A197" s="24" t="str">
        <f t="shared" si="21"/>
        <v>AS-135#0196</v>
      </c>
      <c r="B197" s="24" t="str">
        <f>IF('query (2)'!B197="","",TRIM(UPPER('query (2)'!B197)))</f>
        <v>AS-135</v>
      </c>
      <c r="C197" s="25" t="str">
        <f>IF('query (2)'!B197="","",'query (2)'!B197)</f>
        <v>AS-135</v>
      </c>
      <c r="D197" s="24" t="str">
        <f t="shared" si="22"/>
        <v>AS</v>
      </c>
      <c r="E197" s="24">
        <f t="shared" si="23"/>
        <v>1</v>
      </c>
      <c r="F197" s="24">
        <f>IF('query (2)'!A197="","",IFERROR(VALUE('query (2)'!A197),""))</f>
        <v>215</v>
      </c>
      <c r="G197" s="24" t="str">
        <f>IF('query (2)'!C197="","UNKNOWN",IFERROR(INDEX(Cleaning_Rules!$B$15:$B$20,MATCH(TRIM(UPPER('query (2)'!C197)),Cleaning_Rules!$A$15:$A$20,0)),"UNKNOWN"))</f>
        <v>FACTORY2</v>
      </c>
      <c r="H197" s="25" t="str">
        <f>IF('query (2)'!C197="","",'query (2)'!C197)</f>
        <v>FACTORY2</v>
      </c>
      <c r="I197" s="24" t="str" cm="1">
        <f t="array" ref="I197">_xlfn.IFS($G197="UNKNOWN","UNKNOWN",OR($G197="FACTORY1",$G197="FACTORY2",$G197="FACTORY3"),"PLANT",TRUE,"SHARED")</f>
        <v>PLANT</v>
      </c>
      <c r="J197" s="24" t="str">
        <f>IF('query (2)'!D197="","UNKNOWN",IF(COUNTIF(Cleaning_Rules!$A$6:$A$11,TRIM('query (2)'!D197))&gt;0,"UNKNOWN",IFERROR(INDEX(Cleaning_Rules!$B$24:$B$28,MATCH(TRIM(UPPER('query (2)'!D197)),Cleaning_Rules!$A$24:$A$28,0)),TRIM(UPPER('query (2)'!D197)))))</f>
        <v>MCB1</v>
      </c>
      <c r="K197" s="25" t="str">
        <f>IF('query (2)'!D197="","",'query (2)'!D197)</f>
        <v>MCB1</v>
      </c>
      <c r="L197" s="24" t="str">
        <f>IF($J197="UNKNOWN","",_xlfn.TEXTBEFORE($J197,{"0","1","2","3","4","5","6","7","8","9"," ","-","."},1,,,$J197))</f>
        <v>MCB</v>
      </c>
      <c r="M197" s="24" t="str">
        <f>IF('query (2)'!I197&lt;&gt;"",TRIM(UPPER('query (2)'!I197)),IF($L197="","UNKNOWN",$L197))</f>
        <v>MCB</v>
      </c>
      <c r="N197" s="24" t="str">
        <f>IF('query (2)'!I197&lt;&gt;"","SOURCE",IF($L197="","UNKNOWN","DERIVED"))</f>
        <v>SOURCE</v>
      </c>
      <c r="O197" s="24" t="str">
        <f>IF('query (2)'!E197="","NOT_SPECIFIED",TRIM(UPPER('query (2)'!E197)))</f>
        <v>ASSEMBLY</v>
      </c>
      <c r="P197" s="24" t="str">
        <f>IF('query (2)'!F197="","",TRIM(UPPER('query (2)'!F197)))</f>
        <v>1304-MC1AI</v>
      </c>
      <c r="Q197" s="24" t="str">
        <f>IF('query (2)'!G197="","UNKNOWN",IFERROR(INDEX(Cleaning_Rules!$B$38:$B$46,MATCH(TRIM(UPPER('query (2)'!G197)),Cleaning_Rules!$A$38:$A$46,0)),"UNKNOWN"))</f>
        <v>OTHER</v>
      </c>
      <c r="R197" s="24" t="str">
        <f>IF('query (2)'!H197="","",TRIM(UPPER('query (2)'!H197)))</f>
        <v>A &amp; B MATCHING M/C</v>
      </c>
      <c r="S197" s="25" t="str">
        <f>IF('query (2)'!H197="","",'query (2)'!H197)</f>
        <v>A &amp; B matching M/C</v>
      </c>
      <c r="T197" s="24" t="str">
        <f>IF('query (2)'!J197="","",TRIM(UPPER('query (2)'!J197)))</f>
        <v>MATCHING</v>
      </c>
      <c r="U197" s="24" t="str">
        <f t="shared" si="24"/>
        <v/>
      </c>
      <c r="V197" s="24" t="str">
        <f>IF('query (2)'!K197="","NOT_SPECIFIED",IFERROR(INDEX(Cleaning_Rules!$B$32:$B$34,MATCH(TRIM(UPPER('query (2)'!K197)),Cleaning_Rules!$A$32:$A$34,0)),"UNKNOWN"))</f>
        <v>NOT_SPECIFIED</v>
      </c>
      <c r="W197" s="24" t="str">
        <f t="shared" si="25"/>
        <v>AS-135 | FACTORY2 | MCB1 | MCB | ASSEMBLY | 1304-MC1AI | OTHER | A &amp; B MATCHING M/C | MATCHING | NOT_SPECIFIED</v>
      </c>
      <c r="X197" s="24" t="str">
        <f t="shared" si="26"/>
        <v/>
      </c>
      <c r="Y197" s="24" t="str">
        <f t="shared" si="27"/>
        <v>MISSING_STATUS; CATEGORY_NOT_USEFUL</v>
      </c>
    </row>
    <row r="198" spans="1:25" x14ac:dyDescent="0.3">
      <c r="A198" s="24" t="str">
        <f t="shared" si="21"/>
        <v>AS-136#0197</v>
      </c>
      <c r="B198" s="24" t="str">
        <f>IF('query (2)'!B198="","",TRIM(UPPER('query (2)'!B198)))</f>
        <v>AS-136</v>
      </c>
      <c r="C198" s="25" t="str">
        <f>IF('query (2)'!B198="","",'query (2)'!B198)</f>
        <v>AS-136</v>
      </c>
      <c r="D198" s="24" t="str">
        <f t="shared" si="22"/>
        <v>AS</v>
      </c>
      <c r="E198" s="24">
        <f t="shared" si="23"/>
        <v>1</v>
      </c>
      <c r="F198" s="24">
        <f>IF('query (2)'!A198="","",IFERROR(VALUE('query (2)'!A198),""))</f>
        <v>216</v>
      </c>
      <c r="G198" s="24" t="str">
        <f>IF('query (2)'!C198="","UNKNOWN",IFERROR(INDEX(Cleaning_Rules!$B$15:$B$20,MATCH(TRIM(UPPER('query (2)'!C198)),Cleaning_Rules!$A$15:$A$20,0)),"UNKNOWN"))</f>
        <v>FACTORY2</v>
      </c>
      <c r="H198" s="25" t="str">
        <f>IF('query (2)'!C198="","",'query (2)'!C198)</f>
        <v>FACTORY2</v>
      </c>
      <c r="I198" s="24" t="str" cm="1">
        <f t="array" ref="I198">_xlfn.IFS($G198="UNKNOWN","UNKNOWN",OR($G198="FACTORY1",$G198="FACTORY2",$G198="FACTORY3"),"PLANT",TRUE,"SHARED")</f>
        <v>PLANT</v>
      </c>
      <c r="J198" s="24" t="str">
        <f>IF('query (2)'!D198="","UNKNOWN",IF(COUNTIF(Cleaning_Rules!$A$6:$A$11,TRIM('query (2)'!D198))&gt;0,"UNKNOWN",IFERROR(INDEX(Cleaning_Rules!$B$24:$B$28,MATCH(TRIM(UPPER('query (2)'!D198)),Cleaning_Rules!$A$24:$A$28,0)),TRIM(UPPER('query (2)'!D198)))))</f>
        <v>MCB1</v>
      </c>
      <c r="K198" s="25" t="str">
        <f>IF('query (2)'!D198="","",'query (2)'!D198)</f>
        <v>MCB1</v>
      </c>
      <c r="L198" s="24" t="str">
        <f>IF($J198="UNKNOWN","",_xlfn.TEXTBEFORE($J198,{"0","1","2","3","4","5","6","7","8","9"," ","-","."},1,,,$J198))</f>
        <v>MCB</v>
      </c>
      <c r="M198" s="24" t="str">
        <f>IF('query (2)'!I198&lt;&gt;"",TRIM(UPPER('query (2)'!I198)),IF($L198="","UNKNOWN",$L198))</f>
        <v>MCB</v>
      </c>
      <c r="N198" s="24" t="str">
        <f>IF('query (2)'!I198&lt;&gt;"","SOURCE",IF($L198="","UNKNOWN","DERIVED"))</f>
        <v>SOURCE</v>
      </c>
      <c r="O198" s="24" t="str">
        <f>IF('query (2)'!E198="","NOT_SPECIFIED",TRIM(UPPER('query (2)'!E198)))</f>
        <v>ASSEMBLY</v>
      </c>
      <c r="P198" s="24" t="str">
        <f>IF('query (2)'!F198="","",TRIM(UPPER('query (2)'!F198)))</f>
        <v>1304-MC1AI</v>
      </c>
      <c r="Q198" s="24" t="str">
        <f>IF('query (2)'!G198="","UNKNOWN",IFERROR(INDEX(Cleaning_Rules!$B$38:$B$46,MATCH(TRIM(UPPER('query (2)'!G198)),Cleaning_Rules!$A$38:$A$46,0)),"UNKNOWN"))</f>
        <v>OTHER</v>
      </c>
      <c r="R198" s="24" t="str">
        <f>IF('query (2)'!H198="","",TRIM(UPPER('query (2)'!H198)))</f>
        <v>BALL SEPARATE &amp; CAGE ASSEMBLY M/C</v>
      </c>
      <c r="S198" s="25" t="str">
        <f>IF('query (2)'!H198="","",'query (2)'!H198)</f>
        <v>Ball separate &amp; cage assembly M/C</v>
      </c>
      <c r="T198" s="24" t="str">
        <f>IF('query (2)'!J198="","",TRIM(UPPER('query (2)'!J198)))</f>
        <v>BALL SEPARATE</v>
      </c>
      <c r="U198" s="24" t="str">
        <f t="shared" si="24"/>
        <v/>
      </c>
      <c r="V198" s="24" t="str">
        <f>IF('query (2)'!K198="","NOT_SPECIFIED",IFERROR(INDEX(Cleaning_Rules!$B$32:$B$34,MATCH(TRIM(UPPER('query (2)'!K198)),Cleaning_Rules!$A$32:$A$34,0)),"UNKNOWN"))</f>
        <v>NOT_SPECIFIED</v>
      </c>
      <c r="W198" s="24" t="str">
        <f t="shared" si="25"/>
        <v>AS-136 | FACTORY2 | MCB1 | MCB | ASSEMBLY | 1304-MC1AI | OTHER | BALL SEPARATE &amp; CAGE ASSEMBLY M/C | BALL SEPARATE | NOT_SPECIFIED</v>
      </c>
      <c r="X198" s="24" t="str">
        <f t="shared" si="26"/>
        <v/>
      </c>
      <c r="Y198" s="24" t="str">
        <f t="shared" si="27"/>
        <v>MISSING_STATUS; CATEGORY_NOT_USEFUL</v>
      </c>
    </row>
    <row r="199" spans="1:25" x14ac:dyDescent="0.3">
      <c r="A199" s="24" t="str">
        <f t="shared" si="21"/>
        <v>WA-137#0198</v>
      </c>
      <c r="B199" s="24" t="str">
        <f>IF('query (2)'!B199="","",TRIM(UPPER('query (2)'!B199)))</f>
        <v>WA-137</v>
      </c>
      <c r="C199" s="25" t="str">
        <f>IF('query (2)'!B199="","",'query (2)'!B199)</f>
        <v>WA-137</v>
      </c>
      <c r="D199" s="24" t="str">
        <f t="shared" si="22"/>
        <v>WA</v>
      </c>
      <c r="E199" s="24">
        <f t="shared" si="23"/>
        <v>1</v>
      </c>
      <c r="F199" s="24">
        <f>IF('query (2)'!A199="","",IFERROR(VALUE('query (2)'!A199),""))</f>
        <v>217</v>
      </c>
      <c r="G199" s="24" t="str">
        <f>IF('query (2)'!C199="","UNKNOWN",IFERROR(INDEX(Cleaning_Rules!$B$15:$B$20,MATCH(TRIM(UPPER('query (2)'!C199)),Cleaning_Rules!$A$15:$A$20,0)),"UNKNOWN"))</f>
        <v>FACTORY2</v>
      </c>
      <c r="H199" s="25" t="str">
        <f>IF('query (2)'!C199="","",'query (2)'!C199)</f>
        <v>FACTORY2</v>
      </c>
      <c r="I199" s="24" t="str" cm="1">
        <f t="array" ref="I199">_xlfn.IFS($G199="UNKNOWN","UNKNOWN",OR($G199="FACTORY1",$G199="FACTORY2",$G199="FACTORY3"),"PLANT",TRUE,"SHARED")</f>
        <v>PLANT</v>
      </c>
      <c r="J199" s="24" t="str">
        <f>IF('query (2)'!D199="","UNKNOWN",IF(COUNTIF(Cleaning_Rules!$A$6:$A$11,TRIM('query (2)'!D199))&gt;0,"UNKNOWN",IFERROR(INDEX(Cleaning_Rules!$B$24:$B$28,MATCH(TRIM(UPPER('query (2)'!D199)),Cleaning_Rules!$A$24:$A$28,0)),TRIM(UPPER('query (2)'!D199)))))</f>
        <v>MCB1</v>
      </c>
      <c r="K199" s="25" t="str">
        <f>IF('query (2)'!D199="","",'query (2)'!D199)</f>
        <v>MCB1</v>
      </c>
      <c r="L199" s="24" t="str">
        <f>IF($J199="UNKNOWN","",_xlfn.TEXTBEFORE($J199,{"0","1","2","3","4","5","6","7","8","9"," ","-","."},1,,,$J199))</f>
        <v>MCB</v>
      </c>
      <c r="M199" s="24" t="str">
        <f>IF('query (2)'!I199&lt;&gt;"",TRIM(UPPER('query (2)'!I199)),IF($L199="","UNKNOWN",$L199))</f>
        <v>MCB</v>
      </c>
      <c r="N199" s="24" t="str">
        <f>IF('query (2)'!I199&lt;&gt;"","SOURCE",IF($L199="","UNKNOWN","DERIVED"))</f>
        <v>SOURCE</v>
      </c>
      <c r="O199" s="24" t="str">
        <f>IF('query (2)'!E199="","NOT_SPECIFIED",TRIM(UPPER('query (2)'!E199)))</f>
        <v>ASSEMBLY</v>
      </c>
      <c r="P199" s="24" t="str">
        <f>IF('query (2)'!F199="","",TRIM(UPPER('query (2)'!F199)))</f>
        <v>1304-MC1AI</v>
      </c>
      <c r="Q199" s="24" t="str">
        <f>IF('query (2)'!G199="","UNKNOWN",IFERROR(INDEX(Cleaning_Rules!$B$38:$B$46,MATCH(TRIM(UPPER('query (2)'!G199)),Cleaning_Rules!$A$38:$A$46,0)),"UNKNOWN"))</f>
        <v>OTHER</v>
      </c>
      <c r="R199" s="24" t="str">
        <f>IF('query (2)'!H199="","",TRIM(UPPER('query (2)'!H199)))</f>
        <v>ROUGH WASHING MACHINE.</v>
      </c>
      <c r="S199" s="25" t="str">
        <f>IF('query (2)'!H199="","",'query (2)'!H199)</f>
        <v>Rough washing machine.</v>
      </c>
      <c r="T199" s="24" t="str">
        <f>IF('query (2)'!J199="","",TRIM(UPPER('query (2)'!J199)))</f>
        <v>ROUGH WASHING</v>
      </c>
      <c r="U199" s="24" t="str">
        <f t="shared" si="24"/>
        <v/>
      </c>
      <c r="V199" s="24" t="str">
        <f>IF('query (2)'!K199="","NOT_SPECIFIED",IFERROR(INDEX(Cleaning_Rules!$B$32:$B$34,MATCH(TRIM(UPPER('query (2)'!K199)),Cleaning_Rules!$A$32:$A$34,0)),"UNKNOWN"))</f>
        <v>NOT_SPECIFIED</v>
      </c>
      <c r="W199" s="24" t="str">
        <f t="shared" si="25"/>
        <v>WA-137 | FACTORY2 | MCB1 | MCB | ASSEMBLY | 1304-MC1AI | OTHER | ROUGH WASHING MACHINE. | ROUGH WASHING | NOT_SPECIFIED</v>
      </c>
      <c r="X199" s="24" t="str">
        <f t="shared" si="26"/>
        <v/>
      </c>
      <c r="Y199" s="24" t="str">
        <f t="shared" si="27"/>
        <v>MISSING_STATUS; CATEGORY_NOT_USEFUL</v>
      </c>
    </row>
    <row r="200" spans="1:25" x14ac:dyDescent="0.3">
      <c r="A200" s="24" t="str">
        <f t="shared" si="21"/>
        <v>CH-138#0199</v>
      </c>
      <c r="B200" s="24" t="str">
        <f>IF('query (2)'!B200="","",TRIM(UPPER('query (2)'!B200)))</f>
        <v>CH-138</v>
      </c>
      <c r="C200" s="25" t="str">
        <f>IF('query (2)'!B200="","",'query (2)'!B200)</f>
        <v>CH-138</v>
      </c>
      <c r="D200" s="24" t="str">
        <f t="shared" si="22"/>
        <v>CH</v>
      </c>
      <c r="E200" s="24">
        <f t="shared" si="23"/>
        <v>1</v>
      </c>
      <c r="F200" s="24">
        <f>IF('query (2)'!A200="","",IFERROR(VALUE('query (2)'!A200),""))</f>
        <v>218</v>
      </c>
      <c r="G200" s="24" t="str">
        <f>IF('query (2)'!C200="","UNKNOWN",IFERROR(INDEX(Cleaning_Rules!$B$15:$B$20,MATCH(TRIM(UPPER('query (2)'!C200)),Cleaning_Rules!$A$15:$A$20,0)),"UNKNOWN"))</f>
        <v>FACTORY2</v>
      </c>
      <c r="H200" s="25" t="str">
        <f>IF('query (2)'!C200="","",'query (2)'!C200)</f>
        <v>FACTORY2</v>
      </c>
      <c r="I200" s="24" t="str" cm="1">
        <f t="array" ref="I200">_xlfn.IFS($G200="UNKNOWN","UNKNOWN",OR($G200="FACTORY1",$G200="FACTORY2",$G200="FACTORY3"),"PLANT",TRUE,"SHARED")</f>
        <v>PLANT</v>
      </c>
      <c r="J200" s="24" t="str">
        <f>IF('query (2)'!D200="","UNKNOWN",IF(COUNTIF(Cleaning_Rules!$A$6:$A$11,TRIM('query (2)'!D200))&gt;0,"UNKNOWN",IFERROR(INDEX(Cleaning_Rules!$B$24:$B$28,MATCH(TRIM(UPPER('query (2)'!D200)),Cleaning_Rules!$A$24:$A$28,0)),TRIM(UPPER('query (2)'!D200)))))</f>
        <v>MCB1</v>
      </c>
      <c r="K200" s="25" t="str">
        <f>IF('query (2)'!D200="","",'query (2)'!D200)</f>
        <v>MCB1</v>
      </c>
      <c r="L200" s="24" t="str">
        <f>IF($J200="UNKNOWN","",_xlfn.TEXTBEFORE($J200,{"0","1","2","3","4","5","6","7","8","9"," ","-","."},1,,,$J200))</f>
        <v>MCB</v>
      </c>
      <c r="M200" s="24" t="str">
        <f>IF('query (2)'!I200&lt;&gt;"",TRIM(UPPER('query (2)'!I200)),IF($L200="","UNKNOWN",$L200))</f>
        <v>MCB</v>
      </c>
      <c r="N200" s="24" t="str">
        <f>IF('query (2)'!I200&lt;&gt;"","SOURCE",IF($L200="","UNKNOWN","DERIVED"))</f>
        <v>SOURCE</v>
      </c>
      <c r="O200" s="24" t="str">
        <f>IF('query (2)'!E200="","NOT_SPECIFIED",TRIM(UPPER('query (2)'!E200)))</f>
        <v>ASSEMBLY</v>
      </c>
      <c r="P200" s="24" t="str">
        <f>IF('query (2)'!F200="","",TRIM(UPPER('query (2)'!F200)))</f>
        <v>1304-MC1AI</v>
      </c>
      <c r="Q200" s="24" t="str">
        <f>IF('query (2)'!G200="","UNKNOWN",IFERROR(INDEX(Cleaning_Rules!$B$38:$B$46,MATCH(TRIM(UPPER('query (2)'!G200)),Cleaning_Rules!$A$38:$A$46,0)),"UNKNOWN"))</f>
        <v>OTHER</v>
      </c>
      <c r="R200" s="24" t="str">
        <f>IF('query (2)'!H200="","",TRIM(UPPER('query (2)'!H200)))</f>
        <v>AXIAL CLEARANCE MEASUREMENT M/C</v>
      </c>
      <c r="S200" s="25" t="str">
        <f>IF('query (2)'!H200="","",'query (2)'!H200)</f>
        <v>Axial clearance measurement M/C</v>
      </c>
      <c r="T200" s="24" t="str">
        <f>IF('query (2)'!J200="","",TRIM(UPPER('query (2)'!J200)))</f>
        <v>AXIAL CLEARANCE</v>
      </c>
      <c r="U200" s="24" t="str">
        <f t="shared" si="24"/>
        <v/>
      </c>
      <c r="V200" s="24" t="str">
        <f>IF('query (2)'!K200="","NOT_SPECIFIED",IFERROR(INDEX(Cleaning_Rules!$B$32:$B$34,MATCH(TRIM(UPPER('query (2)'!K200)),Cleaning_Rules!$A$32:$A$34,0)),"UNKNOWN"))</f>
        <v>NOT_SPECIFIED</v>
      </c>
      <c r="W200" s="24" t="str">
        <f t="shared" si="25"/>
        <v>CH-138 | FACTORY2 | MCB1 | MCB | ASSEMBLY | 1304-MC1AI | OTHER | AXIAL CLEARANCE MEASUREMENT M/C | AXIAL CLEARANCE | NOT_SPECIFIED</v>
      </c>
      <c r="X200" s="24" t="str">
        <f t="shared" si="26"/>
        <v/>
      </c>
      <c r="Y200" s="24" t="str">
        <f t="shared" si="27"/>
        <v>MISSING_STATUS; CATEGORY_NOT_USEFUL</v>
      </c>
    </row>
    <row r="201" spans="1:25" x14ac:dyDescent="0.3">
      <c r="A201" s="24" t="str">
        <f t="shared" si="21"/>
        <v>WA-139#0200</v>
      </c>
      <c r="B201" s="24" t="str">
        <f>IF('query (2)'!B201="","",TRIM(UPPER('query (2)'!B201)))</f>
        <v>WA-139</v>
      </c>
      <c r="C201" s="25" t="str">
        <f>IF('query (2)'!B201="","",'query (2)'!B201)</f>
        <v>WA-139</v>
      </c>
      <c r="D201" s="24" t="str">
        <f t="shared" si="22"/>
        <v>WA</v>
      </c>
      <c r="E201" s="24">
        <f t="shared" si="23"/>
        <v>1</v>
      </c>
      <c r="F201" s="24">
        <f>IF('query (2)'!A201="","",IFERROR(VALUE('query (2)'!A201),""))</f>
        <v>219</v>
      </c>
      <c r="G201" s="24" t="str">
        <f>IF('query (2)'!C201="","UNKNOWN",IFERROR(INDEX(Cleaning_Rules!$B$15:$B$20,MATCH(TRIM(UPPER('query (2)'!C201)),Cleaning_Rules!$A$15:$A$20,0)),"UNKNOWN"))</f>
        <v>FACTORY2</v>
      </c>
      <c r="H201" s="25" t="str">
        <f>IF('query (2)'!C201="","",'query (2)'!C201)</f>
        <v>FACTORY2</v>
      </c>
      <c r="I201" s="24" t="str" cm="1">
        <f t="array" ref="I201">_xlfn.IFS($G201="UNKNOWN","UNKNOWN",OR($G201="FACTORY1",$G201="FACTORY2",$G201="FACTORY3"),"PLANT",TRUE,"SHARED")</f>
        <v>PLANT</v>
      </c>
      <c r="J201" s="24" t="str">
        <f>IF('query (2)'!D201="","UNKNOWN",IF(COUNTIF(Cleaning_Rules!$A$6:$A$11,TRIM('query (2)'!D201))&gt;0,"UNKNOWN",IFERROR(INDEX(Cleaning_Rules!$B$24:$B$28,MATCH(TRIM(UPPER('query (2)'!D201)),Cleaning_Rules!$A$24:$A$28,0)),TRIM(UPPER('query (2)'!D201)))))</f>
        <v>MCB1</v>
      </c>
      <c r="K201" s="25" t="str">
        <f>IF('query (2)'!D201="","",'query (2)'!D201)</f>
        <v>MCB1</v>
      </c>
      <c r="L201" s="24" t="str">
        <f>IF($J201="UNKNOWN","",_xlfn.TEXTBEFORE($J201,{"0","1","2","3","4","5","6","7","8","9"," ","-","."},1,,,$J201))</f>
        <v>MCB</v>
      </c>
      <c r="M201" s="24" t="str">
        <f>IF('query (2)'!I201&lt;&gt;"",TRIM(UPPER('query (2)'!I201)),IF($L201="","UNKNOWN",$L201))</f>
        <v>MCB</v>
      </c>
      <c r="N201" s="24" t="str">
        <f>IF('query (2)'!I201&lt;&gt;"","SOURCE",IF($L201="","UNKNOWN","DERIVED"))</f>
        <v>SOURCE</v>
      </c>
      <c r="O201" s="24" t="str">
        <f>IF('query (2)'!E201="","NOT_SPECIFIED",TRIM(UPPER('query (2)'!E201)))</f>
        <v>ASSEMBLY</v>
      </c>
      <c r="P201" s="24" t="str">
        <f>IF('query (2)'!F201="","",TRIM(UPPER('query (2)'!F201)))</f>
        <v>1304-MC1AI</v>
      </c>
      <c r="Q201" s="24" t="str">
        <f>IF('query (2)'!G201="","UNKNOWN",IFERROR(INDEX(Cleaning_Rules!$B$38:$B$46,MATCH(TRIM(UPPER('query (2)'!G201)),Cleaning_Rules!$A$38:$A$46,0)),"UNKNOWN"))</f>
        <v>OTHER</v>
      </c>
      <c r="R201" s="24" t="str">
        <f>IF('query (2)'!H201="","",TRIM(UPPER('query (2)'!H201)))</f>
        <v>FINISH WASH EQUIPMENT M/C</v>
      </c>
      <c r="S201" s="25" t="str">
        <f>IF('query (2)'!H201="","",'query (2)'!H201)</f>
        <v>Finish wash equipment  M/C</v>
      </c>
      <c r="T201" s="24" t="str">
        <f>IF('query (2)'!J201="","",TRIM(UPPER('query (2)'!J201)))</f>
        <v>WASHING FINISH</v>
      </c>
      <c r="U201" s="24" t="str">
        <f t="shared" si="24"/>
        <v/>
      </c>
      <c r="V201" s="24" t="str">
        <f>IF('query (2)'!K201="","NOT_SPECIFIED",IFERROR(INDEX(Cleaning_Rules!$B$32:$B$34,MATCH(TRIM(UPPER('query (2)'!K201)),Cleaning_Rules!$A$32:$A$34,0)),"UNKNOWN"))</f>
        <v>NOT_SPECIFIED</v>
      </c>
      <c r="W201" s="24" t="str">
        <f t="shared" si="25"/>
        <v>WA-139 | FACTORY2 | MCB1 | MCB | ASSEMBLY | 1304-MC1AI | OTHER | FINISH WASH EQUIPMENT M/C | WASHING FINISH | NOT_SPECIFIED</v>
      </c>
      <c r="X201" s="24" t="str">
        <f t="shared" si="26"/>
        <v/>
      </c>
      <c r="Y201" s="24" t="str">
        <f t="shared" si="27"/>
        <v>MISSING_STATUS; CATEGORY_NOT_USEFUL</v>
      </c>
    </row>
    <row r="202" spans="1:25" x14ac:dyDescent="0.3">
      <c r="A202" s="24" t="str">
        <f t="shared" si="21"/>
        <v>BL-140#0201</v>
      </c>
      <c r="B202" s="24" t="str">
        <f>IF('query (2)'!B202="","",TRIM(UPPER('query (2)'!B202)))</f>
        <v>BL-140</v>
      </c>
      <c r="C202" s="25" t="str">
        <f>IF('query (2)'!B202="","",'query (2)'!B202)</f>
        <v>BL-140</v>
      </c>
      <c r="D202" s="24" t="str">
        <f t="shared" si="22"/>
        <v>BL</v>
      </c>
      <c r="E202" s="24">
        <f t="shared" si="23"/>
        <v>1</v>
      </c>
      <c r="F202" s="24">
        <f>IF('query (2)'!A202="","",IFERROR(VALUE('query (2)'!A202),""))</f>
        <v>220</v>
      </c>
      <c r="G202" s="24" t="str">
        <f>IF('query (2)'!C202="","UNKNOWN",IFERROR(INDEX(Cleaning_Rules!$B$15:$B$20,MATCH(TRIM(UPPER('query (2)'!C202)),Cleaning_Rules!$A$15:$A$20,0)),"UNKNOWN"))</f>
        <v>FACTORY2</v>
      </c>
      <c r="H202" s="25" t="str">
        <f>IF('query (2)'!C202="","",'query (2)'!C202)</f>
        <v>FACTORY2</v>
      </c>
      <c r="I202" s="24" t="str" cm="1">
        <f t="array" ref="I202">_xlfn.IFS($G202="UNKNOWN","UNKNOWN",OR($G202="FACTORY1",$G202="FACTORY2",$G202="FACTORY3"),"PLANT",TRUE,"SHARED")</f>
        <v>PLANT</v>
      </c>
      <c r="J202" s="24" t="str">
        <f>IF('query (2)'!D202="","UNKNOWN",IF(COUNTIF(Cleaning_Rules!$A$6:$A$11,TRIM('query (2)'!D202))&gt;0,"UNKNOWN",IFERROR(INDEX(Cleaning_Rules!$B$24:$B$28,MATCH(TRIM(UPPER('query (2)'!D202)),Cleaning_Rules!$A$24:$A$28,0)),TRIM(UPPER('query (2)'!D202)))))</f>
        <v>MCB1</v>
      </c>
      <c r="K202" s="25" t="str">
        <f>IF('query (2)'!D202="","",'query (2)'!D202)</f>
        <v>MCB1</v>
      </c>
      <c r="L202" s="24" t="str">
        <f>IF($J202="UNKNOWN","",_xlfn.TEXTBEFORE($J202,{"0","1","2","3","4","5","6","7","8","9"," ","-","."},1,,,$J202))</f>
        <v>MCB</v>
      </c>
      <c r="M202" s="24" t="str">
        <f>IF('query (2)'!I202&lt;&gt;"",TRIM(UPPER('query (2)'!I202)),IF($L202="","UNKNOWN",$L202))</f>
        <v>MCB</v>
      </c>
      <c r="N202" s="24" t="str">
        <f>IF('query (2)'!I202&lt;&gt;"","SOURCE",IF($L202="","UNKNOWN","DERIVED"))</f>
        <v>SOURCE</v>
      </c>
      <c r="O202" s="24" t="str">
        <f>IF('query (2)'!E202="","NOT_SPECIFIED",TRIM(UPPER('query (2)'!E202)))</f>
        <v>ASSEMBLY</v>
      </c>
      <c r="P202" s="24" t="str">
        <f>IF('query (2)'!F202="","",TRIM(UPPER('query (2)'!F202)))</f>
        <v>1304-MC1AI</v>
      </c>
      <c r="Q202" s="24" t="str">
        <f>IF('query (2)'!G202="","UNKNOWN",IFERROR(INDEX(Cleaning_Rules!$B$38:$B$46,MATCH(TRIM(UPPER('query (2)'!G202)),Cleaning_Rules!$A$38:$A$46,0)),"UNKNOWN"))</f>
        <v>OTHER</v>
      </c>
      <c r="R202" s="24" t="str">
        <f>IF('query (2)'!H202="","",TRIM(UPPER('query (2)'!H202)))</f>
        <v>CENTRIFUGAL DEOILING M/C</v>
      </c>
      <c r="S202" s="25" t="str">
        <f>IF('query (2)'!H202="","",'query (2)'!H202)</f>
        <v>Centrifugal deoiling M/C</v>
      </c>
      <c r="T202" s="24" t="str">
        <f>IF('query (2)'!J202="","",TRIM(UPPER('query (2)'!J202)))</f>
        <v>CENTRIFUGAL DEOILING</v>
      </c>
      <c r="U202" s="24" t="str">
        <f t="shared" si="24"/>
        <v/>
      </c>
      <c r="V202" s="24" t="str">
        <f>IF('query (2)'!K202="","NOT_SPECIFIED",IFERROR(INDEX(Cleaning_Rules!$B$32:$B$34,MATCH(TRIM(UPPER('query (2)'!K202)),Cleaning_Rules!$A$32:$A$34,0)),"UNKNOWN"))</f>
        <v>NOT_SPECIFIED</v>
      </c>
      <c r="W202" s="24" t="str">
        <f t="shared" si="25"/>
        <v>BL-140 | FACTORY2 | MCB1 | MCB | ASSEMBLY | 1304-MC1AI | OTHER | CENTRIFUGAL DEOILING M/C | CENTRIFUGAL DEOILING | NOT_SPECIFIED</v>
      </c>
      <c r="X202" s="24" t="str">
        <f t="shared" si="26"/>
        <v/>
      </c>
      <c r="Y202" s="24" t="str">
        <f t="shared" si="27"/>
        <v>MISSING_STATUS; CATEGORY_NOT_USEFUL</v>
      </c>
    </row>
    <row r="203" spans="1:25" x14ac:dyDescent="0.3">
      <c r="A203" s="24" t="str">
        <f t="shared" si="21"/>
        <v>AS-141#0202</v>
      </c>
      <c r="B203" s="24" t="str">
        <f>IF('query (2)'!B203="","",TRIM(UPPER('query (2)'!B203)))</f>
        <v>AS-141</v>
      </c>
      <c r="C203" s="25" t="str">
        <f>IF('query (2)'!B203="","",'query (2)'!B203)</f>
        <v>AS-141</v>
      </c>
      <c r="D203" s="24" t="str">
        <f t="shared" si="22"/>
        <v>AS</v>
      </c>
      <c r="E203" s="24">
        <f t="shared" si="23"/>
        <v>1</v>
      </c>
      <c r="F203" s="24">
        <f>IF('query (2)'!A203="","",IFERROR(VALUE('query (2)'!A203),""))</f>
        <v>221</v>
      </c>
      <c r="G203" s="24" t="str">
        <f>IF('query (2)'!C203="","UNKNOWN",IFERROR(INDEX(Cleaning_Rules!$B$15:$B$20,MATCH(TRIM(UPPER('query (2)'!C203)),Cleaning_Rules!$A$15:$A$20,0)),"UNKNOWN"))</f>
        <v>FACTORY2</v>
      </c>
      <c r="H203" s="25" t="str">
        <f>IF('query (2)'!C203="","",'query (2)'!C203)</f>
        <v>FACTORY2</v>
      </c>
      <c r="I203" s="24" t="str" cm="1">
        <f t="array" ref="I203">_xlfn.IFS($G203="UNKNOWN","UNKNOWN",OR($G203="FACTORY1",$G203="FACTORY2",$G203="FACTORY3"),"PLANT",TRUE,"SHARED")</f>
        <v>PLANT</v>
      </c>
      <c r="J203" s="24" t="str">
        <f>IF('query (2)'!D203="","UNKNOWN",IF(COUNTIF(Cleaning_Rules!$A$6:$A$11,TRIM('query (2)'!D203))&gt;0,"UNKNOWN",IFERROR(INDEX(Cleaning_Rules!$B$24:$B$28,MATCH(TRIM(UPPER('query (2)'!D203)),Cleaning_Rules!$A$24:$A$28,0)),TRIM(UPPER('query (2)'!D203)))))</f>
        <v>MCB1</v>
      </c>
      <c r="K203" s="25" t="str">
        <f>IF('query (2)'!D203="","",'query (2)'!D203)</f>
        <v>MCB1</v>
      </c>
      <c r="L203" s="24" t="str">
        <f>IF($J203="UNKNOWN","",_xlfn.TEXTBEFORE($J203,{"0","1","2","3","4","5","6","7","8","9"," ","-","."},1,,,$J203))</f>
        <v>MCB</v>
      </c>
      <c r="M203" s="24" t="str">
        <f>IF('query (2)'!I203&lt;&gt;"",TRIM(UPPER('query (2)'!I203)),IF($L203="","UNKNOWN",$L203))</f>
        <v>MCB</v>
      </c>
      <c r="N203" s="24" t="str">
        <f>IF('query (2)'!I203&lt;&gt;"","SOURCE",IF($L203="","UNKNOWN","DERIVED"))</f>
        <v>SOURCE</v>
      </c>
      <c r="O203" s="24" t="str">
        <f>IF('query (2)'!E203="","NOT_SPECIFIED",TRIM(UPPER('query (2)'!E203)))</f>
        <v>ASSEMBLY</v>
      </c>
      <c r="P203" s="24" t="str">
        <f>IF('query (2)'!F203="","",TRIM(UPPER('query (2)'!F203)))</f>
        <v>1304-MC1AI</v>
      </c>
      <c r="Q203" s="24" t="str">
        <f>IF('query (2)'!G203="","UNKNOWN",IFERROR(INDEX(Cleaning_Rules!$B$38:$B$46,MATCH(TRIM(UPPER('query (2)'!G203)),Cleaning_Rules!$A$38:$A$46,0)),"UNKNOWN"))</f>
        <v>OTHER</v>
      </c>
      <c r="R203" s="24" t="str">
        <f>IF('query (2)'!H203="","",TRIM(UPPER('query (2)'!H203)))</f>
        <v>GREASE INJECTION M/C</v>
      </c>
      <c r="S203" s="25" t="str">
        <f>IF('query (2)'!H203="","",'query (2)'!H203)</f>
        <v>Grease  injection  M/C</v>
      </c>
      <c r="T203" s="24" t="str">
        <f>IF('query (2)'!J203="","",TRIM(UPPER('query (2)'!J203)))</f>
        <v>GREASE INJECTION</v>
      </c>
      <c r="U203" s="24" t="str">
        <f t="shared" si="24"/>
        <v/>
      </c>
      <c r="V203" s="24" t="str">
        <f>IF('query (2)'!K203="","NOT_SPECIFIED",IFERROR(INDEX(Cleaning_Rules!$B$32:$B$34,MATCH(TRIM(UPPER('query (2)'!K203)),Cleaning_Rules!$A$32:$A$34,0)),"UNKNOWN"))</f>
        <v>NOT_SPECIFIED</v>
      </c>
      <c r="W203" s="24" t="str">
        <f t="shared" si="25"/>
        <v>AS-141 | FACTORY2 | MCB1 | MCB | ASSEMBLY | 1304-MC1AI | OTHER | GREASE INJECTION M/C | GREASE INJECTION | NOT_SPECIFIED</v>
      </c>
      <c r="X203" s="24" t="str">
        <f t="shared" si="26"/>
        <v/>
      </c>
      <c r="Y203" s="24" t="str">
        <f t="shared" si="27"/>
        <v>MISSING_STATUS; CATEGORY_NOT_USEFUL</v>
      </c>
    </row>
    <row r="204" spans="1:25" x14ac:dyDescent="0.3">
      <c r="A204" s="24" t="str">
        <f t="shared" si="21"/>
        <v>AS-142#0203</v>
      </c>
      <c r="B204" s="24" t="str">
        <f>IF('query (2)'!B204="","",TRIM(UPPER('query (2)'!B204)))</f>
        <v>AS-142</v>
      </c>
      <c r="C204" s="25" t="str">
        <f>IF('query (2)'!B204="","",'query (2)'!B204)</f>
        <v>AS-142</v>
      </c>
      <c r="D204" s="24" t="str">
        <f t="shared" si="22"/>
        <v>AS</v>
      </c>
      <c r="E204" s="24">
        <f t="shared" si="23"/>
        <v>1</v>
      </c>
      <c r="F204" s="24">
        <f>IF('query (2)'!A204="","",IFERROR(VALUE('query (2)'!A204),""))</f>
        <v>222</v>
      </c>
      <c r="G204" s="24" t="str">
        <f>IF('query (2)'!C204="","UNKNOWN",IFERROR(INDEX(Cleaning_Rules!$B$15:$B$20,MATCH(TRIM(UPPER('query (2)'!C204)),Cleaning_Rules!$A$15:$A$20,0)),"UNKNOWN"))</f>
        <v>FACTORY2</v>
      </c>
      <c r="H204" s="25" t="str">
        <f>IF('query (2)'!C204="","",'query (2)'!C204)</f>
        <v>FACTORY2</v>
      </c>
      <c r="I204" s="24" t="str" cm="1">
        <f t="array" ref="I204">_xlfn.IFS($G204="UNKNOWN","UNKNOWN",OR($G204="FACTORY1",$G204="FACTORY2",$G204="FACTORY3"),"PLANT",TRUE,"SHARED")</f>
        <v>PLANT</v>
      </c>
      <c r="J204" s="24" t="str">
        <f>IF('query (2)'!D204="","UNKNOWN",IF(COUNTIF(Cleaning_Rules!$A$6:$A$11,TRIM('query (2)'!D204))&gt;0,"UNKNOWN",IFERROR(INDEX(Cleaning_Rules!$B$24:$B$28,MATCH(TRIM(UPPER('query (2)'!D204)),Cleaning_Rules!$A$24:$A$28,0)),TRIM(UPPER('query (2)'!D204)))))</f>
        <v>MCB1</v>
      </c>
      <c r="K204" s="25" t="str">
        <f>IF('query (2)'!D204="","",'query (2)'!D204)</f>
        <v>MCB1</v>
      </c>
      <c r="L204" s="24" t="str">
        <f>IF($J204="UNKNOWN","",_xlfn.TEXTBEFORE($J204,{"0","1","2","3","4","5","6","7","8","9"," ","-","."},1,,,$J204))</f>
        <v>MCB</v>
      </c>
      <c r="M204" s="24" t="str">
        <f>IF('query (2)'!I204&lt;&gt;"",TRIM(UPPER('query (2)'!I204)),IF($L204="","UNKNOWN",$L204))</f>
        <v>MCB</v>
      </c>
      <c r="N204" s="24" t="str">
        <f>IF('query (2)'!I204&lt;&gt;"","SOURCE",IF($L204="","UNKNOWN","DERIVED"))</f>
        <v>SOURCE</v>
      </c>
      <c r="O204" s="24" t="str">
        <f>IF('query (2)'!E204="","NOT_SPECIFIED",TRIM(UPPER('query (2)'!E204)))</f>
        <v>ASSEMBLY</v>
      </c>
      <c r="P204" s="24" t="str">
        <f>IF('query (2)'!F204="","",TRIM(UPPER('query (2)'!F204)))</f>
        <v>1304-MC1AI</v>
      </c>
      <c r="Q204" s="24" t="str">
        <f>IF('query (2)'!G204="","UNKNOWN",IFERROR(INDEX(Cleaning_Rules!$B$38:$B$46,MATCH(TRIM(UPPER('query (2)'!G204)),Cleaning_Rules!$A$38:$A$46,0)),"UNKNOWN"))</f>
        <v>OTHER</v>
      </c>
      <c r="R204" s="24" t="str">
        <f>IF('query (2)'!H204="","",TRIM(UPPER('query (2)'!H204)))</f>
        <v>SEAL PRESS M/C</v>
      </c>
      <c r="S204" s="25" t="str">
        <f>IF('query (2)'!H204="","",'query (2)'!H204)</f>
        <v>Seal  press  M/C</v>
      </c>
      <c r="T204" s="24" t="str">
        <f>IF('query (2)'!J204="","",TRIM(UPPER('query (2)'!J204)))</f>
        <v>SEAL PRESSING NO.1</v>
      </c>
      <c r="U204" s="24" t="str">
        <f t="shared" si="24"/>
        <v/>
      </c>
      <c r="V204" s="24" t="str">
        <f>IF('query (2)'!K204="","NOT_SPECIFIED",IFERROR(INDEX(Cleaning_Rules!$B$32:$B$34,MATCH(TRIM(UPPER('query (2)'!K204)),Cleaning_Rules!$A$32:$A$34,0)),"UNKNOWN"))</f>
        <v>NOT_SPECIFIED</v>
      </c>
      <c r="W204" s="24" t="str">
        <f t="shared" si="25"/>
        <v>AS-142 | FACTORY2 | MCB1 | MCB | ASSEMBLY | 1304-MC1AI | OTHER | SEAL PRESS M/C | SEAL PRESSING NO.1 | NOT_SPECIFIED</v>
      </c>
      <c r="X204" s="24" t="str">
        <f t="shared" si="26"/>
        <v/>
      </c>
      <c r="Y204" s="24" t="str">
        <f t="shared" si="27"/>
        <v>MISSING_STATUS; CATEGORY_NOT_USEFUL</v>
      </c>
    </row>
    <row r="205" spans="1:25" x14ac:dyDescent="0.3">
      <c r="A205" s="24" t="str">
        <f t="shared" si="21"/>
        <v>AS-143#0204</v>
      </c>
      <c r="B205" s="24" t="str">
        <f>IF('query (2)'!B205="","",TRIM(UPPER('query (2)'!B205)))</f>
        <v>AS-143</v>
      </c>
      <c r="C205" s="25" t="str">
        <f>IF('query (2)'!B205="","",'query (2)'!B205)</f>
        <v>AS-143</v>
      </c>
      <c r="D205" s="24" t="str">
        <f t="shared" si="22"/>
        <v>AS</v>
      </c>
      <c r="E205" s="24">
        <f t="shared" si="23"/>
        <v>1</v>
      </c>
      <c r="F205" s="24">
        <f>IF('query (2)'!A205="","",IFERROR(VALUE('query (2)'!A205),""))</f>
        <v>223</v>
      </c>
      <c r="G205" s="24" t="str">
        <f>IF('query (2)'!C205="","UNKNOWN",IFERROR(INDEX(Cleaning_Rules!$B$15:$B$20,MATCH(TRIM(UPPER('query (2)'!C205)),Cleaning_Rules!$A$15:$A$20,0)),"UNKNOWN"))</f>
        <v>FACTORY2</v>
      </c>
      <c r="H205" s="25" t="str">
        <f>IF('query (2)'!C205="","",'query (2)'!C205)</f>
        <v>FACTORY2</v>
      </c>
      <c r="I205" s="24" t="str" cm="1">
        <f t="array" ref="I205">_xlfn.IFS($G205="UNKNOWN","UNKNOWN",OR($G205="FACTORY1",$G205="FACTORY2",$G205="FACTORY3"),"PLANT",TRUE,"SHARED")</f>
        <v>PLANT</v>
      </c>
      <c r="J205" s="24" t="str">
        <f>IF('query (2)'!D205="","UNKNOWN",IF(COUNTIF(Cleaning_Rules!$A$6:$A$11,TRIM('query (2)'!D205))&gt;0,"UNKNOWN",IFERROR(INDEX(Cleaning_Rules!$B$24:$B$28,MATCH(TRIM(UPPER('query (2)'!D205)),Cleaning_Rules!$A$24:$A$28,0)),TRIM(UPPER('query (2)'!D205)))))</f>
        <v>MCB1</v>
      </c>
      <c r="K205" s="25" t="str">
        <f>IF('query (2)'!D205="","",'query (2)'!D205)</f>
        <v>MCB1</v>
      </c>
      <c r="L205" s="24" t="str">
        <f>IF($J205="UNKNOWN","",_xlfn.TEXTBEFORE($J205,{"0","1","2","3","4","5","6","7","8","9"," ","-","."},1,,,$J205))</f>
        <v>MCB</v>
      </c>
      <c r="M205" s="24" t="str">
        <f>IF('query (2)'!I205&lt;&gt;"",TRIM(UPPER('query (2)'!I205)),IF($L205="","UNKNOWN",$L205))</f>
        <v>MCB</v>
      </c>
      <c r="N205" s="24" t="str">
        <f>IF('query (2)'!I205&lt;&gt;"","SOURCE",IF($L205="","UNKNOWN","DERIVED"))</f>
        <v>SOURCE</v>
      </c>
      <c r="O205" s="24" t="str">
        <f>IF('query (2)'!E205="","NOT_SPECIFIED",TRIM(UPPER('query (2)'!E205)))</f>
        <v>ASSEMBLY</v>
      </c>
      <c r="P205" s="24" t="str">
        <f>IF('query (2)'!F205="","",TRIM(UPPER('query (2)'!F205)))</f>
        <v>1304-MC1AI</v>
      </c>
      <c r="Q205" s="24" t="str">
        <f>IF('query (2)'!G205="","UNKNOWN",IFERROR(INDEX(Cleaning_Rules!$B$38:$B$46,MATCH(TRIM(UPPER('query (2)'!G205)),Cleaning_Rules!$A$38:$A$46,0)),"UNKNOWN"))</f>
        <v>OTHER</v>
      </c>
      <c r="R205" s="24" t="str">
        <f>IF('query (2)'!H205="","",TRIM(UPPER('query (2)'!H205)))</f>
        <v>SEAL PRESS M/C</v>
      </c>
      <c r="S205" s="25" t="str">
        <f>IF('query (2)'!H205="","",'query (2)'!H205)</f>
        <v>Seal  press  M/C</v>
      </c>
      <c r="T205" s="24" t="str">
        <f>IF('query (2)'!J205="","",TRIM(UPPER('query (2)'!J205)))</f>
        <v>SEAL PRESSING NO.2</v>
      </c>
      <c r="U205" s="24" t="str">
        <f t="shared" si="24"/>
        <v/>
      </c>
      <c r="V205" s="24" t="str">
        <f>IF('query (2)'!K205="","NOT_SPECIFIED",IFERROR(INDEX(Cleaning_Rules!$B$32:$B$34,MATCH(TRIM(UPPER('query (2)'!K205)),Cleaning_Rules!$A$32:$A$34,0)),"UNKNOWN"))</f>
        <v>NOT_SPECIFIED</v>
      </c>
      <c r="W205" s="24" t="str">
        <f t="shared" si="25"/>
        <v>AS-143 | FACTORY2 | MCB1 | MCB | ASSEMBLY | 1304-MC1AI | OTHER | SEAL PRESS M/C | SEAL PRESSING NO.2 | NOT_SPECIFIED</v>
      </c>
      <c r="X205" s="24" t="str">
        <f t="shared" si="26"/>
        <v/>
      </c>
      <c r="Y205" s="24" t="str">
        <f t="shared" si="27"/>
        <v>MISSING_STATUS; CATEGORY_NOT_USEFUL</v>
      </c>
    </row>
    <row r="206" spans="1:25" x14ac:dyDescent="0.3">
      <c r="A206" s="24" t="str">
        <f t="shared" si="21"/>
        <v>CH-144#0205</v>
      </c>
      <c r="B206" s="24" t="str">
        <f>IF('query (2)'!B206="","",TRIM(UPPER('query (2)'!B206)))</f>
        <v>CH-144</v>
      </c>
      <c r="C206" s="25" t="str">
        <f>IF('query (2)'!B206="","",'query (2)'!B206)</f>
        <v>CH-144</v>
      </c>
      <c r="D206" s="24" t="str">
        <f t="shared" si="22"/>
        <v>CH</v>
      </c>
      <c r="E206" s="24">
        <f t="shared" si="23"/>
        <v>1</v>
      </c>
      <c r="F206" s="24">
        <f>IF('query (2)'!A206="","",IFERROR(VALUE('query (2)'!A206),""))</f>
        <v>224</v>
      </c>
      <c r="G206" s="24" t="str">
        <f>IF('query (2)'!C206="","UNKNOWN",IFERROR(INDEX(Cleaning_Rules!$B$15:$B$20,MATCH(TRIM(UPPER('query (2)'!C206)),Cleaning_Rules!$A$15:$A$20,0)),"UNKNOWN"))</f>
        <v>FACTORY2</v>
      </c>
      <c r="H206" s="25" t="str">
        <f>IF('query (2)'!C206="","",'query (2)'!C206)</f>
        <v>FACTORY2</v>
      </c>
      <c r="I206" s="24" t="str" cm="1">
        <f t="array" ref="I206">_xlfn.IFS($G206="UNKNOWN","UNKNOWN",OR($G206="FACTORY1",$G206="FACTORY2",$G206="FACTORY3"),"PLANT",TRUE,"SHARED")</f>
        <v>PLANT</v>
      </c>
      <c r="J206" s="24" t="str">
        <f>IF('query (2)'!D206="","UNKNOWN",IF(COUNTIF(Cleaning_Rules!$A$6:$A$11,TRIM('query (2)'!D206))&gt;0,"UNKNOWN",IFERROR(INDEX(Cleaning_Rules!$B$24:$B$28,MATCH(TRIM(UPPER('query (2)'!D206)),Cleaning_Rules!$A$24:$A$28,0)),TRIM(UPPER('query (2)'!D206)))))</f>
        <v>MCB1</v>
      </c>
      <c r="K206" s="25" t="str">
        <f>IF('query (2)'!D206="","",'query (2)'!D206)</f>
        <v>MCB1</v>
      </c>
      <c r="L206" s="24" t="str">
        <f>IF($J206="UNKNOWN","",_xlfn.TEXTBEFORE($J206,{"0","1","2","3","4","5","6","7","8","9"," ","-","."},1,,,$J206))</f>
        <v>MCB</v>
      </c>
      <c r="M206" s="24" t="str">
        <f>IF('query (2)'!I206&lt;&gt;"",TRIM(UPPER('query (2)'!I206)),IF($L206="","UNKNOWN",$L206))</f>
        <v>MCB</v>
      </c>
      <c r="N206" s="24" t="str">
        <f>IF('query (2)'!I206&lt;&gt;"","SOURCE",IF($L206="","UNKNOWN","DERIVED"))</f>
        <v>SOURCE</v>
      </c>
      <c r="O206" s="24" t="str">
        <f>IF('query (2)'!E206="","NOT_SPECIFIED",TRIM(UPPER('query (2)'!E206)))</f>
        <v>ASSEMBLY</v>
      </c>
      <c r="P206" s="24" t="str">
        <f>IF('query (2)'!F206="","",TRIM(UPPER('query (2)'!F206)))</f>
        <v>1304-MC1AI</v>
      </c>
      <c r="Q206" s="24" t="str">
        <f>IF('query (2)'!G206="","UNKNOWN",IFERROR(INDEX(Cleaning_Rules!$B$38:$B$46,MATCH(TRIM(UPPER('query (2)'!G206)),Cleaning_Rules!$A$38:$A$46,0)),"UNKNOWN"))</f>
        <v>OTHER</v>
      </c>
      <c r="R206" s="24" t="str">
        <f>IF('query (2)'!H206="","",TRIM(UPPER('query (2)'!H206)))</f>
        <v>SEAL CHECK M/C</v>
      </c>
      <c r="S206" s="25" t="str">
        <f>IF('query (2)'!H206="","",'query (2)'!H206)</f>
        <v>Seal  check  M/C</v>
      </c>
      <c r="T206" s="24" t="str">
        <f>IF('query (2)'!J206="","",TRIM(UPPER('query (2)'!J206)))</f>
        <v>SEAL HEIGHT CHECK</v>
      </c>
      <c r="U206" s="24" t="str">
        <f t="shared" si="24"/>
        <v/>
      </c>
      <c r="V206" s="24" t="str">
        <f>IF('query (2)'!K206="","NOT_SPECIFIED",IFERROR(INDEX(Cleaning_Rules!$B$32:$B$34,MATCH(TRIM(UPPER('query (2)'!K206)),Cleaning_Rules!$A$32:$A$34,0)),"UNKNOWN"))</f>
        <v>NOT_SPECIFIED</v>
      </c>
      <c r="W206" s="24" t="str">
        <f t="shared" si="25"/>
        <v>CH-144 | FACTORY2 | MCB1 | MCB | ASSEMBLY | 1304-MC1AI | OTHER | SEAL CHECK M/C | SEAL HEIGHT CHECK | NOT_SPECIFIED</v>
      </c>
      <c r="X206" s="24" t="str">
        <f t="shared" si="26"/>
        <v/>
      </c>
      <c r="Y206" s="24" t="str">
        <f t="shared" si="27"/>
        <v>MISSING_STATUS; CATEGORY_NOT_USEFUL</v>
      </c>
    </row>
    <row r="207" spans="1:25" x14ac:dyDescent="0.3">
      <c r="A207" s="24" t="str">
        <f t="shared" si="21"/>
        <v>CH-145#0206</v>
      </c>
      <c r="B207" s="24" t="str">
        <f>IF('query (2)'!B207="","",TRIM(UPPER('query (2)'!B207)))</f>
        <v>CH-145</v>
      </c>
      <c r="C207" s="25" t="str">
        <f>IF('query (2)'!B207="","",'query (2)'!B207)</f>
        <v>CH-145</v>
      </c>
      <c r="D207" s="24" t="str">
        <f t="shared" si="22"/>
        <v>CH</v>
      </c>
      <c r="E207" s="24">
        <f t="shared" si="23"/>
        <v>1</v>
      </c>
      <c r="F207" s="24">
        <f>IF('query (2)'!A207="","",IFERROR(VALUE('query (2)'!A207),""))</f>
        <v>225</v>
      </c>
      <c r="G207" s="24" t="str">
        <f>IF('query (2)'!C207="","UNKNOWN",IFERROR(INDEX(Cleaning_Rules!$B$15:$B$20,MATCH(TRIM(UPPER('query (2)'!C207)),Cleaning_Rules!$A$15:$A$20,0)),"UNKNOWN"))</f>
        <v>FACTORY2</v>
      </c>
      <c r="H207" s="25" t="str">
        <f>IF('query (2)'!C207="","",'query (2)'!C207)</f>
        <v>FACTORY2</v>
      </c>
      <c r="I207" s="24" t="str" cm="1">
        <f t="array" ref="I207">_xlfn.IFS($G207="UNKNOWN","UNKNOWN",OR($G207="FACTORY1",$G207="FACTORY2",$G207="FACTORY3"),"PLANT",TRUE,"SHARED")</f>
        <v>PLANT</v>
      </c>
      <c r="J207" s="24" t="str">
        <f>IF('query (2)'!D207="","UNKNOWN",IF(COUNTIF(Cleaning_Rules!$A$6:$A$11,TRIM('query (2)'!D207))&gt;0,"UNKNOWN",IFERROR(INDEX(Cleaning_Rules!$B$24:$B$28,MATCH(TRIM(UPPER('query (2)'!D207)),Cleaning_Rules!$A$24:$A$28,0)),TRIM(UPPER('query (2)'!D207)))))</f>
        <v>MCB1</v>
      </c>
      <c r="K207" s="25" t="str">
        <f>IF('query (2)'!D207="","",'query (2)'!D207)</f>
        <v>MCB1</v>
      </c>
      <c r="L207" s="24" t="str">
        <f>IF($J207="UNKNOWN","",_xlfn.TEXTBEFORE($J207,{"0","1","2","3","4","5","6","7","8","9"," ","-","."},1,,,$J207))</f>
        <v>MCB</v>
      </c>
      <c r="M207" s="24" t="str">
        <f>IF('query (2)'!I207&lt;&gt;"",TRIM(UPPER('query (2)'!I207)),IF($L207="","UNKNOWN",$L207))</f>
        <v>MCB</v>
      </c>
      <c r="N207" s="24" t="str">
        <f>IF('query (2)'!I207&lt;&gt;"","SOURCE",IF($L207="","UNKNOWN","DERIVED"))</f>
        <v>SOURCE</v>
      </c>
      <c r="O207" s="24" t="str">
        <f>IF('query (2)'!E207="","NOT_SPECIFIED",TRIM(UPPER('query (2)'!E207)))</f>
        <v>ASSEMBLY</v>
      </c>
      <c r="P207" s="24" t="str">
        <f>IF('query (2)'!F207="","",TRIM(UPPER('query (2)'!F207)))</f>
        <v>1304-MC1AI</v>
      </c>
      <c r="Q207" s="24" t="str">
        <f>IF('query (2)'!G207="","UNKNOWN",IFERROR(INDEX(Cleaning_Rules!$B$38:$B$46,MATCH(TRIM(UPPER('query (2)'!G207)),Cleaning_Rules!$A$38:$A$46,0)),"UNKNOWN"))</f>
        <v>OTHER</v>
      </c>
      <c r="R207" s="24" t="str">
        <f>IF('query (2)'!H207="","",TRIM(UPPER('query (2)'!H207)))</f>
        <v>NOISE INSPECTION M/C</v>
      </c>
      <c r="S207" s="25" t="str">
        <f>IF('query (2)'!H207="","",'query (2)'!H207)</f>
        <v>Noise  inspection  M/C</v>
      </c>
      <c r="T207" s="24" t="str">
        <f>IF('query (2)'!J207="","",TRIM(UPPER('query (2)'!J207)))</f>
        <v>NOISE INSPECTION AUTO</v>
      </c>
      <c r="U207" s="24" t="str">
        <f t="shared" si="24"/>
        <v/>
      </c>
      <c r="V207" s="24" t="str">
        <f>IF('query (2)'!K207="","NOT_SPECIFIED",IFERROR(INDEX(Cleaning_Rules!$B$32:$B$34,MATCH(TRIM(UPPER('query (2)'!K207)),Cleaning_Rules!$A$32:$A$34,0)),"UNKNOWN"))</f>
        <v>NOT_SPECIFIED</v>
      </c>
      <c r="W207" s="24" t="str">
        <f t="shared" si="25"/>
        <v>CH-145 | FACTORY2 | MCB1 | MCB | ASSEMBLY | 1304-MC1AI | OTHER | NOISE INSPECTION M/C | NOISE INSPECTION AUTO | NOT_SPECIFIED</v>
      </c>
      <c r="X207" s="24" t="str">
        <f t="shared" si="26"/>
        <v/>
      </c>
      <c r="Y207" s="24" t="str">
        <f t="shared" si="27"/>
        <v>MISSING_STATUS; CATEGORY_NOT_USEFUL</v>
      </c>
    </row>
    <row r="208" spans="1:25" x14ac:dyDescent="0.3">
      <c r="A208" s="24" t="str">
        <f t="shared" si="21"/>
        <v>CH-146#0207</v>
      </c>
      <c r="B208" s="24" t="str">
        <f>IF('query (2)'!B208="","",TRIM(UPPER('query (2)'!B208)))</f>
        <v>CH-146</v>
      </c>
      <c r="C208" s="25" t="str">
        <f>IF('query (2)'!B208="","",'query (2)'!B208)</f>
        <v>CH-146</v>
      </c>
      <c r="D208" s="24" t="str">
        <f t="shared" si="22"/>
        <v>CH</v>
      </c>
      <c r="E208" s="24">
        <f t="shared" si="23"/>
        <v>1</v>
      </c>
      <c r="F208" s="24">
        <f>IF('query (2)'!A208="","",IFERROR(VALUE('query (2)'!A208),""))</f>
        <v>226</v>
      </c>
      <c r="G208" s="24" t="str">
        <f>IF('query (2)'!C208="","UNKNOWN",IFERROR(INDEX(Cleaning_Rules!$B$15:$B$20,MATCH(TRIM(UPPER('query (2)'!C208)),Cleaning_Rules!$A$15:$A$20,0)),"UNKNOWN"))</f>
        <v>FACTORY2</v>
      </c>
      <c r="H208" s="25" t="str">
        <f>IF('query (2)'!C208="","",'query (2)'!C208)</f>
        <v>FACTORY2</v>
      </c>
      <c r="I208" s="24" t="str" cm="1">
        <f t="array" ref="I208">_xlfn.IFS($G208="UNKNOWN","UNKNOWN",OR($G208="FACTORY1",$G208="FACTORY2",$G208="FACTORY3"),"PLANT",TRUE,"SHARED")</f>
        <v>PLANT</v>
      </c>
      <c r="J208" s="24" t="str">
        <f>IF('query (2)'!D208="","UNKNOWN",IF(COUNTIF(Cleaning_Rules!$A$6:$A$11,TRIM('query (2)'!D208))&gt;0,"UNKNOWN",IFERROR(INDEX(Cleaning_Rules!$B$24:$B$28,MATCH(TRIM(UPPER('query (2)'!D208)),Cleaning_Rules!$A$24:$A$28,0)),TRIM(UPPER('query (2)'!D208)))))</f>
        <v>MCB1</v>
      </c>
      <c r="K208" s="25" t="str">
        <f>IF('query (2)'!D208="","",'query (2)'!D208)</f>
        <v>MCB1</v>
      </c>
      <c r="L208" s="24" t="str">
        <f>IF($J208="UNKNOWN","",_xlfn.TEXTBEFORE($J208,{"0","1","2","3","4","5","6","7","8","9"," ","-","."},1,,,$J208))</f>
        <v>MCB</v>
      </c>
      <c r="M208" s="24" t="str">
        <f>IF('query (2)'!I208&lt;&gt;"",TRIM(UPPER('query (2)'!I208)),IF($L208="","UNKNOWN",$L208))</f>
        <v>MCB</v>
      </c>
      <c r="N208" s="24" t="str">
        <f>IF('query (2)'!I208&lt;&gt;"","SOURCE",IF($L208="","UNKNOWN","DERIVED"))</f>
        <v>SOURCE</v>
      </c>
      <c r="O208" s="24" t="str">
        <f>IF('query (2)'!E208="","NOT_SPECIFIED",TRIM(UPPER('query (2)'!E208)))</f>
        <v>ASSEMBLY</v>
      </c>
      <c r="P208" s="24" t="str">
        <f>IF('query (2)'!F208="","",TRIM(UPPER('query (2)'!F208)))</f>
        <v>1304-MC1AI</v>
      </c>
      <c r="Q208" s="24" t="str">
        <f>IF('query (2)'!G208="","UNKNOWN",IFERROR(INDEX(Cleaning_Rules!$B$38:$B$46,MATCH(TRIM(UPPER('query (2)'!G208)),Cleaning_Rules!$A$38:$A$46,0)),"UNKNOWN"))</f>
        <v>OTHER</v>
      </c>
      <c r="R208" s="24" t="str">
        <f>IF('query (2)'!H208="","",TRIM(UPPER('query (2)'!H208)))</f>
        <v>WEIGHT CHECKER M/C</v>
      </c>
      <c r="S208" s="25" t="str">
        <f>IF('query (2)'!H208="","",'query (2)'!H208)</f>
        <v>Weight checker M/C</v>
      </c>
      <c r="T208" s="24" t="str">
        <f>IF('query (2)'!J208="","",TRIM(UPPER('query (2)'!J208)))</f>
        <v>WEIGHT CHECKER</v>
      </c>
      <c r="U208" s="24" t="str">
        <f t="shared" si="24"/>
        <v/>
      </c>
      <c r="V208" s="24" t="str">
        <f>IF('query (2)'!K208="","NOT_SPECIFIED",IFERROR(INDEX(Cleaning_Rules!$B$32:$B$34,MATCH(TRIM(UPPER('query (2)'!K208)),Cleaning_Rules!$A$32:$A$34,0)),"UNKNOWN"))</f>
        <v>NOT_SPECIFIED</v>
      </c>
      <c r="W208" s="24" t="str">
        <f t="shared" si="25"/>
        <v>CH-146 | FACTORY2 | MCB1 | MCB | ASSEMBLY | 1304-MC1AI | OTHER | WEIGHT CHECKER M/C | WEIGHT CHECKER | NOT_SPECIFIED</v>
      </c>
      <c r="X208" s="24" t="str">
        <f t="shared" si="26"/>
        <v/>
      </c>
      <c r="Y208" s="24" t="str">
        <f t="shared" si="27"/>
        <v>MISSING_STATUS; CATEGORY_NOT_USEFUL</v>
      </c>
    </row>
    <row r="209" spans="1:25" x14ac:dyDescent="0.3">
      <c r="A209" s="24" t="str">
        <f t="shared" si="21"/>
        <v>CH-303#0208</v>
      </c>
      <c r="B209" s="24" t="str">
        <f>IF('query (2)'!B209="","",TRIM(UPPER('query (2)'!B209)))</f>
        <v>CH-303</v>
      </c>
      <c r="C209" s="25" t="str">
        <f>IF('query (2)'!B209="","",'query (2)'!B209)</f>
        <v>CH-303</v>
      </c>
      <c r="D209" s="24" t="str">
        <f t="shared" si="22"/>
        <v>CH</v>
      </c>
      <c r="E209" s="24">
        <f t="shared" si="23"/>
        <v>1</v>
      </c>
      <c r="F209" s="24">
        <f>IF('query (2)'!A209="","",IFERROR(VALUE('query (2)'!A209),""))</f>
        <v>227</v>
      </c>
      <c r="G209" s="24" t="str">
        <f>IF('query (2)'!C209="","UNKNOWN",IFERROR(INDEX(Cleaning_Rules!$B$15:$B$20,MATCH(TRIM(UPPER('query (2)'!C209)),Cleaning_Rules!$A$15:$A$20,0)),"UNKNOWN"))</f>
        <v>FACTORY2</v>
      </c>
      <c r="H209" s="25" t="str">
        <f>IF('query (2)'!C209="","",'query (2)'!C209)</f>
        <v>FACTORY2</v>
      </c>
      <c r="I209" s="24" t="str" cm="1">
        <f t="array" ref="I209">_xlfn.IFS($G209="UNKNOWN","UNKNOWN",OR($G209="FACTORY1",$G209="FACTORY2",$G209="FACTORY3"),"PLANT",TRUE,"SHARED")</f>
        <v>PLANT</v>
      </c>
      <c r="J209" s="24" t="str">
        <f>IF('query (2)'!D209="","UNKNOWN",IF(COUNTIF(Cleaning_Rules!$A$6:$A$11,TRIM('query (2)'!D209))&gt;0,"UNKNOWN",IFERROR(INDEX(Cleaning_Rules!$B$24:$B$28,MATCH(TRIM(UPPER('query (2)'!D209)),Cleaning_Rules!$A$24:$A$28,0)),TRIM(UPPER('query (2)'!D209)))))</f>
        <v>MCB1</v>
      </c>
      <c r="K209" s="25" t="str">
        <f>IF('query (2)'!D209="","",'query (2)'!D209)</f>
        <v>MCB1</v>
      </c>
      <c r="L209" s="24" t="str">
        <f>IF($J209="UNKNOWN","",_xlfn.TEXTBEFORE($J209,{"0","1","2","3","4","5","6","7","8","9"," ","-","."},1,,,$J209))</f>
        <v>MCB</v>
      </c>
      <c r="M209" s="24" t="str">
        <f>IF('query (2)'!I209&lt;&gt;"",TRIM(UPPER('query (2)'!I209)),IF($L209="","UNKNOWN",$L209))</f>
        <v>MCB</v>
      </c>
      <c r="N209" s="24" t="str">
        <f>IF('query (2)'!I209&lt;&gt;"","SOURCE",IF($L209="","UNKNOWN","DERIVED"))</f>
        <v>SOURCE</v>
      </c>
      <c r="O209" s="24" t="str">
        <f>IF('query (2)'!E209="","NOT_SPECIFIED",TRIM(UPPER('query (2)'!E209)))</f>
        <v>ASSEMBLY</v>
      </c>
      <c r="P209" s="24" t="str">
        <f>IF('query (2)'!F209="","",TRIM(UPPER('query (2)'!F209)))</f>
        <v>1304-MC1AI</v>
      </c>
      <c r="Q209" s="24" t="str">
        <f>IF('query (2)'!G209="","UNKNOWN",IFERROR(INDEX(Cleaning_Rules!$B$38:$B$46,MATCH(TRIM(UPPER('query (2)'!G209)),Cleaning_Rules!$A$38:$A$46,0)),"UNKNOWN"))</f>
        <v>OTHER</v>
      </c>
      <c r="R209" s="24" t="str">
        <f>IF('query (2)'!H209="","",TRIM(UPPER('query (2)'!H209)))</f>
        <v>NOISE MANUAL INSPECTION M/C</v>
      </c>
      <c r="S209" s="25" t="str">
        <f>IF('query (2)'!H209="","",'query (2)'!H209)</f>
        <v>Noise  manual  inspection  M/C</v>
      </c>
      <c r="T209" s="24" t="str">
        <f>IF('query (2)'!J209="","",TRIM(UPPER('query (2)'!J209)))</f>
        <v>NOISE INSPECTION MANUAL</v>
      </c>
      <c r="U209" s="24" t="str">
        <f t="shared" si="24"/>
        <v/>
      </c>
      <c r="V209" s="24" t="str">
        <f>IF('query (2)'!K209="","NOT_SPECIFIED",IFERROR(INDEX(Cleaning_Rules!$B$32:$B$34,MATCH(TRIM(UPPER('query (2)'!K209)),Cleaning_Rules!$A$32:$A$34,0)),"UNKNOWN"))</f>
        <v>NOT_SPECIFIED</v>
      </c>
      <c r="W209" s="24" t="str">
        <f t="shared" si="25"/>
        <v>CH-303 | FACTORY2 | MCB1 | MCB | ASSEMBLY | 1304-MC1AI | OTHER | NOISE MANUAL INSPECTION M/C | NOISE INSPECTION MANUAL | NOT_SPECIFIED</v>
      </c>
      <c r="X209" s="24" t="str">
        <f t="shared" si="26"/>
        <v/>
      </c>
      <c r="Y209" s="24" t="str">
        <f t="shared" si="27"/>
        <v>MISSING_STATUS; CATEGORY_NOT_USEFUL</v>
      </c>
    </row>
    <row r="210" spans="1:25" x14ac:dyDescent="0.3">
      <c r="A210" s="24" t="str">
        <f t="shared" si="21"/>
        <v>CH-855#0209</v>
      </c>
      <c r="B210" s="24" t="str">
        <f>IF('query (2)'!B210="","",TRIM(UPPER('query (2)'!B210)))</f>
        <v>CH-855</v>
      </c>
      <c r="C210" s="25" t="str">
        <f>IF('query (2)'!B210="","",'query (2)'!B210)</f>
        <v>CH-855</v>
      </c>
      <c r="D210" s="24" t="str">
        <f t="shared" si="22"/>
        <v>CH</v>
      </c>
      <c r="E210" s="24">
        <f t="shared" si="23"/>
        <v>1</v>
      </c>
      <c r="F210" s="24">
        <f>IF('query (2)'!A210="","",IFERROR(VALUE('query (2)'!A210),""))</f>
        <v>228</v>
      </c>
      <c r="G210" s="24" t="str">
        <f>IF('query (2)'!C210="","UNKNOWN",IFERROR(INDEX(Cleaning_Rules!$B$15:$B$20,MATCH(TRIM(UPPER('query (2)'!C210)),Cleaning_Rules!$A$15:$A$20,0)),"UNKNOWN"))</f>
        <v>FACTORY2</v>
      </c>
      <c r="H210" s="25" t="str">
        <f>IF('query (2)'!C210="","",'query (2)'!C210)</f>
        <v>FACTORY2</v>
      </c>
      <c r="I210" s="24" t="str" cm="1">
        <f t="array" ref="I210">_xlfn.IFS($G210="UNKNOWN","UNKNOWN",OR($G210="FACTORY1",$G210="FACTORY2",$G210="FACTORY3"),"PLANT",TRUE,"SHARED")</f>
        <v>PLANT</v>
      </c>
      <c r="J210" s="24" t="str">
        <f>IF('query (2)'!D210="","UNKNOWN",IF(COUNTIF(Cleaning_Rules!$A$6:$A$11,TRIM('query (2)'!D210))&gt;0,"UNKNOWN",IFERROR(INDEX(Cleaning_Rules!$B$24:$B$28,MATCH(TRIM(UPPER('query (2)'!D210)),Cleaning_Rules!$A$24:$A$28,0)),TRIM(UPPER('query (2)'!D210)))))</f>
        <v>MCB1</v>
      </c>
      <c r="K210" s="25" t="str">
        <f>IF('query (2)'!D210="","",'query (2)'!D210)</f>
        <v>MCB1</v>
      </c>
      <c r="L210" s="24" t="str">
        <f>IF($J210="UNKNOWN","",_xlfn.TEXTBEFORE($J210,{"0","1","2","3","4","5","6","7","8","9"," ","-","."},1,,,$J210))</f>
        <v>MCB</v>
      </c>
      <c r="M210" s="24" t="str">
        <f>IF('query (2)'!I210&lt;&gt;"",TRIM(UPPER('query (2)'!I210)),IF($L210="","UNKNOWN",$L210))</f>
        <v>MCB</v>
      </c>
      <c r="N210" s="24" t="str">
        <f>IF('query (2)'!I210&lt;&gt;"","SOURCE",IF($L210="","UNKNOWN","DERIVED"))</f>
        <v>SOURCE</v>
      </c>
      <c r="O210" s="24" t="str">
        <f>IF('query (2)'!E210="","NOT_SPECIFIED",TRIM(UPPER('query (2)'!E210)))</f>
        <v>ASSEMBLY</v>
      </c>
      <c r="P210" s="24" t="str">
        <f>IF('query (2)'!F210="","",TRIM(UPPER('query (2)'!F210)))</f>
        <v>1304-MC1AI</v>
      </c>
      <c r="Q210" s="24" t="str">
        <f>IF('query (2)'!G210="","UNKNOWN",IFERROR(INDEX(Cleaning_Rules!$B$38:$B$46,MATCH(TRIM(UPPER('query (2)'!G210)),Cleaning_Rules!$A$38:$A$46,0)),"UNKNOWN"))</f>
        <v>OTHER</v>
      </c>
      <c r="R210" s="24" t="str">
        <f>IF('query (2)'!H210="","",TRIM(UPPER('query (2)'!H210)))</f>
        <v>AUTO SEAL &amp; TORQUE CHECK M/C</v>
      </c>
      <c r="S210" s="25" t="str">
        <f>IF('query (2)'!H210="","",'query (2)'!H210)</f>
        <v>Auto Seal &amp; Torque check M/C</v>
      </c>
      <c r="T210" s="24" t="str">
        <f>IF('query (2)'!J210="","",TRIM(UPPER('query (2)'!J210)))</f>
        <v>TORQUE AUTO</v>
      </c>
      <c r="U210" s="24" t="str">
        <f t="shared" si="24"/>
        <v/>
      </c>
      <c r="V210" s="24" t="str">
        <f>IF('query (2)'!K210="","NOT_SPECIFIED",IFERROR(INDEX(Cleaning_Rules!$B$32:$B$34,MATCH(TRIM(UPPER('query (2)'!K210)),Cleaning_Rules!$A$32:$A$34,0)),"UNKNOWN"))</f>
        <v>NOT_SPECIFIED</v>
      </c>
      <c r="W210" s="24" t="str">
        <f t="shared" si="25"/>
        <v>CH-855 | FACTORY2 | MCB1 | MCB | ASSEMBLY | 1304-MC1AI | OTHER | AUTO SEAL &amp; TORQUE CHECK M/C | TORQUE AUTO | NOT_SPECIFIED</v>
      </c>
      <c r="X210" s="24" t="str">
        <f t="shared" si="26"/>
        <v/>
      </c>
      <c r="Y210" s="24" t="str">
        <f t="shared" si="27"/>
        <v>MISSING_STATUS; CATEGORY_NOT_USEFUL</v>
      </c>
    </row>
    <row r="211" spans="1:25" x14ac:dyDescent="0.3">
      <c r="A211" s="24" t="str">
        <f t="shared" si="21"/>
        <v>AR-1020#0210</v>
      </c>
      <c r="B211" s="24" t="str">
        <f>IF('query (2)'!B211="","",TRIM(UPPER('query (2)'!B211)))</f>
        <v>AR-1020</v>
      </c>
      <c r="C211" s="25" t="str">
        <f>IF('query (2)'!B211="","",'query (2)'!B211)</f>
        <v>AR-1020</v>
      </c>
      <c r="D211" s="24" t="str">
        <f t="shared" si="22"/>
        <v>AR</v>
      </c>
      <c r="E211" s="24">
        <f t="shared" si="23"/>
        <v>1</v>
      </c>
      <c r="F211" s="24">
        <f>IF('query (2)'!A211="","",IFERROR(VALUE('query (2)'!A211),""))</f>
        <v>229</v>
      </c>
      <c r="G211" s="24" t="str">
        <f>IF('query (2)'!C211="","UNKNOWN",IFERROR(INDEX(Cleaning_Rules!$B$15:$B$20,MATCH(TRIM(UPPER('query (2)'!C211)),Cleaning_Rules!$A$15:$A$20,0)),"UNKNOWN"))</f>
        <v>FACTORY2</v>
      </c>
      <c r="H211" s="25" t="str">
        <f>IF('query (2)'!C211="","",'query (2)'!C211)</f>
        <v>FACTORY2</v>
      </c>
      <c r="I211" s="24" t="str" cm="1">
        <f t="array" ref="I211">_xlfn.IFS($G211="UNKNOWN","UNKNOWN",OR($G211="FACTORY1",$G211="FACTORY2",$G211="FACTORY3"),"PLANT",TRUE,"SHARED")</f>
        <v>PLANT</v>
      </c>
      <c r="J211" s="24" t="str">
        <f>IF('query (2)'!D211="","UNKNOWN",IF(COUNTIF(Cleaning_Rules!$A$6:$A$11,TRIM('query (2)'!D211))&gt;0,"UNKNOWN",IFERROR(INDEX(Cleaning_Rules!$B$24:$B$28,MATCH(TRIM(UPPER('query (2)'!D211)),Cleaning_Rules!$A$24:$A$28,0)),TRIM(UPPER('query (2)'!D211)))))</f>
        <v>MCB1</v>
      </c>
      <c r="K211" s="25" t="str">
        <f>IF('query (2)'!D211="","",'query (2)'!D211)</f>
        <v>MCB1</v>
      </c>
      <c r="L211" s="24" t="str">
        <f>IF($J211="UNKNOWN","",_xlfn.TEXTBEFORE($J211,{"0","1","2","3","4","5","6","7","8","9"," ","-","."},1,,,$J211))</f>
        <v>MCB</v>
      </c>
      <c r="M211" s="24" t="str">
        <f>IF('query (2)'!I211&lt;&gt;"",TRIM(UPPER('query (2)'!I211)),IF($L211="","UNKNOWN",$L211))</f>
        <v>MCB</v>
      </c>
      <c r="N211" s="24" t="str">
        <f>IF('query (2)'!I211&lt;&gt;"","SOURCE",IF($L211="","UNKNOWN","DERIVED"))</f>
        <v>SOURCE</v>
      </c>
      <c r="O211" s="24" t="str">
        <f>IF('query (2)'!E211="","NOT_SPECIFIED",TRIM(UPPER('query (2)'!E211)))</f>
        <v>ASSEMBLY</v>
      </c>
      <c r="P211" s="24" t="str">
        <f>IF('query (2)'!F211="","",TRIM(UPPER('query (2)'!F211)))</f>
        <v>1304-MC1AI</v>
      </c>
      <c r="Q211" s="24" t="str">
        <f>IF('query (2)'!G211="","UNKNOWN",IFERROR(INDEX(Cleaning_Rules!$B$38:$B$46,MATCH(TRIM(UPPER('query (2)'!G211)),Cleaning_Rules!$A$38:$A$46,0)),"UNKNOWN"))</f>
        <v>OTHER</v>
      </c>
      <c r="R211" s="24" t="str">
        <f>IF('query (2)'!H211="","",TRIM(UPPER('query (2)'!H211)))</f>
        <v>AUTO ANTIRUST MACHINE</v>
      </c>
      <c r="S211" s="25" t="str">
        <f>IF('query (2)'!H211="","",'query (2)'!H211)</f>
        <v>Auto antirust machine</v>
      </c>
      <c r="T211" s="24" t="str">
        <f>IF('query (2)'!J211="","",TRIM(UPPER('query (2)'!J211)))</f>
        <v>ANTI RUST AUTO</v>
      </c>
      <c r="U211" s="24" t="str">
        <f t="shared" si="24"/>
        <v/>
      </c>
      <c r="V211" s="24" t="str">
        <f>IF('query (2)'!K211="","NOT_SPECIFIED",IFERROR(INDEX(Cleaning_Rules!$B$32:$B$34,MATCH(TRIM(UPPER('query (2)'!K211)),Cleaning_Rules!$A$32:$A$34,0)),"UNKNOWN"))</f>
        <v>NOT_SPECIFIED</v>
      </c>
      <c r="W211" s="24" t="str">
        <f t="shared" si="25"/>
        <v>AR-1020 | FACTORY2 | MCB1 | MCB | ASSEMBLY | 1304-MC1AI | OTHER | AUTO ANTIRUST MACHINE | ANTI RUST AUTO | NOT_SPECIFIED</v>
      </c>
      <c r="X211" s="24" t="str">
        <f t="shared" si="26"/>
        <v/>
      </c>
      <c r="Y211" s="24" t="str">
        <f t="shared" si="27"/>
        <v>MISSING_STATUS; CATEGORY_NOT_USEFUL</v>
      </c>
    </row>
    <row r="212" spans="1:25" x14ac:dyDescent="0.3">
      <c r="A212" s="24" t="str">
        <f t="shared" si="21"/>
        <v>GR-424#0211</v>
      </c>
      <c r="B212" s="24" t="str">
        <f>IF('query (2)'!B212="","",TRIM(UPPER('query (2)'!B212)))</f>
        <v>GR-424</v>
      </c>
      <c r="C212" s="25" t="str">
        <f>IF('query (2)'!B212="","",'query (2)'!B212)</f>
        <v>GR-424</v>
      </c>
      <c r="D212" s="24" t="str">
        <f t="shared" si="22"/>
        <v>GR</v>
      </c>
      <c r="E212" s="24">
        <f t="shared" si="23"/>
        <v>1</v>
      </c>
      <c r="F212" s="24">
        <f>IF('query (2)'!A212="","",IFERROR(VALUE('query (2)'!A212),""))</f>
        <v>230</v>
      </c>
      <c r="G212" s="24" t="str">
        <f>IF('query (2)'!C212="","UNKNOWN",IFERROR(INDEX(Cleaning_Rules!$B$15:$B$20,MATCH(TRIM(UPPER('query (2)'!C212)),Cleaning_Rules!$A$15:$A$20,0)),"UNKNOWN"))</f>
        <v>FACTORY2</v>
      </c>
      <c r="H212" s="25" t="str">
        <f>IF('query (2)'!C212="","",'query (2)'!C212)</f>
        <v>FACTORY2</v>
      </c>
      <c r="I212" s="24" t="str" cm="1">
        <f t="array" ref="I212">_xlfn.IFS($G212="UNKNOWN","UNKNOWN",OR($G212="FACTORY1",$G212="FACTORY2",$G212="FACTORY3"),"PLANT",TRUE,"SHARED")</f>
        <v>PLANT</v>
      </c>
      <c r="J212" s="24" t="str">
        <f>IF('query (2)'!D212="","UNKNOWN",IF(COUNTIF(Cleaning_Rules!$A$6:$A$11,TRIM('query (2)'!D212))&gt;0,"UNKNOWN",IFERROR(INDEX(Cleaning_Rules!$B$24:$B$28,MATCH(TRIM(UPPER('query (2)'!D212)),Cleaning_Rules!$A$24:$A$28,0)),TRIM(UPPER('query (2)'!D212)))))</f>
        <v>MCB2</v>
      </c>
      <c r="K212" s="25" t="str">
        <f>IF('query (2)'!D212="","",'query (2)'!D212)</f>
        <v>MCB2</v>
      </c>
      <c r="L212" s="24" t="str">
        <f>IF($J212="UNKNOWN","",_xlfn.TEXTBEFORE($J212,{"0","1","2","3","4","5","6","7","8","9"," ","-","."},1,,,$J212))</f>
        <v>MCB</v>
      </c>
      <c r="M212" s="24" t="str">
        <f>IF('query (2)'!I212&lt;&gt;"",TRIM(UPPER('query (2)'!I212)),IF($L212="","UNKNOWN",$L212))</f>
        <v>MCB</v>
      </c>
      <c r="N212" s="24" t="str">
        <f>IF('query (2)'!I212&lt;&gt;"","SOURCE",IF($L212="","UNKNOWN","DERIVED"))</f>
        <v>SOURCE</v>
      </c>
      <c r="O212" s="24" t="str">
        <f>IF('query (2)'!E212="","NOT_SPECIFIED",TRIM(UPPER('query (2)'!E212)))</f>
        <v>GRINDING 2</v>
      </c>
      <c r="P212" s="24" t="str">
        <f>IF('query (2)'!F212="","",TRIM(UPPER('query (2)'!F212)))</f>
        <v>1306-MC2G</v>
      </c>
      <c r="Q212" s="24" t="str">
        <f>IF('query (2)'!G212="","UNKNOWN",IFERROR(INDEX(Cleaning_Rules!$B$38:$B$46,MATCH(TRIM(UPPER('query (2)'!G212)),Cleaning_Rules!$A$38:$A$46,0)),"UNKNOWN"))</f>
        <v>OTHER</v>
      </c>
      <c r="R212" s="24" t="str">
        <f>IF('query (2)'!H212="","",TRIM(UPPER('query (2)'!H212)))</f>
        <v>INNER RING RACEWAY GRINDING MACHINE.</v>
      </c>
      <c r="S212" s="25" t="str">
        <f>IF('query (2)'!H212="","",'query (2)'!H212)</f>
        <v>Inner ring raceway grinding machine.</v>
      </c>
      <c r="T212" s="24" t="str">
        <f>IF('query (2)'!J212="","",TRIM(UPPER('query (2)'!J212)))</f>
        <v>B - RACEWAY GRINDING</v>
      </c>
      <c r="U212" s="24" t="str">
        <f t="shared" si="24"/>
        <v/>
      </c>
      <c r="V212" s="24" t="str">
        <f>IF('query (2)'!K212="","NOT_SPECIFIED",IFERROR(INDEX(Cleaning_Rules!$B$32:$B$34,MATCH(TRIM(UPPER('query (2)'!K212)),Cleaning_Rules!$A$32:$A$34,0)),"UNKNOWN"))</f>
        <v>NOT_SPECIFIED</v>
      </c>
      <c r="W212" s="24" t="str">
        <f t="shared" si="25"/>
        <v>GR-424 | FACTORY2 | MCB2 | MCB | GRINDING 2 | 1306-MC2G | OTHER | INNER RING RACEWAY GRINDING MACHINE. | B - RACEWAY GRINDING | NOT_SPECIFIED</v>
      </c>
      <c r="X212" s="24" t="str">
        <f t="shared" si="26"/>
        <v/>
      </c>
      <c r="Y212" s="24" t="str">
        <f t="shared" si="27"/>
        <v>MISSING_STATUS; CATEGORY_NOT_USEFUL</v>
      </c>
    </row>
    <row r="213" spans="1:25" x14ac:dyDescent="0.3">
      <c r="A213" s="24" t="str">
        <f t="shared" si="21"/>
        <v>GR-926#0212</v>
      </c>
      <c r="B213" s="24" t="str">
        <f>IF('query (2)'!B213="","",TRIM(UPPER('query (2)'!B213)))</f>
        <v>GR-926</v>
      </c>
      <c r="C213" s="25" t="str">
        <f>IF('query (2)'!B213="","",'query (2)'!B213)</f>
        <v>GR-926</v>
      </c>
      <c r="D213" s="24" t="str">
        <f t="shared" si="22"/>
        <v>GR</v>
      </c>
      <c r="E213" s="24">
        <f t="shared" si="23"/>
        <v>1</v>
      </c>
      <c r="F213" s="24">
        <f>IF('query (2)'!A213="","",IFERROR(VALUE('query (2)'!A213),""))</f>
        <v>231</v>
      </c>
      <c r="G213" s="24" t="str">
        <f>IF('query (2)'!C213="","UNKNOWN",IFERROR(INDEX(Cleaning_Rules!$B$15:$B$20,MATCH(TRIM(UPPER('query (2)'!C213)),Cleaning_Rules!$A$15:$A$20,0)),"UNKNOWN"))</f>
        <v>FACTORY2</v>
      </c>
      <c r="H213" s="25" t="str">
        <f>IF('query (2)'!C213="","",'query (2)'!C213)</f>
        <v>FACTORY2</v>
      </c>
      <c r="I213" s="24" t="str" cm="1">
        <f t="array" ref="I213">_xlfn.IFS($G213="UNKNOWN","UNKNOWN",OR($G213="FACTORY1",$G213="FACTORY2",$G213="FACTORY3"),"PLANT",TRUE,"SHARED")</f>
        <v>PLANT</v>
      </c>
      <c r="J213" s="24" t="str">
        <f>IF('query (2)'!D213="","UNKNOWN",IF(COUNTIF(Cleaning_Rules!$A$6:$A$11,TRIM('query (2)'!D213))&gt;0,"UNKNOWN",IFERROR(INDEX(Cleaning_Rules!$B$24:$B$28,MATCH(TRIM(UPPER('query (2)'!D213)),Cleaning_Rules!$A$24:$A$28,0)),TRIM(UPPER('query (2)'!D213)))))</f>
        <v>MCB2</v>
      </c>
      <c r="K213" s="25" t="str">
        <f>IF('query (2)'!D213="","",'query (2)'!D213)</f>
        <v>MCB2</v>
      </c>
      <c r="L213" s="24" t="str">
        <f>IF($J213="UNKNOWN","",_xlfn.TEXTBEFORE($J213,{"0","1","2","3","4","5","6","7","8","9"," ","-","."},1,,,$J213))</f>
        <v>MCB</v>
      </c>
      <c r="M213" s="24" t="str">
        <f>IF('query (2)'!I213&lt;&gt;"",TRIM(UPPER('query (2)'!I213)),IF($L213="","UNKNOWN",$L213))</f>
        <v>MCB</v>
      </c>
      <c r="N213" s="24" t="str">
        <f>IF('query (2)'!I213&lt;&gt;"","SOURCE",IF($L213="","UNKNOWN","DERIVED"))</f>
        <v>SOURCE</v>
      </c>
      <c r="O213" s="24" t="str">
        <f>IF('query (2)'!E213="","NOT_SPECIFIED",TRIM(UPPER('query (2)'!E213)))</f>
        <v>GRINDING 2</v>
      </c>
      <c r="P213" s="24" t="str">
        <f>IF('query (2)'!F213="","",TRIM(UPPER('query (2)'!F213)))</f>
        <v>1306-MC2G</v>
      </c>
      <c r="Q213" s="24" t="str">
        <f>IF('query (2)'!G213="","UNKNOWN",IFERROR(INDEX(Cleaning_Rules!$B$38:$B$46,MATCH(TRIM(UPPER('query (2)'!G213)),Cleaning_Rules!$A$38:$A$46,0)),"UNKNOWN"))</f>
        <v>OTHER</v>
      </c>
      <c r="R213" s="24" t="str">
        <f>IF('query (2)'!H213="","",TRIM(UPPER('query (2)'!H213)))</f>
        <v>INNER RING BORE GRINDING MACHINE. (GR-426)</v>
      </c>
      <c r="S213" s="25" t="str">
        <f>IF('query (2)'!H213="","",'query (2)'!H213)</f>
        <v>Inner ring bore grinding machine.  (GR-426)</v>
      </c>
      <c r="T213" s="24" t="str">
        <f>IF('query (2)'!J213="","",TRIM(UPPER('query (2)'!J213)))</f>
        <v>B - BORE GRINDING</v>
      </c>
      <c r="U213" s="24" t="str">
        <f t="shared" si="24"/>
        <v>GR-426</v>
      </c>
      <c r="V213" s="24" t="str">
        <f>IF('query (2)'!K213="","NOT_SPECIFIED",IFERROR(INDEX(Cleaning_Rules!$B$32:$B$34,MATCH(TRIM(UPPER('query (2)'!K213)),Cleaning_Rules!$A$32:$A$34,0)),"UNKNOWN"))</f>
        <v>NOT_SPECIFIED</v>
      </c>
      <c r="W213" s="24" t="str">
        <f t="shared" si="25"/>
        <v>GR-926 | FACTORY2 | MCB2 | MCB | GRINDING 2 | 1306-MC2G | OTHER | INNER RING BORE GRINDING MACHINE. (GR-426) | B - BORE GRINDING | NOT_SPECIFIED</v>
      </c>
      <c r="X213" s="24" t="str">
        <f t="shared" si="26"/>
        <v/>
      </c>
      <c r="Y213" s="24" t="str">
        <f t="shared" si="27"/>
        <v>MISSING_STATUS; CATEGORY_NOT_USEFUL</v>
      </c>
    </row>
    <row r="214" spans="1:25" x14ac:dyDescent="0.3">
      <c r="A214" s="24" t="str">
        <f t="shared" si="21"/>
        <v>DE-427#0213</v>
      </c>
      <c r="B214" s="24" t="str">
        <f>IF('query (2)'!B214="","",TRIM(UPPER('query (2)'!B214)))</f>
        <v>DE-427</v>
      </c>
      <c r="C214" s="25" t="str">
        <f>IF('query (2)'!B214="","",'query (2)'!B214)</f>
        <v>DE-427</v>
      </c>
      <c r="D214" s="24" t="str">
        <f t="shared" si="22"/>
        <v>DE</v>
      </c>
      <c r="E214" s="24">
        <f t="shared" si="23"/>
        <v>1</v>
      </c>
      <c r="F214" s="24">
        <f>IF('query (2)'!A214="","",IFERROR(VALUE('query (2)'!A214),""))</f>
        <v>232</v>
      </c>
      <c r="G214" s="24" t="str">
        <f>IF('query (2)'!C214="","UNKNOWN",IFERROR(INDEX(Cleaning_Rules!$B$15:$B$20,MATCH(TRIM(UPPER('query (2)'!C214)),Cleaning_Rules!$A$15:$A$20,0)),"UNKNOWN"))</f>
        <v>FACTORY2</v>
      </c>
      <c r="H214" s="25" t="str">
        <f>IF('query (2)'!C214="","",'query (2)'!C214)</f>
        <v>FACTORY2</v>
      </c>
      <c r="I214" s="24" t="str" cm="1">
        <f t="array" ref="I214">_xlfn.IFS($G214="UNKNOWN","UNKNOWN",OR($G214="FACTORY1",$G214="FACTORY2",$G214="FACTORY3"),"PLANT",TRUE,"SHARED")</f>
        <v>PLANT</v>
      </c>
      <c r="J214" s="24" t="str">
        <f>IF('query (2)'!D214="","UNKNOWN",IF(COUNTIF(Cleaning_Rules!$A$6:$A$11,TRIM('query (2)'!D214))&gt;0,"UNKNOWN",IFERROR(INDEX(Cleaning_Rules!$B$24:$B$28,MATCH(TRIM(UPPER('query (2)'!D214)),Cleaning_Rules!$A$24:$A$28,0)),TRIM(UPPER('query (2)'!D214)))))</f>
        <v>MCB2</v>
      </c>
      <c r="K214" s="25" t="str">
        <f>IF('query (2)'!D214="","",'query (2)'!D214)</f>
        <v>MCB2</v>
      </c>
      <c r="L214" s="24" t="str">
        <f>IF($J214="UNKNOWN","",_xlfn.TEXTBEFORE($J214,{"0","1","2","3","4","5","6","7","8","9"," ","-","."},1,,,$J214))</f>
        <v>MCB</v>
      </c>
      <c r="M214" s="24" t="str">
        <f>IF('query (2)'!I214&lt;&gt;"",TRIM(UPPER('query (2)'!I214)),IF($L214="","UNKNOWN",$L214))</f>
        <v>MCB</v>
      </c>
      <c r="N214" s="24" t="str">
        <f>IF('query (2)'!I214&lt;&gt;"","SOURCE",IF($L214="","UNKNOWN","DERIVED"))</f>
        <v>SOURCE</v>
      </c>
      <c r="O214" s="24" t="str">
        <f>IF('query (2)'!E214="","NOT_SPECIFIED",TRIM(UPPER('query (2)'!E214)))</f>
        <v>GRINDING 2</v>
      </c>
      <c r="P214" s="24" t="str">
        <f>IF('query (2)'!F214="","",TRIM(UPPER('query (2)'!F214)))</f>
        <v>1306-MC2G</v>
      </c>
      <c r="Q214" s="24" t="str">
        <f>IF('query (2)'!G214="","UNKNOWN",IFERROR(INDEX(Cleaning_Rules!$B$38:$B$46,MATCH(TRIM(UPPER('query (2)'!G214)),Cleaning_Rules!$A$38:$A$46,0)),"UNKNOWN"))</f>
        <v>OTHER</v>
      </c>
      <c r="R214" s="24" t="str">
        <f>IF('query (2)'!H214="","",TRIM(UPPER('query (2)'!H214)))</f>
        <v>DEMAGNETIZING FOR INNER RING MACHINE.</v>
      </c>
      <c r="S214" s="25" t="str">
        <f>IF('query (2)'!H214="","",'query (2)'!H214)</f>
        <v>Demagnetizing for  inner  ring  machine.</v>
      </c>
      <c r="T214" s="24" t="str">
        <f>IF('query (2)'!J214="","",TRIM(UPPER('query (2)'!J214)))</f>
        <v>B - DEMAGNETIZING</v>
      </c>
      <c r="U214" s="24" t="str">
        <f t="shared" si="24"/>
        <v/>
      </c>
      <c r="V214" s="24" t="str">
        <f>IF('query (2)'!K214="","NOT_SPECIFIED",IFERROR(INDEX(Cleaning_Rules!$B$32:$B$34,MATCH(TRIM(UPPER('query (2)'!K214)),Cleaning_Rules!$A$32:$A$34,0)),"UNKNOWN"))</f>
        <v>NOT_SPECIFIED</v>
      </c>
      <c r="W214" s="24" t="str">
        <f t="shared" si="25"/>
        <v>DE-427 | FACTORY2 | MCB2 | MCB | GRINDING 2 | 1306-MC2G | OTHER | DEMAGNETIZING FOR INNER RING MACHINE. | B - DEMAGNETIZING | NOT_SPECIFIED</v>
      </c>
      <c r="X214" s="24" t="str">
        <f t="shared" si="26"/>
        <v/>
      </c>
      <c r="Y214" s="24" t="str">
        <f t="shared" si="27"/>
        <v>MISSING_STATUS; CATEGORY_NOT_USEFUL</v>
      </c>
    </row>
    <row r="215" spans="1:25" x14ac:dyDescent="0.3">
      <c r="A215" s="24" t="str">
        <f t="shared" si="21"/>
        <v>GR-428#0214</v>
      </c>
      <c r="B215" s="24" t="str">
        <f>IF('query (2)'!B215="","",TRIM(UPPER('query (2)'!B215)))</f>
        <v>GR-428</v>
      </c>
      <c r="C215" s="25" t="str">
        <f>IF('query (2)'!B215="","",'query (2)'!B215)</f>
        <v>GR-428</v>
      </c>
      <c r="D215" s="24" t="str">
        <f t="shared" si="22"/>
        <v>GR</v>
      </c>
      <c r="E215" s="24">
        <f t="shared" si="23"/>
        <v>1</v>
      </c>
      <c r="F215" s="24">
        <f>IF('query (2)'!A215="","",IFERROR(VALUE('query (2)'!A215),""))</f>
        <v>233</v>
      </c>
      <c r="G215" s="24" t="str">
        <f>IF('query (2)'!C215="","UNKNOWN",IFERROR(INDEX(Cleaning_Rules!$B$15:$B$20,MATCH(TRIM(UPPER('query (2)'!C215)),Cleaning_Rules!$A$15:$A$20,0)),"UNKNOWN"))</f>
        <v>FACTORY2</v>
      </c>
      <c r="H215" s="25" t="str">
        <f>IF('query (2)'!C215="","",'query (2)'!C215)</f>
        <v>FACTORY2</v>
      </c>
      <c r="I215" s="24" t="str" cm="1">
        <f t="array" ref="I215">_xlfn.IFS($G215="UNKNOWN","UNKNOWN",OR($G215="FACTORY1",$G215="FACTORY2",$G215="FACTORY3"),"PLANT",TRUE,"SHARED")</f>
        <v>PLANT</v>
      </c>
      <c r="J215" s="24" t="str">
        <f>IF('query (2)'!D215="","UNKNOWN",IF(COUNTIF(Cleaning_Rules!$A$6:$A$11,TRIM('query (2)'!D215))&gt;0,"UNKNOWN",IFERROR(INDEX(Cleaning_Rules!$B$24:$B$28,MATCH(TRIM(UPPER('query (2)'!D215)),Cleaning_Rules!$A$24:$A$28,0)),TRIM(UPPER('query (2)'!D215)))))</f>
        <v>MCB2</v>
      </c>
      <c r="K215" s="25" t="str">
        <f>IF('query (2)'!D215="","",'query (2)'!D215)</f>
        <v>MCB2</v>
      </c>
      <c r="L215" s="24" t="str">
        <f>IF($J215="UNKNOWN","",_xlfn.TEXTBEFORE($J215,{"0","1","2","3","4","5","6","7","8","9"," ","-","."},1,,,$J215))</f>
        <v>MCB</v>
      </c>
      <c r="M215" s="24" t="str">
        <f>IF('query (2)'!I215&lt;&gt;"",TRIM(UPPER('query (2)'!I215)),IF($L215="","UNKNOWN",$L215))</f>
        <v>MCB</v>
      </c>
      <c r="N215" s="24" t="str">
        <f>IF('query (2)'!I215&lt;&gt;"","SOURCE",IF($L215="","UNKNOWN","DERIVED"))</f>
        <v>SOURCE</v>
      </c>
      <c r="O215" s="24" t="str">
        <f>IF('query (2)'!E215="","NOT_SPECIFIED",TRIM(UPPER('query (2)'!E215)))</f>
        <v>GRINDING 2</v>
      </c>
      <c r="P215" s="24" t="str">
        <f>IF('query (2)'!F215="","",TRIM(UPPER('query (2)'!F215)))</f>
        <v>1306-MC2G</v>
      </c>
      <c r="Q215" s="24" t="str">
        <f>IF('query (2)'!G215="","UNKNOWN",IFERROR(INDEX(Cleaning_Rules!$B$38:$B$46,MATCH(TRIM(UPPER('query (2)'!G215)),Cleaning_Rules!$A$38:$A$46,0)),"UNKNOWN"))</f>
        <v>OTHER</v>
      </c>
      <c r="R215" s="24" t="str">
        <f>IF('query (2)'!H215="","",TRIM(UPPER('query (2)'!H215)))</f>
        <v>INNER RING RACEWAY SUPER FINISH MACHINE.</v>
      </c>
      <c r="S215" s="25" t="str">
        <f>IF('query (2)'!H215="","",'query (2)'!H215)</f>
        <v>Inner ring raceway super finish machine.</v>
      </c>
      <c r="T215" s="24" t="str">
        <f>IF('query (2)'!J215="","",TRIM(UPPER('query (2)'!J215)))</f>
        <v>B - RACEWAY SUPER FINISH</v>
      </c>
      <c r="U215" s="24" t="str">
        <f t="shared" si="24"/>
        <v/>
      </c>
      <c r="V215" s="24" t="str">
        <f>IF('query (2)'!K215="","NOT_SPECIFIED",IFERROR(INDEX(Cleaning_Rules!$B$32:$B$34,MATCH(TRIM(UPPER('query (2)'!K215)),Cleaning_Rules!$A$32:$A$34,0)),"UNKNOWN"))</f>
        <v>NOT_SPECIFIED</v>
      </c>
      <c r="W215" s="24" t="str">
        <f t="shared" si="25"/>
        <v>GR-428 | FACTORY2 | MCB2 | MCB | GRINDING 2 | 1306-MC2G | OTHER | INNER RING RACEWAY SUPER FINISH MACHINE. | B - RACEWAY SUPER FINISH | NOT_SPECIFIED</v>
      </c>
      <c r="X215" s="24" t="str">
        <f t="shared" si="26"/>
        <v/>
      </c>
      <c r="Y215" s="24" t="str">
        <f t="shared" si="27"/>
        <v>MISSING_STATUS; CATEGORY_NOT_USEFUL</v>
      </c>
    </row>
    <row r="216" spans="1:25" x14ac:dyDescent="0.3">
      <c r="A216" s="24" t="str">
        <f t="shared" si="21"/>
        <v>GR-431#0215</v>
      </c>
      <c r="B216" s="24" t="str">
        <f>IF('query (2)'!B216="","",TRIM(UPPER('query (2)'!B216)))</f>
        <v>GR-431</v>
      </c>
      <c r="C216" s="25" t="str">
        <f>IF('query (2)'!B216="","",'query (2)'!B216)</f>
        <v>GR-431</v>
      </c>
      <c r="D216" s="24" t="str">
        <f t="shared" si="22"/>
        <v>GR</v>
      </c>
      <c r="E216" s="24">
        <f t="shared" si="23"/>
        <v>1</v>
      </c>
      <c r="F216" s="24">
        <f>IF('query (2)'!A216="","",IFERROR(VALUE('query (2)'!A216),""))</f>
        <v>234</v>
      </c>
      <c r="G216" s="24" t="str">
        <f>IF('query (2)'!C216="","UNKNOWN",IFERROR(INDEX(Cleaning_Rules!$B$15:$B$20,MATCH(TRIM(UPPER('query (2)'!C216)),Cleaning_Rules!$A$15:$A$20,0)),"UNKNOWN"))</f>
        <v>FACTORY2</v>
      </c>
      <c r="H216" s="25" t="str">
        <f>IF('query (2)'!C216="","",'query (2)'!C216)</f>
        <v>FACTORY2</v>
      </c>
      <c r="I216" s="24" t="str" cm="1">
        <f t="array" ref="I216">_xlfn.IFS($G216="UNKNOWN","UNKNOWN",OR($G216="FACTORY1",$G216="FACTORY2",$G216="FACTORY3"),"PLANT",TRUE,"SHARED")</f>
        <v>PLANT</v>
      </c>
      <c r="J216" s="24" t="str">
        <f>IF('query (2)'!D216="","UNKNOWN",IF(COUNTIF(Cleaning_Rules!$A$6:$A$11,TRIM('query (2)'!D216))&gt;0,"UNKNOWN",IFERROR(INDEX(Cleaning_Rules!$B$24:$B$28,MATCH(TRIM(UPPER('query (2)'!D216)),Cleaning_Rules!$A$24:$A$28,0)),TRIM(UPPER('query (2)'!D216)))))</f>
        <v>MCB2</v>
      </c>
      <c r="K216" s="25" t="str">
        <f>IF('query (2)'!D216="","",'query (2)'!D216)</f>
        <v>MCB2</v>
      </c>
      <c r="L216" s="24" t="str">
        <f>IF($J216="UNKNOWN","",_xlfn.TEXTBEFORE($J216,{"0","1","2","3","4","5","6","7","8","9"," ","-","."},1,,,$J216))</f>
        <v>MCB</v>
      </c>
      <c r="M216" s="24" t="str">
        <f>IF('query (2)'!I216&lt;&gt;"",TRIM(UPPER('query (2)'!I216)),IF($L216="","UNKNOWN",$L216))</f>
        <v>MCB</v>
      </c>
      <c r="N216" s="24" t="str">
        <f>IF('query (2)'!I216&lt;&gt;"","SOURCE",IF($L216="","UNKNOWN","DERIVED"))</f>
        <v>SOURCE</v>
      </c>
      <c r="O216" s="24" t="str">
        <f>IF('query (2)'!E216="","NOT_SPECIFIED",TRIM(UPPER('query (2)'!E216)))</f>
        <v>GRINDING 2</v>
      </c>
      <c r="P216" s="24" t="str">
        <f>IF('query (2)'!F216="","",TRIM(UPPER('query (2)'!F216)))</f>
        <v>1306-MC2G</v>
      </c>
      <c r="Q216" s="24" t="str">
        <f>IF('query (2)'!G216="","UNKNOWN",IFERROR(INDEX(Cleaning_Rules!$B$38:$B$46,MATCH(TRIM(UPPER('query (2)'!G216)),Cleaning_Rules!$A$38:$A$46,0)),"UNKNOWN"))</f>
        <v>OTHER</v>
      </c>
      <c r="R216" s="24" t="str">
        <f>IF('query (2)'!H216="","",TRIM(UPPER('query (2)'!H216)))</f>
        <v>OUTER RING RACEWAY GRINDING MACHINE.</v>
      </c>
      <c r="S216" s="25" t="str">
        <f>IF('query (2)'!H216="","",'query (2)'!H216)</f>
        <v>Outer ring raceway grinding machine.</v>
      </c>
      <c r="T216" s="24" t="str">
        <f>IF('query (2)'!J216="","",TRIM(UPPER('query (2)'!J216)))</f>
        <v>A - RACEWAY GRINDING</v>
      </c>
      <c r="U216" s="24" t="str">
        <f t="shared" si="24"/>
        <v/>
      </c>
      <c r="V216" s="24" t="str">
        <f>IF('query (2)'!K216="","NOT_SPECIFIED",IFERROR(INDEX(Cleaning_Rules!$B$32:$B$34,MATCH(TRIM(UPPER('query (2)'!K216)),Cleaning_Rules!$A$32:$A$34,0)),"UNKNOWN"))</f>
        <v>NOT_SPECIFIED</v>
      </c>
      <c r="W216" s="24" t="str">
        <f t="shared" si="25"/>
        <v>GR-431 | FACTORY2 | MCB2 | MCB | GRINDING 2 | 1306-MC2G | OTHER | OUTER RING RACEWAY GRINDING MACHINE. | A - RACEWAY GRINDING | NOT_SPECIFIED</v>
      </c>
      <c r="X216" s="24" t="str">
        <f t="shared" si="26"/>
        <v/>
      </c>
      <c r="Y216" s="24" t="str">
        <f t="shared" si="27"/>
        <v>MISSING_STATUS; CATEGORY_NOT_USEFUL</v>
      </c>
    </row>
    <row r="217" spans="1:25" x14ac:dyDescent="0.3">
      <c r="A217" s="24" t="str">
        <f t="shared" si="21"/>
        <v>DE-433#0216</v>
      </c>
      <c r="B217" s="24" t="str">
        <f>IF('query (2)'!B217="","",TRIM(UPPER('query (2)'!B217)))</f>
        <v>DE-433</v>
      </c>
      <c r="C217" s="25" t="str">
        <f>IF('query (2)'!B217="","",'query (2)'!B217)</f>
        <v>DE-433</v>
      </c>
      <c r="D217" s="24" t="str">
        <f t="shared" si="22"/>
        <v>DE</v>
      </c>
      <c r="E217" s="24">
        <f t="shared" si="23"/>
        <v>1</v>
      </c>
      <c r="F217" s="24">
        <f>IF('query (2)'!A217="","",IFERROR(VALUE('query (2)'!A217),""))</f>
        <v>235</v>
      </c>
      <c r="G217" s="24" t="str">
        <f>IF('query (2)'!C217="","UNKNOWN",IFERROR(INDEX(Cleaning_Rules!$B$15:$B$20,MATCH(TRIM(UPPER('query (2)'!C217)),Cleaning_Rules!$A$15:$A$20,0)),"UNKNOWN"))</f>
        <v>FACTORY2</v>
      </c>
      <c r="H217" s="25" t="str">
        <f>IF('query (2)'!C217="","",'query (2)'!C217)</f>
        <v>FACTORY2</v>
      </c>
      <c r="I217" s="24" t="str" cm="1">
        <f t="array" ref="I217">_xlfn.IFS($G217="UNKNOWN","UNKNOWN",OR($G217="FACTORY1",$G217="FACTORY2",$G217="FACTORY3"),"PLANT",TRUE,"SHARED")</f>
        <v>PLANT</v>
      </c>
      <c r="J217" s="24" t="str">
        <f>IF('query (2)'!D217="","UNKNOWN",IF(COUNTIF(Cleaning_Rules!$A$6:$A$11,TRIM('query (2)'!D217))&gt;0,"UNKNOWN",IFERROR(INDEX(Cleaning_Rules!$B$24:$B$28,MATCH(TRIM(UPPER('query (2)'!D217)),Cleaning_Rules!$A$24:$A$28,0)),TRIM(UPPER('query (2)'!D217)))))</f>
        <v>MCB2</v>
      </c>
      <c r="K217" s="25" t="str">
        <f>IF('query (2)'!D217="","",'query (2)'!D217)</f>
        <v>MCB2</v>
      </c>
      <c r="L217" s="24" t="str">
        <f>IF($J217="UNKNOWN","",_xlfn.TEXTBEFORE($J217,{"0","1","2","3","4","5","6","7","8","9"," ","-","."},1,,,$J217))</f>
        <v>MCB</v>
      </c>
      <c r="M217" s="24" t="str">
        <f>IF('query (2)'!I217&lt;&gt;"",TRIM(UPPER('query (2)'!I217)),IF($L217="","UNKNOWN",$L217))</f>
        <v>MCB</v>
      </c>
      <c r="N217" s="24" t="str">
        <f>IF('query (2)'!I217&lt;&gt;"","SOURCE",IF($L217="","UNKNOWN","DERIVED"))</f>
        <v>SOURCE</v>
      </c>
      <c r="O217" s="24" t="str">
        <f>IF('query (2)'!E217="","NOT_SPECIFIED",TRIM(UPPER('query (2)'!E217)))</f>
        <v>GRINDING 2</v>
      </c>
      <c r="P217" s="24" t="str">
        <f>IF('query (2)'!F217="","",TRIM(UPPER('query (2)'!F217)))</f>
        <v>1306-MC2G</v>
      </c>
      <c r="Q217" s="24" t="str">
        <f>IF('query (2)'!G217="","UNKNOWN",IFERROR(INDEX(Cleaning_Rules!$B$38:$B$46,MATCH(TRIM(UPPER('query (2)'!G217)),Cleaning_Rules!$A$38:$A$46,0)),"UNKNOWN"))</f>
        <v>OTHER</v>
      </c>
      <c r="R217" s="24" t="str">
        <f>IF('query (2)'!H217="","",TRIM(UPPER('query (2)'!H217)))</f>
        <v>DEMAGNETIZING FOR OUTER RING MACHINE.</v>
      </c>
      <c r="S217" s="25" t="str">
        <f>IF('query (2)'!H217="","",'query (2)'!H217)</f>
        <v>Demagnetizing  for  outer  ring  machine.</v>
      </c>
      <c r="T217" s="24" t="str">
        <f>IF('query (2)'!J217="","",TRIM(UPPER('query (2)'!J217)))</f>
        <v>A - DEMAGNETIZING</v>
      </c>
      <c r="U217" s="24" t="str">
        <f t="shared" si="24"/>
        <v/>
      </c>
      <c r="V217" s="24" t="str">
        <f>IF('query (2)'!K217="","NOT_SPECIFIED",IFERROR(INDEX(Cleaning_Rules!$B$32:$B$34,MATCH(TRIM(UPPER('query (2)'!K217)),Cleaning_Rules!$A$32:$A$34,0)),"UNKNOWN"))</f>
        <v>NOT_SPECIFIED</v>
      </c>
      <c r="W217" s="24" t="str">
        <f t="shared" si="25"/>
        <v>DE-433 | FACTORY2 | MCB2 | MCB | GRINDING 2 | 1306-MC2G | OTHER | DEMAGNETIZING FOR OUTER RING MACHINE. | A - DEMAGNETIZING | NOT_SPECIFIED</v>
      </c>
      <c r="X217" s="24" t="str">
        <f t="shared" si="26"/>
        <v/>
      </c>
      <c r="Y217" s="24" t="str">
        <f t="shared" si="27"/>
        <v>MISSING_STATUS; CATEGORY_NOT_USEFUL</v>
      </c>
    </row>
    <row r="218" spans="1:25" x14ac:dyDescent="0.3">
      <c r="A218" s="24" t="str">
        <f t="shared" si="21"/>
        <v>GR-434#0217</v>
      </c>
      <c r="B218" s="24" t="str">
        <f>IF('query (2)'!B218="","",TRIM(UPPER('query (2)'!B218)))</f>
        <v>GR-434</v>
      </c>
      <c r="C218" s="25" t="str">
        <f>IF('query (2)'!B218="","",'query (2)'!B218)</f>
        <v>GR-434</v>
      </c>
      <c r="D218" s="24" t="str">
        <f t="shared" si="22"/>
        <v>GR</v>
      </c>
      <c r="E218" s="24">
        <f t="shared" si="23"/>
        <v>1</v>
      </c>
      <c r="F218" s="24">
        <f>IF('query (2)'!A218="","",IFERROR(VALUE('query (2)'!A218),""))</f>
        <v>236</v>
      </c>
      <c r="G218" s="24" t="str">
        <f>IF('query (2)'!C218="","UNKNOWN",IFERROR(INDEX(Cleaning_Rules!$B$15:$B$20,MATCH(TRIM(UPPER('query (2)'!C218)),Cleaning_Rules!$A$15:$A$20,0)),"UNKNOWN"))</f>
        <v>FACTORY2</v>
      </c>
      <c r="H218" s="25" t="str">
        <f>IF('query (2)'!C218="","",'query (2)'!C218)</f>
        <v>FACTORY2</v>
      </c>
      <c r="I218" s="24" t="str" cm="1">
        <f t="array" ref="I218">_xlfn.IFS($G218="UNKNOWN","UNKNOWN",OR($G218="FACTORY1",$G218="FACTORY2",$G218="FACTORY3"),"PLANT",TRUE,"SHARED")</f>
        <v>PLANT</v>
      </c>
      <c r="J218" s="24" t="str">
        <f>IF('query (2)'!D218="","UNKNOWN",IF(COUNTIF(Cleaning_Rules!$A$6:$A$11,TRIM('query (2)'!D218))&gt;0,"UNKNOWN",IFERROR(INDEX(Cleaning_Rules!$B$24:$B$28,MATCH(TRIM(UPPER('query (2)'!D218)),Cleaning_Rules!$A$24:$A$28,0)),TRIM(UPPER('query (2)'!D218)))))</f>
        <v>MCB2</v>
      </c>
      <c r="K218" s="25" t="str">
        <f>IF('query (2)'!D218="","",'query (2)'!D218)</f>
        <v>MCB2</v>
      </c>
      <c r="L218" s="24" t="str">
        <f>IF($J218="UNKNOWN","",_xlfn.TEXTBEFORE($J218,{"0","1","2","3","4","5","6","7","8","9"," ","-","."},1,,,$J218))</f>
        <v>MCB</v>
      </c>
      <c r="M218" s="24" t="str">
        <f>IF('query (2)'!I218&lt;&gt;"",TRIM(UPPER('query (2)'!I218)),IF($L218="","UNKNOWN",$L218))</f>
        <v>MCB</v>
      </c>
      <c r="N218" s="24" t="str">
        <f>IF('query (2)'!I218&lt;&gt;"","SOURCE",IF($L218="","UNKNOWN","DERIVED"))</f>
        <v>SOURCE</v>
      </c>
      <c r="O218" s="24" t="str">
        <f>IF('query (2)'!E218="","NOT_SPECIFIED",TRIM(UPPER('query (2)'!E218)))</f>
        <v>GRINDING 2</v>
      </c>
      <c r="P218" s="24" t="str">
        <f>IF('query (2)'!F218="","",TRIM(UPPER('query (2)'!F218)))</f>
        <v>1306-MC2G</v>
      </c>
      <c r="Q218" s="24" t="str">
        <f>IF('query (2)'!G218="","UNKNOWN",IFERROR(INDEX(Cleaning_Rules!$B$38:$B$46,MATCH(TRIM(UPPER('query (2)'!G218)),Cleaning_Rules!$A$38:$A$46,0)),"UNKNOWN"))</f>
        <v>OTHER</v>
      </c>
      <c r="R218" s="24" t="str">
        <f>IF('query (2)'!H218="","",TRIM(UPPER('query (2)'!H218)))</f>
        <v>OUTER RING RACEWAY SUPER FINISH MACHINE.</v>
      </c>
      <c r="S218" s="25" t="str">
        <f>IF('query (2)'!H218="","",'query (2)'!H218)</f>
        <v>Outer ring raceway super finish machine.</v>
      </c>
      <c r="T218" s="24" t="str">
        <f>IF('query (2)'!J218="","",TRIM(UPPER('query (2)'!J218)))</f>
        <v>A - RACEWAY SUPER FINISH</v>
      </c>
      <c r="U218" s="24" t="str">
        <f t="shared" si="24"/>
        <v/>
      </c>
      <c r="V218" s="24" t="str">
        <f>IF('query (2)'!K218="","NOT_SPECIFIED",IFERROR(INDEX(Cleaning_Rules!$B$32:$B$34,MATCH(TRIM(UPPER('query (2)'!K218)),Cleaning_Rules!$A$32:$A$34,0)),"UNKNOWN"))</f>
        <v>NOT_SPECIFIED</v>
      </c>
      <c r="W218" s="24" t="str">
        <f t="shared" si="25"/>
        <v>GR-434 | FACTORY2 | MCB2 | MCB | GRINDING 2 | 1306-MC2G | OTHER | OUTER RING RACEWAY SUPER FINISH MACHINE. | A - RACEWAY SUPER FINISH | NOT_SPECIFIED</v>
      </c>
      <c r="X218" s="24" t="str">
        <f t="shared" si="26"/>
        <v/>
      </c>
      <c r="Y218" s="24" t="str">
        <f t="shared" si="27"/>
        <v>MISSING_STATUS; CATEGORY_NOT_USEFUL</v>
      </c>
    </row>
    <row r="219" spans="1:25" x14ac:dyDescent="0.3">
      <c r="A219" s="24" t="str">
        <f t="shared" si="21"/>
        <v>CH-437#0218</v>
      </c>
      <c r="B219" s="24" t="str">
        <f>IF('query (2)'!B219="","",TRIM(UPPER('query (2)'!B219)))</f>
        <v>CH-437</v>
      </c>
      <c r="C219" s="25" t="str">
        <f>IF('query (2)'!B219="","",'query (2)'!B219)</f>
        <v>CH-437</v>
      </c>
      <c r="D219" s="24" t="str">
        <f t="shared" si="22"/>
        <v>CH</v>
      </c>
      <c r="E219" s="24">
        <f t="shared" si="23"/>
        <v>1</v>
      </c>
      <c r="F219" s="24">
        <f>IF('query (2)'!A219="","",IFERROR(VALUE('query (2)'!A219),""))</f>
        <v>237</v>
      </c>
      <c r="G219" s="24" t="str">
        <f>IF('query (2)'!C219="","UNKNOWN",IFERROR(INDEX(Cleaning_Rules!$B$15:$B$20,MATCH(TRIM(UPPER('query (2)'!C219)),Cleaning_Rules!$A$15:$A$20,0)),"UNKNOWN"))</f>
        <v>FACTORY2</v>
      </c>
      <c r="H219" s="25" t="str">
        <f>IF('query (2)'!C219="","",'query (2)'!C219)</f>
        <v>FACTORY2</v>
      </c>
      <c r="I219" s="24" t="str" cm="1">
        <f t="array" ref="I219">_xlfn.IFS($G219="UNKNOWN","UNKNOWN",OR($G219="FACTORY1",$G219="FACTORY2",$G219="FACTORY3"),"PLANT",TRUE,"SHARED")</f>
        <v>PLANT</v>
      </c>
      <c r="J219" s="24" t="str">
        <f>IF('query (2)'!D219="","UNKNOWN",IF(COUNTIF(Cleaning_Rules!$A$6:$A$11,TRIM('query (2)'!D219))&gt;0,"UNKNOWN",IFERROR(INDEX(Cleaning_Rules!$B$24:$B$28,MATCH(TRIM(UPPER('query (2)'!D219)),Cleaning_Rules!$A$24:$A$28,0)),TRIM(UPPER('query (2)'!D219)))))</f>
        <v>MCB2</v>
      </c>
      <c r="K219" s="25" t="str">
        <f>IF('query (2)'!D219="","",'query (2)'!D219)</f>
        <v>MCB2</v>
      </c>
      <c r="L219" s="24" t="str">
        <f>IF($J219="UNKNOWN","",_xlfn.TEXTBEFORE($J219,{"0","1","2","3","4","5","6","7","8","9"," ","-","."},1,,,$J219))</f>
        <v>MCB</v>
      </c>
      <c r="M219" s="24" t="str">
        <f>IF('query (2)'!I219&lt;&gt;"",TRIM(UPPER('query (2)'!I219)),IF($L219="","UNKNOWN",$L219))</f>
        <v>MCB</v>
      </c>
      <c r="N219" s="24" t="str">
        <f>IF('query (2)'!I219&lt;&gt;"","SOURCE",IF($L219="","UNKNOWN","DERIVED"))</f>
        <v>SOURCE</v>
      </c>
      <c r="O219" s="24" t="str">
        <f>IF('query (2)'!E219="","NOT_SPECIFIED",TRIM(UPPER('query (2)'!E219)))</f>
        <v>ASSEMBLY</v>
      </c>
      <c r="P219" s="24" t="str">
        <f>IF('query (2)'!F219="","",TRIM(UPPER('query (2)'!F219)))</f>
        <v>1307-MC2AI</v>
      </c>
      <c r="Q219" s="24" t="str">
        <f>IF('query (2)'!G219="","UNKNOWN",IFERROR(INDEX(Cleaning_Rules!$B$38:$B$46,MATCH(TRIM(UPPER('query (2)'!G219)),Cleaning_Rules!$A$38:$A$46,0)),"UNKNOWN"))</f>
        <v>OTHER</v>
      </c>
      <c r="R219" s="24" t="str">
        <f>IF('query (2)'!H219="","",TRIM(UPPER('query (2)'!H219)))</f>
        <v>MEASURING AND ASSEMBLY MACHINE.</v>
      </c>
      <c r="S219" s="25" t="str">
        <f>IF('query (2)'!H219="","",'query (2)'!H219)</f>
        <v>Measuring and assembly machine.</v>
      </c>
      <c r="T219" s="24" t="str">
        <f>IF('query (2)'!J219="","",TRIM(UPPER('query (2)'!J219)))</f>
        <v>MATCHING</v>
      </c>
      <c r="U219" s="24" t="str">
        <f t="shared" si="24"/>
        <v/>
      </c>
      <c r="V219" s="24" t="str">
        <f>IF('query (2)'!K219="","NOT_SPECIFIED",IFERROR(INDEX(Cleaning_Rules!$B$32:$B$34,MATCH(TRIM(UPPER('query (2)'!K219)),Cleaning_Rules!$A$32:$A$34,0)),"UNKNOWN"))</f>
        <v>NOT_SPECIFIED</v>
      </c>
      <c r="W219" s="24" t="str">
        <f t="shared" si="25"/>
        <v>CH-437 | FACTORY2 | MCB2 | MCB | ASSEMBLY | 1307-MC2AI | OTHER | MEASURING AND ASSEMBLY MACHINE. | MATCHING | NOT_SPECIFIED</v>
      </c>
      <c r="X219" s="24" t="str">
        <f t="shared" si="26"/>
        <v/>
      </c>
      <c r="Y219" s="24" t="str">
        <f t="shared" si="27"/>
        <v>MISSING_STATUS; CATEGORY_NOT_USEFUL</v>
      </c>
    </row>
    <row r="220" spans="1:25" x14ac:dyDescent="0.3">
      <c r="A220" s="24" t="str">
        <f t="shared" si="21"/>
        <v>AS-438#0219</v>
      </c>
      <c r="B220" s="24" t="str">
        <f>IF('query (2)'!B220="","",TRIM(UPPER('query (2)'!B220)))</f>
        <v>AS-438</v>
      </c>
      <c r="C220" s="25" t="str">
        <f>IF('query (2)'!B220="","",'query (2)'!B220)</f>
        <v>AS-438</v>
      </c>
      <c r="D220" s="24" t="str">
        <f t="shared" si="22"/>
        <v>AS</v>
      </c>
      <c r="E220" s="24">
        <f t="shared" si="23"/>
        <v>1</v>
      </c>
      <c r="F220" s="24">
        <f>IF('query (2)'!A220="","",IFERROR(VALUE('query (2)'!A220),""))</f>
        <v>238</v>
      </c>
      <c r="G220" s="24" t="str">
        <f>IF('query (2)'!C220="","UNKNOWN",IFERROR(INDEX(Cleaning_Rules!$B$15:$B$20,MATCH(TRIM(UPPER('query (2)'!C220)),Cleaning_Rules!$A$15:$A$20,0)),"UNKNOWN"))</f>
        <v>FACTORY2</v>
      </c>
      <c r="H220" s="25" t="str">
        <f>IF('query (2)'!C220="","",'query (2)'!C220)</f>
        <v>FACTORY2</v>
      </c>
      <c r="I220" s="24" t="str" cm="1">
        <f t="array" ref="I220">_xlfn.IFS($G220="UNKNOWN","UNKNOWN",OR($G220="FACTORY1",$G220="FACTORY2",$G220="FACTORY3"),"PLANT",TRUE,"SHARED")</f>
        <v>PLANT</v>
      </c>
      <c r="J220" s="24" t="str">
        <f>IF('query (2)'!D220="","UNKNOWN",IF(COUNTIF(Cleaning_Rules!$A$6:$A$11,TRIM('query (2)'!D220))&gt;0,"UNKNOWN",IFERROR(INDEX(Cleaning_Rules!$B$24:$B$28,MATCH(TRIM(UPPER('query (2)'!D220)),Cleaning_Rules!$A$24:$A$28,0)),TRIM(UPPER('query (2)'!D220)))))</f>
        <v>MCB2</v>
      </c>
      <c r="K220" s="25" t="str">
        <f>IF('query (2)'!D220="","",'query (2)'!D220)</f>
        <v>MCB2</v>
      </c>
      <c r="L220" s="24" t="str">
        <f>IF($J220="UNKNOWN","",_xlfn.TEXTBEFORE($J220,{"0","1","2","3","4","5","6","7","8","9"," ","-","."},1,,,$J220))</f>
        <v>MCB</v>
      </c>
      <c r="M220" s="24" t="str">
        <f>IF('query (2)'!I220&lt;&gt;"",TRIM(UPPER('query (2)'!I220)),IF($L220="","UNKNOWN",$L220))</f>
        <v>MCB</v>
      </c>
      <c r="N220" s="24" t="str">
        <f>IF('query (2)'!I220&lt;&gt;"","SOURCE",IF($L220="","UNKNOWN","DERIVED"))</f>
        <v>SOURCE</v>
      </c>
      <c r="O220" s="24" t="str">
        <f>IF('query (2)'!E220="","NOT_SPECIFIED",TRIM(UPPER('query (2)'!E220)))</f>
        <v>ASSEMBLY</v>
      </c>
      <c r="P220" s="24" t="str">
        <f>IF('query (2)'!F220="","",TRIM(UPPER('query (2)'!F220)))</f>
        <v>1307-MC2AI</v>
      </c>
      <c r="Q220" s="24" t="str">
        <f>IF('query (2)'!G220="","UNKNOWN",IFERROR(INDEX(Cleaning_Rules!$B$38:$B$46,MATCH(TRIM(UPPER('query (2)'!G220)),Cleaning_Rules!$A$38:$A$46,0)),"UNKNOWN"))</f>
        <v>OTHER</v>
      </c>
      <c r="R220" s="24" t="str">
        <f>IF('query (2)'!H220="","",TRIM(UPPER('query (2)'!H220)))</f>
        <v>BALL SEPARATE &amp; CAGE ASSEMBLY MACHINE.</v>
      </c>
      <c r="S220" s="25" t="str">
        <f>IF('query (2)'!H220="","",'query (2)'!H220)</f>
        <v>Ball separate &amp; cage assembly machine.</v>
      </c>
      <c r="T220" s="24" t="str">
        <f>IF('query (2)'!J220="","",TRIM(UPPER('query (2)'!J220)))</f>
        <v>BALL SEPARATE</v>
      </c>
      <c r="U220" s="24" t="str">
        <f t="shared" si="24"/>
        <v/>
      </c>
      <c r="V220" s="24" t="str">
        <f>IF('query (2)'!K220="","NOT_SPECIFIED",IFERROR(INDEX(Cleaning_Rules!$B$32:$B$34,MATCH(TRIM(UPPER('query (2)'!K220)),Cleaning_Rules!$A$32:$A$34,0)),"UNKNOWN"))</f>
        <v>NOT_SPECIFIED</v>
      </c>
      <c r="W220" s="24" t="str">
        <f t="shared" si="25"/>
        <v>AS-438 | FACTORY2 | MCB2 | MCB | ASSEMBLY | 1307-MC2AI | OTHER | BALL SEPARATE &amp; CAGE ASSEMBLY MACHINE. | BALL SEPARATE | NOT_SPECIFIED</v>
      </c>
      <c r="X220" s="24" t="str">
        <f t="shared" si="26"/>
        <v/>
      </c>
      <c r="Y220" s="24" t="str">
        <f t="shared" si="27"/>
        <v>MISSING_STATUS; CATEGORY_NOT_USEFUL</v>
      </c>
    </row>
    <row r="221" spans="1:25" x14ac:dyDescent="0.3">
      <c r="A221" s="24" t="str">
        <f t="shared" si="21"/>
        <v>WA-440#0220</v>
      </c>
      <c r="B221" s="24" t="str">
        <f>IF('query (2)'!B221="","",TRIM(UPPER('query (2)'!B221)))</f>
        <v>WA-440</v>
      </c>
      <c r="C221" s="25" t="str">
        <f>IF('query (2)'!B221="","",'query (2)'!B221)</f>
        <v>WA-440</v>
      </c>
      <c r="D221" s="24" t="str">
        <f t="shared" si="22"/>
        <v>WA</v>
      </c>
      <c r="E221" s="24">
        <f t="shared" si="23"/>
        <v>1</v>
      </c>
      <c r="F221" s="24">
        <f>IF('query (2)'!A221="","",IFERROR(VALUE('query (2)'!A221),""))</f>
        <v>239</v>
      </c>
      <c r="G221" s="24" t="str">
        <f>IF('query (2)'!C221="","UNKNOWN",IFERROR(INDEX(Cleaning_Rules!$B$15:$B$20,MATCH(TRIM(UPPER('query (2)'!C221)),Cleaning_Rules!$A$15:$A$20,0)),"UNKNOWN"))</f>
        <v>FACTORY2</v>
      </c>
      <c r="H221" s="25" t="str">
        <f>IF('query (2)'!C221="","",'query (2)'!C221)</f>
        <v>FACTORY2</v>
      </c>
      <c r="I221" s="24" t="str" cm="1">
        <f t="array" ref="I221">_xlfn.IFS($G221="UNKNOWN","UNKNOWN",OR($G221="FACTORY1",$G221="FACTORY2",$G221="FACTORY3"),"PLANT",TRUE,"SHARED")</f>
        <v>PLANT</v>
      </c>
      <c r="J221" s="24" t="str">
        <f>IF('query (2)'!D221="","UNKNOWN",IF(COUNTIF(Cleaning_Rules!$A$6:$A$11,TRIM('query (2)'!D221))&gt;0,"UNKNOWN",IFERROR(INDEX(Cleaning_Rules!$B$24:$B$28,MATCH(TRIM(UPPER('query (2)'!D221)),Cleaning_Rules!$A$24:$A$28,0)),TRIM(UPPER('query (2)'!D221)))))</f>
        <v>MCB2</v>
      </c>
      <c r="K221" s="25" t="str">
        <f>IF('query (2)'!D221="","",'query (2)'!D221)</f>
        <v>MCB2</v>
      </c>
      <c r="L221" s="24" t="str">
        <f>IF($J221="UNKNOWN","",_xlfn.TEXTBEFORE($J221,{"0","1","2","3","4","5","6","7","8","9"," ","-","."},1,,,$J221))</f>
        <v>MCB</v>
      </c>
      <c r="M221" s="24" t="str">
        <f>IF('query (2)'!I221&lt;&gt;"",TRIM(UPPER('query (2)'!I221)),IF($L221="","UNKNOWN",$L221))</f>
        <v>MCB</v>
      </c>
      <c r="N221" s="24" t="str">
        <f>IF('query (2)'!I221&lt;&gt;"","SOURCE",IF($L221="","UNKNOWN","DERIVED"))</f>
        <v>SOURCE</v>
      </c>
      <c r="O221" s="24" t="str">
        <f>IF('query (2)'!E221="","NOT_SPECIFIED",TRIM(UPPER('query (2)'!E221)))</f>
        <v>ASSEMBLY</v>
      </c>
      <c r="P221" s="24" t="str">
        <f>IF('query (2)'!F221="","",TRIM(UPPER('query (2)'!F221)))</f>
        <v>1307-MC2AI</v>
      </c>
      <c r="Q221" s="24" t="str">
        <f>IF('query (2)'!G221="","UNKNOWN",IFERROR(INDEX(Cleaning_Rules!$B$38:$B$46,MATCH(TRIM(UPPER('query (2)'!G221)),Cleaning_Rules!$A$38:$A$46,0)),"UNKNOWN"))</f>
        <v>OTHER</v>
      </c>
      <c r="R221" s="24" t="str">
        <f>IF('query (2)'!H221="","",TRIM(UPPER('query (2)'!H221)))</f>
        <v>ROUGH WASHING MACHINE.</v>
      </c>
      <c r="S221" s="25" t="str">
        <f>IF('query (2)'!H221="","",'query (2)'!H221)</f>
        <v>Rough washing machine.</v>
      </c>
      <c r="T221" s="24" t="str">
        <f>IF('query (2)'!J221="","",TRIM(UPPER('query (2)'!J221)))</f>
        <v>ROUGH WASHING</v>
      </c>
      <c r="U221" s="24" t="str">
        <f t="shared" si="24"/>
        <v/>
      </c>
      <c r="V221" s="24" t="str">
        <f>IF('query (2)'!K221="","NOT_SPECIFIED",IFERROR(INDEX(Cleaning_Rules!$B$32:$B$34,MATCH(TRIM(UPPER('query (2)'!K221)),Cleaning_Rules!$A$32:$A$34,0)),"UNKNOWN"))</f>
        <v>NOT_SPECIFIED</v>
      </c>
      <c r="W221" s="24" t="str">
        <f t="shared" si="25"/>
        <v>WA-440 | FACTORY2 | MCB2 | MCB | ASSEMBLY | 1307-MC2AI | OTHER | ROUGH WASHING MACHINE. | ROUGH WASHING | NOT_SPECIFIED</v>
      </c>
      <c r="X221" s="24" t="str">
        <f t="shared" si="26"/>
        <v/>
      </c>
      <c r="Y221" s="24" t="str">
        <f t="shared" si="27"/>
        <v>MISSING_STATUS; CATEGORY_NOT_USEFUL</v>
      </c>
    </row>
    <row r="222" spans="1:25" x14ac:dyDescent="0.3">
      <c r="A222" s="24" t="str">
        <f t="shared" si="21"/>
        <v>AS-441#0221</v>
      </c>
      <c r="B222" s="24" t="str">
        <f>IF('query (2)'!B222="","",TRIM(UPPER('query (2)'!B222)))</f>
        <v>AS-441</v>
      </c>
      <c r="C222" s="25" t="str">
        <f>IF('query (2)'!B222="","",'query (2)'!B222)</f>
        <v>AS-441</v>
      </c>
      <c r="D222" s="24" t="str">
        <f t="shared" si="22"/>
        <v>AS</v>
      </c>
      <c r="E222" s="24">
        <f t="shared" si="23"/>
        <v>1</v>
      </c>
      <c r="F222" s="24">
        <f>IF('query (2)'!A222="","",IFERROR(VALUE('query (2)'!A222),""))</f>
        <v>240</v>
      </c>
      <c r="G222" s="24" t="str">
        <f>IF('query (2)'!C222="","UNKNOWN",IFERROR(INDEX(Cleaning_Rules!$B$15:$B$20,MATCH(TRIM(UPPER('query (2)'!C222)),Cleaning_Rules!$A$15:$A$20,0)),"UNKNOWN"))</f>
        <v>FACTORY2</v>
      </c>
      <c r="H222" s="25" t="str">
        <f>IF('query (2)'!C222="","",'query (2)'!C222)</f>
        <v>FACTORY2</v>
      </c>
      <c r="I222" s="24" t="str" cm="1">
        <f t="array" ref="I222">_xlfn.IFS($G222="UNKNOWN","UNKNOWN",OR($G222="FACTORY1",$G222="FACTORY2",$G222="FACTORY3"),"PLANT",TRUE,"SHARED")</f>
        <v>PLANT</v>
      </c>
      <c r="J222" s="24" t="str">
        <f>IF('query (2)'!D222="","UNKNOWN",IF(COUNTIF(Cleaning_Rules!$A$6:$A$11,TRIM('query (2)'!D222))&gt;0,"UNKNOWN",IFERROR(INDEX(Cleaning_Rules!$B$24:$B$28,MATCH(TRIM(UPPER('query (2)'!D222)),Cleaning_Rules!$A$24:$A$28,0)),TRIM(UPPER('query (2)'!D222)))))</f>
        <v>MCB2</v>
      </c>
      <c r="K222" s="25" t="str">
        <f>IF('query (2)'!D222="","",'query (2)'!D222)</f>
        <v>MCB2</v>
      </c>
      <c r="L222" s="24" t="str">
        <f>IF($J222="UNKNOWN","",_xlfn.TEXTBEFORE($J222,{"0","1","2","3","4","5","6","7","8","9"," ","-","."},1,,,$J222))</f>
        <v>MCB</v>
      </c>
      <c r="M222" s="24" t="str">
        <f>IF('query (2)'!I222&lt;&gt;"",TRIM(UPPER('query (2)'!I222)),IF($L222="","UNKNOWN",$L222))</f>
        <v>MCB</v>
      </c>
      <c r="N222" s="24" t="str">
        <f>IF('query (2)'!I222&lt;&gt;"","SOURCE",IF($L222="","UNKNOWN","DERIVED"))</f>
        <v>SOURCE</v>
      </c>
      <c r="O222" s="24" t="str">
        <f>IF('query (2)'!E222="","NOT_SPECIFIED",TRIM(UPPER('query (2)'!E222)))</f>
        <v>ASSEMBLY</v>
      </c>
      <c r="P222" s="24" t="str">
        <f>IF('query (2)'!F222="","",TRIM(UPPER('query (2)'!F222)))</f>
        <v>1307-MC2AI</v>
      </c>
      <c r="Q222" s="24" t="str">
        <f>IF('query (2)'!G222="","UNKNOWN",IFERROR(INDEX(Cleaning_Rules!$B$38:$B$46,MATCH(TRIM(UPPER('query (2)'!G222)),Cleaning_Rules!$A$38:$A$46,0)),"UNKNOWN"))</f>
        <v>OTHER</v>
      </c>
      <c r="R222" s="24" t="str">
        <f>IF('query (2)'!H222="","",TRIM(UPPER('query (2)'!H222)))</f>
        <v>GREASE INJECTION MACHINE.</v>
      </c>
      <c r="S222" s="25" t="str">
        <f>IF('query (2)'!H222="","",'query (2)'!H222)</f>
        <v>Grease  injection machine.</v>
      </c>
      <c r="T222" s="24" t="str">
        <f>IF('query (2)'!J222="","",TRIM(UPPER('query (2)'!J222)))</f>
        <v>GREASE INJECTION</v>
      </c>
      <c r="U222" s="24" t="str">
        <f t="shared" si="24"/>
        <v/>
      </c>
      <c r="V222" s="24" t="str">
        <f>IF('query (2)'!K222="","NOT_SPECIFIED",IFERROR(INDEX(Cleaning_Rules!$B$32:$B$34,MATCH(TRIM(UPPER('query (2)'!K222)),Cleaning_Rules!$A$32:$A$34,0)),"UNKNOWN"))</f>
        <v>NOT_SPECIFIED</v>
      </c>
      <c r="W222" s="24" t="str">
        <f t="shared" si="25"/>
        <v>AS-441 | FACTORY2 | MCB2 | MCB | ASSEMBLY | 1307-MC2AI | OTHER | GREASE INJECTION MACHINE. | GREASE INJECTION | NOT_SPECIFIED</v>
      </c>
      <c r="X222" s="24" t="str">
        <f t="shared" si="26"/>
        <v/>
      </c>
      <c r="Y222" s="24" t="str">
        <f t="shared" si="27"/>
        <v>MISSING_STATUS; CATEGORY_NOT_USEFUL</v>
      </c>
    </row>
    <row r="223" spans="1:25" x14ac:dyDescent="0.3">
      <c r="A223" s="24" t="str">
        <f t="shared" si="21"/>
        <v>AS-442#0222</v>
      </c>
      <c r="B223" s="24" t="str">
        <f>IF('query (2)'!B223="","",TRIM(UPPER('query (2)'!B223)))</f>
        <v>AS-442</v>
      </c>
      <c r="C223" s="25" t="str">
        <f>IF('query (2)'!B223="","",'query (2)'!B223)</f>
        <v>AS-442</v>
      </c>
      <c r="D223" s="24" t="str">
        <f t="shared" si="22"/>
        <v>AS</v>
      </c>
      <c r="E223" s="24">
        <f t="shared" si="23"/>
        <v>1</v>
      </c>
      <c r="F223" s="24">
        <f>IF('query (2)'!A223="","",IFERROR(VALUE('query (2)'!A223),""))</f>
        <v>241</v>
      </c>
      <c r="G223" s="24" t="str">
        <f>IF('query (2)'!C223="","UNKNOWN",IFERROR(INDEX(Cleaning_Rules!$B$15:$B$20,MATCH(TRIM(UPPER('query (2)'!C223)),Cleaning_Rules!$A$15:$A$20,0)),"UNKNOWN"))</f>
        <v>FACTORY2</v>
      </c>
      <c r="H223" s="25" t="str">
        <f>IF('query (2)'!C223="","",'query (2)'!C223)</f>
        <v>FACTORY2</v>
      </c>
      <c r="I223" s="24" t="str" cm="1">
        <f t="array" ref="I223">_xlfn.IFS($G223="UNKNOWN","UNKNOWN",OR($G223="FACTORY1",$G223="FACTORY2",$G223="FACTORY3"),"PLANT",TRUE,"SHARED")</f>
        <v>PLANT</v>
      </c>
      <c r="J223" s="24" t="str">
        <f>IF('query (2)'!D223="","UNKNOWN",IF(COUNTIF(Cleaning_Rules!$A$6:$A$11,TRIM('query (2)'!D223))&gt;0,"UNKNOWN",IFERROR(INDEX(Cleaning_Rules!$B$24:$B$28,MATCH(TRIM(UPPER('query (2)'!D223)),Cleaning_Rules!$A$24:$A$28,0)),TRIM(UPPER('query (2)'!D223)))))</f>
        <v>MCB2</v>
      </c>
      <c r="K223" s="25" t="str">
        <f>IF('query (2)'!D223="","",'query (2)'!D223)</f>
        <v>MCB2</v>
      </c>
      <c r="L223" s="24" t="str">
        <f>IF($J223="UNKNOWN","",_xlfn.TEXTBEFORE($J223,{"0","1","2","3","4","5","6","7","8","9"," ","-","."},1,,,$J223))</f>
        <v>MCB</v>
      </c>
      <c r="M223" s="24" t="str">
        <f>IF('query (2)'!I223&lt;&gt;"",TRIM(UPPER('query (2)'!I223)),IF($L223="","UNKNOWN",$L223))</f>
        <v>MCB</v>
      </c>
      <c r="N223" s="24" t="str">
        <f>IF('query (2)'!I223&lt;&gt;"","SOURCE",IF($L223="","UNKNOWN","DERIVED"))</f>
        <v>SOURCE</v>
      </c>
      <c r="O223" s="24" t="str">
        <f>IF('query (2)'!E223="","NOT_SPECIFIED",TRIM(UPPER('query (2)'!E223)))</f>
        <v>ASSEMBLY</v>
      </c>
      <c r="P223" s="24" t="str">
        <f>IF('query (2)'!F223="","",TRIM(UPPER('query (2)'!F223)))</f>
        <v>1307-MC2AI</v>
      </c>
      <c r="Q223" s="24" t="str">
        <f>IF('query (2)'!G223="","UNKNOWN",IFERROR(INDEX(Cleaning_Rules!$B$38:$B$46,MATCH(TRIM(UPPER('query (2)'!G223)),Cleaning_Rules!$A$38:$A$46,0)),"UNKNOWN"))</f>
        <v>OTHER</v>
      </c>
      <c r="R223" s="24" t="str">
        <f>IF('query (2)'!H223="","",TRIM(UPPER('query (2)'!H223)))</f>
        <v>SEAL PRESS MACHINE.</v>
      </c>
      <c r="S223" s="25" t="str">
        <f>IF('query (2)'!H223="","",'query (2)'!H223)</f>
        <v>Seal  press machine.</v>
      </c>
      <c r="T223" s="24" t="str">
        <f>IF('query (2)'!J223="","",TRIM(UPPER('query (2)'!J223)))</f>
        <v>SEAL PRESSING NO.1</v>
      </c>
      <c r="U223" s="24" t="str">
        <f t="shared" si="24"/>
        <v/>
      </c>
      <c r="V223" s="24" t="str">
        <f>IF('query (2)'!K223="","NOT_SPECIFIED",IFERROR(INDEX(Cleaning_Rules!$B$32:$B$34,MATCH(TRIM(UPPER('query (2)'!K223)),Cleaning_Rules!$A$32:$A$34,0)),"UNKNOWN"))</f>
        <v>NOT_SPECIFIED</v>
      </c>
      <c r="W223" s="24" t="str">
        <f t="shared" si="25"/>
        <v>AS-442 | FACTORY2 | MCB2 | MCB | ASSEMBLY | 1307-MC2AI | OTHER | SEAL PRESS MACHINE. | SEAL PRESSING NO.1 | NOT_SPECIFIED</v>
      </c>
      <c r="X223" s="24" t="str">
        <f t="shared" si="26"/>
        <v/>
      </c>
      <c r="Y223" s="24" t="str">
        <f t="shared" si="27"/>
        <v>MISSING_STATUS; CATEGORY_NOT_USEFUL</v>
      </c>
    </row>
    <row r="224" spans="1:25" x14ac:dyDescent="0.3">
      <c r="A224" s="24" t="str">
        <f t="shared" si="21"/>
        <v>AS-443#0223</v>
      </c>
      <c r="B224" s="24" t="str">
        <f>IF('query (2)'!B224="","",TRIM(UPPER('query (2)'!B224)))</f>
        <v>AS-443</v>
      </c>
      <c r="C224" s="25" t="str">
        <f>IF('query (2)'!B224="","",'query (2)'!B224)</f>
        <v>AS-443</v>
      </c>
      <c r="D224" s="24" t="str">
        <f t="shared" si="22"/>
        <v>AS</v>
      </c>
      <c r="E224" s="24">
        <f t="shared" si="23"/>
        <v>1</v>
      </c>
      <c r="F224" s="24">
        <f>IF('query (2)'!A224="","",IFERROR(VALUE('query (2)'!A224),""))</f>
        <v>242</v>
      </c>
      <c r="G224" s="24" t="str">
        <f>IF('query (2)'!C224="","UNKNOWN",IFERROR(INDEX(Cleaning_Rules!$B$15:$B$20,MATCH(TRIM(UPPER('query (2)'!C224)),Cleaning_Rules!$A$15:$A$20,0)),"UNKNOWN"))</f>
        <v>FACTORY2</v>
      </c>
      <c r="H224" s="25" t="str">
        <f>IF('query (2)'!C224="","",'query (2)'!C224)</f>
        <v>FACTORY2</v>
      </c>
      <c r="I224" s="24" t="str" cm="1">
        <f t="array" ref="I224">_xlfn.IFS($G224="UNKNOWN","UNKNOWN",OR($G224="FACTORY1",$G224="FACTORY2",$G224="FACTORY3"),"PLANT",TRUE,"SHARED")</f>
        <v>PLANT</v>
      </c>
      <c r="J224" s="24" t="str">
        <f>IF('query (2)'!D224="","UNKNOWN",IF(COUNTIF(Cleaning_Rules!$A$6:$A$11,TRIM('query (2)'!D224))&gt;0,"UNKNOWN",IFERROR(INDEX(Cleaning_Rules!$B$24:$B$28,MATCH(TRIM(UPPER('query (2)'!D224)),Cleaning_Rules!$A$24:$A$28,0)),TRIM(UPPER('query (2)'!D224)))))</f>
        <v>MCB2</v>
      </c>
      <c r="K224" s="25" t="str">
        <f>IF('query (2)'!D224="","",'query (2)'!D224)</f>
        <v>MCB2</v>
      </c>
      <c r="L224" s="24" t="str">
        <f>IF($J224="UNKNOWN","",_xlfn.TEXTBEFORE($J224,{"0","1","2","3","4","5","6","7","8","9"," ","-","."},1,,,$J224))</f>
        <v>MCB</v>
      </c>
      <c r="M224" s="24" t="str">
        <f>IF('query (2)'!I224&lt;&gt;"",TRIM(UPPER('query (2)'!I224)),IF($L224="","UNKNOWN",$L224))</f>
        <v>MCB</v>
      </c>
      <c r="N224" s="24" t="str">
        <f>IF('query (2)'!I224&lt;&gt;"","SOURCE",IF($L224="","UNKNOWN","DERIVED"))</f>
        <v>SOURCE</v>
      </c>
      <c r="O224" s="24" t="str">
        <f>IF('query (2)'!E224="","NOT_SPECIFIED",TRIM(UPPER('query (2)'!E224)))</f>
        <v>ASSEMBLY</v>
      </c>
      <c r="P224" s="24" t="str">
        <f>IF('query (2)'!F224="","",TRIM(UPPER('query (2)'!F224)))</f>
        <v>1307-MC2AI</v>
      </c>
      <c r="Q224" s="24" t="str">
        <f>IF('query (2)'!G224="","UNKNOWN",IFERROR(INDEX(Cleaning_Rules!$B$38:$B$46,MATCH(TRIM(UPPER('query (2)'!G224)),Cleaning_Rules!$A$38:$A$46,0)),"UNKNOWN"))</f>
        <v>OTHER</v>
      </c>
      <c r="R224" s="24" t="str">
        <f>IF('query (2)'!H224="","",TRIM(UPPER('query (2)'!H224)))</f>
        <v>SEAL PRESS MACHINE.</v>
      </c>
      <c r="S224" s="25" t="str">
        <f>IF('query (2)'!H224="","",'query (2)'!H224)</f>
        <v>Seal  press machine.</v>
      </c>
      <c r="T224" s="24" t="str">
        <f>IF('query (2)'!J224="","",TRIM(UPPER('query (2)'!J224)))</f>
        <v>SEAL PRESSING NO.2</v>
      </c>
      <c r="U224" s="24" t="str">
        <f t="shared" si="24"/>
        <v/>
      </c>
      <c r="V224" s="24" t="str">
        <f>IF('query (2)'!K224="","NOT_SPECIFIED",IFERROR(INDEX(Cleaning_Rules!$B$32:$B$34,MATCH(TRIM(UPPER('query (2)'!K224)),Cleaning_Rules!$A$32:$A$34,0)),"UNKNOWN"))</f>
        <v>NOT_SPECIFIED</v>
      </c>
      <c r="W224" s="24" t="str">
        <f t="shared" si="25"/>
        <v>AS-443 | FACTORY2 | MCB2 | MCB | ASSEMBLY | 1307-MC2AI | OTHER | SEAL PRESS MACHINE. | SEAL PRESSING NO.2 | NOT_SPECIFIED</v>
      </c>
      <c r="X224" s="24" t="str">
        <f t="shared" si="26"/>
        <v/>
      </c>
      <c r="Y224" s="24" t="str">
        <f t="shared" si="27"/>
        <v>MISSING_STATUS; CATEGORY_NOT_USEFUL</v>
      </c>
    </row>
    <row r="225" spans="1:25" x14ac:dyDescent="0.3">
      <c r="A225" s="24" t="str">
        <f t="shared" si="21"/>
        <v>CH-444#0224</v>
      </c>
      <c r="B225" s="24" t="str">
        <f>IF('query (2)'!B225="","",TRIM(UPPER('query (2)'!B225)))</f>
        <v>CH-444</v>
      </c>
      <c r="C225" s="25" t="str">
        <f>IF('query (2)'!B225="","",'query (2)'!B225)</f>
        <v>CH-444</v>
      </c>
      <c r="D225" s="24" t="str">
        <f t="shared" si="22"/>
        <v>CH</v>
      </c>
      <c r="E225" s="24">
        <f t="shared" si="23"/>
        <v>1</v>
      </c>
      <c r="F225" s="24">
        <f>IF('query (2)'!A225="","",IFERROR(VALUE('query (2)'!A225),""))</f>
        <v>243</v>
      </c>
      <c r="G225" s="24" t="str">
        <f>IF('query (2)'!C225="","UNKNOWN",IFERROR(INDEX(Cleaning_Rules!$B$15:$B$20,MATCH(TRIM(UPPER('query (2)'!C225)),Cleaning_Rules!$A$15:$A$20,0)),"UNKNOWN"))</f>
        <v>FACTORY2</v>
      </c>
      <c r="H225" s="25" t="str">
        <f>IF('query (2)'!C225="","",'query (2)'!C225)</f>
        <v>FACTORY2</v>
      </c>
      <c r="I225" s="24" t="str" cm="1">
        <f t="array" ref="I225">_xlfn.IFS($G225="UNKNOWN","UNKNOWN",OR($G225="FACTORY1",$G225="FACTORY2",$G225="FACTORY3"),"PLANT",TRUE,"SHARED")</f>
        <v>PLANT</v>
      </c>
      <c r="J225" s="24" t="str">
        <f>IF('query (2)'!D225="","UNKNOWN",IF(COUNTIF(Cleaning_Rules!$A$6:$A$11,TRIM('query (2)'!D225))&gt;0,"UNKNOWN",IFERROR(INDEX(Cleaning_Rules!$B$24:$B$28,MATCH(TRIM(UPPER('query (2)'!D225)),Cleaning_Rules!$A$24:$A$28,0)),TRIM(UPPER('query (2)'!D225)))))</f>
        <v>MCB2</v>
      </c>
      <c r="K225" s="25" t="str">
        <f>IF('query (2)'!D225="","",'query (2)'!D225)</f>
        <v>MCB2</v>
      </c>
      <c r="L225" s="24" t="str">
        <f>IF($J225="UNKNOWN","",_xlfn.TEXTBEFORE($J225,{"0","1","2","3","4","5","6","7","8","9"," ","-","."},1,,,$J225))</f>
        <v>MCB</v>
      </c>
      <c r="M225" s="24" t="str">
        <f>IF('query (2)'!I225&lt;&gt;"",TRIM(UPPER('query (2)'!I225)),IF($L225="","UNKNOWN",$L225))</f>
        <v>MCB</v>
      </c>
      <c r="N225" s="24" t="str">
        <f>IF('query (2)'!I225&lt;&gt;"","SOURCE",IF($L225="","UNKNOWN","DERIVED"))</f>
        <v>SOURCE</v>
      </c>
      <c r="O225" s="24" t="str">
        <f>IF('query (2)'!E225="","NOT_SPECIFIED",TRIM(UPPER('query (2)'!E225)))</f>
        <v>ASSEMBLY</v>
      </c>
      <c r="P225" s="24" t="str">
        <f>IF('query (2)'!F225="","",TRIM(UPPER('query (2)'!F225)))</f>
        <v>1307-MC2AI</v>
      </c>
      <c r="Q225" s="24" t="str">
        <f>IF('query (2)'!G225="","UNKNOWN",IFERROR(INDEX(Cleaning_Rules!$B$38:$B$46,MATCH(TRIM(UPPER('query (2)'!G225)),Cleaning_Rules!$A$38:$A$46,0)),"UNKNOWN"))</f>
        <v>OTHER</v>
      </c>
      <c r="R225" s="24" t="str">
        <f>IF('query (2)'!H225="","",TRIM(UPPER('query (2)'!H225)))</f>
        <v>SEAL CHECK MACHINE.</v>
      </c>
      <c r="S225" s="25" t="str">
        <f>IF('query (2)'!H225="","",'query (2)'!H225)</f>
        <v>Seal  check  machine.</v>
      </c>
      <c r="T225" s="24" t="str">
        <f>IF('query (2)'!J225="","",TRIM(UPPER('query (2)'!J225)))</f>
        <v>SEAL HEIGHT CHECK</v>
      </c>
      <c r="U225" s="24" t="str">
        <f t="shared" si="24"/>
        <v/>
      </c>
      <c r="V225" s="24" t="str">
        <f>IF('query (2)'!K225="","NOT_SPECIFIED",IFERROR(INDEX(Cleaning_Rules!$B$32:$B$34,MATCH(TRIM(UPPER('query (2)'!K225)),Cleaning_Rules!$A$32:$A$34,0)),"UNKNOWN"))</f>
        <v>NOT_SPECIFIED</v>
      </c>
      <c r="W225" s="24" t="str">
        <f t="shared" si="25"/>
        <v>CH-444 | FACTORY2 | MCB2 | MCB | ASSEMBLY | 1307-MC2AI | OTHER | SEAL CHECK MACHINE. | SEAL HEIGHT CHECK | NOT_SPECIFIED</v>
      </c>
      <c r="X225" s="24" t="str">
        <f t="shared" si="26"/>
        <v/>
      </c>
      <c r="Y225" s="24" t="str">
        <f t="shared" si="27"/>
        <v>MISSING_STATUS; CATEGORY_NOT_USEFUL</v>
      </c>
    </row>
    <row r="226" spans="1:25" x14ac:dyDescent="0.3">
      <c r="A226" s="24" t="str">
        <f t="shared" si="21"/>
        <v>CH-445#0225</v>
      </c>
      <c r="B226" s="24" t="str">
        <f>IF('query (2)'!B226="","",TRIM(UPPER('query (2)'!B226)))</f>
        <v>CH-445</v>
      </c>
      <c r="C226" s="25" t="str">
        <f>IF('query (2)'!B226="","",'query (2)'!B226)</f>
        <v>CH-445</v>
      </c>
      <c r="D226" s="24" t="str">
        <f t="shared" si="22"/>
        <v>CH</v>
      </c>
      <c r="E226" s="24">
        <f t="shared" si="23"/>
        <v>1</v>
      </c>
      <c r="F226" s="24">
        <f>IF('query (2)'!A226="","",IFERROR(VALUE('query (2)'!A226),""))</f>
        <v>244</v>
      </c>
      <c r="G226" s="24" t="str">
        <f>IF('query (2)'!C226="","UNKNOWN",IFERROR(INDEX(Cleaning_Rules!$B$15:$B$20,MATCH(TRIM(UPPER('query (2)'!C226)),Cleaning_Rules!$A$15:$A$20,0)),"UNKNOWN"))</f>
        <v>FACTORY2</v>
      </c>
      <c r="H226" s="25" t="str">
        <f>IF('query (2)'!C226="","",'query (2)'!C226)</f>
        <v>FACTORY2</v>
      </c>
      <c r="I226" s="24" t="str" cm="1">
        <f t="array" ref="I226">_xlfn.IFS($G226="UNKNOWN","UNKNOWN",OR($G226="FACTORY1",$G226="FACTORY2",$G226="FACTORY3"),"PLANT",TRUE,"SHARED")</f>
        <v>PLANT</v>
      </c>
      <c r="J226" s="24" t="str">
        <f>IF('query (2)'!D226="","UNKNOWN",IF(COUNTIF(Cleaning_Rules!$A$6:$A$11,TRIM('query (2)'!D226))&gt;0,"UNKNOWN",IFERROR(INDEX(Cleaning_Rules!$B$24:$B$28,MATCH(TRIM(UPPER('query (2)'!D226)),Cleaning_Rules!$A$24:$A$28,0)),TRIM(UPPER('query (2)'!D226)))))</f>
        <v>MCB2</v>
      </c>
      <c r="K226" s="25" t="str">
        <f>IF('query (2)'!D226="","",'query (2)'!D226)</f>
        <v>MCB2</v>
      </c>
      <c r="L226" s="24" t="str">
        <f>IF($J226="UNKNOWN","",_xlfn.TEXTBEFORE($J226,{"0","1","2","3","4","5","6","7","8","9"," ","-","."},1,,,$J226))</f>
        <v>MCB</v>
      </c>
      <c r="M226" s="24" t="str">
        <f>IF('query (2)'!I226&lt;&gt;"",TRIM(UPPER('query (2)'!I226)),IF($L226="","UNKNOWN",$L226))</f>
        <v>MCB</v>
      </c>
      <c r="N226" s="24" t="str">
        <f>IF('query (2)'!I226&lt;&gt;"","SOURCE",IF($L226="","UNKNOWN","DERIVED"))</f>
        <v>SOURCE</v>
      </c>
      <c r="O226" s="24" t="str">
        <f>IF('query (2)'!E226="","NOT_SPECIFIED",TRIM(UPPER('query (2)'!E226)))</f>
        <v>ASSEMBLY</v>
      </c>
      <c r="P226" s="24" t="str">
        <f>IF('query (2)'!F226="","",TRIM(UPPER('query (2)'!F226)))</f>
        <v>1307-MC2AI</v>
      </c>
      <c r="Q226" s="24" t="str">
        <f>IF('query (2)'!G226="","UNKNOWN",IFERROR(INDEX(Cleaning_Rules!$B$38:$B$46,MATCH(TRIM(UPPER('query (2)'!G226)),Cleaning_Rules!$A$38:$A$46,0)),"UNKNOWN"))</f>
        <v>OTHER</v>
      </c>
      <c r="R226" s="24" t="str">
        <f>IF('query (2)'!H226="","",TRIM(UPPER('query (2)'!H226)))</f>
        <v>NOISE INSPECTION MACHINE.</v>
      </c>
      <c r="S226" s="25" t="str">
        <f>IF('query (2)'!H226="","",'query (2)'!H226)</f>
        <v>Noise  inspection machine.</v>
      </c>
      <c r="T226" s="24" t="str">
        <f>IF('query (2)'!J226="","",TRIM(UPPER('query (2)'!J226)))</f>
        <v>NOISE INSPECTION AUTO</v>
      </c>
      <c r="U226" s="24" t="str">
        <f t="shared" si="24"/>
        <v/>
      </c>
      <c r="V226" s="24" t="str">
        <f>IF('query (2)'!K226="","NOT_SPECIFIED",IFERROR(INDEX(Cleaning_Rules!$B$32:$B$34,MATCH(TRIM(UPPER('query (2)'!K226)),Cleaning_Rules!$A$32:$A$34,0)),"UNKNOWN"))</f>
        <v>NOT_SPECIFIED</v>
      </c>
      <c r="W226" s="24" t="str">
        <f t="shared" si="25"/>
        <v>CH-445 | FACTORY2 | MCB2 | MCB | ASSEMBLY | 1307-MC2AI | OTHER | NOISE INSPECTION MACHINE. | NOISE INSPECTION AUTO | NOT_SPECIFIED</v>
      </c>
      <c r="X226" s="24" t="str">
        <f t="shared" si="26"/>
        <v/>
      </c>
      <c r="Y226" s="24" t="str">
        <f t="shared" si="27"/>
        <v>MISSING_STATUS; CATEGORY_NOT_USEFUL</v>
      </c>
    </row>
    <row r="227" spans="1:25" x14ac:dyDescent="0.3">
      <c r="A227" s="24" t="str">
        <f t="shared" si="21"/>
        <v>CH-446#0226</v>
      </c>
      <c r="B227" s="24" t="str">
        <f>IF('query (2)'!B227="","",TRIM(UPPER('query (2)'!B227)))</f>
        <v>CH-446</v>
      </c>
      <c r="C227" s="25" t="str">
        <f>IF('query (2)'!B227="","",'query (2)'!B227)</f>
        <v>CH-446</v>
      </c>
      <c r="D227" s="24" t="str">
        <f t="shared" si="22"/>
        <v>CH</v>
      </c>
      <c r="E227" s="24">
        <f t="shared" si="23"/>
        <v>1</v>
      </c>
      <c r="F227" s="24">
        <f>IF('query (2)'!A227="","",IFERROR(VALUE('query (2)'!A227),""))</f>
        <v>245</v>
      </c>
      <c r="G227" s="24" t="str">
        <f>IF('query (2)'!C227="","UNKNOWN",IFERROR(INDEX(Cleaning_Rules!$B$15:$B$20,MATCH(TRIM(UPPER('query (2)'!C227)),Cleaning_Rules!$A$15:$A$20,0)),"UNKNOWN"))</f>
        <v>FACTORY2</v>
      </c>
      <c r="H227" s="25" t="str">
        <f>IF('query (2)'!C227="","",'query (2)'!C227)</f>
        <v>FACTORY2</v>
      </c>
      <c r="I227" s="24" t="str" cm="1">
        <f t="array" ref="I227">_xlfn.IFS($G227="UNKNOWN","UNKNOWN",OR($G227="FACTORY1",$G227="FACTORY2",$G227="FACTORY3"),"PLANT",TRUE,"SHARED")</f>
        <v>PLANT</v>
      </c>
      <c r="J227" s="24" t="str">
        <f>IF('query (2)'!D227="","UNKNOWN",IF(COUNTIF(Cleaning_Rules!$A$6:$A$11,TRIM('query (2)'!D227))&gt;0,"UNKNOWN",IFERROR(INDEX(Cleaning_Rules!$B$24:$B$28,MATCH(TRIM(UPPER('query (2)'!D227)),Cleaning_Rules!$A$24:$A$28,0)),TRIM(UPPER('query (2)'!D227)))))</f>
        <v>MCB2</v>
      </c>
      <c r="K227" s="25" t="str">
        <f>IF('query (2)'!D227="","",'query (2)'!D227)</f>
        <v>MCB2</v>
      </c>
      <c r="L227" s="24" t="str">
        <f>IF($J227="UNKNOWN","",_xlfn.TEXTBEFORE($J227,{"0","1","2","3","4","5","6","7","8","9"," ","-","."},1,,,$J227))</f>
        <v>MCB</v>
      </c>
      <c r="M227" s="24" t="str">
        <f>IF('query (2)'!I227&lt;&gt;"",TRIM(UPPER('query (2)'!I227)),IF($L227="","UNKNOWN",$L227))</f>
        <v>MCB</v>
      </c>
      <c r="N227" s="24" t="str">
        <f>IF('query (2)'!I227&lt;&gt;"","SOURCE",IF($L227="","UNKNOWN","DERIVED"))</f>
        <v>SOURCE</v>
      </c>
      <c r="O227" s="24" t="str">
        <f>IF('query (2)'!E227="","NOT_SPECIFIED",TRIM(UPPER('query (2)'!E227)))</f>
        <v>ASSEMBLY</v>
      </c>
      <c r="P227" s="24" t="str">
        <f>IF('query (2)'!F227="","",TRIM(UPPER('query (2)'!F227)))</f>
        <v>1307-MC2AI</v>
      </c>
      <c r="Q227" s="24" t="str">
        <f>IF('query (2)'!G227="","UNKNOWN",IFERROR(INDEX(Cleaning_Rules!$B$38:$B$46,MATCH(TRIM(UPPER('query (2)'!G227)),Cleaning_Rules!$A$38:$A$46,0)),"UNKNOWN"))</f>
        <v>OTHER</v>
      </c>
      <c r="R227" s="24" t="str">
        <f>IF('query (2)'!H227="","",TRIM(UPPER('query (2)'!H227)))</f>
        <v>WEIGHT CHECKER MACHINE.</v>
      </c>
      <c r="S227" s="25" t="str">
        <f>IF('query (2)'!H227="","",'query (2)'!H227)</f>
        <v>Weight checker machine.</v>
      </c>
      <c r="T227" s="24" t="str">
        <f>IF('query (2)'!J227="","",TRIM(UPPER('query (2)'!J227)))</f>
        <v>WEIGHT CHECKER</v>
      </c>
      <c r="U227" s="24" t="str">
        <f t="shared" si="24"/>
        <v/>
      </c>
      <c r="V227" s="24" t="str">
        <f>IF('query (2)'!K227="","NOT_SPECIFIED",IFERROR(INDEX(Cleaning_Rules!$B$32:$B$34,MATCH(TRIM(UPPER('query (2)'!K227)),Cleaning_Rules!$A$32:$A$34,0)),"UNKNOWN"))</f>
        <v>NOT_SPECIFIED</v>
      </c>
      <c r="W227" s="24" t="str">
        <f t="shared" si="25"/>
        <v>CH-446 | FACTORY2 | MCB2 | MCB | ASSEMBLY | 1307-MC2AI | OTHER | WEIGHT CHECKER MACHINE. | WEIGHT CHECKER | NOT_SPECIFIED</v>
      </c>
      <c r="X227" s="24" t="str">
        <f t="shared" si="26"/>
        <v/>
      </c>
      <c r="Y227" s="24" t="str">
        <f t="shared" si="27"/>
        <v>MISSING_STATUS; CATEGORY_NOT_USEFUL</v>
      </c>
    </row>
    <row r="228" spans="1:25" x14ac:dyDescent="0.3">
      <c r="A228" s="24" t="str">
        <f t="shared" si="21"/>
        <v>CH-294#0227</v>
      </c>
      <c r="B228" s="24" t="str">
        <f>IF('query (2)'!B228="","",TRIM(UPPER('query (2)'!B228)))</f>
        <v>CH-294</v>
      </c>
      <c r="C228" s="25" t="str">
        <f>IF('query (2)'!B228="","",'query (2)'!B228)</f>
        <v>CH-294</v>
      </c>
      <c r="D228" s="24" t="str">
        <f t="shared" si="22"/>
        <v>CH</v>
      </c>
      <c r="E228" s="24">
        <f t="shared" si="23"/>
        <v>1</v>
      </c>
      <c r="F228" s="24">
        <f>IF('query (2)'!A228="","",IFERROR(VALUE('query (2)'!A228),""))</f>
        <v>246</v>
      </c>
      <c r="G228" s="24" t="str">
        <f>IF('query (2)'!C228="","UNKNOWN",IFERROR(INDEX(Cleaning_Rules!$B$15:$B$20,MATCH(TRIM(UPPER('query (2)'!C228)),Cleaning_Rules!$A$15:$A$20,0)),"UNKNOWN"))</f>
        <v>FACTORY2</v>
      </c>
      <c r="H228" s="25" t="str">
        <f>IF('query (2)'!C228="","",'query (2)'!C228)</f>
        <v>FACTORY2</v>
      </c>
      <c r="I228" s="24" t="str" cm="1">
        <f t="array" ref="I228">_xlfn.IFS($G228="UNKNOWN","UNKNOWN",OR($G228="FACTORY1",$G228="FACTORY2",$G228="FACTORY3"),"PLANT",TRUE,"SHARED")</f>
        <v>PLANT</v>
      </c>
      <c r="J228" s="24" t="str">
        <f>IF('query (2)'!D228="","UNKNOWN",IF(COUNTIF(Cleaning_Rules!$A$6:$A$11,TRIM('query (2)'!D228))&gt;0,"UNKNOWN",IFERROR(INDEX(Cleaning_Rules!$B$24:$B$28,MATCH(TRIM(UPPER('query (2)'!D228)),Cleaning_Rules!$A$24:$A$28,0)),TRIM(UPPER('query (2)'!D228)))))</f>
        <v>MCB2</v>
      </c>
      <c r="K228" s="25" t="str">
        <f>IF('query (2)'!D228="","",'query (2)'!D228)</f>
        <v>MCB2</v>
      </c>
      <c r="L228" s="24" t="str">
        <f>IF($J228="UNKNOWN","",_xlfn.TEXTBEFORE($J228,{"0","1","2","3","4","5","6","7","8","9"," ","-","."},1,,,$J228))</f>
        <v>MCB</v>
      </c>
      <c r="M228" s="24" t="str">
        <f>IF('query (2)'!I228&lt;&gt;"",TRIM(UPPER('query (2)'!I228)),IF($L228="","UNKNOWN",$L228))</f>
        <v>MCB</v>
      </c>
      <c r="N228" s="24" t="str">
        <f>IF('query (2)'!I228&lt;&gt;"","SOURCE",IF($L228="","UNKNOWN","DERIVED"))</f>
        <v>SOURCE</v>
      </c>
      <c r="O228" s="24" t="str">
        <f>IF('query (2)'!E228="","NOT_SPECIFIED",TRIM(UPPER('query (2)'!E228)))</f>
        <v>ASSEMBLY</v>
      </c>
      <c r="P228" s="24" t="str">
        <f>IF('query (2)'!F228="","",TRIM(UPPER('query (2)'!F228)))</f>
        <v>1307-MC2AI</v>
      </c>
      <c r="Q228" s="24" t="str">
        <f>IF('query (2)'!G228="","UNKNOWN",IFERROR(INDEX(Cleaning_Rules!$B$38:$B$46,MATCH(TRIM(UPPER('query (2)'!G228)),Cleaning_Rules!$A$38:$A$46,0)),"UNKNOWN"))</f>
        <v>OTHER</v>
      </c>
      <c r="R228" s="24" t="str">
        <f>IF('query (2)'!H228="","",TRIM(UPPER('query (2)'!H228)))</f>
        <v>AXIAL CLEARANCE MEASUREMENT MACHINE.</v>
      </c>
      <c r="S228" s="25" t="str">
        <f>IF('query (2)'!H228="","",'query (2)'!H228)</f>
        <v>Axial  clearance  measurement machine.</v>
      </c>
      <c r="T228" s="24" t="str">
        <f>IF('query (2)'!J228="","",TRIM(UPPER('query (2)'!J228)))</f>
        <v>AXIAL CLEARANCE MEASUREMENT</v>
      </c>
      <c r="U228" s="24" t="str">
        <f t="shared" si="24"/>
        <v/>
      </c>
      <c r="V228" s="24" t="str">
        <f>IF('query (2)'!K228="","NOT_SPECIFIED",IFERROR(INDEX(Cleaning_Rules!$B$32:$B$34,MATCH(TRIM(UPPER('query (2)'!K228)),Cleaning_Rules!$A$32:$A$34,0)),"UNKNOWN"))</f>
        <v>NOT_SPECIFIED</v>
      </c>
      <c r="W228" s="24" t="str">
        <f t="shared" si="25"/>
        <v>CH-294 | FACTORY2 | MCB2 | MCB | ASSEMBLY | 1307-MC2AI | OTHER | AXIAL CLEARANCE MEASUREMENT MACHINE. | AXIAL CLEARANCE MEASUREMENT | NOT_SPECIFIED</v>
      </c>
      <c r="X228" s="24" t="str">
        <f t="shared" si="26"/>
        <v/>
      </c>
      <c r="Y228" s="24" t="str">
        <f t="shared" si="27"/>
        <v>MISSING_STATUS; CATEGORY_NOT_USEFUL</v>
      </c>
    </row>
    <row r="229" spans="1:25" x14ac:dyDescent="0.3">
      <c r="A229" s="24" t="str">
        <f t="shared" si="21"/>
        <v>WA-295#0228</v>
      </c>
      <c r="B229" s="24" t="str">
        <f>IF('query (2)'!B229="","",TRIM(UPPER('query (2)'!B229)))</f>
        <v>WA-295</v>
      </c>
      <c r="C229" s="25" t="str">
        <f>IF('query (2)'!B229="","",'query (2)'!B229)</f>
        <v>WA-295</v>
      </c>
      <c r="D229" s="24" t="str">
        <f t="shared" si="22"/>
        <v>WA</v>
      </c>
      <c r="E229" s="24">
        <f t="shared" si="23"/>
        <v>1</v>
      </c>
      <c r="F229" s="24">
        <f>IF('query (2)'!A229="","",IFERROR(VALUE('query (2)'!A229),""))</f>
        <v>247</v>
      </c>
      <c r="G229" s="24" t="str">
        <f>IF('query (2)'!C229="","UNKNOWN",IFERROR(INDEX(Cleaning_Rules!$B$15:$B$20,MATCH(TRIM(UPPER('query (2)'!C229)),Cleaning_Rules!$A$15:$A$20,0)),"UNKNOWN"))</f>
        <v>FACTORY2</v>
      </c>
      <c r="H229" s="25" t="str">
        <f>IF('query (2)'!C229="","",'query (2)'!C229)</f>
        <v>FACTORY2</v>
      </c>
      <c r="I229" s="24" t="str" cm="1">
        <f t="array" ref="I229">_xlfn.IFS($G229="UNKNOWN","UNKNOWN",OR($G229="FACTORY1",$G229="FACTORY2",$G229="FACTORY3"),"PLANT",TRUE,"SHARED")</f>
        <v>PLANT</v>
      </c>
      <c r="J229" s="24" t="str">
        <f>IF('query (2)'!D229="","UNKNOWN",IF(COUNTIF(Cleaning_Rules!$A$6:$A$11,TRIM('query (2)'!D229))&gt;0,"UNKNOWN",IFERROR(INDEX(Cleaning_Rules!$B$24:$B$28,MATCH(TRIM(UPPER('query (2)'!D229)),Cleaning_Rules!$A$24:$A$28,0)),TRIM(UPPER('query (2)'!D229)))))</f>
        <v>MCB2</v>
      </c>
      <c r="K229" s="25" t="str">
        <f>IF('query (2)'!D229="","",'query (2)'!D229)</f>
        <v>MCB2</v>
      </c>
      <c r="L229" s="24" t="str">
        <f>IF($J229="UNKNOWN","",_xlfn.TEXTBEFORE($J229,{"0","1","2","3","4","5","6","7","8","9"," ","-","."},1,,,$J229))</f>
        <v>MCB</v>
      </c>
      <c r="M229" s="24" t="str">
        <f>IF('query (2)'!I229&lt;&gt;"",TRIM(UPPER('query (2)'!I229)),IF($L229="","UNKNOWN",$L229))</f>
        <v>MCB</v>
      </c>
      <c r="N229" s="24" t="str">
        <f>IF('query (2)'!I229&lt;&gt;"","SOURCE",IF($L229="","UNKNOWN","DERIVED"))</f>
        <v>SOURCE</v>
      </c>
      <c r="O229" s="24" t="str">
        <f>IF('query (2)'!E229="","NOT_SPECIFIED",TRIM(UPPER('query (2)'!E229)))</f>
        <v>ASSEMBLY</v>
      </c>
      <c r="P229" s="24" t="str">
        <f>IF('query (2)'!F229="","",TRIM(UPPER('query (2)'!F229)))</f>
        <v>1307-MC2AI</v>
      </c>
      <c r="Q229" s="24" t="str">
        <f>IF('query (2)'!G229="","UNKNOWN",IFERROR(INDEX(Cleaning_Rules!$B$38:$B$46,MATCH(TRIM(UPPER('query (2)'!G229)),Cleaning_Rules!$A$38:$A$46,0)),"UNKNOWN"))</f>
        <v>OTHER</v>
      </c>
      <c r="R229" s="24" t="str">
        <f>IF('query (2)'!H229="","",TRIM(UPPER('query (2)'!H229)))</f>
        <v>FINISH WASH EQUIPMENT MACHINE.</v>
      </c>
      <c r="S229" s="25" t="str">
        <f>IF('query (2)'!H229="","",'query (2)'!H229)</f>
        <v>Finish  wash  equipment machine.</v>
      </c>
      <c r="T229" s="24" t="str">
        <f>IF('query (2)'!J229="","",TRIM(UPPER('query (2)'!J229)))</f>
        <v>FINISH WASH EQUIPMENT</v>
      </c>
      <c r="U229" s="24" t="str">
        <f t="shared" si="24"/>
        <v/>
      </c>
      <c r="V229" s="24" t="str">
        <f>IF('query (2)'!K229="","NOT_SPECIFIED",IFERROR(INDEX(Cleaning_Rules!$B$32:$B$34,MATCH(TRIM(UPPER('query (2)'!K229)),Cleaning_Rules!$A$32:$A$34,0)),"UNKNOWN"))</f>
        <v>NOT_SPECIFIED</v>
      </c>
      <c r="W229" s="24" t="str">
        <f t="shared" si="25"/>
        <v>WA-295 | FACTORY2 | MCB2 | MCB | ASSEMBLY | 1307-MC2AI | OTHER | FINISH WASH EQUIPMENT MACHINE. | FINISH WASH EQUIPMENT | NOT_SPECIFIED</v>
      </c>
      <c r="X229" s="24" t="str">
        <f t="shared" si="26"/>
        <v/>
      </c>
      <c r="Y229" s="24" t="str">
        <f t="shared" si="27"/>
        <v>MISSING_STATUS; CATEGORY_NOT_USEFUL</v>
      </c>
    </row>
    <row r="230" spans="1:25" x14ac:dyDescent="0.3">
      <c r="A230" s="24" t="str">
        <f t="shared" si="21"/>
        <v>BL-296#0229</v>
      </c>
      <c r="B230" s="24" t="str">
        <f>IF('query (2)'!B230="","",TRIM(UPPER('query (2)'!B230)))</f>
        <v>BL-296</v>
      </c>
      <c r="C230" s="25" t="str">
        <f>IF('query (2)'!B230="","",'query (2)'!B230)</f>
        <v>BL-296</v>
      </c>
      <c r="D230" s="24" t="str">
        <f t="shared" si="22"/>
        <v>BL</v>
      </c>
      <c r="E230" s="24">
        <f t="shared" si="23"/>
        <v>1</v>
      </c>
      <c r="F230" s="24">
        <f>IF('query (2)'!A230="","",IFERROR(VALUE('query (2)'!A230),""))</f>
        <v>248</v>
      </c>
      <c r="G230" s="24" t="str">
        <f>IF('query (2)'!C230="","UNKNOWN",IFERROR(INDEX(Cleaning_Rules!$B$15:$B$20,MATCH(TRIM(UPPER('query (2)'!C230)),Cleaning_Rules!$A$15:$A$20,0)),"UNKNOWN"))</f>
        <v>FACTORY2</v>
      </c>
      <c r="H230" s="25" t="str">
        <f>IF('query (2)'!C230="","",'query (2)'!C230)</f>
        <v>FACTORY2</v>
      </c>
      <c r="I230" s="24" t="str" cm="1">
        <f t="array" ref="I230">_xlfn.IFS($G230="UNKNOWN","UNKNOWN",OR($G230="FACTORY1",$G230="FACTORY2",$G230="FACTORY3"),"PLANT",TRUE,"SHARED")</f>
        <v>PLANT</v>
      </c>
      <c r="J230" s="24" t="str">
        <f>IF('query (2)'!D230="","UNKNOWN",IF(COUNTIF(Cleaning_Rules!$A$6:$A$11,TRIM('query (2)'!D230))&gt;0,"UNKNOWN",IFERROR(INDEX(Cleaning_Rules!$B$24:$B$28,MATCH(TRIM(UPPER('query (2)'!D230)),Cleaning_Rules!$A$24:$A$28,0)),TRIM(UPPER('query (2)'!D230)))))</f>
        <v>MCB2</v>
      </c>
      <c r="K230" s="25" t="str">
        <f>IF('query (2)'!D230="","",'query (2)'!D230)</f>
        <v>MCB2</v>
      </c>
      <c r="L230" s="24" t="str">
        <f>IF($J230="UNKNOWN","",_xlfn.TEXTBEFORE($J230,{"0","1","2","3","4","5","6","7","8","9"," ","-","."},1,,,$J230))</f>
        <v>MCB</v>
      </c>
      <c r="M230" s="24" t="str">
        <f>IF('query (2)'!I230&lt;&gt;"",TRIM(UPPER('query (2)'!I230)),IF($L230="","UNKNOWN",$L230))</f>
        <v>MCB</v>
      </c>
      <c r="N230" s="24" t="str">
        <f>IF('query (2)'!I230&lt;&gt;"","SOURCE",IF($L230="","UNKNOWN","DERIVED"))</f>
        <v>SOURCE</v>
      </c>
      <c r="O230" s="24" t="str">
        <f>IF('query (2)'!E230="","NOT_SPECIFIED",TRIM(UPPER('query (2)'!E230)))</f>
        <v>ASSEMBLY</v>
      </c>
      <c r="P230" s="24" t="str">
        <f>IF('query (2)'!F230="","",TRIM(UPPER('query (2)'!F230)))</f>
        <v>1307-MC2AI</v>
      </c>
      <c r="Q230" s="24" t="str">
        <f>IF('query (2)'!G230="","UNKNOWN",IFERROR(INDEX(Cleaning_Rules!$B$38:$B$46,MATCH(TRIM(UPPER('query (2)'!G230)),Cleaning_Rules!$A$38:$A$46,0)),"UNKNOWN"))</f>
        <v>OTHER</v>
      </c>
      <c r="R230" s="24" t="str">
        <f>IF('query (2)'!H230="","",TRIM(UPPER('query (2)'!H230)))</f>
        <v>CENTRIFUGAL DEOILING MACHINE.</v>
      </c>
      <c r="S230" s="25" t="str">
        <f>IF('query (2)'!H230="","",'query (2)'!H230)</f>
        <v>Centrifugal  deoiling machine.</v>
      </c>
      <c r="T230" s="24" t="str">
        <f>IF('query (2)'!J230="","",TRIM(UPPER('query (2)'!J230)))</f>
        <v>CENTRIFUGAL DEOILING</v>
      </c>
      <c r="U230" s="24" t="str">
        <f t="shared" si="24"/>
        <v/>
      </c>
      <c r="V230" s="24" t="str">
        <f>IF('query (2)'!K230="","NOT_SPECIFIED",IFERROR(INDEX(Cleaning_Rules!$B$32:$B$34,MATCH(TRIM(UPPER('query (2)'!K230)),Cleaning_Rules!$A$32:$A$34,0)),"UNKNOWN"))</f>
        <v>NOT_SPECIFIED</v>
      </c>
      <c r="W230" s="24" t="str">
        <f t="shared" si="25"/>
        <v>BL-296 | FACTORY2 | MCB2 | MCB | ASSEMBLY | 1307-MC2AI | OTHER | CENTRIFUGAL DEOILING MACHINE. | CENTRIFUGAL DEOILING | NOT_SPECIFIED</v>
      </c>
      <c r="X230" s="24" t="str">
        <f t="shared" si="26"/>
        <v/>
      </c>
      <c r="Y230" s="24" t="str">
        <f t="shared" si="27"/>
        <v>MISSING_STATUS; CATEGORY_NOT_USEFUL</v>
      </c>
    </row>
    <row r="231" spans="1:25" x14ac:dyDescent="0.3">
      <c r="A231" s="24" t="str">
        <f t="shared" si="21"/>
        <v>CH-304#0230</v>
      </c>
      <c r="B231" s="24" t="str">
        <f>IF('query (2)'!B231="","",TRIM(UPPER('query (2)'!B231)))</f>
        <v>CH-304</v>
      </c>
      <c r="C231" s="25" t="str">
        <f>IF('query (2)'!B231="","",'query (2)'!B231)</f>
        <v>CH-304</v>
      </c>
      <c r="D231" s="24" t="str">
        <f t="shared" si="22"/>
        <v>CH</v>
      </c>
      <c r="E231" s="24">
        <f t="shared" si="23"/>
        <v>1</v>
      </c>
      <c r="F231" s="24">
        <f>IF('query (2)'!A231="","",IFERROR(VALUE('query (2)'!A231),""))</f>
        <v>249</v>
      </c>
      <c r="G231" s="24" t="str">
        <f>IF('query (2)'!C231="","UNKNOWN",IFERROR(INDEX(Cleaning_Rules!$B$15:$B$20,MATCH(TRIM(UPPER('query (2)'!C231)),Cleaning_Rules!$A$15:$A$20,0)),"UNKNOWN"))</f>
        <v>FACTORY2</v>
      </c>
      <c r="H231" s="25" t="str">
        <f>IF('query (2)'!C231="","",'query (2)'!C231)</f>
        <v>FACTORY2</v>
      </c>
      <c r="I231" s="24" t="str" cm="1">
        <f t="array" ref="I231">_xlfn.IFS($G231="UNKNOWN","UNKNOWN",OR($G231="FACTORY1",$G231="FACTORY2",$G231="FACTORY3"),"PLANT",TRUE,"SHARED")</f>
        <v>PLANT</v>
      </c>
      <c r="J231" s="24" t="str">
        <f>IF('query (2)'!D231="","UNKNOWN",IF(COUNTIF(Cleaning_Rules!$A$6:$A$11,TRIM('query (2)'!D231))&gt;0,"UNKNOWN",IFERROR(INDEX(Cleaning_Rules!$B$24:$B$28,MATCH(TRIM(UPPER('query (2)'!D231)),Cleaning_Rules!$A$24:$A$28,0)),TRIM(UPPER('query (2)'!D231)))))</f>
        <v>MCB2</v>
      </c>
      <c r="K231" s="25" t="str">
        <f>IF('query (2)'!D231="","",'query (2)'!D231)</f>
        <v>MCB2</v>
      </c>
      <c r="L231" s="24" t="str">
        <f>IF($J231="UNKNOWN","",_xlfn.TEXTBEFORE($J231,{"0","1","2","3","4","5","6","7","8","9"," ","-","."},1,,,$J231))</f>
        <v>MCB</v>
      </c>
      <c r="M231" s="24" t="str">
        <f>IF('query (2)'!I231&lt;&gt;"",TRIM(UPPER('query (2)'!I231)),IF($L231="","UNKNOWN",$L231))</f>
        <v>MCB</v>
      </c>
      <c r="N231" s="24" t="str">
        <f>IF('query (2)'!I231&lt;&gt;"","SOURCE",IF($L231="","UNKNOWN","DERIVED"))</f>
        <v>SOURCE</v>
      </c>
      <c r="O231" s="24" t="str">
        <f>IF('query (2)'!E231="","NOT_SPECIFIED",TRIM(UPPER('query (2)'!E231)))</f>
        <v>ASSEMBLY</v>
      </c>
      <c r="P231" s="24" t="str">
        <f>IF('query (2)'!F231="","",TRIM(UPPER('query (2)'!F231)))</f>
        <v>1307-MC2AI</v>
      </c>
      <c r="Q231" s="24" t="str">
        <f>IF('query (2)'!G231="","UNKNOWN",IFERROR(INDEX(Cleaning_Rules!$B$38:$B$46,MATCH(TRIM(UPPER('query (2)'!G231)),Cleaning_Rules!$A$38:$A$46,0)),"UNKNOWN"))</f>
        <v>OTHER</v>
      </c>
      <c r="R231" s="24" t="str">
        <f>IF('query (2)'!H231="","",TRIM(UPPER('query (2)'!H231)))</f>
        <v>NOISE MANUAL INSPECTION MACHINE.</v>
      </c>
      <c r="S231" s="25" t="str">
        <f>IF('query (2)'!H231="","",'query (2)'!H231)</f>
        <v>Noise manual inspection machine.</v>
      </c>
      <c r="T231" s="24" t="str">
        <f>IF('query (2)'!J231="","",TRIM(UPPER('query (2)'!J231)))</f>
        <v>NOISE INSPECTION MANUAL</v>
      </c>
      <c r="U231" s="24" t="str">
        <f t="shared" si="24"/>
        <v/>
      </c>
      <c r="V231" s="24" t="str">
        <f>IF('query (2)'!K231="","NOT_SPECIFIED",IFERROR(INDEX(Cleaning_Rules!$B$32:$B$34,MATCH(TRIM(UPPER('query (2)'!K231)),Cleaning_Rules!$A$32:$A$34,0)),"UNKNOWN"))</f>
        <v>NOT_SPECIFIED</v>
      </c>
      <c r="W231" s="24" t="str">
        <f t="shared" si="25"/>
        <v>CH-304 | FACTORY2 | MCB2 | MCB | ASSEMBLY | 1307-MC2AI | OTHER | NOISE MANUAL INSPECTION MACHINE. | NOISE INSPECTION MANUAL | NOT_SPECIFIED</v>
      </c>
      <c r="X231" s="24" t="str">
        <f t="shared" si="26"/>
        <v/>
      </c>
      <c r="Y231" s="24" t="str">
        <f t="shared" si="27"/>
        <v>MISSING_STATUS; CATEGORY_NOT_USEFUL</v>
      </c>
    </row>
    <row r="232" spans="1:25" x14ac:dyDescent="0.3">
      <c r="A232" s="24" t="str">
        <f t="shared" si="21"/>
        <v>WA-927#0231</v>
      </c>
      <c r="B232" s="24" t="str">
        <f>IF('query (2)'!B232="","",TRIM(UPPER('query (2)'!B232)))</f>
        <v>WA-927</v>
      </c>
      <c r="C232" s="25" t="str">
        <f>IF('query (2)'!B232="","",'query (2)'!B232)</f>
        <v>WA-927</v>
      </c>
      <c r="D232" s="24" t="str">
        <f t="shared" si="22"/>
        <v>WA</v>
      </c>
      <c r="E232" s="24">
        <f t="shared" si="23"/>
        <v>1</v>
      </c>
      <c r="F232" s="24">
        <f>IF('query (2)'!A232="","",IFERROR(VALUE('query (2)'!A232),""))</f>
        <v>250</v>
      </c>
      <c r="G232" s="24" t="str">
        <f>IF('query (2)'!C232="","UNKNOWN",IFERROR(INDEX(Cleaning_Rules!$B$15:$B$20,MATCH(TRIM(UPPER('query (2)'!C232)),Cleaning_Rules!$A$15:$A$20,0)),"UNKNOWN"))</f>
        <v>FACTORY2</v>
      </c>
      <c r="H232" s="25" t="str">
        <f>IF('query (2)'!C232="","",'query (2)'!C232)</f>
        <v>FACTORY2</v>
      </c>
      <c r="I232" s="24" t="str" cm="1">
        <f t="array" ref="I232">_xlfn.IFS($G232="UNKNOWN","UNKNOWN",OR($G232="FACTORY1",$G232="FACTORY2",$G232="FACTORY3"),"PLANT",TRUE,"SHARED")</f>
        <v>PLANT</v>
      </c>
      <c r="J232" s="24" t="str">
        <f>IF('query (2)'!D232="","UNKNOWN",IF(COUNTIF(Cleaning_Rules!$A$6:$A$11,TRIM('query (2)'!D232))&gt;0,"UNKNOWN",IFERROR(INDEX(Cleaning_Rules!$B$24:$B$28,MATCH(TRIM(UPPER('query (2)'!D232)),Cleaning_Rules!$A$24:$A$28,0)),TRIM(UPPER('query (2)'!D232)))))</f>
        <v>MCB2</v>
      </c>
      <c r="K232" s="25" t="str">
        <f>IF('query (2)'!D232="","",'query (2)'!D232)</f>
        <v>MCB2</v>
      </c>
      <c r="L232" s="24" t="str">
        <f>IF($J232="UNKNOWN","",_xlfn.TEXTBEFORE($J232,{"0","1","2","3","4","5","6","7","8","9"," ","-","."},1,,,$J232))</f>
        <v>MCB</v>
      </c>
      <c r="M232" s="24" t="str">
        <f>IF('query (2)'!I232&lt;&gt;"",TRIM(UPPER('query (2)'!I232)),IF($L232="","UNKNOWN",$L232))</f>
        <v>MCB</v>
      </c>
      <c r="N232" s="24" t="str">
        <f>IF('query (2)'!I232&lt;&gt;"","SOURCE",IF($L232="","UNKNOWN","DERIVED"))</f>
        <v>SOURCE</v>
      </c>
      <c r="O232" s="24" t="str">
        <f>IF('query (2)'!E232="","NOT_SPECIFIED",TRIM(UPPER('query (2)'!E232)))</f>
        <v>GRINDING 2</v>
      </c>
      <c r="P232" s="24" t="str">
        <f>IF('query (2)'!F232="","",TRIM(UPPER('query (2)'!F232)))</f>
        <v>1306-MC2G</v>
      </c>
      <c r="Q232" s="24" t="str">
        <f>IF('query (2)'!G232="","UNKNOWN",IFERROR(INDEX(Cleaning_Rules!$B$38:$B$46,MATCH(TRIM(UPPER('query (2)'!G232)),Cleaning_Rules!$A$38:$A$46,0)),"UNKNOWN"))</f>
        <v>OTHER</v>
      </c>
      <c r="R232" s="24" t="str">
        <f>IF('query (2)'!H232="","",TRIM(UPPER('query (2)'!H232)))</f>
        <v>OUTER / INNER RING PART WASH EQUIPMENT MACHINE</v>
      </c>
      <c r="S232" s="25" t="str">
        <f>IF('query (2)'!H232="","",'query (2)'!H232)</f>
        <v>Outer / Inner ring  part wash equipment machine</v>
      </c>
      <c r="T232" s="24" t="str">
        <f>IF('query (2)'!J232="","",TRIM(UPPER('query (2)'!J232)))</f>
        <v>PART WASH EQUIPMENT</v>
      </c>
      <c r="U232" s="24" t="str">
        <f t="shared" si="24"/>
        <v/>
      </c>
      <c r="V232" s="24" t="str">
        <f>IF('query (2)'!K232="","NOT_SPECIFIED",IFERROR(INDEX(Cleaning_Rules!$B$32:$B$34,MATCH(TRIM(UPPER('query (2)'!K232)),Cleaning_Rules!$A$32:$A$34,0)),"UNKNOWN"))</f>
        <v>NOT_SPECIFIED</v>
      </c>
      <c r="W232" s="24" t="str">
        <f t="shared" si="25"/>
        <v>WA-927 | FACTORY2 | MCB2 | MCB | GRINDING 2 | 1306-MC2G | OTHER | OUTER / INNER RING PART WASH EQUIPMENT MACHINE | PART WASH EQUIPMENT | NOT_SPECIFIED</v>
      </c>
      <c r="X232" s="24" t="str">
        <f t="shared" si="26"/>
        <v/>
      </c>
      <c r="Y232" s="24" t="str">
        <f t="shared" si="27"/>
        <v>MISSING_STATUS; CATEGORY_NOT_USEFUL</v>
      </c>
    </row>
    <row r="233" spans="1:25" x14ac:dyDescent="0.3">
      <c r="A233" s="24" t="str">
        <f t="shared" si="21"/>
        <v>CH-928#0232</v>
      </c>
      <c r="B233" s="24" t="str">
        <f>IF('query (2)'!B233="","",TRIM(UPPER('query (2)'!B233)))</f>
        <v>CH-928</v>
      </c>
      <c r="C233" s="25" t="str">
        <f>IF('query (2)'!B233="","",'query (2)'!B233)</f>
        <v>CH-928</v>
      </c>
      <c r="D233" s="24" t="str">
        <f t="shared" si="22"/>
        <v>CH</v>
      </c>
      <c r="E233" s="24">
        <f t="shared" si="23"/>
        <v>1</v>
      </c>
      <c r="F233" s="24">
        <f>IF('query (2)'!A233="","",IFERROR(VALUE('query (2)'!A233),""))</f>
        <v>251</v>
      </c>
      <c r="G233" s="24" t="str">
        <f>IF('query (2)'!C233="","UNKNOWN",IFERROR(INDEX(Cleaning_Rules!$B$15:$B$20,MATCH(TRIM(UPPER('query (2)'!C233)),Cleaning_Rules!$A$15:$A$20,0)),"UNKNOWN"))</f>
        <v>FACTORY2</v>
      </c>
      <c r="H233" s="25" t="str">
        <f>IF('query (2)'!C233="","",'query (2)'!C233)</f>
        <v>FACTORY2</v>
      </c>
      <c r="I233" s="24" t="str" cm="1">
        <f t="array" ref="I233">_xlfn.IFS($G233="UNKNOWN","UNKNOWN",OR($G233="FACTORY1",$G233="FACTORY2",$G233="FACTORY3"),"PLANT",TRUE,"SHARED")</f>
        <v>PLANT</v>
      </c>
      <c r="J233" s="24" t="str">
        <f>IF('query (2)'!D233="","UNKNOWN",IF(COUNTIF(Cleaning_Rules!$A$6:$A$11,TRIM('query (2)'!D233))&gt;0,"UNKNOWN",IFERROR(INDEX(Cleaning_Rules!$B$24:$B$28,MATCH(TRIM(UPPER('query (2)'!D233)),Cleaning_Rules!$A$24:$A$28,0)),TRIM(UPPER('query (2)'!D233)))))</f>
        <v>MCB2</v>
      </c>
      <c r="K233" s="25" t="str">
        <f>IF('query (2)'!D233="","",'query (2)'!D233)</f>
        <v>MCB2</v>
      </c>
      <c r="L233" s="24" t="str">
        <f>IF($J233="UNKNOWN","",_xlfn.TEXTBEFORE($J233,{"0","1","2","3","4","5","6","7","8","9"," ","-","."},1,,,$J233))</f>
        <v>MCB</v>
      </c>
      <c r="M233" s="24" t="str">
        <f>IF('query (2)'!I233&lt;&gt;"",TRIM(UPPER('query (2)'!I233)),IF($L233="","UNKNOWN",$L233))</f>
        <v>MCB</v>
      </c>
      <c r="N233" s="24" t="str">
        <f>IF('query (2)'!I233&lt;&gt;"","SOURCE",IF($L233="","UNKNOWN","DERIVED"))</f>
        <v>SOURCE</v>
      </c>
      <c r="O233" s="24" t="str">
        <f>IF('query (2)'!E233="","NOT_SPECIFIED",TRIM(UPPER('query (2)'!E233)))</f>
        <v>GRINDING 2</v>
      </c>
      <c r="P233" s="24" t="str">
        <f>IF('query (2)'!F233="","",TRIM(UPPER('query (2)'!F233)))</f>
        <v>1306-MC2G</v>
      </c>
      <c r="Q233" s="24" t="str">
        <f>IF('query (2)'!G233="","UNKNOWN",IFERROR(INDEX(Cleaning_Rules!$B$38:$B$46,MATCH(TRIM(UPPER('query (2)'!G233)),Cleaning_Rules!$A$38:$A$46,0)),"UNKNOWN"))</f>
        <v>OTHER</v>
      </c>
      <c r="R233" s="24" t="str">
        <f>IF('query (2)'!H233="","",TRIM(UPPER('query (2)'!H233)))</f>
        <v>OUTER / INNER RING EDDY CURRENT TESTER MACHINE</v>
      </c>
      <c r="S233" s="25" t="str">
        <f>IF('query (2)'!H233="","",'query (2)'!H233)</f>
        <v>Outer / Inner ring  Eddy current tester machine</v>
      </c>
      <c r="T233" s="24" t="str">
        <f>IF('query (2)'!J233="","",TRIM(UPPER('query (2)'!J233)))</f>
        <v>A&amp;B - E.C.T.</v>
      </c>
      <c r="U233" s="24" t="str">
        <f t="shared" si="24"/>
        <v/>
      </c>
      <c r="V233" s="24" t="str">
        <f>IF('query (2)'!K233="","NOT_SPECIFIED",IFERROR(INDEX(Cleaning_Rules!$B$32:$B$34,MATCH(TRIM(UPPER('query (2)'!K233)),Cleaning_Rules!$A$32:$A$34,0)),"UNKNOWN"))</f>
        <v>NOT_SPECIFIED</v>
      </c>
      <c r="W233" s="24" t="str">
        <f t="shared" si="25"/>
        <v>CH-928 | FACTORY2 | MCB2 | MCB | GRINDING 2 | 1306-MC2G | OTHER | OUTER / INNER RING EDDY CURRENT TESTER MACHINE | A&amp;B - E.C.T. | NOT_SPECIFIED</v>
      </c>
      <c r="X233" s="24" t="str">
        <f t="shared" si="26"/>
        <v/>
      </c>
      <c r="Y233" s="24" t="str">
        <f t="shared" si="27"/>
        <v>MISSING_STATUS; CATEGORY_NOT_USEFUL</v>
      </c>
    </row>
    <row r="234" spans="1:25" x14ac:dyDescent="0.3">
      <c r="A234" s="24" t="str">
        <f t="shared" si="21"/>
        <v>CH-943#0233</v>
      </c>
      <c r="B234" s="24" t="str">
        <f>IF('query (2)'!B234="","",TRIM(UPPER('query (2)'!B234)))</f>
        <v>CH-943</v>
      </c>
      <c r="C234" s="25" t="str">
        <f>IF('query (2)'!B234="","",'query (2)'!B234)</f>
        <v>CH-943</v>
      </c>
      <c r="D234" s="24" t="str">
        <f t="shared" si="22"/>
        <v>CH</v>
      </c>
      <c r="E234" s="24">
        <f t="shared" si="23"/>
        <v>1</v>
      </c>
      <c r="F234" s="24">
        <f>IF('query (2)'!A234="","",IFERROR(VALUE('query (2)'!A234),""))</f>
        <v>252</v>
      </c>
      <c r="G234" s="24" t="str">
        <f>IF('query (2)'!C234="","UNKNOWN",IFERROR(INDEX(Cleaning_Rules!$B$15:$B$20,MATCH(TRIM(UPPER('query (2)'!C234)),Cleaning_Rules!$A$15:$A$20,0)),"UNKNOWN"))</f>
        <v>FACTORY2</v>
      </c>
      <c r="H234" s="25" t="str">
        <f>IF('query (2)'!C234="","",'query (2)'!C234)</f>
        <v>FACTORY2</v>
      </c>
      <c r="I234" s="24" t="str" cm="1">
        <f t="array" ref="I234">_xlfn.IFS($G234="UNKNOWN","UNKNOWN",OR($G234="FACTORY1",$G234="FACTORY2",$G234="FACTORY3"),"PLANT",TRUE,"SHARED")</f>
        <v>PLANT</v>
      </c>
      <c r="J234" s="24" t="str">
        <f>IF('query (2)'!D234="","UNKNOWN",IF(COUNTIF(Cleaning_Rules!$A$6:$A$11,TRIM('query (2)'!D234))&gt;0,"UNKNOWN",IFERROR(INDEX(Cleaning_Rules!$B$24:$B$28,MATCH(TRIM(UPPER('query (2)'!D234)),Cleaning_Rules!$A$24:$A$28,0)),TRIM(UPPER('query (2)'!D234)))))</f>
        <v>MCB2</v>
      </c>
      <c r="K234" s="25" t="str">
        <f>IF('query (2)'!D234="","",'query (2)'!D234)</f>
        <v>MCB2</v>
      </c>
      <c r="L234" s="24" t="str">
        <f>IF($J234="UNKNOWN","",_xlfn.TEXTBEFORE($J234,{"0","1","2","3","4","5","6","7","8","9"," ","-","."},1,,,$J234))</f>
        <v>MCB</v>
      </c>
      <c r="M234" s="24" t="str">
        <f>IF('query (2)'!I234&lt;&gt;"",TRIM(UPPER('query (2)'!I234)),IF($L234="","UNKNOWN",$L234))</f>
        <v>MCB</v>
      </c>
      <c r="N234" s="24" t="str">
        <f>IF('query (2)'!I234&lt;&gt;"","SOURCE",IF($L234="","UNKNOWN","DERIVED"))</f>
        <v>SOURCE</v>
      </c>
      <c r="O234" s="24" t="str">
        <f>IF('query (2)'!E234="","NOT_SPECIFIED",TRIM(UPPER('query (2)'!E234)))</f>
        <v>ASSEMBLY</v>
      </c>
      <c r="P234" s="24" t="str">
        <f>IF('query (2)'!F234="","",TRIM(UPPER('query (2)'!F234)))</f>
        <v>1307-MC2AI</v>
      </c>
      <c r="Q234" s="24" t="str">
        <f>IF('query (2)'!G234="","UNKNOWN",IFERROR(INDEX(Cleaning_Rules!$B$38:$B$46,MATCH(TRIM(UPPER('query (2)'!G234)),Cleaning_Rules!$A$38:$A$46,0)),"UNKNOWN"))</f>
        <v>OTHER</v>
      </c>
      <c r="R234" s="24" t="str">
        <f>IF('query (2)'!H234="","",TRIM(UPPER('query (2)'!H234)))</f>
        <v>TORQUE CHECK &amp; SEALIP M/C</v>
      </c>
      <c r="S234" s="25" t="str">
        <f>IF('query (2)'!H234="","",'query (2)'!H234)</f>
        <v>Torque check &amp; Sealip M/C</v>
      </c>
      <c r="T234" s="24" t="str">
        <f>IF('query (2)'!J234="","",TRIM(UPPER('query (2)'!J234)))</f>
        <v>TORQUE AUTO</v>
      </c>
      <c r="U234" s="24" t="str">
        <f t="shared" si="24"/>
        <v/>
      </c>
      <c r="V234" s="24" t="str">
        <f>IF('query (2)'!K234="","NOT_SPECIFIED",IFERROR(INDEX(Cleaning_Rules!$B$32:$B$34,MATCH(TRIM(UPPER('query (2)'!K234)),Cleaning_Rules!$A$32:$A$34,0)),"UNKNOWN"))</f>
        <v>NOT_SPECIFIED</v>
      </c>
      <c r="W234" s="24" t="str">
        <f t="shared" si="25"/>
        <v>CH-943 | FACTORY2 | MCB2 | MCB | ASSEMBLY | 1307-MC2AI | OTHER | TORQUE CHECK &amp; SEALIP M/C | TORQUE AUTO | NOT_SPECIFIED</v>
      </c>
      <c r="X234" s="24" t="str">
        <f t="shared" si="26"/>
        <v/>
      </c>
      <c r="Y234" s="24" t="str">
        <f t="shared" si="27"/>
        <v>MISSING_STATUS; CATEGORY_NOT_USEFUL</v>
      </c>
    </row>
    <row r="235" spans="1:25" x14ac:dyDescent="0.3">
      <c r="A235" s="24" t="str">
        <f t="shared" si="21"/>
        <v>AR-978#0234</v>
      </c>
      <c r="B235" s="24" t="str">
        <f>IF('query (2)'!B235="","",TRIM(UPPER('query (2)'!B235)))</f>
        <v>AR-978</v>
      </c>
      <c r="C235" s="25" t="str">
        <f>IF('query (2)'!B235="","",'query (2)'!B235)</f>
        <v>AR-978</v>
      </c>
      <c r="D235" s="24" t="str">
        <f t="shared" si="22"/>
        <v>AR</v>
      </c>
      <c r="E235" s="24">
        <f t="shared" si="23"/>
        <v>1</v>
      </c>
      <c r="F235" s="24">
        <f>IF('query (2)'!A235="","",IFERROR(VALUE('query (2)'!A235),""))</f>
        <v>253</v>
      </c>
      <c r="G235" s="24" t="str">
        <f>IF('query (2)'!C235="","UNKNOWN",IFERROR(INDEX(Cleaning_Rules!$B$15:$B$20,MATCH(TRIM(UPPER('query (2)'!C235)),Cleaning_Rules!$A$15:$A$20,0)),"UNKNOWN"))</f>
        <v>FACTORY2</v>
      </c>
      <c r="H235" s="25" t="str">
        <f>IF('query (2)'!C235="","",'query (2)'!C235)</f>
        <v>FACTORY2</v>
      </c>
      <c r="I235" s="24" t="str" cm="1">
        <f t="array" ref="I235">_xlfn.IFS($G235="UNKNOWN","UNKNOWN",OR($G235="FACTORY1",$G235="FACTORY2",$G235="FACTORY3"),"PLANT",TRUE,"SHARED")</f>
        <v>PLANT</v>
      </c>
      <c r="J235" s="24" t="str">
        <f>IF('query (2)'!D235="","UNKNOWN",IF(COUNTIF(Cleaning_Rules!$A$6:$A$11,TRIM('query (2)'!D235))&gt;0,"UNKNOWN",IFERROR(INDEX(Cleaning_Rules!$B$24:$B$28,MATCH(TRIM(UPPER('query (2)'!D235)),Cleaning_Rules!$A$24:$A$28,0)),TRIM(UPPER('query (2)'!D235)))))</f>
        <v>MCB2</v>
      </c>
      <c r="K235" s="25" t="str">
        <f>IF('query (2)'!D235="","",'query (2)'!D235)</f>
        <v>MCB2</v>
      </c>
      <c r="L235" s="24" t="str">
        <f>IF($J235="UNKNOWN","",_xlfn.TEXTBEFORE($J235,{"0","1","2","3","4","5","6","7","8","9"," ","-","."},1,,,$J235))</f>
        <v>MCB</v>
      </c>
      <c r="M235" s="24" t="str">
        <f>IF('query (2)'!I235&lt;&gt;"",TRIM(UPPER('query (2)'!I235)),IF($L235="","UNKNOWN",$L235))</f>
        <v>MCB</v>
      </c>
      <c r="N235" s="24" t="str">
        <f>IF('query (2)'!I235&lt;&gt;"","SOURCE",IF($L235="","UNKNOWN","DERIVED"))</f>
        <v>SOURCE</v>
      </c>
      <c r="O235" s="24" t="str">
        <f>IF('query (2)'!E235="","NOT_SPECIFIED",TRIM(UPPER('query (2)'!E235)))</f>
        <v>ASSEMBLY</v>
      </c>
      <c r="P235" s="24" t="str">
        <f>IF('query (2)'!F235="","",TRIM(UPPER('query (2)'!F235)))</f>
        <v>1307-MC2AI</v>
      </c>
      <c r="Q235" s="24" t="str">
        <f>IF('query (2)'!G235="","UNKNOWN",IFERROR(INDEX(Cleaning_Rules!$B$38:$B$46,MATCH(TRIM(UPPER('query (2)'!G235)),Cleaning_Rules!$A$38:$A$46,0)),"UNKNOWN"))</f>
        <v>OTHER</v>
      </c>
      <c r="R235" s="24" t="str">
        <f>IF('query (2)'!H235="","",TRIM(UPPER('query (2)'!H235)))</f>
        <v>AUTO ANTRIUST M/C</v>
      </c>
      <c r="S235" s="25" t="str">
        <f>IF('query (2)'!H235="","",'query (2)'!H235)</f>
        <v>Auto  antriust  m/c</v>
      </c>
      <c r="T235" s="24" t="str">
        <f>IF('query (2)'!J235="","",TRIM(UPPER('query (2)'!J235)))</f>
        <v>ANTI RUST AUTO</v>
      </c>
      <c r="U235" s="24" t="str">
        <f t="shared" si="24"/>
        <v/>
      </c>
      <c r="V235" s="24" t="str">
        <f>IF('query (2)'!K235="","NOT_SPECIFIED",IFERROR(INDEX(Cleaning_Rules!$B$32:$B$34,MATCH(TRIM(UPPER('query (2)'!K235)),Cleaning_Rules!$A$32:$A$34,0)),"UNKNOWN"))</f>
        <v>NOT_SPECIFIED</v>
      </c>
      <c r="W235" s="24" t="str">
        <f t="shared" si="25"/>
        <v>AR-978 | FACTORY2 | MCB2 | MCB | ASSEMBLY | 1307-MC2AI | OTHER | AUTO ANTRIUST M/C | ANTI RUST AUTO | NOT_SPECIFIED</v>
      </c>
      <c r="X235" s="24" t="str">
        <f t="shared" si="26"/>
        <v/>
      </c>
      <c r="Y235" s="24" t="str">
        <f t="shared" si="27"/>
        <v>MISSING_STATUS; CATEGORY_NOT_USEFUL</v>
      </c>
    </row>
    <row r="236" spans="1:25" x14ac:dyDescent="0.3">
      <c r="A236" s="24" t="str">
        <f t="shared" si="21"/>
        <v>AR-1062#0235</v>
      </c>
      <c r="B236" s="24" t="str">
        <f>IF('query (2)'!B236="","",TRIM(UPPER('query (2)'!B236)))</f>
        <v>AR-1062</v>
      </c>
      <c r="C236" s="25" t="str">
        <f>IF('query (2)'!B236="","",'query (2)'!B236)</f>
        <v>AR-1062</v>
      </c>
      <c r="D236" s="24" t="str">
        <f t="shared" si="22"/>
        <v>AR</v>
      </c>
      <c r="E236" s="24">
        <f t="shared" si="23"/>
        <v>1</v>
      </c>
      <c r="F236" s="24">
        <f>IF('query (2)'!A236="","",IFERROR(VALUE('query (2)'!A236),""))</f>
        <v>254</v>
      </c>
      <c r="G236" s="24" t="str">
        <f>IF('query (2)'!C236="","UNKNOWN",IFERROR(INDEX(Cleaning_Rules!$B$15:$B$20,MATCH(TRIM(UPPER('query (2)'!C236)),Cleaning_Rules!$A$15:$A$20,0)),"UNKNOWN"))</f>
        <v>FACTORY2</v>
      </c>
      <c r="H236" s="25" t="str">
        <f>IF('query (2)'!C236="","",'query (2)'!C236)</f>
        <v>FACTORY2</v>
      </c>
      <c r="I236" s="24" t="str" cm="1">
        <f t="array" ref="I236">_xlfn.IFS($G236="UNKNOWN","UNKNOWN",OR($G236="FACTORY1",$G236="FACTORY2",$G236="FACTORY3"),"PLANT",TRUE,"SHARED")</f>
        <v>PLANT</v>
      </c>
      <c r="J236" s="24" t="str">
        <f>IF('query (2)'!D236="","UNKNOWN",IF(COUNTIF(Cleaning_Rules!$A$6:$A$11,TRIM('query (2)'!D236))&gt;0,"UNKNOWN",IFERROR(INDEX(Cleaning_Rules!$B$24:$B$28,MATCH(TRIM(UPPER('query (2)'!D236)),Cleaning_Rules!$A$24:$A$28,0)),TRIM(UPPER('query (2)'!D236)))))</f>
        <v>MCB2</v>
      </c>
      <c r="K236" s="25" t="str">
        <f>IF('query (2)'!D236="","",'query (2)'!D236)</f>
        <v>MCB2</v>
      </c>
      <c r="L236" s="24" t="str">
        <f>IF($J236="UNKNOWN","",_xlfn.TEXTBEFORE($J236,{"0","1","2","3","4","5","6","7","8","9"," ","-","."},1,,,$J236))</f>
        <v>MCB</v>
      </c>
      <c r="M236" s="24" t="str">
        <f>IF('query (2)'!I236&lt;&gt;"",TRIM(UPPER('query (2)'!I236)),IF($L236="","UNKNOWN",$L236))</f>
        <v>MCB</v>
      </c>
      <c r="N236" s="24" t="str">
        <f>IF('query (2)'!I236&lt;&gt;"","SOURCE",IF($L236="","UNKNOWN","DERIVED"))</f>
        <v>SOURCE</v>
      </c>
      <c r="O236" s="24" t="str">
        <f>IF('query (2)'!E236="","NOT_SPECIFIED",TRIM(UPPER('query (2)'!E236)))</f>
        <v>ASSEMBLY</v>
      </c>
      <c r="P236" s="24" t="str">
        <f>IF('query (2)'!F236="","",TRIM(UPPER('query (2)'!F236)))</f>
        <v>1307-MC2AI</v>
      </c>
      <c r="Q236" s="24" t="str">
        <f>IF('query (2)'!G236="","UNKNOWN",IFERROR(INDEX(Cleaning_Rules!$B$38:$B$46,MATCH(TRIM(UPPER('query (2)'!G236)),Cleaning_Rules!$A$38:$A$46,0)),"UNKNOWN"))</f>
        <v>OTHER</v>
      </c>
      <c r="R236" s="24" t="str">
        <f>IF('query (2)'!H236="","",TRIM(UPPER('query (2)'!H236)))</f>
        <v>AUTO ANTRIUST M/C</v>
      </c>
      <c r="S236" s="25" t="str">
        <f>IF('query (2)'!H236="","",'query (2)'!H236)</f>
        <v>Auto  antriust  m/c</v>
      </c>
      <c r="T236" s="24" t="str">
        <f>IF('query (2)'!J236="","",TRIM(UPPER('query (2)'!J236)))</f>
        <v>ANTI RUST AUTO</v>
      </c>
      <c r="U236" s="24" t="str">
        <f t="shared" si="24"/>
        <v/>
      </c>
      <c r="V236" s="24" t="str">
        <f>IF('query (2)'!K236="","NOT_SPECIFIED",IFERROR(INDEX(Cleaning_Rules!$B$32:$B$34,MATCH(TRIM(UPPER('query (2)'!K236)),Cleaning_Rules!$A$32:$A$34,0)),"UNKNOWN"))</f>
        <v>NOT_SPECIFIED</v>
      </c>
      <c r="W236" s="24" t="str">
        <f t="shared" si="25"/>
        <v>AR-1062 | FACTORY2 | MCB2 | MCB | ASSEMBLY | 1307-MC2AI | OTHER | AUTO ANTRIUST M/C | ANTI RUST AUTO | NOT_SPECIFIED</v>
      </c>
      <c r="X236" s="24" t="str">
        <f t="shared" si="26"/>
        <v/>
      </c>
      <c r="Y236" s="24" t="str">
        <f t="shared" si="27"/>
        <v>MISSING_STATUS; CATEGORY_NOT_USEFUL</v>
      </c>
    </row>
    <row r="237" spans="1:25" x14ac:dyDescent="0.3">
      <c r="A237" s="24" t="str">
        <f t="shared" si="21"/>
        <v>GR-715#0236</v>
      </c>
      <c r="B237" s="24" t="str">
        <f>IF('query (2)'!B237="","",TRIM(UPPER('query (2)'!B237)))</f>
        <v>GR-715</v>
      </c>
      <c r="C237" s="25" t="str">
        <f>IF('query (2)'!B237="","",'query (2)'!B237)</f>
        <v>GR-715</v>
      </c>
      <c r="D237" s="24" t="str">
        <f t="shared" si="22"/>
        <v>GR</v>
      </c>
      <c r="E237" s="24">
        <f t="shared" si="23"/>
        <v>1</v>
      </c>
      <c r="F237" s="24">
        <f>IF('query (2)'!A237="","",IFERROR(VALUE('query (2)'!A237),""))</f>
        <v>255</v>
      </c>
      <c r="G237" s="24" t="str">
        <f>IF('query (2)'!C237="","UNKNOWN",IFERROR(INDEX(Cleaning_Rules!$B$15:$B$20,MATCH(TRIM(UPPER('query (2)'!C237)),Cleaning_Rules!$A$15:$A$20,0)),"UNKNOWN"))</f>
        <v>FACTORY2</v>
      </c>
      <c r="H237" s="25" t="str">
        <f>IF('query (2)'!C237="","",'query (2)'!C237)</f>
        <v>FACTORY2</v>
      </c>
      <c r="I237" s="24" t="str" cm="1">
        <f t="array" ref="I237">_xlfn.IFS($G237="UNKNOWN","UNKNOWN",OR($G237="FACTORY1",$G237="FACTORY2",$G237="FACTORY3"),"PLANT",TRUE,"SHARED")</f>
        <v>PLANT</v>
      </c>
      <c r="J237" s="24" t="str">
        <f>IF('query (2)'!D237="","UNKNOWN",IF(COUNTIF(Cleaning_Rules!$A$6:$A$11,TRIM('query (2)'!D237))&gt;0,"UNKNOWN",IFERROR(INDEX(Cleaning_Rules!$B$24:$B$28,MATCH(TRIM(UPPER('query (2)'!D237)),Cleaning_Rules!$A$24:$A$28,0)),TRIM(UPPER('query (2)'!D237)))))</f>
        <v>MCB3</v>
      </c>
      <c r="K237" s="25" t="str">
        <f>IF('query (2)'!D237="","",'query (2)'!D237)</f>
        <v>MCB3</v>
      </c>
      <c r="L237" s="24" t="str">
        <f>IF($J237="UNKNOWN","",_xlfn.TEXTBEFORE($J237,{"0","1","2","3","4","5","6","7","8","9"," ","-","."},1,,,$J237))</f>
        <v>MCB</v>
      </c>
      <c r="M237" s="24" t="str">
        <f>IF('query (2)'!I237&lt;&gt;"",TRIM(UPPER('query (2)'!I237)),IF($L237="","UNKNOWN",$L237))</f>
        <v>MCB</v>
      </c>
      <c r="N237" s="24" t="str">
        <f>IF('query (2)'!I237&lt;&gt;"","SOURCE",IF($L237="","UNKNOWN","DERIVED"))</f>
        <v>SOURCE</v>
      </c>
      <c r="O237" s="24" t="str">
        <f>IF('query (2)'!E237="","NOT_SPECIFIED",TRIM(UPPER('query (2)'!E237)))</f>
        <v>GRINDING 2</v>
      </c>
      <c r="P237" s="24" t="str">
        <f>IF('query (2)'!F237="","",TRIM(UPPER('query (2)'!F237)))</f>
        <v>1312-MC3G</v>
      </c>
      <c r="Q237" s="24" t="str">
        <f>IF('query (2)'!G237="","UNKNOWN",IFERROR(INDEX(Cleaning_Rules!$B$38:$B$46,MATCH(TRIM(UPPER('query (2)'!G237)),Cleaning_Rules!$A$38:$A$46,0)),"UNKNOWN"))</f>
        <v>OTHER</v>
      </c>
      <c r="R237" s="24" t="str">
        <f>IF('query (2)'!H237="","",TRIM(UPPER('query (2)'!H237)))</f>
        <v>INNER RING RACEWAY GRINDING MACHINE.</v>
      </c>
      <c r="S237" s="25" t="str">
        <f>IF('query (2)'!H237="","",'query (2)'!H237)</f>
        <v>Inner ring raceway grinding machine.</v>
      </c>
      <c r="T237" s="24" t="str">
        <f>IF('query (2)'!J237="","",TRIM(UPPER('query (2)'!J237)))</f>
        <v>B - RACEWAY GRINDING</v>
      </c>
      <c r="U237" s="24" t="str">
        <f t="shared" si="24"/>
        <v/>
      </c>
      <c r="V237" s="24" t="str">
        <f>IF('query (2)'!K237="","NOT_SPECIFIED",IFERROR(INDEX(Cleaning_Rules!$B$32:$B$34,MATCH(TRIM(UPPER('query (2)'!K237)),Cleaning_Rules!$A$32:$A$34,0)),"UNKNOWN"))</f>
        <v>NOT_SPECIFIED</v>
      </c>
      <c r="W237" s="24" t="str">
        <f t="shared" si="25"/>
        <v>GR-715 | FACTORY2 | MCB3 | MCB | GRINDING 2 | 1312-MC3G | OTHER | INNER RING RACEWAY GRINDING MACHINE. | B - RACEWAY GRINDING | NOT_SPECIFIED</v>
      </c>
      <c r="X237" s="24" t="str">
        <f t="shared" si="26"/>
        <v/>
      </c>
      <c r="Y237" s="24" t="str">
        <f t="shared" si="27"/>
        <v>MISSING_STATUS; CATEGORY_NOT_USEFUL</v>
      </c>
    </row>
    <row r="238" spans="1:25" x14ac:dyDescent="0.3">
      <c r="A238" s="24" t="str">
        <f t="shared" si="21"/>
        <v>GR-925#0237</v>
      </c>
      <c r="B238" s="24" t="str">
        <f>IF('query (2)'!B238="","",TRIM(UPPER('query (2)'!B238)))</f>
        <v>GR-925</v>
      </c>
      <c r="C238" s="25" t="str">
        <f>IF('query (2)'!B238="","",'query (2)'!B238)</f>
        <v>GR-925</v>
      </c>
      <c r="D238" s="24" t="str">
        <f t="shared" si="22"/>
        <v>GR</v>
      </c>
      <c r="E238" s="24">
        <f t="shared" si="23"/>
        <v>1</v>
      </c>
      <c r="F238" s="24">
        <f>IF('query (2)'!A238="","",IFERROR(VALUE('query (2)'!A238),""))</f>
        <v>256</v>
      </c>
      <c r="G238" s="24" t="str">
        <f>IF('query (2)'!C238="","UNKNOWN",IFERROR(INDEX(Cleaning_Rules!$B$15:$B$20,MATCH(TRIM(UPPER('query (2)'!C238)),Cleaning_Rules!$A$15:$A$20,0)),"UNKNOWN"))</f>
        <v>FACTORY2</v>
      </c>
      <c r="H238" s="25" t="str">
        <f>IF('query (2)'!C238="","",'query (2)'!C238)</f>
        <v>FACTORY2</v>
      </c>
      <c r="I238" s="24" t="str" cm="1">
        <f t="array" ref="I238">_xlfn.IFS($G238="UNKNOWN","UNKNOWN",OR($G238="FACTORY1",$G238="FACTORY2",$G238="FACTORY3"),"PLANT",TRUE,"SHARED")</f>
        <v>PLANT</v>
      </c>
      <c r="J238" s="24" t="str">
        <f>IF('query (2)'!D238="","UNKNOWN",IF(COUNTIF(Cleaning_Rules!$A$6:$A$11,TRIM('query (2)'!D238))&gt;0,"UNKNOWN",IFERROR(INDEX(Cleaning_Rules!$B$24:$B$28,MATCH(TRIM(UPPER('query (2)'!D238)),Cleaning_Rules!$A$24:$A$28,0)),TRIM(UPPER('query (2)'!D238)))))</f>
        <v>MCB3</v>
      </c>
      <c r="K238" s="25" t="str">
        <f>IF('query (2)'!D238="","",'query (2)'!D238)</f>
        <v>MCB3</v>
      </c>
      <c r="L238" s="24" t="str">
        <f>IF($J238="UNKNOWN","",_xlfn.TEXTBEFORE($J238,{"0","1","2","3","4","5","6","7","8","9"," ","-","."},1,,,$J238))</f>
        <v>MCB</v>
      </c>
      <c r="M238" s="24" t="str">
        <f>IF('query (2)'!I238&lt;&gt;"",TRIM(UPPER('query (2)'!I238)),IF($L238="","UNKNOWN",$L238))</f>
        <v>MCB</v>
      </c>
      <c r="N238" s="24" t="str">
        <f>IF('query (2)'!I238&lt;&gt;"","SOURCE",IF($L238="","UNKNOWN","DERIVED"))</f>
        <v>SOURCE</v>
      </c>
      <c r="O238" s="24" t="str">
        <f>IF('query (2)'!E238="","NOT_SPECIFIED",TRIM(UPPER('query (2)'!E238)))</f>
        <v>GRINDING 2</v>
      </c>
      <c r="P238" s="24" t="str">
        <f>IF('query (2)'!F238="","",TRIM(UPPER('query (2)'!F238)))</f>
        <v>1312-MC3G</v>
      </c>
      <c r="Q238" s="24" t="str">
        <f>IF('query (2)'!G238="","UNKNOWN",IFERROR(INDEX(Cleaning_Rules!$B$38:$B$46,MATCH(TRIM(UPPER('query (2)'!G238)),Cleaning_Rules!$A$38:$A$46,0)),"UNKNOWN"))</f>
        <v>OTHER</v>
      </c>
      <c r="R238" s="24" t="str">
        <f>IF('query (2)'!H238="","",TRIM(UPPER('query (2)'!H238)))</f>
        <v>INNER RING BORE GRINDING MACHINE. (GR-716)</v>
      </c>
      <c r="S238" s="25" t="str">
        <f>IF('query (2)'!H238="","",'query (2)'!H238)</f>
        <v>Inner ring bore grinding machine.  (GR-716)</v>
      </c>
      <c r="T238" s="24" t="str">
        <f>IF('query (2)'!J238="","",TRIM(UPPER('query (2)'!J238)))</f>
        <v>B - BORE GRINDING</v>
      </c>
      <c r="U238" s="24" t="str">
        <f t="shared" si="24"/>
        <v>GR-716</v>
      </c>
      <c r="V238" s="24" t="str">
        <f>IF('query (2)'!K238="","NOT_SPECIFIED",IFERROR(INDEX(Cleaning_Rules!$B$32:$B$34,MATCH(TRIM(UPPER('query (2)'!K238)),Cleaning_Rules!$A$32:$A$34,0)),"UNKNOWN"))</f>
        <v>NOT_SPECIFIED</v>
      </c>
      <c r="W238" s="24" t="str">
        <f t="shared" si="25"/>
        <v>GR-925 | FACTORY2 | MCB3 | MCB | GRINDING 2 | 1312-MC3G | OTHER | INNER RING BORE GRINDING MACHINE. (GR-716) | B - BORE GRINDING | NOT_SPECIFIED</v>
      </c>
      <c r="X238" s="24" t="str">
        <f t="shared" si="26"/>
        <v/>
      </c>
      <c r="Y238" s="24" t="str">
        <f t="shared" si="27"/>
        <v>MISSING_STATUS; CATEGORY_NOT_USEFUL</v>
      </c>
    </row>
    <row r="239" spans="1:25" x14ac:dyDescent="0.3">
      <c r="A239" s="24" t="str">
        <f t="shared" si="21"/>
        <v>DE-717#0238</v>
      </c>
      <c r="B239" s="24" t="str">
        <f>IF('query (2)'!B239="","",TRIM(UPPER('query (2)'!B239)))</f>
        <v>DE-717</v>
      </c>
      <c r="C239" s="25" t="str">
        <f>IF('query (2)'!B239="","",'query (2)'!B239)</f>
        <v>DE-717</v>
      </c>
      <c r="D239" s="24" t="str">
        <f t="shared" si="22"/>
        <v>DE</v>
      </c>
      <c r="E239" s="24">
        <f t="shared" si="23"/>
        <v>1</v>
      </c>
      <c r="F239" s="24">
        <f>IF('query (2)'!A239="","",IFERROR(VALUE('query (2)'!A239),""))</f>
        <v>257</v>
      </c>
      <c r="G239" s="24" t="str">
        <f>IF('query (2)'!C239="","UNKNOWN",IFERROR(INDEX(Cleaning_Rules!$B$15:$B$20,MATCH(TRIM(UPPER('query (2)'!C239)),Cleaning_Rules!$A$15:$A$20,0)),"UNKNOWN"))</f>
        <v>FACTORY2</v>
      </c>
      <c r="H239" s="25" t="str">
        <f>IF('query (2)'!C239="","",'query (2)'!C239)</f>
        <v>FACTORY2</v>
      </c>
      <c r="I239" s="24" t="str" cm="1">
        <f t="array" ref="I239">_xlfn.IFS($G239="UNKNOWN","UNKNOWN",OR($G239="FACTORY1",$G239="FACTORY2",$G239="FACTORY3"),"PLANT",TRUE,"SHARED")</f>
        <v>PLANT</v>
      </c>
      <c r="J239" s="24" t="str">
        <f>IF('query (2)'!D239="","UNKNOWN",IF(COUNTIF(Cleaning_Rules!$A$6:$A$11,TRIM('query (2)'!D239))&gt;0,"UNKNOWN",IFERROR(INDEX(Cleaning_Rules!$B$24:$B$28,MATCH(TRIM(UPPER('query (2)'!D239)),Cleaning_Rules!$A$24:$A$28,0)),TRIM(UPPER('query (2)'!D239)))))</f>
        <v>MCB3</v>
      </c>
      <c r="K239" s="25" t="str">
        <f>IF('query (2)'!D239="","",'query (2)'!D239)</f>
        <v>MCB3</v>
      </c>
      <c r="L239" s="24" t="str">
        <f>IF($J239="UNKNOWN","",_xlfn.TEXTBEFORE($J239,{"0","1","2","3","4","5","6","7","8","9"," ","-","."},1,,,$J239))</f>
        <v>MCB</v>
      </c>
      <c r="M239" s="24" t="str">
        <f>IF('query (2)'!I239&lt;&gt;"",TRIM(UPPER('query (2)'!I239)),IF($L239="","UNKNOWN",$L239))</f>
        <v>MCB</v>
      </c>
      <c r="N239" s="24" t="str">
        <f>IF('query (2)'!I239&lt;&gt;"","SOURCE",IF($L239="","UNKNOWN","DERIVED"))</f>
        <v>SOURCE</v>
      </c>
      <c r="O239" s="24" t="str">
        <f>IF('query (2)'!E239="","NOT_SPECIFIED",TRIM(UPPER('query (2)'!E239)))</f>
        <v>GRINDING 2</v>
      </c>
      <c r="P239" s="24" t="str">
        <f>IF('query (2)'!F239="","",TRIM(UPPER('query (2)'!F239)))</f>
        <v>1312-MC3G</v>
      </c>
      <c r="Q239" s="24" t="str">
        <f>IF('query (2)'!G239="","UNKNOWN",IFERROR(INDEX(Cleaning_Rules!$B$38:$B$46,MATCH(TRIM(UPPER('query (2)'!G239)),Cleaning_Rules!$A$38:$A$46,0)),"UNKNOWN"))</f>
        <v>OTHER</v>
      </c>
      <c r="R239" s="24" t="str">
        <f>IF('query (2)'!H239="","",TRIM(UPPER('query (2)'!H239)))</f>
        <v>DEMAGNETIZING FOR INNER RING MACHINE.</v>
      </c>
      <c r="S239" s="25" t="str">
        <f>IF('query (2)'!H239="","",'query (2)'!H239)</f>
        <v>Demagnetizing for  inner  ring  machine.</v>
      </c>
      <c r="T239" s="24" t="str">
        <f>IF('query (2)'!J239="","",TRIM(UPPER('query (2)'!J239)))</f>
        <v>B - DEMAGNETIZING</v>
      </c>
      <c r="U239" s="24" t="str">
        <f t="shared" si="24"/>
        <v/>
      </c>
      <c r="V239" s="24" t="str">
        <f>IF('query (2)'!K239="","NOT_SPECIFIED",IFERROR(INDEX(Cleaning_Rules!$B$32:$B$34,MATCH(TRIM(UPPER('query (2)'!K239)),Cleaning_Rules!$A$32:$A$34,0)),"UNKNOWN"))</f>
        <v>NOT_SPECIFIED</v>
      </c>
      <c r="W239" s="24" t="str">
        <f t="shared" si="25"/>
        <v>DE-717 | FACTORY2 | MCB3 | MCB | GRINDING 2 | 1312-MC3G | OTHER | DEMAGNETIZING FOR INNER RING MACHINE. | B - DEMAGNETIZING | NOT_SPECIFIED</v>
      </c>
      <c r="X239" s="24" t="str">
        <f t="shared" si="26"/>
        <v/>
      </c>
      <c r="Y239" s="24" t="str">
        <f t="shared" si="27"/>
        <v>MISSING_STATUS; CATEGORY_NOT_USEFUL</v>
      </c>
    </row>
    <row r="240" spans="1:25" x14ac:dyDescent="0.3">
      <c r="A240" s="24" t="str">
        <f t="shared" si="21"/>
        <v>GR-718#0239</v>
      </c>
      <c r="B240" s="24" t="str">
        <f>IF('query (2)'!B240="","",TRIM(UPPER('query (2)'!B240)))</f>
        <v>GR-718</v>
      </c>
      <c r="C240" s="25" t="str">
        <f>IF('query (2)'!B240="","",'query (2)'!B240)</f>
        <v>GR-718</v>
      </c>
      <c r="D240" s="24" t="str">
        <f t="shared" si="22"/>
        <v>GR</v>
      </c>
      <c r="E240" s="24">
        <f t="shared" si="23"/>
        <v>1</v>
      </c>
      <c r="F240" s="24">
        <f>IF('query (2)'!A240="","",IFERROR(VALUE('query (2)'!A240),""))</f>
        <v>258</v>
      </c>
      <c r="G240" s="24" t="str">
        <f>IF('query (2)'!C240="","UNKNOWN",IFERROR(INDEX(Cleaning_Rules!$B$15:$B$20,MATCH(TRIM(UPPER('query (2)'!C240)),Cleaning_Rules!$A$15:$A$20,0)),"UNKNOWN"))</f>
        <v>FACTORY2</v>
      </c>
      <c r="H240" s="25" t="str">
        <f>IF('query (2)'!C240="","",'query (2)'!C240)</f>
        <v>FACTORY2</v>
      </c>
      <c r="I240" s="24" t="str" cm="1">
        <f t="array" ref="I240">_xlfn.IFS($G240="UNKNOWN","UNKNOWN",OR($G240="FACTORY1",$G240="FACTORY2",$G240="FACTORY3"),"PLANT",TRUE,"SHARED")</f>
        <v>PLANT</v>
      </c>
      <c r="J240" s="24" t="str">
        <f>IF('query (2)'!D240="","UNKNOWN",IF(COUNTIF(Cleaning_Rules!$A$6:$A$11,TRIM('query (2)'!D240))&gt;0,"UNKNOWN",IFERROR(INDEX(Cleaning_Rules!$B$24:$B$28,MATCH(TRIM(UPPER('query (2)'!D240)),Cleaning_Rules!$A$24:$A$28,0)),TRIM(UPPER('query (2)'!D240)))))</f>
        <v>MCB3</v>
      </c>
      <c r="K240" s="25" t="str">
        <f>IF('query (2)'!D240="","",'query (2)'!D240)</f>
        <v>MCB3</v>
      </c>
      <c r="L240" s="24" t="str">
        <f>IF($J240="UNKNOWN","",_xlfn.TEXTBEFORE($J240,{"0","1","2","3","4","5","6","7","8","9"," ","-","."},1,,,$J240))</f>
        <v>MCB</v>
      </c>
      <c r="M240" s="24" t="str">
        <f>IF('query (2)'!I240&lt;&gt;"",TRIM(UPPER('query (2)'!I240)),IF($L240="","UNKNOWN",$L240))</f>
        <v>MCB</v>
      </c>
      <c r="N240" s="24" t="str">
        <f>IF('query (2)'!I240&lt;&gt;"","SOURCE",IF($L240="","UNKNOWN","DERIVED"))</f>
        <v>SOURCE</v>
      </c>
      <c r="O240" s="24" t="str">
        <f>IF('query (2)'!E240="","NOT_SPECIFIED",TRIM(UPPER('query (2)'!E240)))</f>
        <v>GRINDING 2</v>
      </c>
      <c r="P240" s="24" t="str">
        <f>IF('query (2)'!F240="","",TRIM(UPPER('query (2)'!F240)))</f>
        <v>1312-MC3G</v>
      </c>
      <c r="Q240" s="24" t="str">
        <f>IF('query (2)'!G240="","UNKNOWN",IFERROR(INDEX(Cleaning_Rules!$B$38:$B$46,MATCH(TRIM(UPPER('query (2)'!G240)),Cleaning_Rules!$A$38:$A$46,0)),"UNKNOWN"))</f>
        <v>OTHER</v>
      </c>
      <c r="R240" s="24" t="str">
        <f>IF('query (2)'!H240="","",TRIM(UPPER('query (2)'!H240)))</f>
        <v>INNER RING RACEWAY SUPER FINISH MACHINE.</v>
      </c>
      <c r="S240" s="25" t="str">
        <f>IF('query (2)'!H240="","",'query (2)'!H240)</f>
        <v>Inner ring raceway super finish machine.</v>
      </c>
      <c r="T240" s="24" t="str">
        <f>IF('query (2)'!J240="","",TRIM(UPPER('query (2)'!J240)))</f>
        <v>B - RACEWAY SUPER FINISH</v>
      </c>
      <c r="U240" s="24" t="str">
        <f t="shared" si="24"/>
        <v/>
      </c>
      <c r="V240" s="24" t="str">
        <f>IF('query (2)'!K240="","NOT_SPECIFIED",IFERROR(INDEX(Cleaning_Rules!$B$32:$B$34,MATCH(TRIM(UPPER('query (2)'!K240)),Cleaning_Rules!$A$32:$A$34,0)),"UNKNOWN"))</f>
        <v>NOT_SPECIFIED</v>
      </c>
      <c r="W240" s="24" t="str">
        <f t="shared" si="25"/>
        <v>GR-718 | FACTORY2 | MCB3 | MCB | GRINDING 2 | 1312-MC3G | OTHER | INNER RING RACEWAY SUPER FINISH MACHINE. | B - RACEWAY SUPER FINISH | NOT_SPECIFIED</v>
      </c>
      <c r="X240" s="24" t="str">
        <f t="shared" si="26"/>
        <v/>
      </c>
      <c r="Y240" s="24" t="str">
        <f t="shared" si="27"/>
        <v>MISSING_STATUS; CATEGORY_NOT_USEFUL</v>
      </c>
    </row>
    <row r="241" spans="1:25" x14ac:dyDescent="0.3">
      <c r="A241" s="24" t="str">
        <f t="shared" si="21"/>
        <v>GR-721#0240</v>
      </c>
      <c r="B241" s="24" t="str">
        <f>IF('query (2)'!B241="","",TRIM(UPPER('query (2)'!B241)))</f>
        <v>GR-721</v>
      </c>
      <c r="C241" s="25" t="str">
        <f>IF('query (2)'!B241="","",'query (2)'!B241)</f>
        <v>GR-721</v>
      </c>
      <c r="D241" s="24" t="str">
        <f t="shared" si="22"/>
        <v>GR</v>
      </c>
      <c r="E241" s="24">
        <f t="shared" si="23"/>
        <v>1</v>
      </c>
      <c r="F241" s="24">
        <f>IF('query (2)'!A241="","",IFERROR(VALUE('query (2)'!A241),""))</f>
        <v>259</v>
      </c>
      <c r="G241" s="24" t="str">
        <f>IF('query (2)'!C241="","UNKNOWN",IFERROR(INDEX(Cleaning_Rules!$B$15:$B$20,MATCH(TRIM(UPPER('query (2)'!C241)),Cleaning_Rules!$A$15:$A$20,0)),"UNKNOWN"))</f>
        <v>FACTORY2</v>
      </c>
      <c r="H241" s="25" t="str">
        <f>IF('query (2)'!C241="","",'query (2)'!C241)</f>
        <v>FACTORY2</v>
      </c>
      <c r="I241" s="24" t="str" cm="1">
        <f t="array" ref="I241">_xlfn.IFS($G241="UNKNOWN","UNKNOWN",OR($G241="FACTORY1",$G241="FACTORY2",$G241="FACTORY3"),"PLANT",TRUE,"SHARED")</f>
        <v>PLANT</v>
      </c>
      <c r="J241" s="24" t="str">
        <f>IF('query (2)'!D241="","UNKNOWN",IF(COUNTIF(Cleaning_Rules!$A$6:$A$11,TRIM('query (2)'!D241))&gt;0,"UNKNOWN",IFERROR(INDEX(Cleaning_Rules!$B$24:$B$28,MATCH(TRIM(UPPER('query (2)'!D241)),Cleaning_Rules!$A$24:$A$28,0)),TRIM(UPPER('query (2)'!D241)))))</f>
        <v>MCB3</v>
      </c>
      <c r="K241" s="25" t="str">
        <f>IF('query (2)'!D241="","",'query (2)'!D241)</f>
        <v>MCB3</v>
      </c>
      <c r="L241" s="24" t="str">
        <f>IF($J241="UNKNOWN","",_xlfn.TEXTBEFORE($J241,{"0","1","2","3","4","5","6","7","8","9"," ","-","."},1,,,$J241))</f>
        <v>MCB</v>
      </c>
      <c r="M241" s="24" t="str">
        <f>IF('query (2)'!I241&lt;&gt;"",TRIM(UPPER('query (2)'!I241)),IF($L241="","UNKNOWN",$L241))</f>
        <v>MCB</v>
      </c>
      <c r="N241" s="24" t="str">
        <f>IF('query (2)'!I241&lt;&gt;"","SOURCE",IF($L241="","UNKNOWN","DERIVED"))</f>
        <v>SOURCE</v>
      </c>
      <c r="O241" s="24" t="str">
        <f>IF('query (2)'!E241="","NOT_SPECIFIED",TRIM(UPPER('query (2)'!E241)))</f>
        <v>GRINDING 2</v>
      </c>
      <c r="P241" s="24" t="str">
        <f>IF('query (2)'!F241="","",TRIM(UPPER('query (2)'!F241)))</f>
        <v>1312-MC3G</v>
      </c>
      <c r="Q241" s="24" t="str">
        <f>IF('query (2)'!G241="","UNKNOWN",IFERROR(INDEX(Cleaning_Rules!$B$38:$B$46,MATCH(TRIM(UPPER('query (2)'!G241)),Cleaning_Rules!$A$38:$A$46,0)),"UNKNOWN"))</f>
        <v>OTHER</v>
      </c>
      <c r="R241" s="24" t="str">
        <f>IF('query (2)'!H241="","",TRIM(UPPER('query (2)'!H241)))</f>
        <v>OUTER RING RACEWAY GRINDING MACHINE.</v>
      </c>
      <c r="S241" s="25" t="str">
        <f>IF('query (2)'!H241="","",'query (2)'!H241)</f>
        <v>Outer ring raceway grinding machine.</v>
      </c>
      <c r="T241" s="24" t="str">
        <f>IF('query (2)'!J241="","",TRIM(UPPER('query (2)'!J241)))</f>
        <v>A - RACEWAY GRINDING</v>
      </c>
      <c r="U241" s="24" t="str">
        <f t="shared" si="24"/>
        <v/>
      </c>
      <c r="V241" s="24" t="str">
        <f>IF('query (2)'!K241="","NOT_SPECIFIED",IFERROR(INDEX(Cleaning_Rules!$B$32:$B$34,MATCH(TRIM(UPPER('query (2)'!K241)),Cleaning_Rules!$A$32:$A$34,0)),"UNKNOWN"))</f>
        <v>NOT_SPECIFIED</v>
      </c>
      <c r="W241" s="24" t="str">
        <f t="shared" si="25"/>
        <v>GR-721 | FACTORY2 | MCB3 | MCB | GRINDING 2 | 1312-MC3G | OTHER | OUTER RING RACEWAY GRINDING MACHINE. | A - RACEWAY GRINDING | NOT_SPECIFIED</v>
      </c>
      <c r="X241" s="24" t="str">
        <f t="shared" si="26"/>
        <v/>
      </c>
      <c r="Y241" s="24" t="str">
        <f t="shared" si="27"/>
        <v>MISSING_STATUS; CATEGORY_NOT_USEFUL</v>
      </c>
    </row>
    <row r="242" spans="1:25" x14ac:dyDescent="0.3">
      <c r="A242" s="24" t="str">
        <f t="shared" si="21"/>
        <v>DE-722#0241</v>
      </c>
      <c r="B242" s="24" t="str">
        <f>IF('query (2)'!B242="","",TRIM(UPPER('query (2)'!B242)))</f>
        <v>DE-722</v>
      </c>
      <c r="C242" s="25" t="str">
        <f>IF('query (2)'!B242="","",'query (2)'!B242)</f>
        <v>DE-722</v>
      </c>
      <c r="D242" s="24" t="str">
        <f t="shared" si="22"/>
        <v>DE</v>
      </c>
      <c r="E242" s="24">
        <f t="shared" si="23"/>
        <v>1</v>
      </c>
      <c r="F242" s="24">
        <f>IF('query (2)'!A242="","",IFERROR(VALUE('query (2)'!A242),""))</f>
        <v>260</v>
      </c>
      <c r="G242" s="24" t="str">
        <f>IF('query (2)'!C242="","UNKNOWN",IFERROR(INDEX(Cleaning_Rules!$B$15:$B$20,MATCH(TRIM(UPPER('query (2)'!C242)),Cleaning_Rules!$A$15:$A$20,0)),"UNKNOWN"))</f>
        <v>FACTORY2</v>
      </c>
      <c r="H242" s="25" t="str">
        <f>IF('query (2)'!C242="","",'query (2)'!C242)</f>
        <v>FACTORY2</v>
      </c>
      <c r="I242" s="24" t="str" cm="1">
        <f t="array" ref="I242">_xlfn.IFS($G242="UNKNOWN","UNKNOWN",OR($G242="FACTORY1",$G242="FACTORY2",$G242="FACTORY3"),"PLANT",TRUE,"SHARED")</f>
        <v>PLANT</v>
      </c>
      <c r="J242" s="24" t="str">
        <f>IF('query (2)'!D242="","UNKNOWN",IF(COUNTIF(Cleaning_Rules!$A$6:$A$11,TRIM('query (2)'!D242))&gt;0,"UNKNOWN",IFERROR(INDEX(Cleaning_Rules!$B$24:$B$28,MATCH(TRIM(UPPER('query (2)'!D242)),Cleaning_Rules!$A$24:$A$28,0)),TRIM(UPPER('query (2)'!D242)))))</f>
        <v>MCB3</v>
      </c>
      <c r="K242" s="25" t="str">
        <f>IF('query (2)'!D242="","",'query (2)'!D242)</f>
        <v>MCB3</v>
      </c>
      <c r="L242" s="24" t="str">
        <f>IF($J242="UNKNOWN","",_xlfn.TEXTBEFORE($J242,{"0","1","2","3","4","5","6","7","8","9"," ","-","."},1,,,$J242))</f>
        <v>MCB</v>
      </c>
      <c r="M242" s="24" t="str">
        <f>IF('query (2)'!I242&lt;&gt;"",TRIM(UPPER('query (2)'!I242)),IF($L242="","UNKNOWN",$L242))</f>
        <v>MCB</v>
      </c>
      <c r="N242" s="24" t="str">
        <f>IF('query (2)'!I242&lt;&gt;"","SOURCE",IF($L242="","UNKNOWN","DERIVED"))</f>
        <v>SOURCE</v>
      </c>
      <c r="O242" s="24" t="str">
        <f>IF('query (2)'!E242="","NOT_SPECIFIED",TRIM(UPPER('query (2)'!E242)))</f>
        <v>GRINDING 2</v>
      </c>
      <c r="P242" s="24" t="str">
        <f>IF('query (2)'!F242="","",TRIM(UPPER('query (2)'!F242)))</f>
        <v>1312-MC3G</v>
      </c>
      <c r="Q242" s="24" t="str">
        <f>IF('query (2)'!G242="","UNKNOWN",IFERROR(INDEX(Cleaning_Rules!$B$38:$B$46,MATCH(TRIM(UPPER('query (2)'!G242)),Cleaning_Rules!$A$38:$A$46,0)),"UNKNOWN"))</f>
        <v>OTHER</v>
      </c>
      <c r="R242" s="24" t="str">
        <f>IF('query (2)'!H242="","",TRIM(UPPER('query (2)'!H242)))</f>
        <v>DEMAGNETIZING FOR OUTER RING MACHINE.</v>
      </c>
      <c r="S242" s="25" t="str">
        <f>IF('query (2)'!H242="","",'query (2)'!H242)</f>
        <v>Demagnetizing  for  outer  ring  machine.</v>
      </c>
      <c r="T242" s="24" t="str">
        <f>IF('query (2)'!J242="","",TRIM(UPPER('query (2)'!J242)))</f>
        <v>A - DEMAGNETIZING</v>
      </c>
      <c r="U242" s="24" t="str">
        <f t="shared" si="24"/>
        <v/>
      </c>
      <c r="V242" s="24" t="str">
        <f>IF('query (2)'!K242="","NOT_SPECIFIED",IFERROR(INDEX(Cleaning_Rules!$B$32:$B$34,MATCH(TRIM(UPPER('query (2)'!K242)),Cleaning_Rules!$A$32:$A$34,0)),"UNKNOWN"))</f>
        <v>NOT_SPECIFIED</v>
      </c>
      <c r="W242" s="24" t="str">
        <f t="shared" si="25"/>
        <v>DE-722 | FACTORY2 | MCB3 | MCB | GRINDING 2 | 1312-MC3G | OTHER | DEMAGNETIZING FOR OUTER RING MACHINE. | A - DEMAGNETIZING | NOT_SPECIFIED</v>
      </c>
      <c r="X242" s="24" t="str">
        <f t="shared" si="26"/>
        <v/>
      </c>
      <c r="Y242" s="24" t="str">
        <f t="shared" si="27"/>
        <v>MISSING_STATUS; CATEGORY_NOT_USEFUL</v>
      </c>
    </row>
    <row r="243" spans="1:25" x14ac:dyDescent="0.3">
      <c r="A243" s="24" t="str">
        <f t="shared" si="21"/>
        <v>GR-723#0242</v>
      </c>
      <c r="B243" s="24" t="str">
        <f>IF('query (2)'!B243="","",TRIM(UPPER('query (2)'!B243)))</f>
        <v>GR-723</v>
      </c>
      <c r="C243" s="25" t="str">
        <f>IF('query (2)'!B243="","",'query (2)'!B243)</f>
        <v>GR-723</v>
      </c>
      <c r="D243" s="24" t="str">
        <f t="shared" si="22"/>
        <v>GR</v>
      </c>
      <c r="E243" s="24">
        <f t="shared" si="23"/>
        <v>1</v>
      </c>
      <c r="F243" s="24">
        <f>IF('query (2)'!A243="","",IFERROR(VALUE('query (2)'!A243),""))</f>
        <v>261</v>
      </c>
      <c r="G243" s="24" t="str">
        <f>IF('query (2)'!C243="","UNKNOWN",IFERROR(INDEX(Cleaning_Rules!$B$15:$B$20,MATCH(TRIM(UPPER('query (2)'!C243)),Cleaning_Rules!$A$15:$A$20,0)),"UNKNOWN"))</f>
        <v>FACTORY2</v>
      </c>
      <c r="H243" s="25" t="str">
        <f>IF('query (2)'!C243="","",'query (2)'!C243)</f>
        <v>FACTORY2</v>
      </c>
      <c r="I243" s="24" t="str" cm="1">
        <f t="array" ref="I243">_xlfn.IFS($G243="UNKNOWN","UNKNOWN",OR($G243="FACTORY1",$G243="FACTORY2",$G243="FACTORY3"),"PLANT",TRUE,"SHARED")</f>
        <v>PLANT</v>
      </c>
      <c r="J243" s="24" t="str">
        <f>IF('query (2)'!D243="","UNKNOWN",IF(COUNTIF(Cleaning_Rules!$A$6:$A$11,TRIM('query (2)'!D243))&gt;0,"UNKNOWN",IFERROR(INDEX(Cleaning_Rules!$B$24:$B$28,MATCH(TRIM(UPPER('query (2)'!D243)),Cleaning_Rules!$A$24:$A$28,0)),TRIM(UPPER('query (2)'!D243)))))</f>
        <v>MCB3</v>
      </c>
      <c r="K243" s="25" t="str">
        <f>IF('query (2)'!D243="","",'query (2)'!D243)</f>
        <v>MCB3</v>
      </c>
      <c r="L243" s="24" t="str">
        <f>IF($J243="UNKNOWN","",_xlfn.TEXTBEFORE($J243,{"0","1","2","3","4","5","6","7","8","9"," ","-","."},1,,,$J243))</f>
        <v>MCB</v>
      </c>
      <c r="M243" s="24" t="str">
        <f>IF('query (2)'!I243&lt;&gt;"",TRIM(UPPER('query (2)'!I243)),IF($L243="","UNKNOWN",$L243))</f>
        <v>MCB</v>
      </c>
      <c r="N243" s="24" t="str">
        <f>IF('query (2)'!I243&lt;&gt;"","SOURCE",IF($L243="","UNKNOWN","DERIVED"))</f>
        <v>SOURCE</v>
      </c>
      <c r="O243" s="24" t="str">
        <f>IF('query (2)'!E243="","NOT_SPECIFIED",TRIM(UPPER('query (2)'!E243)))</f>
        <v>GRINDING 2</v>
      </c>
      <c r="P243" s="24" t="str">
        <f>IF('query (2)'!F243="","",TRIM(UPPER('query (2)'!F243)))</f>
        <v>1312-MC3G</v>
      </c>
      <c r="Q243" s="24" t="str">
        <f>IF('query (2)'!G243="","UNKNOWN",IFERROR(INDEX(Cleaning_Rules!$B$38:$B$46,MATCH(TRIM(UPPER('query (2)'!G243)),Cleaning_Rules!$A$38:$A$46,0)),"UNKNOWN"))</f>
        <v>OTHER</v>
      </c>
      <c r="R243" s="24" t="str">
        <f>IF('query (2)'!H243="","",TRIM(UPPER('query (2)'!H243)))</f>
        <v>OUTER RING RACEWAY SUPER FINISH MACHINE.</v>
      </c>
      <c r="S243" s="25" t="str">
        <f>IF('query (2)'!H243="","",'query (2)'!H243)</f>
        <v>Outer ring raceway super finish machine.</v>
      </c>
      <c r="T243" s="24" t="str">
        <f>IF('query (2)'!J243="","",TRIM(UPPER('query (2)'!J243)))</f>
        <v>A - RACEWAY SUPER FINISH</v>
      </c>
      <c r="U243" s="24" t="str">
        <f t="shared" si="24"/>
        <v/>
      </c>
      <c r="V243" s="24" t="str">
        <f>IF('query (2)'!K243="","NOT_SPECIFIED",IFERROR(INDEX(Cleaning_Rules!$B$32:$B$34,MATCH(TRIM(UPPER('query (2)'!K243)),Cleaning_Rules!$A$32:$A$34,0)),"UNKNOWN"))</f>
        <v>NOT_SPECIFIED</v>
      </c>
      <c r="W243" s="24" t="str">
        <f t="shared" si="25"/>
        <v>GR-723 | FACTORY2 | MCB3 | MCB | GRINDING 2 | 1312-MC3G | OTHER | OUTER RING RACEWAY SUPER FINISH MACHINE. | A - RACEWAY SUPER FINISH | NOT_SPECIFIED</v>
      </c>
      <c r="X243" s="24" t="str">
        <f t="shared" si="26"/>
        <v/>
      </c>
      <c r="Y243" s="24" t="str">
        <f t="shared" si="27"/>
        <v>MISSING_STATUS; CATEGORY_NOT_USEFUL</v>
      </c>
    </row>
    <row r="244" spans="1:25" x14ac:dyDescent="0.3">
      <c r="A244" s="24" t="str">
        <f t="shared" si="21"/>
        <v>AS-687#0243</v>
      </c>
      <c r="B244" s="24" t="str">
        <f>IF('query (2)'!B244="","",TRIM(UPPER('query (2)'!B244)))</f>
        <v>AS-687</v>
      </c>
      <c r="C244" s="25" t="str">
        <f>IF('query (2)'!B244="","",'query (2)'!B244)</f>
        <v>AS-687</v>
      </c>
      <c r="D244" s="24" t="str">
        <f t="shared" si="22"/>
        <v>AS</v>
      </c>
      <c r="E244" s="24">
        <f t="shared" si="23"/>
        <v>1</v>
      </c>
      <c r="F244" s="24">
        <f>IF('query (2)'!A244="","",IFERROR(VALUE('query (2)'!A244),""))</f>
        <v>262</v>
      </c>
      <c r="G244" s="24" t="str">
        <f>IF('query (2)'!C244="","UNKNOWN",IFERROR(INDEX(Cleaning_Rules!$B$15:$B$20,MATCH(TRIM(UPPER('query (2)'!C244)),Cleaning_Rules!$A$15:$A$20,0)),"UNKNOWN"))</f>
        <v>FACTORY2</v>
      </c>
      <c r="H244" s="25" t="str">
        <f>IF('query (2)'!C244="","",'query (2)'!C244)</f>
        <v>FACTORY2</v>
      </c>
      <c r="I244" s="24" t="str" cm="1">
        <f t="array" ref="I244">_xlfn.IFS($G244="UNKNOWN","UNKNOWN",OR($G244="FACTORY1",$G244="FACTORY2",$G244="FACTORY3"),"PLANT",TRUE,"SHARED")</f>
        <v>PLANT</v>
      </c>
      <c r="J244" s="24" t="str">
        <f>IF('query (2)'!D244="","UNKNOWN",IF(COUNTIF(Cleaning_Rules!$A$6:$A$11,TRIM('query (2)'!D244))&gt;0,"UNKNOWN",IFERROR(INDEX(Cleaning_Rules!$B$24:$B$28,MATCH(TRIM(UPPER('query (2)'!D244)),Cleaning_Rules!$A$24:$A$28,0)),TRIM(UPPER('query (2)'!D244)))))</f>
        <v>MCB3</v>
      </c>
      <c r="K244" s="25" t="str">
        <f>IF('query (2)'!D244="","",'query (2)'!D244)</f>
        <v>MCB3</v>
      </c>
      <c r="L244" s="24" t="str">
        <f>IF($J244="UNKNOWN","",_xlfn.TEXTBEFORE($J244,{"0","1","2","3","4","5","6","7","8","9"," ","-","."},1,,,$J244))</f>
        <v>MCB</v>
      </c>
      <c r="M244" s="24" t="str">
        <f>IF('query (2)'!I244&lt;&gt;"",TRIM(UPPER('query (2)'!I244)),IF($L244="","UNKNOWN",$L244))</f>
        <v>MCB</v>
      </c>
      <c r="N244" s="24" t="str">
        <f>IF('query (2)'!I244&lt;&gt;"","SOURCE",IF($L244="","UNKNOWN","DERIVED"))</f>
        <v>SOURCE</v>
      </c>
      <c r="O244" s="24" t="str">
        <f>IF('query (2)'!E244="","NOT_SPECIFIED",TRIM(UPPER('query (2)'!E244)))</f>
        <v>ASSEMBLY</v>
      </c>
      <c r="P244" s="24" t="str">
        <f>IF('query (2)'!F244="","",TRIM(UPPER('query (2)'!F244)))</f>
        <v>1311-MC3AI</v>
      </c>
      <c r="Q244" s="24" t="str">
        <f>IF('query (2)'!G244="","UNKNOWN",IFERROR(INDEX(Cleaning_Rules!$B$38:$B$46,MATCH(TRIM(UPPER('query (2)'!G244)),Cleaning_Rules!$A$38:$A$46,0)),"UNKNOWN"))</f>
        <v>OTHER</v>
      </c>
      <c r="R244" s="24" t="str">
        <f>IF('query (2)'!H244="","",TRIM(UPPER('query (2)'!H244)))</f>
        <v>MATCHING &amp; BALL FILLING M/C</v>
      </c>
      <c r="S244" s="25" t="str">
        <f>IF('query (2)'!H244="","",'query (2)'!H244)</f>
        <v>Matching &amp; Ball filling M/C</v>
      </c>
      <c r="T244" s="24" t="str">
        <f>IF('query (2)'!J244="","",TRIM(UPPER('query (2)'!J244)))</f>
        <v>MATCHING</v>
      </c>
      <c r="U244" s="24" t="str">
        <f t="shared" si="24"/>
        <v/>
      </c>
      <c r="V244" s="24" t="str">
        <f>IF('query (2)'!K244="","NOT_SPECIFIED",IFERROR(INDEX(Cleaning_Rules!$B$32:$B$34,MATCH(TRIM(UPPER('query (2)'!K244)),Cleaning_Rules!$A$32:$A$34,0)),"UNKNOWN"))</f>
        <v>NOT_SPECIFIED</v>
      </c>
      <c r="W244" s="24" t="str">
        <f t="shared" si="25"/>
        <v>AS-687 | FACTORY2 | MCB3 | MCB | ASSEMBLY | 1311-MC3AI | OTHER | MATCHING &amp; BALL FILLING M/C | MATCHING | NOT_SPECIFIED</v>
      </c>
      <c r="X244" s="24" t="str">
        <f t="shared" si="26"/>
        <v/>
      </c>
      <c r="Y244" s="24" t="str">
        <f t="shared" si="27"/>
        <v>MISSING_STATUS; CATEGORY_NOT_USEFUL</v>
      </c>
    </row>
    <row r="245" spans="1:25" x14ac:dyDescent="0.3">
      <c r="A245" s="24" t="str">
        <f t="shared" si="21"/>
        <v>AS-179#0244</v>
      </c>
      <c r="B245" s="24" t="str">
        <f>IF('query (2)'!B245="","",TRIM(UPPER('query (2)'!B245)))</f>
        <v>AS-179</v>
      </c>
      <c r="C245" s="25" t="str">
        <f>IF('query (2)'!B245="","",'query (2)'!B245)</f>
        <v>AS-179</v>
      </c>
      <c r="D245" s="24" t="str">
        <f t="shared" si="22"/>
        <v>AS</v>
      </c>
      <c r="E245" s="24">
        <f t="shared" si="23"/>
        <v>1</v>
      </c>
      <c r="F245" s="24">
        <f>IF('query (2)'!A245="","",IFERROR(VALUE('query (2)'!A245),""))</f>
        <v>263</v>
      </c>
      <c r="G245" s="24" t="str">
        <f>IF('query (2)'!C245="","UNKNOWN",IFERROR(INDEX(Cleaning_Rules!$B$15:$B$20,MATCH(TRIM(UPPER('query (2)'!C245)),Cleaning_Rules!$A$15:$A$20,0)),"UNKNOWN"))</f>
        <v>FACTORY2</v>
      </c>
      <c r="H245" s="25" t="str">
        <f>IF('query (2)'!C245="","",'query (2)'!C245)</f>
        <v>FACTORY2</v>
      </c>
      <c r="I245" s="24" t="str" cm="1">
        <f t="array" ref="I245">_xlfn.IFS($G245="UNKNOWN","UNKNOWN",OR($G245="FACTORY1",$G245="FACTORY2",$G245="FACTORY3"),"PLANT",TRUE,"SHARED")</f>
        <v>PLANT</v>
      </c>
      <c r="J245" s="24" t="str">
        <f>IF('query (2)'!D245="","UNKNOWN",IF(COUNTIF(Cleaning_Rules!$A$6:$A$11,TRIM('query (2)'!D245))&gt;0,"UNKNOWN",IFERROR(INDEX(Cleaning_Rules!$B$24:$B$28,MATCH(TRIM(UPPER('query (2)'!D245)),Cleaning_Rules!$A$24:$A$28,0)),TRIM(UPPER('query (2)'!D245)))))</f>
        <v>MCB3</v>
      </c>
      <c r="K245" s="25" t="str">
        <f>IF('query (2)'!D245="","",'query (2)'!D245)</f>
        <v>MCB3</v>
      </c>
      <c r="L245" s="24" t="str">
        <f>IF($J245="UNKNOWN","",_xlfn.TEXTBEFORE($J245,{"0","1","2","3","4","5","6","7","8","9"," ","-","."},1,,,$J245))</f>
        <v>MCB</v>
      </c>
      <c r="M245" s="24" t="str">
        <f>IF('query (2)'!I245&lt;&gt;"",TRIM(UPPER('query (2)'!I245)),IF($L245="","UNKNOWN",$L245))</f>
        <v>MCB</v>
      </c>
      <c r="N245" s="24" t="str">
        <f>IF('query (2)'!I245&lt;&gt;"","SOURCE",IF($L245="","UNKNOWN","DERIVED"))</f>
        <v>SOURCE</v>
      </c>
      <c r="O245" s="24" t="str">
        <f>IF('query (2)'!E245="","NOT_SPECIFIED",TRIM(UPPER('query (2)'!E245)))</f>
        <v>ASSEMBLY</v>
      </c>
      <c r="P245" s="24" t="str">
        <f>IF('query (2)'!F245="","",TRIM(UPPER('query (2)'!F245)))</f>
        <v>1311-MC3AI</v>
      </c>
      <c r="Q245" s="24" t="str">
        <f>IF('query (2)'!G245="","UNKNOWN",IFERROR(INDEX(Cleaning_Rules!$B$38:$B$46,MATCH(TRIM(UPPER('query (2)'!G245)),Cleaning_Rules!$A$38:$A$46,0)),"UNKNOWN"))</f>
        <v>OTHER</v>
      </c>
      <c r="R245" s="24" t="str">
        <f>IF('query (2)'!H245="","",TRIM(UPPER('query (2)'!H245)))</f>
        <v>RIVET PRESS MACHINE.</v>
      </c>
      <c r="S245" s="25" t="str">
        <f>IF('query (2)'!H245="","",'query (2)'!H245)</f>
        <v>Rivet press machine.</v>
      </c>
      <c r="T245" s="24" t="str">
        <f>IF('query (2)'!J245="","",TRIM(UPPER('query (2)'!J245)))</f>
        <v>RIVET AUTO</v>
      </c>
      <c r="U245" s="24" t="str">
        <f t="shared" si="24"/>
        <v/>
      </c>
      <c r="V245" s="24" t="str">
        <f>IF('query (2)'!K245="","NOT_SPECIFIED",IFERROR(INDEX(Cleaning_Rules!$B$32:$B$34,MATCH(TRIM(UPPER('query (2)'!K245)),Cleaning_Rules!$A$32:$A$34,0)),"UNKNOWN"))</f>
        <v>NOT_SPECIFIED</v>
      </c>
      <c r="W245" s="24" t="str">
        <f t="shared" si="25"/>
        <v>AS-179 | FACTORY2 | MCB3 | MCB | ASSEMBLY | 1311-MC3AI | OTHER | RIVET PRESS MACHINE. | RIVET AUTO | NOT_SPECIFIED</v>
      </c>
      <c r="X245" s="24" t="str">
        <f t="shared" si="26"/>
        <v/>
      </c>
      <c r="Y245" s="24" t="str">
        <f t="shared" si="27"/>
        <v>MISSING_STATUS; CATEGORY_NOT_USEFUL</v>
      </c>
    </row>
    <row r="246" spans="1:25" x14ac:dyDescent="0.3">
      <c r="A246" s="24" t="str">
        <f t="shared" si="21"/>
        <v>WA-688#0245</v>
      </c>
      <c r="B246" s="24" t="str">
        <f>IF('query (2)'!B246="","",TRIM(UPPER('query (2)'!B246)))</f>
        <v>WA-688</v>
      </c>
      <c r="C246" s="25" t="str">
        <f>IF('query (2)'!B246="","",'query (2)'!B246)</f>
        <v>WA-688</v>
      </c>
      <c r="D246" s="24" t="str">
        <f t="shared" si="22"/>
        <v>WA</v>
      </c>
      <c r="E246" s="24">
        <f t="shared" si="23"/>
        <v>1</v>
      </c>
      <c r="F246" s="24">
        <f>IF('query (2)'!A246="","",IFERROR(VALUE('query (2)'!A246),""))</f>
        <v>264</v>
      </c>
      <c r="G246" s="24" t="str">
        <f>IF('query (2)'!C246="","UNKNOWN",IFERROR(INDEX(Cleaning_Rules!$B$15:$B$20,MATCH(TRIM(UPPER('query (2)'!C246)),Cleaning_Rules!$A$15:$A$20,0)),"UNKNOWN"))</f>
        <v>FACTORY2</v>
      </c>
      <c r="H246" s="25" t="str">
        <f>IF('query (2)'!C246="","",'query (2)'!C246)</f>
        <v>FACTORY2</v>
      </c>
      <c r="I246" s="24" t="str" cm="1">
        <f t="array" ref="I246">_xlfn.IFS($G246="UNKNOWN","UNKNOWN",OR($G246="FACTORY1",$G246="FACTORY2",$G246="FACTORY3"),"PLANT",TRUE,"SHARED")</f>
        <v>PLANT</v>
      </c>
      <c r="J246" s="24" t="str">
        <f>IF('query (2)'!D246="","UNKNOWN",IF(COUNTIF(Cleaning_Rules!$A$6:$A$11,TRIM('query (2)'!D246))&gt;0,"UNKNOWN",IFERROR(INDEX(Cleaning_Rules!$B$24:$B$28,MATCH(TRIM(UPPER('query (2)'!D246)),Cleaning_Rules!$A$24:$A$28,0)),TRIM(UPPER('query (2)'!D246)))))</f>
        <v>MCB3</v>
      </c>
      <c r="K246" s="25" t="str">
        <f>IF('query (2)'!D246="","",'query (2)'!D246)</f>
        <v>MCB3</v>
      </c>
      <c r="L246" s="24" t="str">
        <f>IF($J246="UNKNOWN","",_xlfn.TEXTBEFORE($J246,{"0","1","2","3","4","5","6","7","8","9"," ","-","."},1,,,$J246))</f>
        <v>MCB</v>
      </c>
      <c r="M246" s="24" t="str">
        <f>IF('query (2)'!I246&lt;&gt;"",TRIM(UPPER('query (2)'!I246)),IF($L246="","UNKNOWN",$L246))</f>
        <v>MCB</v>
      </c>
      <c r="N246" s="24" t="str">
        <f>IF('query (2)'!I246&lt;&gt;"","SOURCE",IF($L246="","UNKNOWN","DERIVED"))</f>
        <v>SOURCE</v>
      </c>
      <c r="O246" s="24" t="str">
        <f>IF('query (2)'!E246="","NOT_SPECIFIED",TRIM(UPPER('query (2)'!E246)))</f>
        <v>ASSEMBLY</v>
      </c>
      <c r="P246" s="24" t="str">
        <f>IF('query (2)'!F246="","",TRIM(UPPER('query (2)'!F246)))</f>
        <v>1311-MC3AI</v>
      </c>
      <c r="Q246" s="24" t="str">
        <f>IF('query (2)'!G246="","UNKNOWN",IFERROR(INDEX(Cleaning_Rules!$B$38:$B$46,MATCH(TRIM(UPPER('query (2)'!G246)),Cleaning_Rules!$A$38:$A$46,0)),"UNKNOWN"))</f>
        <v>OTHER</v>
      </c>
      <c r="R246" s="24" t="str">
        <f>IF('query (2)'!H246="","",TRIM(UPPER('query (2)'!H246)))</f>
        <v>ROUGH WASHING MACHINE.</v>
      </c>
      <c r="S246" s="25" t="str">
        <f>IF('query (2)'!H246="","",'query (2)'!H246)</f>
        <v>Rough washing machine.</v>
      </c>
      <c r="T246" s="24" t="str">
        <f>IF('query (2)'!J246="","",TRIM(UPPER('query (2)'!J246)))</f>
        <v>ROUGH WASHING</v>
      </c>
      <c r="U246" s="24" t="str">
        <f t="shared" si="24"/>
        <v/>
      </c>
      <c r="V246" s="24" t="str">
        <f>IF('query (2)'!K246="","NOT_SPECIFIED",IFERROR(INDEX(Cleaning_Rules!$B$32:$B$34,MATCH(TRIM(UPPER('query (2)'!K246)),Cleaning_Rules!$A$32:$A$34,0)),"UNKNOWN"))</f>
        <v>NOT_SPECIFIED</v>
      </c>
      <c r="W246" s="24" t="str">
        <f t="shared" si="25"/>
        <v>WA-688 | FACTORY2 | MCB3 | MCB | ASSEMBLY | 1311-MC3AI | OTHER | ROUGH WASHING MACHINE. | ROUGH WASHING | NOT_SPECIFIED</v>
      </c>
      <c r="X246" s="24" t="str">
        <f t="shared" si="26"/>
        <v/>
      </c>
      <c r="Y246" s="24" t="str">
        <f t="shared" si="27"/>
        <v>MISSING_STATUS; CATEGORY_NOT_USEFUL</v>
      </c>
    </row>
    <row r="247" spans="1:25" x14ac:dyDescent="0.3">
      <c r="A247" s="24" t="str">
        <f t="shared" si="21"/>
        <v>CH-637#0246</v>
      </c>
      <c r="B247" s="24" t="str">
        <f>IF('query (2)'!B247="","",TRIM(UPPER('query (2)'!B247)))</f>
        <v>CH-637</v>
      </c>
      <c r="C247" s="25" t="str">
        <f>IF('query (2)'!B247="","",'query (2)'!B247)</f>
        <v>CH-637</v>
      </c>
      <c r="D247" s="24" t="str">
        <f t="shared" si="22"/>
        <v>CH</v>
      </c>
      <c r="E247" s="24">
        <f t="shared" si="23"/>
        <v>1</v>
      </c>
      <c r="F247" s="24">
        <f>IF('query (2)'!A247="","",IFERROR(VALUE('query (2)'!A247),""))</f>
        <v>265</v>
      </c>
      <c r="G247" s="24" t="str">
        <f>IF('query (2)'!C247="","UNKNOWN",IFERROR(INDEX(Cleaning_Rules!$B$15:$B$20,MATCH(TRIM(UPPER('query (2)'!C247)),Cleaning_Rules!$A$15:$A$20,0)),"UNKNOWN"))</f>
        <v>FACTORY2</v>
      </c>
      <c r="H247" s="25" t="str">
        <f>IF('query (2)'!C247="","",'query (2)'!C247)</f>
        <v>FACTORY2</v>
      </c>
      <c r="I247" s="24" t="str" cm="1">
        <f t="array" ref="I247">_xlfn.IFS($G247="UNKNOWN","UNKNOWN",OR($G247="FACTORY1",$G247="FACTORY2",$G247="FACTORY3"),"PLANT",TRUE,"SHARED")</f>
        <v>PLANT</v>
      </c>
      <c r="J247" s="24" t="str">
        <f>IF('query (2)'!D247="","UNKNOWN",IF(COUNTIF(Cleaning_Rules!$A$6:$A$11,TRIM('query (2)'!D247))&gt;0,"UNKNOWN",IFERROR(INDEX(Cleaning_Rules!$B$24:$B$28,MATCH(TRIM(UPPER('query (2)'!D247)),Cleaning_Rules!$A$24:$A$28,0)),TRIM(UPPER('query (2)'!D247)))))</f>
        <v>MCB3</v>
      </c>
      <c r="K247" s="25" t="str">
        <f>IF('query (2)'!D247="","",'query (2)'!D247)</f>
        <v>MCB3</v>
      </c>
      <c r="L247" s="24" t="str">
        <f>IF($J247="UNKNOWN","",_xlfn.TEXTBEFORE($J247,{"0","1","2","3","4","5","6","7","8","9"," ","-","."},1,,,$J247))</f>
        <v>MCB</v>
      </c>
      <c r="M247" s="24" t="str">
        <f>IF('query (2)'!I247&lt;&gt;"",TRIM(UPPER('query (2)'!I247)),IF($L247="","UNKNOWN",$L247))</f>
        <v>MCB</v>
      </c>
      <c r="N247" s="24" t="str">
        <f>IF('query (2)'!I247&lt;&gt;"","SOURCE",IF($L247="","UNKNOWN","DERIVED"))</f>
        <v>SOURCE</v>
      </c>
      <c r="O247" s="24" t="str">
        <f>IF('query (2)'!E247="","NOT_SPECIFIED",TRIM(UPPER('query (2)'!E247)))</f>
        <v>ASSEMBLY</v>
      </c>
      <c r="P247" s="24" t="str">
        <f>IF('query (2)'!F247="","",TRIM(UPPER('query (2)'!F247)))</f>
        <v>1311-MC3AI</v>
      </c>
      <c r="Q247" s="24" t="str">
        <f>IF('query (2)'!G247="","UNKNOWN",IFERROR(INDEX(Cleaning_Rules!$B$38:$B$46,MATCH(TRIM(UPPER('query (2)'!G247)),Cleaning_Rules!$A$38:$A$46,0)),"UNKNOWN"))</f>
        <v>OTHER</v>
      </c>
      <c r="R247" s="24" t="str">
        <f>IF('query (2)'!H247="","",TRIM(UPPER('query (2)'!H247)))</f>
        <v>AUTO RADIAL CLEARANCE M/C</v>
      </c>
      <c r="S247" s="25" t="str">
        <f>IF('query (2)'!H247="","",'query (2)'!H247)</f>
        <v>Auto radial clearance m/c</v>
      </c>
      <c r="T247" s="24" t="str">
        <f>IF('query (2)'!J247="","",TRIM(UPPER('query (2)'!J247)))</f>
        <v>AUTO RADIAL CLEARANCE</v>
      </c>
      <c r="U247" s="24" t="str">
        <f t="shared" si="24"/>
        <v/>
      </c>
      <c r="V247" s="24" t="str">
        <f>IF('query (2)'!K247="","NOT_SPECIFIED",IFERROR(INDEX(Cleaning_Rules!$B$32:$B$34,MATCH(TRIM(UPPER('query (2)'!K247)),Cleaning_Rules!$A$32:$A$34,0)),"UNKNOWN"))</f>
        <v>NOT_SPECIFIED</v>
      </c>
      <c r="W247" s="24" t="str">
        <f t="shared" si="25"/>
        <v>CH-637 | FACTORY2 | MCB3 | MCB | ASSEMBLY | 1311-MC3AI | OTHER | AUTO RADIAL CLEARANCE M/C | AUTO RADIAL CLEARANCE | NOT_SPECIFIED</v>
      </c>
      <c r="X247" s="24" t="str">
        <f t="shared" si="26"/>
        <v/>
      </c>
      <c r="Y247" s="24" t="str">
        <f t="shared" si="27"/>
        <v>MISSING_STATUS; CATEGORY_NOT_USEFUL</v>
      </c>
    </row>
    <row r="248" spans="1:25" x14ac:dyDescent="0.3">
      <c r="A248" s="24" t="str">
        <f t="shared" si="21"/>
        <v>CH-726#0247</v>
      </c>
      <c r="B248" s="24" t="str">
        <f>IF('query (2)'!B248="","",TRIM(UPPER('query (2)'!B248)))</f>
        <v>CH-726</v>
      </c>
      <c r="C248" s="25" t="str">
        <f>IF('query (2)'!B248="","",'query (2)'!B248)</f>
        <v>CH-726</v>
      </c>
      <c r="D248" s="24" t="str">
        <f t="shared" si="22"/>
        <v>CH</v>
      </c>
      <c r="E248" s="24">
        <f t="shared" si="23"/>
        <v>1</v>
      </c>
      <c r="F248" s="24">
        <f>IF('query (2)'!A248="","",IFERROR(VALUE('query (2)'!A248),""))</f>
        <v>266</v>
      </c>
      <c r="G248" s="24" t="str">
        <f>IF('query (2)'!C248="","UNKNOWN",IFERROR(INDEX(Cleaning_Rules!$B$15:$B$20,MATCH(TRIM(UPPER('query (2)'!C248)),Cleaning_Rules!$A$15:$A$20,0)),"UNKNOWN"))</f>
        <v>FACTORY2</v>
      </c>
      <c r="H248" s="25" t="str">
        <f>IF('query (2)'!C248="","",'query (2)'!C248)</f>
        <v>FACTORY2</v>
      </c>
      <c r="I248" s="24" t="str" cm="1">
        <f t="array" ref="I248">_xlfn.IFS($G248="UNKNOWN","UNKNOWN",OR($G248="FACTORY1",$G248="FACTORY2",$G248="FACTORY3"),"PLANT",TRUE,"SHARED")</f>
        <v>PLANT</v>
      </c>
      <c r="J248" s="24" t="str">
        <f>IF('query (2)'!D248="","UNKNOWN",IF(COUNTIF(Cleaning_Rules!$A$6:$A$11,TRIM('query (2)'!D248))&gt;0,"UNKNOWN",IFERROR(INDEX(Cleaning_Rules!$B$24:$B$28,MATCH(TRIM(UPPER('query (2)'!D248)),Cleaning_Rules!$A$24:$A$28,0)),TRIM(UPPER('query (2)'!D248)))))</f>
        <v>MCB3</v>
      </c>
      <c r="K248" s="25" t="str">
        <f>IF('query (2)'!D248="","",'query (2)'!D248)</f>
        <v>MCB3</v>
      </c>
      <c r="L248" s="24" t="str">
        <f>IF($J248="UNKNOWN","",_xlfn.TEXTBEFORE($J248,{"0","1","2","3","4","5","6","7","8","9"," ","-","."},1,,,$J248))</f>
        <v>MCB</v>
      </c>
      <c r="M248" s="24" t="str">
        <f>IF('query (2)'!I248&lt;&gt;"",TRIM(UPPER('query (2)'!I248)),IF($L248="","UNKNOWN",$L248))</f>
        <v>MCB</v>
      </c>
      <c r="N248" s="24" t="str">
        <f>IF('query (2)'!I248&lt;&gt;"","SOURCE",IF($L248="","UNKNOWN","DERIVED"))</f>
        <v>SOURCE</v>
      </c>
      <c r="O248" s="24" t="str">
        <f>IF('query (2)'!E248="","NOT_SPECIFIED",TRIM(UPPER('query (2)'!E248)))</f>
        <v>ASSEMBLY</v>
      </c>
      <c r="P248" s="24" t="str">
        <f>IF('query (2)'!F248="","",TRIM(UPPER('query (2)'!F248)))</f>
        <v>1311-MC3AI</v>
      </c>
      <c r="Q248" s="24" t="str">
        <f>IF('query (2)'!G248="","UNKNOWN",IFERROR(INDEX(Cleaning_Rules!$B$38:$B$46,MATCH(TRIM(UPPER('query (2)'!G248)),Cleaning_Rules!$A$38:$A$46,0)),"UNKNOWN"))</f>
        <v>OTHER</v>
      </c>
      <c r="R248" s="24" t="str">
        <f>IF('query (2)'!H248="","",TRIM(UPPER('query (2)'!H248)))</f>
        <v>AXIAL CLEARANCE MEASUREMENT MACHINE.</v>
      </c>
      <c r="S248" s="25" t="str">
        <f>IF('query (2)'!H248="","",'query (2)'!H248)</f>
        <v>Axial  clearance  measurement machine.</v>
      </c>
      <c r="T248" s="24" t="str">
        <f>IF('query (2)'!J248="","",TRIM(UPPER('query (2)'!J248)))</f>
        <v>AXIAL CLEARANCE</v>
      </c>
      <c r="U248" s="24" t="str">
        <f t="shared" si="24"/>
        <v/>
      </c>
      <c r="V248" s="24" t="str">
        <f>IF('query (2)'!K248="","NOT_SPECIFIED",IFERROR(INDEX(Cleaning_Rules!$B$32:$B$34,MATCH(TRIM(UPPER('query (2)'!K248)),Cleaning_Rules!$A$32:$A$34,0)),"UNKNOWN"))</f>
        <v>NOT_SPECIFIED</v>
      </c>
      <c r="W248" s="24" t="str">
        <f t="shared" si="25"/>
        <v>CH-726 | FACTORY2 | MCB3 | MCB | ASSEMBLY | 1311-MC3AI | OTHER | AXIAL CLEARANCE MEASUREMENT MACHINE. | AXIAL CLEARANCE | NOT_SPECIFIED</v>
      </c>
      <c r="X248" s="24" t="str">
        <f t="shared" si="26"/>
        <v/>
      </c>
      <c r="Y248" s="24" t="str">
        <f t="shared" si="27"/>
        <v>MISSING_STATUS; CATEGORY_NOT_USEFUL</v>
      </c>
    </row>
    <row r="249" spans="1:25" x14ac:dyDescent="0.3">
      <c r="A249" s="24" t="str">
        <f t="shared" si="21"/>
        <v>WA-548#0248</v>
      </c>
      <c r="B249" s="24" t="str">
        <f>IF('query (2)'!B249="","",TRIM(UPPER('query (2)'!B249)))</f>
        <v>WA-548</v>
      </c>
      <c r="C249" s="25" t="str">
        <f>IF('query (2)'!B249="","",'query (2)'!B249)</f>
        <v>WA-548</v>
      </c>
      <c r="D249" s="24" t="str">
        <f t="shared" si="22"/>
        <v>WA</v>
      </c>
      <c r="E249" s="24">
        <f t="shared" si="23"/>
        <v>1</v>
      </c>
      <c r="F249" s="24">
        <f>IF('query (2)'!A249="","",IFERROR(VALUE('query (2)'!A249),""))</f>
        <v>267</v>
      </c>
      <c r="G249" s="24" t="str">
        <f>IF('query (2)'!C249="","UNKNOWN",IFERROR(INDEX(Cleaning_Rules!$B$15:$B$20,MATCH(TRIM(UPPER('query (2)'!C249)),Cleaning_Rules!$A$15:$A$20,0)),"UNKNOWN"))</f>
        <v>FACTORY2</v>
      </c>
      <c r="H249" s="25" t="str">
        <f>IF('query (2)'!C249="","",'query (2)'!C249)</f>
        <v>FACTORY2</v>
      </c>
      <c r="I249" s="24" t="str" cm="1">
        <f t="array" ref="I249">_xlfn.IFS($G249="UNKNOWN","UNKNOWN",OR($G249="FACTORY1",$G249="FACTORY2",$G249="FACTORY3"),"PLANT",TRUE,"SHARED")</f>
        <v>PLANT</v>
      </c>
      <c r="J249" s="24" t="str">
        <f>IF('query (2)'!D249="","UNKNOWN",IF(COUNTIF(Cleaning_Rules!$A$6:$A$11,TRIM('query (2)'!D249))&gt;0,"UNKNOWN",IFERROR(INDEX(Cleaning_Rules!$B$24:$B$28,MATCH(TRIM(UPPER('query (2)'!D249)),Cleaning_Rules!$A$24:$A$28,0)),TRIM(UPPER('query (2)'!D249)))))</f>
        <v>MCB3</v>
      </c>
      <c r="K249" s="25" t="str">
        <f>IF('query (2)'!D249="","",'query (2)'!D249)</f>
        <v>MCB3</v>
      </c>
      <c r="L249" s="24" t="str">
        <f>IF($J249="UNKNOWN","",_xlfn.TEXTBEFORE($J249,{"0","1","2","3","4","5","6","7","8","9"," ","-","."},1,,,$J249))</f>
        <v>MCB</v>
      </c>
      <c r="M249" s="24" t="str">
        <f>IF('query (2)'!I249&lt;&gt;"",TRIM(UPPER('query (2)'!I249)),IF($L249="","UNKNOWN",$L249))</f>
        <v>MCB</v>
      </c>
      <c r="N249" s="24" t="str">
        <f>IF('query (2)'!I249&lt;&gt;"","SOURCE",IF($L249="","UNKNOWN","DERIVED"))</f>
        <v>SOURCE</v>
      </c>
      <c r="O249" s="24" t="str">
        <f>IF('query (2)'!E249="","NOT_SPECIFIED",TRIM(UPPER('query (2)'!E249)))</f>
        <v>ASSEMBLY</v>
      </c>
      <c r="P249" s="24" t="str">
        <f>IF('query (2)'!F249="","",TRIM(UPPER('query (2)'!F249)))</f>
        <v>1311-MC3AI</v>
      </c>
      <c r="Q249" s="24" t="str">
        <f>IF('query (2)'!G249="","UNKNOWN",IFERROR(INDEX(Cleaning_Rules!$B$38:$B$46,MATCH(TRIM(UPPER('query (2)'!G249)),Cleaning_Rules!$A$38:$A$46,0)),"UNKNOWN"))</f>
        <v>OTHER</v>
      </c>
      <c r="R249" s="24" t="str">
        <f>IF('query (2)'!H249="","",TRIM(UPPER('query (2)'!H249)))</f>
        <v>FINISH WASH EQUIPMENT MACHINE.</v>
      </c>
      <c r="S249" s="25" t="str">
        <f>IF('query (2)'!H249="","",'query (2)'!H249)</f>
        <v>Finish  wash  equipment machine.</v>
      </c>
      <c r="T249" s="24" t="str">
        <f>IF('query (2)'!J249="","",TRIM(UPPER('query (2)'!J249)))</f>
        <v>WASHING FINISH</v>
      </c>
      <c r="U249" s="24" t="str">
        <f t="shared" si="24"/>
        <v/>
      </c>
      <c r="V249" s="24" t="str">
        <f>IF('query (2)'!K249="","NOT_SPECIFIED",IFERROR(INDEX(Cleaning_Rules!$B$32:$B$34,MATCH(TRIM(UPPER('query (2)'!K249)),Cleaning_Rules!$A$32:$A$34,0)),"UNKNOWN"))</f>
        <v>NOT_SPECIFIED</v>
      </c>
      <c r="W249" s="24" t="str">
        <f t="shared" si="25"/>
        <v>WA-548 | FACTORY2 | MCB3 | MCB | ASSEMBLY | 1311-MC3AI | OTHER | FINISH WASH EQUIPMENT MACHINE. | WASHING FINISH | NOT_SPECIFIED</v>
      </c>
      <c r="X249" s="24" t="str">
        <f t="shared" si="26"/>
        <v/>
      </c>
      <c r="Y249" s="24" t="str">
        <f t="shared" si="27"/>
        <v>MISSING_STATUS; CATEGORY_NOT_USEFUL</v>
      </c>
    </row>
    <row r="250" spans="1:25" x14ac:dyDescent="0.3">
      <c r="A250" s="24" t="str">
        <f t="shared" si="21"/>
        <v>BL-727#0249</v>
      </c>
      <c r="B250" s="24" t="str">
        <f>IF('query (2)'!B250="","",TRIM(UPPER('query (2)'!B250)))</f>
        <v>BL-727</v>
      </c>
      <c r="C250" s="25" t="str">
        <f>IF('query (2)'!B250="","",'query (2)'!B250)</f>
        <v>BL-727</v>
      </c>
      <c r="D250" s="24" t="str">
        <f t="shared" si="22"/>
        <v>BL</v>
      </c>
      <c r="E250" s="24">
        <f t="shared" si="23"/>
        <v>1</v>
      </c>
      <c r="F250" s="24">
        <f>IF('query (2)'!A250="","",IFERROR(VALUE('query (2)'!A250),""))</f>
        <v>268</v>
      </c>
      <c r="G250" s="24" t="str">
        <f>IF('query (2)'!C250="","UNKNOWN",IFERROR(INDEX(Cleaning_Rules!$B$15:$B$20,MATCH(TRIM(UPPER('query (2)'!C250)),Cleaning_Rules!$A$15:$A$20,0)),"UNKNOWN"))</f>
        <v>FACTORY2</v>
      </c>
      <c r="H250" s="25" t="str">
        <f>IF('query (2)'!C250="","",'query (2)'!C250)</f>
        <v>FACTORY2</v>
      </c>
      <c r="I250" s="24" t="str" cm="1">
        <f t="array" ref="I250">_xlfn.IFS($G250="UNKNOWN","UNKNOWN",OR($G250="FACTORY1",$G250="FACTORY2",$G250="FACTORY3"),"PLANT",TRUE,"SHARED")</f>
        <v>PLANT</v>
      </c>
      <c r="J250" s="24" t="str">
        <f>IF('query (2)'!D250="","UNKNOWN",IF(COUNTIF(Cleaning_Rules!$A$6:$A$11,TRIM('query (2)'!D250))&gt;0,"UNKNOWN",IFERROR(INDEX(Cleaning_Rules!$B$24:$B$28,MATCH(TRIM(UPPER('query (2)'!D250)),Cleaning_Rules!$A$24:$A$28,0)),TRIM(UPPER('query (2)'!D250)))))</f>
        <v>MCB3</v>
      </c>
      <c r="K250" s="25" t="str">
        <f>IF('query (2)'!D250="","",'query (2)'!D250)</f>
        <v>MCB3</v>
      </c>
      <c r="L250" s="24" t="str">
        <f>IF($J250="UNKNOWN","",_xlfn.TEXTBEFORE($J250,{"0","1","2","3","4","5","6","7","8","9"," ","-","."},1,,,$J250))</f>
        <v>MCB</v>
      </c>
      <c r="M250" s="24" t="str">
        <f>IF('query (2)'!I250&lt;&gt;"",TRIM(UPPER('query (2)'!I250)),IF($L250="","UNKNOWN",$L250))</f>
        <v>MCB</v>
      </c>
      <c r="N250" s="24" t="str">
        <f>IF('query (2)'!I250&lt;&gt;"","SOURCE",IF($L250="","UNKNOWN","DERIVED"))</f>
        <v>SOURCE</v>
      </c>
      <c r="O250" s="24" t="str">
        <f>IF('query (2)'!E250="","NOT_SPECIFIED",TRIM(UPPER('query (2)'!E250)))</f>
        <v>ASSEMBLY</v>
      </c>
      <c r="P250" s="24" t="str">
        <f>IF('query (2)'!F250="","",TRIM(UPPER('query (2)'!F250)))</f>
        <v>1311-MC3AI</v>
      </c>
      <c r="Q250" s="24" t="str">
        <f>IF('query (2)'!G250="","UNKNOWN",IFERROR(INDEX(Cleaning_Rules!$B$38:$B$46,MATCH(TRIM(UPPER('query (2)'!G250)),Cleaning_Rules!$A$38:$A$46,0)),"UNKNOWN"))</f>
        <v>OTHER</v>
      </c>
      <c r="R250" s="24" t="str">
        <f>IF('query (2)'!H250="","",TRIM(UPPER('query (2)'!H250)))</f>
        <v>CENTRIFUGAL DEOILING MACHINE.</v>
      </c>
      <c r="S250" s="25" t="str">
        <f>IF('query (2)'!H250="","",'query (2)'!H250)</f>
        <v>Centrifugal  deoiling machine.</v>
      </c>
      <c r="T250" s="24" t="str">
        <f>IF('query (2)'!J250="","",TRIM(UPPER('query (2)'!J250)))</f>
        <v>CENTRIFUGAL DEOILING</v>
      </c>
      <c r="U250" s="24" t="str">
        <f t="shared" si="24"/>
        <v/>
      </c>
      <c r="V250" s="24" t="str">
        <f>IF('query (2)'!K250="","NOT_SPECIFIED",IFERROR(INDEX(Cleaning_Rules!$B$32:$B$34,MATCH(TRIM(UPPER('query (2)'!K250)),Cleaning_Rules!$A$32:$A$34,0)),"UNKNOWN"))</f>
        <v>NOT_SPECIFIED</v>
      </c>
      <c r="W250" s="24" t="str">
        <f t="shared" si="25"/>
        <v>BL-727 | FACTORY2 | MCB3 | MCB | ASSEMBLY | 1311-MC3AI | OTHER | CENTRIFUGAL DEOILING MACHINE. | CENTRIFUGAL DEOILING | NOT_SPECIFIED</v>
      </c>
      <c r="X250" s="24" t="str">
        <f t="shared" si="26"/>
        <v/>
      </c>
      <c r="Y250" s="24" t="str">
        <f t="shared" si="27"/>
        <v>MISSING_STATUS; CATEGORY_NOT_USEFUL</v>
      </c>
    </row>
    <row r="251" spans="1:25" x14ac:dyDescent="0.3">
      <c r="A251" s="24" t="str">
        <f t="shared" si="21"/>
        <v>AS-556#0250</v>
      </c>
      <c r="B251" s="24" t="str">
        <f>IF('query (2)'!B251="","",TRIM(UPPER('query (2)'!B251)))</f>
        <v>AS-556</v>
      </c>
      <c r="C251" s="25" t="str">
        <f>IF('query (2)'!B251="","",'query (2)'!B251)</f>
        <v>AS-556</v>
      </c>
      <c r="D251" s="24" t="str">
        <f t="shared" si="22"/>
        <v>AS</v>
      </c>
      <c r="E251" s="24">
        <f t="shared" si="23"/>
        <v>1</v>
      </c>
      <c r="F251" s="24">
        <f>IF('query (2)'!A251="","",IFERROR(VALUE('query (2)'!A251),""))</f>
        <v>269</v>
      </c>
      <c r="G251" s="24" t="str">
        <f>IF('query (2)'!C251="","UNKNOWN",IFERROR(INDEX(Cleaning_Rules!$B$15:$B$20,MATCH(TRIM(UPPER('query (2)'!C251)),Cleaning_Rules!$A$15:$A$20,0)),"UNKNOWN"))</f>
        <v>FACTORY2</v>
      </c>
      <c r="H251" s="25" t="str">
        <f>IF('query (2)'!C251="","",'query (2)'!C251)</f>
        <v>FACTORY2</v>
      </c>
      <c r="I251" s="24" t="str" cm="1">
        <f t="array" ref="I251">_xlfn.IFS($G251="UNKNOWN","UNKNOWN",OR($G251="FACTORY1",$G251="FACTORY2",$G251="FACTORY3"),"PLANT",TRUE,"SHARED")</f>
        <v>PLANT</v>
      </c>
      <c r="J251" s="24" t="str">
        <f>IF('query (2)'!D251="","UNKNOWN",IF(COUNTIF(Cleaning_Rules!$A$6:$A$11,TRIM('query (2)'!D251))&gt;0,"UNKNOWN",IFERROR(INDEX(Cleaning_Rules!$B$24:$B$28,MATCH(TRIM(UPPER('query (2)'!D251)),Cleaning_Rules!$A$24:$A$28,0)),TRIM(UPPER('query (2)'!D251)))))</f>
        <v>MCB3</v>
      </c>
      <c r="K251" s="25" t="str">
        <f>IF('query (2)'!D251="","",'query (2)'!D251)</f>
        <v>MCB3</v>
      </c>
      <c r="L251" s="24" t="str">
        <f>IF($J251="UNKNOWN","",_xlfn.TEXTBEFORE($J251,{"0","1","2","3","4","5","6","7","8","9"," ","-","."},1,,,$J251))</f>
        <v>MCB</v>
      </c>
      <c r="M251" s="24" t="str">
        <f>IF('query (2)'!I251&lt;&gt;"",TRIM(UPPER('query (2)'!I251)),IF($L251="","UNKNOWN",$L251))</f>
        <v>MCB</v>
      </c>
      <c r="N251" s="24" t="str">
        <f>IF('query (2)'!I251&lt;&gt;"","SOURCE",IF($L251="","UNKNOWN","DERIVED"))</f>
        <v>SOURCE</v>
      </c>
      <c r="O251" s="24" t="str">
        <f>IF('query (2)'!E251="","NOT_SPECIFIED",TRIM(UPPER('query (2)'!E251)))</f>
        <v>ASSEMBLY</v>
      </c>
      <c r="P251" s="24" t="str">
        <f>IF('query (2)'!F251="","",TRIM(UPPER('query (2)'!F251)))</f>
        <v>1311-MC3AI</v>
      </c>
      <c r="Q251" s="24" t="str">
        <f>IF('query (2)'!G251="","UNKNOWN",IFERROR(INDEX(Cleaning_Rules!$B$38:$B$46,MATCH(TRIM(UPPER('query (2)'!G251)),Cleaning_Rules!$A$38:$A$46,0)),"UNKNOWN"))</f>
        <v>OTHER</v>
      </c>
      <c r="R251" s="24" t="str">
        <f>IF('query (2)'!H251="","",TRIM(UPPER('query (2)'!H251)))</f>
        <v>GREASE INJECTION MACHINE.</v>
      </c>
      <c r="S251" s="25" t="str">
        <f>IF('query (2)'!H251="","",'query (2)'!H251)</f>
        <v>Grease  injection machine.</v>
      </c>
      <c r="T251" s="24" t="str">
        <f>IF('query (2)'!J251="","",TRIM(UPPER('query (2)'!J251)))</f>
        <v>GREASE INJECTION</v>
      </c>
      <c r="U251" s="24" t="str">
        <f t="shared" si="24"/>
        <v/>
      </c>
      <c r="V251" s="24" t="str">
        <f>IF('query (2)'!K251="","NOT_SPECIFIED",IFERROR(INDEX(Cleaning_Rules!$B$32:$B$34,MATCH(TRIM(UPPER('query (2)'!K251)),Cleaning_Rules!$A$32:$A$34,0)),"UNKNOWN"))</f>
        <v>NOT_SPECIFIED</v>
      </c>
      <c r="W251" s="24" t="str">
        <f t="shared" si="25"/>
        <v>AS-556 | FACTORY2 | MCB3 | MCB | ASSEMBLY | 1311-MC3AI | OTHER | GREASE INJECTION MACHINE. | GREASE INJECTION | NOT_SPECIFIED</v>
      </c>
      <c r="X251" s="24" t="str">
        <f t="shared" si="26"/>
        <v/>
      </c>
      <c r="Y251" s="24" t="str">
        <f t="shared" si="27"/>
        <v>MISSING_STATUS; CATEGORY_NOT_USEFUL</v>
      </c>
    </row>
    <row r="252" spans="1:25" x14ac:dyDescent="0.3">
      <c r="A252" s="24" t="str">
        <f t="shared" si="21"/>
        <v>AS-728#0251</v>
      </c>
      <c r="B252" s="24" t="str">
        <f>IF('query (2)'!B252="","",TRIM(UPPER('query (2)'!B252)))</f>
        <v>AS-728</v>
      </c>
      <c r="C252" s="25" t="str">
        <f>IF('query (2)'!B252="","",'query (2)'!B252)</f>
        <v>AS-728</v>
      </c>
      <c r="D252" s="24" t="str">
        <f t="shared" si="22"/>
        <v>AS</v>
      </c>
      <c r="E252" s="24">
        <f t="shared" si="23"/>
        <v>1</v>
      </c>
      <c r="F252" s="24">
        <f>IF('query (2)'!A252="","",IFERROR(VALUE('query (2)'!A252),""))</f>
        <v>270</v>
      </c>
      <c r="G252" s="24" t="str">
        <f>IF('query (2)'!C252="","UNKNOWN",IFERROR(INDEX(Cleaning_Rules!$B$15:$B$20,MATCH(TRIM(UPPER('query (2)'!C252)),Cleaning_Rules!$A$15:$A$20,0)),"UNKNOWN"))</f>
        <v>FACTORY2</v>
      </c>
      <c r="H252" s="25" t="str">
        <f>IF('query (2)'!C252="","",'query (2)'!C252)</f>
        <v>FACTORY2</v>
      </c>
      <c r="I252" s="24" t="str" cm="1">
        <f t="array" ref="I252">_xlfn.IFS($G252="UNKNOWN","UNKNOWN",OR($G252="FACTORY1",$G252="FACTORY2",$G252="FACTORY3"),"PLANT",TRUE,"SHARED")</f>
        <v>PLANT</v>
      </c>
      <c r="J252" s="24" t="str">
        <f>IF('query (2)'!D252="","UNKNOWN",IF(COUNTIF(Cleaning_Rules!$A$6:$A$11,TRIM('query (2)'!D252))&gt;0,"UNKNOWN",IFERROR(INDEX(Cleaning_Rules!$B$24:$B$28,MATCH(TRIM(UPPER('query (2)'!D252)),Cleaning_Rules!$A$24:$A$28,0)),TRIM(UPPER('query (2)'!D252)))))</f>
        <v>MCB3</v>
      </c>
      <c r="K252" s="25" t="str">
        <f>IF('query (2)'!D252="","",'query (2)'!D252)</f>
        <v>MCB3</v>
      </c>
      <c r="L252" s="24" t="str">
        <f>IF($J252="UNKNOWN","",_xlfn.TEXTBEFORE($J252,{"0","1","2","3","4","5","6","7","8","9"," ","-","."},1,,,$J252))</f>
        <v>MCB</v>
      </c>
      <c r="M252" s="24" t="str">
        <f>IF('query (2)'!I252&lt;&gt;"",TRIM(UPPER('query (2)'!I252)),IF($L252="","UNKNOWN",$L252))</f>
        <v>MCB</v>
      </c>
      <c r="N252" s="24" t="str">
        <f>IF('query (2)'!I252&lt;&gt;"","SOURCE",IF($L252="","UNKNOWN","DERIVED"))</f>
        <v>SOURCE</v>
      </c>
      <c r="O252" s="24" t="str">
        <f>IF('query (2)'!E252="","NOT_SPECIFIED",TRIM(UPPER('query (2)'!E252)))</f>
        <v>ASSEMBLY</v>
      </c>
      <c r="P252" s="24" t="str">
        <f>IF('query (2)'!F252="","",TRIM(UPPER('query (2)'!F252)))</f>
        <v>1311-MC3AI</v>
      </c>
      <c r="Q252" s="24" t="str">
        <f>IF('query (2)'!G252="","UNKNOWN",IFERROR(INDEX(Cleaning_Rules!$B$38:$B$46,MATCH(TRIM(UPPER('query (2)'!G252)),Cleaning_Rules!$A$38:$A$46,0)),"UNKNOWN"))</f>
        <v>OTHER</v>
      </c>
      <c r="R252" s="24" t="str">
        <f>IF('query (2)'!H252="","",TRIM(UPPER('query (2)'!H252)))</f>
        <v>SEAL PRESS MACHINE. ( 2 HEAD )</v>
      </c>
      <c r="S252" s="25" t="str">
        <f>IF('query (2)'!H252="","",'query (2)'!H252)</f>
        <v>Seal  press machine. ( 2 Head )</v>
      </c>
      <c r="T252" s="24" t="str">
        <f>IF('query (2)'!J252="","",TRIM(UPPER('query (2)'!J252)))</f>
        <v>SEAL PRESSING NO.1,2</v>
      </c>
      <c r="U252" s="24" t="str">
        <f t="shared" si="24"/>
        <v/>
      </c>
      <c r="V252" s="24" t="str">
        <f>IF('query (2)'!K252="","NOT_SPECIFIED",IFERROR(INDEX(Cleaning_Rules!$B$32:$B$34,MATCH(TRIM(UPPER('query (2)'!K252)),Cleaning_Rules!$A$32:$A$34,0)),"UNKNOWN"))</f>
        <v>NOT_SPECIFIED</v>
      </c>
      <c r="W252" s="24" t="str">
        <f t="shared" si="25"/>
        <v>AS-728 | FACTORY2 | MCB3 | MCB | ASSEMBLY | 1311-MC3AI | OTHER | SEAL PRESS MACHINE. ( 2 HEAD ) | SEAL PRESSING NO.1,2 | NOT_SPECIFIED</v>
      </c>
      <c r="X252" s="24" t="str">
        <f t="shared" si="26"/>
        <v/>
      </c>
      <c r="Y252" s="24" t="str">
        <f t="shared" si="27"/>
        <v>MISSING_STATUS; CATEGORY_NOT_USEFUL</v>
      </c>
    </row>
    <row r="253" spans="1:25" x14ac:dyDescent="0.3">
      <c r="A253" s="24" t="str">
        <f t="shared" si="21"/>
        <v>CH-557#0252</v>
      </c>
      <c r="B253" s="24" t="str">
        <f>IF('query (2)'!B253="","",TRIM(UPPER('query (2)'!B253)))</f>
        <v>CH-557</v>
      </c>
      <c r="C253" s="25" t="str">
        <f>IF('query (2)'!B253="","",'query (2)'!B253)</f>
        <v>CH-557</v>
      </c>
      <c r="D253" s="24" t="str">
        <f t="shared" si="22"/>
        <v>CH</v>
      </c>
      <c r="E253" s="24">
        <f t="shared" si="23"/>
        <v>1</v>
      </c>
      <c r="F253" s="24">
        <f>IF('query (2)'!A253="","",IFERROR(VALUE('query (2)'!A253),""))</f>
        <v>271</v>
      </c>
      <c r="G253" s="24" t="str">
        <f>IF('query (2)'!C253="","UNKNOWN",IFERROR(INDEX(Cleaning_Rules!$B$15:$B$20,MATCH(TRIM(UPPER('query (2)'!C253)),Cleaning_Rules!$A$15:$A$20,0)),"UNKNOWN"))</f>
        <v>FACTORY2</v>
      </c>
      <c r="H253" s="25" t="str">
        <f>IF('query (2)'!C253="","",'query (2)'!C253)</f>
        <v>FACTORY2</v>
      </c>
      <c r="I253" s="24" t="str" cm="1">
        <f t="array" ref="I253">_xlfn.IFS($G253="UNKNOWN","UNKNOWN",OR($G253="FACTORY1",$G253="FACTORY2",$G253="FACTORY3"),"PLANT",TRUE,"SHARED")</f>
        <v>PLANT</v>
      </c>
      <c r="J253" s="24" t="str">
        <f>IF('query (2)'!D253="","UNKNOWN",IF(COUNTIF(Cleaning_Rules!$A$6:$A$11,TRIM('query (2)'!D253))&gt;0,"UNKNOWN",IFERROR(INDEX(Cleaning_Rules!$B$24:$B$28,MATCH(TRIM(UPPER('query (2)'!D253)),Cleaning_Rules!$A$24:$A$28,0)),TRIM(UPPER('query (2)'!D253)))))</f>
        <v>MCB3</v>
      </c>
      <c r="K253" s="25" t="str">
        <f>IF('query (2)'!D253="","",'query (2)'!D253)</f>
        <v>MCB3</v>
      </c>
      <c r="L253" s="24" t="str">
        <f>IF($J253="UNKNOWN","",_xlfn.TEXTBEFORE($J253,{"0","1","2","3","4","5","6","7","8","9"," ","-","."},1,,,$J253))</f>
        <v>MCB</v>
      </c>
      <c r="M253" s="24" t="str">
        <f>IF('query (2)'!I253&lt;&gt;"",TRIM(UPPER('query (2)'!I253)),IF($L253="","UNKNOWN",$L253))</f>
        <v>MCB</v>
      </c>
      <c r="N253" s="24" t="str">
        <f>IF('query (2)'!I253&lt;&gt;"","SOURCE",IF($L253="","UNKNOWN","DERIVED"))</f>
        <v>SOURCE</v>
      </c>
      <c r="O253" s="24" t="str">
        <f>IF('query (2)'!E253="","NOT_SPECIFIED",TRIM(UPPER('query (2)'!E253)))</f>
        <v>ASSEMBLY</v>
      </c>
      <c r="P253" s="24" t="str">
        <f>IF('query (2)'!F253="","",TRIM(UPPER('query (2)'!F253)))</f>
        <v>1311-MC3AI</v>
      </c>
      <c r="Q253" s="24" t="str">
        <f>IF('query (2)'!G253="","UNKNOWN",IFERROR(INDEX(Cleaning_Rules!$B$38:$B$46,MATCH(TRIM(UPPER('query (2)'!G253)),Cleaning_Rules!$A$38:$A$46,0)),"UNKNOWN"))</f>
        <v>OTHER</v>
      </c>
      <c r="R253" s="24" t="str">
        <f>IF('query (2)'!H253="","",TRIM(UPPER('query (2)'!H253)))</f>
        <v>SEAL HEIGHT CHECK MACHINE.</v>
      </c>
      <c r="S253" s="25" t="str">
        <f>IF('query (2)'!H253="","",'query (2)'!H253)</f>
        <v>Seal height check machine.</v>
      </c>
      <c r="T253" s="24" t="str">
        <f>IF('query (2)'!J253="","",TRIM(UPPER('query (2)'!J253)))</f>
        <v>SEAL HEIGHT CHECK</v>
      </c>
      <c r="U253" s="24" t="str">
        <f t="shared" si="24"/>
        <v/>
      </c>
      <c r="V253" s="24" t="str">
        <f>IF('query (2)'!K253="","NOT_SPECIFIED",IFERROR(INDEX(Cleaning_Rules!$B$32:$B$34,MATCH(TRIM(UPPER('query (2)'!K253)),Cleaning_Rules!$A$32:$A$34,0)),"UNKNOWN"))</f>
        <v>NOT_SPECIFIED</v>
      </c>
      <c r="W253" s="24" t="str">
        <f t="shared" si="25"/>
        <v>CH-557 | FACTORY2 | MCB3 | MCB | ASSEMBLY | 1311-MC3AI | OTHER | SEAL HEIGHT CHECK MACHINE. | SEAL HEIGHT CHECK | NOT_SPECIFIED</v>
      </c>
      <c r="X253" s="24" t="str">
        <f t="shared" si="26"/>
        <v/>
      </c>
      <c r="Y253" s="24" t="str">
        <f t="shared" si="27"/>
        <v>MISSING_STATUS; CATEGORY_NOT_USEFUL</v>
      </c>
    </row>
    <row r="254" spans="1:25" x14ac:dyDescent="0.3">
      <c r="A254" s="24" t="str">
        <f t="shared" si="21"/>
        <v>CH-523#0253</v>
      </c>
      <c r="B254" s="24" t="str">
        <f>IF('query (2)'!B254="","",TRIM(UPPER('query (2)'!B254)))</f>
        <v>CH-523</v>
      </c>
      <c r="C254" s="25" t="str">
        <f>IF('query (2)'!B254="","",'query (2)'!B254)</f>
        <v>CH-523</v>
      </c>
      <c r="D254" s="24" t="str">
        <f t="shared" si="22"/>
        <v>CH</v>
      </c>
      <c r="E254" s="24">
        <f t="shared" si="23"/>
        <v>2</v>
      </c>
      <c r="F254" s="24">
        <f>IF('query (2)'!A254="","",IFERROR(VALUE('query (2)'!A254),""))</f>
        <v>272</v>
      </c>
      <c r="G254" s="24" t="str">
        <f>IF('query (2)'!C254="","UNKNOWN",IFERROR(INDEX(Cleaning_Rules!$B$15:$B$20,MATCH(TRIM(UPPER('query (2)'!C254)),Cleaning_Rules!$A$15:$A$20,0)),"UNKNOWN"))</f>
        <v>FACTORY2</v>
      </c>
      <c r="H254" s="25" t="str">
        <f>IF('query (2)'!C254="","",'query (2)'!C254)</f>
        <v>FACTORY2</v>
      </c>
      <c r="I254" s="24" t="str" cm="1">
        <f t="array" ref="I254">_xlfn.IFS($G254="UNKNOWN","UNKNOWN",OR($G254="FACTORY1",$G254="FACTORY2",$G254="FACTORY3"),"PLANT",TRUE,"SHARED")</f>
        <v>PLANT</v>
      </c>
      <c r="J254" s="24" t="str">
        <f>IF('query (2)'!D254="","UNKNOWN",IF(COUNTIF(Cleaning_Rules!$A$6:$A$11,TRIM('query (2)'!D254))&gt;0,"UNKNOWN",IFERROR(INDEX(Cleaning_Rules!$B$24:$B$28,MATCH(TRIM(UPPER('query (2)'!D254)),Cleaning_Rules!$A$24:$A$28,0)),TRIM(UPPER('query (2)'!D254)))))</f>
        <v>MCB3</v>
      </c>
      <c r="K254" s="25" t="str">
        <f>IF('query (2)'!D254="","",'query (2)'!D254)</f>
        <v>MCB3</v>
      </c>
      <c r="L254" s="24" t="str">
        <f>IF($J254="UNKNOWN","",_xlfn.TEXTBEFORE($J254,{"0","1","2","3","4","5","6","7","8","9"," ","-","."},1,,,$J254))</f>
        <v>MCB</v>
      </c>
      <c r="M254" s="24" t="str">
        <f>IF('query (2)'!I254&lt;&gt;"",TRIM(UPPER('query (2)'!I254)),IF($L254="","UNKNOWN",$L254))</f>
        <v>MCB</v>
      </c>
      <c r="N254" s="24" t="str">
        <f>IF('query (2)'!I254&lt;&gt;"","SOURCE",IF($L254="","UNKNOWN","DERIVED"))</f>
        <v>SOURCE</v>
      </c>
      <c r="O254" s="24" t="str">
        <f>IF('query (2)'!E254="","NOT_SPECIFIED",TRIM(UPPER('query (2)'!E254)))</f>
        <v>ASSEMBLY</v>
      </c>
      <c r="P254" s="24" t="str">
        <f>IF('query (2)'!F254="","",TRIM(UPPER('query (2)'!F254)))</f>
        <v>1311-MC3AI</v>
      </c>
      <c r="Q254" s="24" t="str">
        <f>IF('query (2)'!G254="","UNKNOWN",IFERROR(INDEX(Cleaning_Rules!$B$38:$B$46,MATCH(TRIM(UPPER('query (2)'!G254)),Cleaning_Rules!$A$38:$A$46,0)),"UNKNOWN"))</f>
        <v>OTHER</v>
      </c>
      <c r="R254" s="24" t="str">
        <f>IF('query (2)'!H254="","",TRIM(UPPER('query (2)'!H254)))</f>
        <v>NOISE INSPECTION MACHINE. (DOUBLE TURN OVER)</v>
      </c>
      <c r="S254" s="25" t="str">
        <f>IF('query (2)'!H254="","",'query (2)'!H254)</f>
        <v>Noise  inspection machine. (double turn over)</v>
      </c>
      <c r="T254" s="24" t="str">
        <f>IF('query (2)'!J254="","",TRIM(UPPER('query (2)'!J254)))</f>
        <v>NOISE INSPECTION AUTO</v>
      </c>
      <c r="U254" s="24" t="str">
        <f t="shared" si="24"/>
        <v/>
      </c>
      <c r="V254" s="24" t="str">
        <f>IF('query (2)'!K254="","NOT_SPECIFIED",IFERROR(INDEX(Cleaning_Rules!$B$32:$B$34,MATCH(TRIM(UPPER('query (2)'!K254)),Cleaning_Rules!$A$32:$A$34,0)),"UNKNOWN"))</f>
        <v>NOT_SPECIFIED</v>
      </c>
      <c r="W254" s="24" t="str">
        <f t="shared" si="25"/>
        <v>CH-523 | FACTORY2 | MCB3 | MCB | ASSEMBLY | 1311-MC3AI | OTHER | NOISE INSPECTION MACHINE. (DOUBLE TURN OVER) | NOISE INSPECTION AUTO | NOT_SPECIFIED</v>
      </c>
      <c r="X254" s="24" t="str">
        <f t="shared" si="26"/>
        <v>DUPLICATE_QR</v>
      </c>
      <c r="Y254" s="24" t="str">
        <f t="shared" si="27"/>
        <v>MISSING_STATUS; CATEGORY_NOT_USEFUL</v>
      </c>
    </row>
    <row r="255" spans="1:25" x14ac:dyDescent="0.3">
      <c r="A255" s="24" t="str">
        <f t="shared" si="21"/>
        <v>CH-559#0254</v>
      </c>
      <c r="B255" s="24" t="str">
        <f>IF('query (2)'!B255="","",TRIM(UPPER('query (2)'!B255)))</f>
        <v>CH-559</v>
      </c>
      <c r="C255" s="25" t="str">
        <f>IF('query (2)'!B255="","",'query (2)'!B255)</f>
        <v>CH-559</v>
      </c>
      <c r="D255" s="24" t="str">
        <f t="shared" si="22"/>
        <v>CH</v>
      </c>
      <c r="E255" s="24">
        <f t="shared" si="23"/>
        <v>1</v>
      </c>
      <c r="F255" s="24">
        <f>IF('query (2)'!A255="","",IFERROR(VALUE('query (2)'!A255),""))</f>
        <v>273</v>
      </c>
      <c r="G255" s="24" t="str">
        <f>IF('query (2)'!C255="","UNKNOWN",IFERROR(INDEX(Cleaning_Rules!$B$15:$B$20,MATCH(TRIM(UPPER('query (2)'!C255)),Cleaning_Rules!$A$15:$A$20,0)),"UNKNOWN"))</f>
        <v>FACTORY2</v>
      </c>
      <c r="H255" s="25" t="str">
        <f>IF('query (2)'!C255="","",'query (2)'!C255)</f>
        <v>FACTORY2</v>
      </c>
      <c r="I255" s="24" t="str" cm="1">
        <f t="array" ref="I255">_xlfn.IFS($G255="UNKNOWN","UNKNOWN",OR($G255="FACTORY1",$G255="FACTORY2",$G255="FACTORY3"),"PLANT",TRUE,"SHARED")</f>
        <v>PLANT</v>
      </c>
      <c r="J255" s="24" t="str">
        <f>IF('query (2)'!D255="","UNKNOWN",IF(COUNTIF(Cleaning_Rules!$A$6:$A$11,TRIM('query (2)'!D255))&gt;0,"UNKNOWN",IFERROR(INDEX(Cleaning_Rules!$B$24:$B$28,MATCH(TRIM(UPPER('query (2)'!D255)),Cleaning_Rules!$A$24:$A$28,0)),TRIM(UPPER('query (2)'!D255)))))</f>
        <v>MCB3</v>
      </c>
      <c r="K255" s="25" t="str">
        <f>IF('query (2)'!D255="","",'query (2)'!D255)</f>
        <v>MCB3</v>
      </c>
      <c r="L255" s="24" t="str">
        <f>IF($J255="UNKNOWN","",_xlfn.TEXTBEFORE($J255,{"0","1","2","3","4","5","6","7","8","9"," ","-","."},1,,,$J255))</f>
        <v>MCB</v>
      </c>
      <c r="M255" s="24" t="str">
        <f>IF('query (2)'!I255&lt;&gt;"",TRIM(UPPER('query (2)'!I255)),IF($L255="","UNKNOWN",$L255))</f>
        <v>MCB</v>
      </c>
      <c r="N255" s="24" t="str">
        <f>IF('query (2)'!I255&lt;&gt;"","SOURCE",IF($L255="","UNKNOWN","DERIVED"))</f>
        <v>SOURCE</v>
      </c>
      <c r="O255" s="24" t="str">
        <f>IF('query (2)'!E255="","NOT_SPECIFIED",TRIM(UPPER('query (2)'!E255)))</f>
        <v>ASSEMBLY</v>
      </c>
      <c r="P255" s="24" t="str">
        <f>IF('query (2)'!F255="","",TRIM(UPPER('query (2)'!F255)))</f>
        <v>1311-MC3AI</v>
      </c>
      <c r="Q255" s="24" t="str">
        <f>IF('query (2)'!G255="","UNKNOWN",IFERROR(INDEX(Cleaning_Rules!$B$38:$B$46,MATCH(TRIM(UPPER('query (2)'!G255)),Cleaning_Rules!$A$38:$A$46,0)),"UNKNOWN"))</f>
        <v>OTHER</v>
      </c>
      <c r="R255" s="24" t="str">
        <f>IF('query (2)'!H255="","",TRIM(UPPER('query (2)'!H255)))</f>
        <v>WEIGHT CHECKER MACHINE.</v>
      </c>
      <c r="S255" s="25" t="str">
        <f>IF('query (2)'!H255="","",'query (2)'!H255)</f>
        <v>Weight checker machine.</v>
      </c>
      <c r="T255" s="24" t="str">
        <f>IF('query (2)'!J255="","",TRIM(UPPER('query (2)'!J255)))</f>
        <v>WEIGHT CHECKER</v>
      </c>
      <c r="U255" s="24" t="str">
        <f t="shared" si="24"/>
        <v/>
      </c>
      <c r="V255" s="24" t="str">
        <f>IF('query (2)'!K255="","NOT_SPECIFIED",IFERROR(INDEX(Cleaning_Rules!$B$32:$B$34,MATCH(TRIM(UPPER('query (2)'!K255)),Cleaning_Rules!$A$32:$A$34,0)),"UNKNOWN"))</f>
        <v>NOT_SPECIFIED</v>
      </c>
      <c r="W255" s="24" t="str">
        <f t="shared" si="25"/>
        <v>CH-559 | FACTORY2 | MCB3 | MCB | ASSEMBLY | 1311-MC3AI | OTHER | WEIGHT CHECKER MACHINE. | WEIGHT CHECKER | NOT_SPECIFIED</v>
      </c>
      <c r="X255" s="24" t="str">
        <f t="shared" si="26"/>
        <v/>
      </c>
      <c r="Y255" s="24" t="str">
        <f t="shared" si="27"/>
        <v>MISSING_STATUS; CATEGORY_NOT_USEFUL</v>
      </c>
    </row>
    <row r="256" spans="1:25" x14ac:dyDescent="0.3">
      <c r="A256" s="24" t="str">
        <f t="shared" si="21"/>
        <v>CH-558#0255</v>
      </c>
      <c r="B256" s="24" t="str">
        <f>IF('query (2)'!B256="","",TRIM(UPPER('query (2)'!B256)))</f>
        <v>CH-558</v>
      </c>
      <c r="C256" s="25" t="str">
        <f>IF('query (2)'!B256="","",'query (2)'!B256)</f>
        <v>CH-558</v>
      </c>
      <c r="D256" s="24" t="str">
        <f t="shared" si="22"/>
        <v>CH</v>
      </c>
      <c r="E256" s="24">
        <f t="shared" si="23"/>
        <v>1</v>
      </c>
      <c r="F256" s="24">
        <f>IF('query (2)'!A256="","",IFERROR(VALUE('query (2)'!A256),""))</f>
        <v>274</v>
      </c>
      <c r="G256" s="24" t="str">
        <f>IF('query (2)'!C256="","UNKNOWN",IFERROR(INDEX(Cleaning_Rules!$B$15:$B$20,MATCH(TRIM(UPPER('query (2)'!C256)),Cleaning_Rules!$A$15:$A$20,0)),"UNKNOWN"))</f>
        <v>FACTORY2</v>
      </c>
      <c r="H256" s="25" t="str">
        <f>IF('query (2)'!C256="","",'query (2)'!C256)</f>
        <v>FACTORY2</v>
      </c>
      <c r="I256" s="24" t="str" cm="1">
        <f t="array" ref="I256">_xlfn.IFS($G256="UNKNOWN","UNKNOWN",OR($G256="FACTORY1",$G256="FACTORY2",$G256="FACTORY3"),"PLANT",TRUE,"SHARED")</f>
        <v>PLANT</v>
      </c>
      <c r="J256" s="24" t="str">
        <f>IF('query (2)'!D256="","UNKNOWN",IF(COUNTIF(Cleaning_Rules!$A$6:$A$11,TRIM('query (2)'!D256))&gt;0,"UNKNOWN",IFERROR(INDEX(Cleaning_Rules!$B$24:$B$28,MATCH(TRIM(UPPER('query (2)'!D256)),Cleaning_Rules!$A$24:$A$28,0)),TRIM(UPPER('query (2)'!D256)))))</f>
        <v>MCB3</v>
      </c>
      <c r="K256" s="25" t="str">
        <f>IF('query (2)'!D256="","",'query (2)'!D256)</f>
        <v>MCB3</v>
      </c>
      <c r="L256" s="24" t="str">
        <f>IF($J256="UNKNOWN","",_xlfn.TEXTBEFORE($J256,{"0","1","2","3","4","5","6","7","8","9"," ","-","."},1,,,$J256))</f>
        <v>MCB</v>
      </c>
      <c r="M256" s="24" t="str">
        <f>IF('query (2)'!I256&lt;&gt;"",TRIM(UPPER('query (2)'!I256)),IF($L256="","UNKNOWN",$L256))</f>
        <v>MCB</v>
      </c>
      <c r="N256" s="24" t="str">
        <f>IF('query (2)'!I256&lt;&gt;"","SOURCE",IF($L256="","UNKNOWN","DERIVED"))</f>
        <v>SOURCE</v>
      </c>
      <c r="O256" s="24" t="str">
        <f>IF('query (2)'!E256="","NOT_SPECIFIED",TRIM(UPPER('query (2)'!E256)))</f>
        <v>ASSEMBLY</v>
      </c>
      <c r="P256" s="24" t="str">
        <f>IF('query (2)'!F256="","",TRIM(UPPER('query (2)'!F256)))</f>
        <v>1311-MC3AI</v>
      </c>
      <c r="Q256" s="24" t="str">
        <f>IF('query (2)'!G256="","UNKNOWN",IFERROR(INDEX(Cleaning_Rules!$B$38:$B$46,MATCH(TRIM(UPPER('query (2)'!G256)),Cleaning_Rules!$A$38:$A$46,0)),"UNKNOWN"))</f>
        <v>OTHER</v>
      </c>
      <c r="R256" s="24" t="str">
        <f>IF('query (2)'!H256="","",TRIM(UPPER('query (2)'!H256)))</f>
        <v>NOISE MANUAL INSPECTION MACHINE.</v>
      </c>
      <c r="S256" s="25" t="str">
        <f>IF('query (2)'!H256="","",'query (2)'!H256)</f>
        <v>Noise manual inspection machine.</v>
      </c>
      <c r="T256" s="24" t="str">
        <f>IF('query (2)'!J256="","",TRIM(UPPER('query (2)'!J256)))</f>
        <v>NOISE INSPECTION MANUAL</v>
      </c>
      <c r="U256" s="24" t="str">
        <f t="shared" si="24"/>
        <v/>
      </c>
      <c r="V256" s="24" t="str">
        <f>IF('query (2)'!K256="","NOT_SPECIFIED",IFERROR(INDEX(Cleaning_Rules!$B$32:$B$34,MATCH(TRIM(UPPER('query (2)'!K256)),Cleaning_Rules!$A$32:$A$34,0)),"UNKNOWN"))</f>
        <v>NOT_SPECIFIED</v>
      </c>
      <c r="W256" s="24" t="str">
        <f t="shared" si="25"/>
        <v>CH-558 | FACTORY2 | MCB3 | MCB | ASSEMBLY | 1311-MC3AI | OTHER | NOISE MANUAL INSPECTION MACHINE. | NOISE INSPECTION MANUAL | NOT_SPECIFIED</v>
      </c>
      <c r="X256" s="24" t="str">
        <f t="shared" si="26"/>
        <v/>
      </c>
      <c r="Y256" s="24" t="str">
        <f t="shared" si="27"/>
        <v>MISSING_STATUS; CATEGORY_NOT_USEFUL</v>
      </c>
    </row>
    <row r="257" spans="1:25" x14ac:dyDescent="0.3">
      <c r="A257" s="24" t="str">
        <f t="shared" si="21"/>
        <v>WA-910#0256</v>
      </c>
      <c r="B257" s="24" t="str">
        <f>IF('query (2)'!B257="","",TRIM(UPPER('query (2)'!B257)))</f>
        <v>WA-910</v>
      </c>
      <c r="C257" s="25" t="str">
        <f>IF('query (2)'!B257="","",'query (2)'!B257)</f>
        <v>WA-910</v>
      </c>
      <c r="D257" s="24" t="str">
        <f t="shared" si="22"/>
        <v>WA</v>
      </c>
      <c r="E257" s="24">
        <f t="shared" si="23"/>
        <v>1</v>
      </c>
      <c r="F257" s="24">
        <f>IF('query (2)'!A257="","",IFERROR(VALUE('query (2)'!A257),""))</f>
        <v>275</v>
      </c>
      <c r="G257" s="24" t="str">
        <f>IF('query (2)'!C257="","UNKNOWN",IFERROR(INDEX(Cleaning_Rules!$B$15:$B$20,MATCH(TRIM(UPPER('query (2)'!C257)),Cleaning_Rules!$A$15:$A$20,0)),"UNKNOWN"))</f>
        <v>FACTORY2</v>
      </c>
      <c r="H257" s="25" t="str">
        <f>IF('query (2)'!C257="","",'query (2)'!C257)</f>
        <v>FACTORY2</v>
      </c>
      <c r="I257" s="24" t="str" cm="1">
        <f t="array" ref="I257">_xlfn.IFS($G257="UNKNOWN","UNKNOWN",OR($G257="FACTORY1",$G257="FACTORY2",$G257="FACTORY3"),"PLANT",TRUE,"SHARED")</f>
        <v>PLANT</v>
      </c>
      <c r="J257" s="24" t="str">
        <f>IF('query (2)'!D257="","UNKNOWN",IF(COUNTIF(Cleaning_Rules!$A$6:$A$11,TRIM('query (2)'!D257))&gt;0,"UNKNOWN",IFERROR(INDEX(Cleaning_Rules!$B$24:$B$28,MATCH(TRIM(UPPER('query (2)'!D257)),Cleaning_Rules!$A$24:$A$28,0)),TRIM(UPPER('query (2)'!D257)))))</f>
        <v>MCB3</v>
      </c>
      <c r="K257" s="25" t="str">
        <f>IF('query (2)'!D257="","",'query (2)'!D257)</f>
        <v>MCB3</v>
      </c>
      <c r="L257" s="24" t="str">
        <f>IF($J257="UNKNOWN","",_xlfn.TEXTBEFORE($J257,{"0","1","2","3","4","5","6","7","8","9"," ","-","."},1,,,$J257))</f>
        <v>MCB</v>
      </c>
      <c r="M257" s="24" t="str">
        <f>IF('query (2)'!I257&lt;&gt;"",TRIM(UPPER('query (2)'!I257)),IF($L257="","UNKNOWN",$L257))</f>
        <v>MCB</v>
      </c>
      <c r="N257" s="24" t="str">
        <f>IF('query (2)'!I257&lt;&gt;"","SOURCE",IF($L257="","UNKNOWN","DERIVED"))</f>
        <v>SOURCE</v>
      </c>
      <c r="O257" s="24" t="str">
        <f>IF('query (2)'!E257="","NOT_SPECIFIED",TRIM(UPPER('query (2)'!E257)))</f>
        <v>GRINDING 2</v>
      </c>
      <c r="P257" s="24" t="str">
        <f>IF('query (2)'!F257="","",TRIM(UPPER('query (2)'!F257)))</f>
        <v>1312-MC3G</v>
      </c>
      <c r="Q257" s="24" t="str">
        <f>IF('query (2)'!G257="","UNKNOWN",IFERROR(INDEX(Cleaning_Rules!$B$38:$B$46,MATCH(TRIM(UPPER('query (2)'!G257)),Cleaning_Rules!$A$38:$A$46,0)),"UNKNOWN"))</f>
        <v>OTHER</v>
      </c>
      <c r="R257" s="24" t="str">
        <f>IF('query (2)'!H257="","",TRIM(UPPER('query (2)'!H257)))</f>
        <v>OUTER / INNER RING PART WASH EQUIPMENT MACHINE (WA-724)</v>
      </c>
      <c r="S257" s="25" t="str">
        <f>IF('query (2)'!H257="","",'query (2)'!H257)</f>
        <v>Outer / Inner ring  part wash equipment machine  (WA-724)</v>
      </c>
      <c r="T257" s="24" t="str">
        <f>IF('query (2)'!J257="","",TRIM(UPPER('query (2)'!J257)))</f>
        <v>PART WASH EQUIPMENT</v>
      </c>
      <c r="U257" s="24" t="str">
        <f t="shared" si="24"/>
        <v>WA-724</v>
      </c>
      <c r="V257" s="24" t="str">
        <f>IF('query (2)'!K257="","NOT_SPECIFIED",IFERROR(INDEX(Cleaning_Rules!$B$32:$B$34,MATCH(TRIM(UPPER('query (2)'!K257)),Cleaning_Rules!$A$32:$A$34,0)),"UNKNOWN"))</f>
        <v>NOT_SPECIFIED</v>
      </c>
      <c r="W257" s="24" t="str">
        <f t="shared" si="25"/>
        <v>WA-910 | FACTORY2 | MCB3 | MCB | GRINDING 2 | 1312-MC3G | OTHER | OUTER / INNER RING PART WASH EQUIPMENT MACHINE (WA-724) | PART WASH EQUIPMENT | NOT_SPECIFIED</v>
      </c>
      <c r="X257" s="24" t="str">
        <f t="shared" si="26"/>
        <v/>
      </c>
      <c r="Y257" s="24" t="str">
        <f t="shared" si="27"/>
        <v>MISSING_STATUS; CATEGORY_NOT_USEFUL</v>
      </c>
    </row>
    <row r="258" spans="1:25" x14ac:dyDescent="0.3">
      <c r="A258" s="24" t="str">
        <f t="shared" si="21"/>
        <v>CH-911#0257</v>
      </c>
      <c r="B258" s="24" t="str">
        <f>IF('query (2)'!B258="","",TRIM(UPPER('query (2)'!B258)))</f>
        <v>CH-911</v>
      </c>
      <c r="C258" s="25" t="str">
        <f>IF('query (2)'!B258="","",'query (2)'!B258)</f>
        <v>CH-911</v>
      </c>
      <c r="D258" s="24" t="str">
        <f t="shared" si="22"/>
        <v>CH</v>
      </c>
      <c r="E258" s="24">
        <f t="shared" si="23"/>
        <v>1</v>
      </c>
      <c r="F258" s="24">
        <f>IF('query (2)'!A258="","",IFERROR(VALUE('query (2)'!A258),""))</f>
        <v>276</v>
      </c>
      <c r="G258" s="24" t="str">
        <f>IF('query (2)'!C258="","UNKNOWN",IFERROR(INDEX(Cleaning_Rules!$B$15:$B$20,MATCH(TRIM(UPPER('query (2)'!C258)),Cleaning_Rules!$A$15:$A$20,0)),"UNKNOWN"))</f>
        <v>FACTORY2</v>
      </c>
      <c r="H258" s="25" t="str">
        <f>IF('query (2)'!C258="","",'query (2)'!C258)</f>
        <v>FACTORY2</v>
      </c>
      <c r="I258" s="24" t="str" cm="1">
        <f t="array" ref="I258">_xlfn.IFS($G258="UNKNOWN","UNKNOWN",OR($G258="FACTORY1",$G258="FACTORY2",$G258="FACTORY3"),"PLANT",TRUE,"SHARED")</f>
        <v>PLANT</v>
      </c>
      <c r="J258" s="24" t="str">
        <f>IF('query (2)'!D258="","UNKNOWN",IF(COUNTIF(Cleaning_Rules!$A$6:$A$11,TRIM('query (2)'!D258))&gt;0,"UNKNOWN",IFERROR(INDEX(Cleaning_Rules!$B$24:$B$28,MATCH(TRIM(UPPER('query (2)'!D258)),Cleaning_Rules!$A$24:$A$28,0)),TRIM(UPPER('query (2)'!D258)))))</f>
        <v>MCB3</v>
      </c>
      <c r="K258" s="25" t="str">
        <f>IF('query (2)'!D258="","",'query (2)'!D258)</f>
        <v>MCB3</v>
      </c>
      <c r="L258" s="24" t="str">
        <f>IF($J258="UNKNOWN","",_xlfn.TEXTBEFORE($J258,{"0","1","2","3","4","5","6","7","8","9"," ","-","."},1,,,$J258))</f>
        <v>MCB</v>
      </c>
      <c r="M258" s="24" t="str">
        <f>IF('query (2)'!I258&lt;&gt;"",TRIM(UPPER('query (2)'!I258)),IF($L258="","UNKNOWN",$L258))</f>
        <v>MCB</v>
      </c>
      <c r="N258" s="24" t="str">
        <f>IF('query (2)'!I258&lt;&gt;"","SOURCE",IF($L258="","UNKNOWN","DERIVED"))</f>
        <v>SOURCE</v>
      </c>
      <c r="O258" s="24" t="str">
        <f>IF('query (2)'!E258="","NOT_SPECIFIED",TRIM(UPPER('query (2)'!E258)))</f>
        <v>GRINDING 2</v>
      </c>
      <c r="P258" s="24" t="str">
        <f>IF('query (2)'!F258="","",TRIM(UPPER('query (2)'!F258)))</f>
        <v>1312-MC3G</v>
      </c>
      <c r="Q258" s="24" t="str">
        <f>IF('query (2)'!G258="","UNKNOWN",IFERROR(INDEX(Cleaning_Rules!$B$38:$B$46,MATCH(TRIM(UPPER('query (2)'!G258)),Cleaning_Rules!$A$38:$A$46,0)),"UNKNOWN"))</f>
        <v>OTHER</v>
      </c>
      <c r="R258" s="24" t="str">
        <f>IF('query (2)'!H258="","",TRIM(UPPER('query (2)'!H258)))</f>
        <v>OUTER / INNER RING EDDY CURRENT TESTER MACHINE</v>
      </c>
      <c r="S258" s="25" t="str">
        <f>IF('query (2)'!H258="","",'query (2)'!H258)</f>
        <v>Outer / Inner ring  Eddy current tester machine</v>
      </c>
      <c r="T258" s="24" t="str">
        <f>IF('query (2)'!J258="","",TRIM(UPPER('query (2)'!J258)))</f>
        <v>A&amp;B - E.C.T.</v>
      </c>
      <c r="U258" s="24" t="str">
        <f t="shared" si="24"/>
        <v/>
      </c>
      <c r="V258" s="24" t="str">
        <f>IF('query (2)'!K258="","NOT_SPECIFIED",IFERROR(INDEX(Cleaning_Rules!$B$32:$B$34,MATCH(TRIM(UPPER('query (2)'!K258)),Cleaning_Rules!$A$32:$A$34,0)),"UNKNOWN"))</f>
        <v>NOT_SPECIFIED</v>
      </c>
      <c r="W258" s="24" t="str">
        <f t="shared" si="25"/>
        <v>CH-911 | FACTORY2 | MCB3 | MCB | GRINDING 2 | 1312-MC3G | OTHER | OUTER / INNER RING EDDY CURRENT TESTER MACHINE | A&amp;B - E.C.T. | NOT_SPECIFIED</v>
      </c>
      <c r="X258" s="24" t="str">
        <f t="shared" si="26"/>
        <v/>
      </c>
      <c r="Y258" s="24" t="str">
        <f t="shared" si="27"/>
        <v>MISSING_STATUS; CATEGORY_NOT_USEFUL</v>
      </c>
    </row>
    <row r="259" spans="1:25" x14ac:dyDescent="0.3">
      <c r="A259" s="24" t="str">
        <f t="shared" ref="A259:A322" si="28">IF($B259="","NO_QR#"&amp;TEXT(ROW()-1,"0000"),$B259&amp;"#"&amp;TEXT(ROW()-1,"0000"))</f>
        <v>MA-912#0258</v>
      </c>
      <c r="B259" s="24" t="str">
        <f>IF('query (2)'!B259="","",TRIM(UPPER('query (2)'!B259)))</f>
        <v>MA-912</v>
      </c>
      <c r="C259" s="25" t="str">
        <f>IF('query (2)'!B259="","",'query (2)'!B259)</f>
        <v>MA-912</v>
      </c>
      <c r="D259" s="24" t="str">
        <f t="shared" ref="D259:D322" si="29">IF($B259="","",IFERROR(_xlfn.TEXTBEFORE($B259,"-"),"NO_PREFIX"))</f>
        <v>MA</v>
      </c>
      <c r="E259" s="24">
        <f t="shared" ref="E259:E322" si="30">IF($B259="","",COUNTIF($B$2:$B$974,$B259))</f>
        <v>1</v>
      </c>
      <c r="F259" s="24">
        <f>IF('query (2)'!A259="","",IFERROR(VALUE('query (2)'!A259),""))</f>
        <v>277</v>
      </c>
      <c r="G259" s="24" t="str">
        <f>IF('query (2)'!C259="","UNKNOWN",IFERROR(INDEX(Cleaning_Rules!$B$15:$B$20,MATCH(TRIM(UPPER('query (2)'!C259)),Cleaning_Rules!$A$15:$A$20,0)),"UNKNOWN"))</f>
        <v>FACTORY2</v>
      </c>
      <c r="H259" s="25" t="str">
        <f>IF('query (2)'!C259="","",'query (2)'!C259)</f>
        <v>FACTORY2</v>
      </c>
      <c r="I259" s="24" t="str" cm="1">
        <f t="array" ref="I259">_xlfn.IFS($G259="UNKNOWN","UNKNOWN",OR($G259="FACTORY1",$G259="FACTORY2",$G259="FACTORY3"),"PLANT",TRUE,"SHARED")</f>
        <v>PLANT</v>
      </c>
      <c r="J259" s="24" t="str">
        <f>IF('query (2)'!D259="","UNKNOWN",IF(COUNTIF(Cleaning_Rules!$A$6:$A$11,TRIM('query (2)'!D259))&gt;0,"UNKNOWN",IFERROR(INDEX(Cleaning_Rules!$B$24:$B$28,MATCH(TRIM(UPPER('query (2)'!D259)),Cleaning_Rules!$A$24:$A$28,0)),TRIM(UPPER('query (2)'!D259)))))</f>
        <v>MCB3</v>
      </c>
      <c r="K259" s="25" t="str">
        <f>IF('query (2)'!D259="","",'query (2)'!D259)</f>
        <v>MCB3</v>
      </c>
      <c r="L259" s="24" t="str">
        <f>IF($J259="UNKNOWN","",_xlfn.TEXTBEFORE($J259,{"0","1","2","3","4","5","6","7","8","9"," ","-","."},1,,,$J259))</f>
        <v>MCB</v>
      </c>
      <c r="M259" s="24" t="str">
        <f>IF('query (2)'!I259&lt;&gt;"",TRIM(UPPER('query (2)'!I259)),IF($L259="","UNKNOWN",$L259))</f>
        <v>MCB</v>
      </c>
      <c r="N259" s="24" t="str">
        <f>IF('query (2)'!I259&lt;&gt;"","SOURCE",IF($L259="","UNKNOWN","DERIVED"))</f>
        <v>SOURCE</v>
      </c>
      <c r="O259" s="24" t="str">
        <f>IF('query (2)'!E259="","NOT_SPECIFIED",TRIM(UPPER('query (2)'!E259)))</f>
        <v>ASSEMBLY</v>
      </c>
      <c r="P259" s="24" t="str">
        <f>IF('query (2)'!F259="","",TRIM(UPPER('query (2)'!F259)))</f>
        <v>1311-MC3AI</v>
      </c>
      <c r="Q259" s="24" t="str">
        <f>IF('query (2)'!G259="","UNKNOWN",IFERROR(INDEX(Cleaning_Rules!$B$38:$B$46,MATCH(TRIM(UPPER('query (2)'!G259)),Cleaning_Rules!$A$38:$A$46,0)),"UNKNOWN"))</f>
        <v>OTHER</v>
      </c>
      <c r="R259" s="24" t="str">
        <f>IF('query (2)'!H259="","",TRIM(UPPER('query (2)'!H259)))</f>
        <v>LASER MARKER MACHINE</v>
      </c>
      <c r="S259" s="25" t="str">
        <f>IF('query (2)'!H259="","",'query (2)'!H259)</f>
        <v>Laser marker machine</v>
      </c>
      <c r="T259" s="24" t="str">
        <f>IF('query (2)'!J259="","",TRIM(UPPER('query (2)'!J259)))</f>
        <v>LASER MARKING</v>
      </c>
      <c r="U259" s="24" t="str">
        <f t="shared" ref="U259:U322" si="31">IFERROR(IF(ISNUMBER(VALUE(MID($R259,SEARCH("(??-???)",$R259)+4,3))),MID($R259,SEARCH("(??-???)",$R259)+1,6),""),"")</f>
        <v/>
      </c>
      <c r="V259" s="24" t="str">
        <f>IF('query (2)'!K259="","NOT_SPECIFIED",IFERROR(INDEX(Cleaning_Rules!$B$32:$B$34,MATCH(TRIM(UPPER('query (2)'!K259)),Cleaning_Rules!$A$32:$A$34,0)),"UNKNOWN"))</f>
        <v>NOT_SPECIFIED</v>
      </c>
      <c r="W259" s="24" t="str">
        <f t="shared" ref="W259:W322" si="32">_xlfn.TEXTJOIN(" | ",TRUE,$B259,$G259,$J259,$M259,$O259,$P259,$Q259,$R259,$T259,$V259)</f>
        <v>MA-912 | FACTORY2 | MCB3 | MCB | ASSEMBLY | 1311-MC3AI | OTHER | LASER MARKER MACHINE | LASER MARKING | NOT_SPECIFIED</v>
      </c>
      <c r="X259" s="24" t="str">
        <f t="shared" ref="X259:X322" si="33">_xlfn.TEXTJOIN("; ",TRUE,IF($B259="","MISSING_QR",""),IF(N($E259)&gt;1,"DUPLICATE_QR",""),IF($F259="","MISSING_NO",""),IF($G259="UNKNOWN","MISSING_LOCATION",""),IF($J259="UNKNOWN","MISSING_DEPARTMENT",""),IF($N259="UNKNOWN","MISSING_SECTION",""),IF($O259="NOT_SPECIFIED","MISSING_RESPONSIBLE",""),IF($P259="","MISSING_COST_CENTER",""),IF($Q259="UNKNOWN","MISSING_CATEGORY",""),IF($R259="","MISSING_DESCRIPTION",""))</f>
        <v/>
      </c>
      <c r="Y259" s="24" t="str">
        <f t="shared" ref="Y259:Y322" si="34">_xlfn.TEXTJOIN("; ",TRUE,IF($V259="NOT_SPECIFIED","MISSING_STATUS",""),IF($Q259="OTHER","CATEGORY_NOT_USEFUL",""),IF($T259="","MISSING_PRODUCTION_NAME",""),IF($N259="DERIVED","SECTION_DERIVED",""))</f>
        <v>MISSING_STATUS; CATEGORY_NOT_USEFUL</v>
      </c>
    </row>
    <row r="260" spans="1:25" x14ac:dyDescent="0.3">
      <c r="A260" s="24" t="str">
        <f t="shared" si="28"/>
        <v>AS-940#0259</v>
      </c>
      <c r="B260" s="24" t="str">
        <f>IF('query (2)'!B260="","",TRIM(UPPER('query (2)'!B260)))</f>
        <v>AS-940</v>
      </c>
      <c r="C260" s="25" t="str">
        <f>IF('query (2)'!B260="","",'query (2)'!B260)</f>
        <v>AS-940</v>
      </c>
      <c r="D260" s="24" t="str">
        <f t="shared" si="29"/>
        <v>AS</v>
      </c>
      <c r="E260" s="24">
        <f t="shared" si="30"/>
        <v>1</v>
      </c>
      <c r="F260" s="24">
        <f>IF('query (2)'!A260="","",IFERROR(VALUE('query (2)'!A260),""))</f>
        <v>278</v>
      </c>
      <c r="G260" s="24" t="str">
        <f>IF('query (2)'!C260="","UNKNOWN",IFERROR(INDEX(Cleaning_Rules!$B$15:$B$20,MATCH(TRIM(UPPER('query (2)'!C260)),Cleaning_Rules!$A$15:$A$20,0)),"UNKNOWN"))</f>
        <v>FACTORY2</v>
      </c>
      <c r="H260" s="25" t="str">
        <f>IF('query (2)'!C260="","",'query (2)'!C260)</f>
        <v>FACTORY2</v>
      </c>
      <c r="I260" s="24" t="str" cm="1">
        <f t="array" ref="I260">_xlfn.IFS($G260="UNKNOWN","UNKNOWN",OR($G260="FACTORY1",$G260="FACTORY2",$G260="FACTORY3"),"PLANT",TRUE,"SHARED")</f>
        <v>PLANT</v>
      </c>
      <c r="J260" s="24" t="str">
        <f>IF('query (2)'!D260="","UNKNOWN",IF(COUNTIF(Cleaning_Rules!$A$6:$A$11,TRIM('query (2)'!D260))&gt;0,"UNKNOWN",IFERROR(INDEX(Cleaning_Rules!$B$24:$B$28,MATCH(TRIM(UPPER('query (2)'!D260)),Cleaning_Rules!$A$24:$A$28,0)),TRIM(UPPER('query (2)'!D260)))))</f>
        <v>MCB3</v>
      </c>
      <c r="K260" s="25" t="str">
        <f>IF('query (2)'!D260="","",'query (2)'!D260)</f>
        <v>MCB3</v>
      </c>
      <c r="L260" s="24" t="str">
        <f>IF($J260="UNKNOWN","",_xlfn.TEXTBEFORE($J260,{"0","1","2","3","4","5","6","7","8","9"," ","-","."},1,,,$J260))</f>
        <v>MCB</v>
      </c>
      <c r="M260" s="24" t="str">
        <f>IF('query (2)'!I260&lt;&gt;"",TRIM(UPPER('query (2)'!I260)),IF($L260="","UNKNOWN",$L260))</f>
        <v>MCB</v>
      </c>
      <c r="N260" s="24" t="str">
        <f>IF('query (2)'!I260&lt;&gt;"","SOURCE",IF($L260="","UNKNOWN","DERIVED"))</f>
        <v>SOURCE</v>
      </c>
      <c r="O260" s="24" t="str">
        <f>IF('query (2)'!E260="","NOT_SPECIFIED",TRIM(UPPER('query (2)'!E260)))</f>
        <v>ASSEMBLY</v>
      </c>
      <c r="P260" s="24" t="str">
        <f>IF('query (2)'!F260="","",TRIM(UPPER('query (2)'!F260)))</f>
        <v>1311-MC3AI</v>
      </c>
      <c r="Q260" s="24" t="str">
        <f>IF('query (2)'!G260="","UNKNOWN",IFERROR(INDEX(Cleaning_Rules!$B$38:$B$46,MATCH(TRIM(UPPER('query (2)'!G260)),Cleaning_Rules!$A$38:$A$46,0)),"UNKNOWN"))</f>
        <v>OTHER</v>
      </c>
      <c r="R260" s="24" t="str">
        <f>IF('query (2)'!H260="","",TRIM(UPPER('query (2)'!H260)))</f>
        <v>BALL SEPARATE &amp; CAGE ASSEMBLY MACHINE.</v>
      </c>
      <c r="S260" s="25" t="str">
        <f>IF('query (2)'!H260="","",'query (2)'!H260)</f>
        <v>Ball separate &amp; cage assembly machine.</v>
      </c>
      <c r="T260" s="24" t="str">
        <f>IF('query (2)'!J260="","",TRIM(UPPER('query (2)'!J260)))</f>
        <v>BALL SEPARATE</v>
      </c>
      <c r="U260" s="24" t="str">
        <f t="shared" si="31"/>
        <v/>
      </c>
      <c r="V260" s="24" t="str">
        <f>IF('query (2)'!K260="","NOT_SPECIFIED",IFERROR(INDEX(Cleaning_Rules!$B$32:$B$34,MATCH(TRIM(UPPER('query (2)'!K260)),Cleaning_Rules!$A$32:$A$34,0)),"UNKNOWN"))</f>
        <v>NOT_SPECIFIED</v>
      </c>
      <c r="W260" s="24" t="str">
        <f t="shared" si="32"/>
        <v>AS-940 | FACTORY2 | MCB3 | MCB | ASSEMBLY | 1311-MC3AI | OTHER | BALL SEPARATE &amp; CAGE ASSEMBLY MACHINE. | BALL SEPARATE | NOT_SPECIFIED</v>
      </c>
      <c r="X260" s="24" t="str">
        <f t="shared" si="33"/>
        <v/>
      </c>
      <c r="Y260" s="24" t="str">
        <f t="shared" si="34"/>
        <v>MISSING_STATUS; CATEGORY_NOT_USEFUL</v>
      </c>
    </row>
    <row r="261" spans="1:25" x14ac:dyDescent="0.3">
      <c r="A261" s="24" t="str">
        <f t="shared" si="28"/>
        <v>CH-963#0260</v>
      </c>
      <c r="B261" s="24" t="str">
        <f>IF('query (2)'!B261="","",TRIM(UPPER('query (2)'!B261)))</f>
        <v>CH-963</v>
      </c>
      <c r="C261" s="25" t="str">
        <f>IF('query (2)'!B261="","",'query (2)'!B261)</f>
        <v>CH-963</v>
      </c>
      <c r="D261" s="24" t="str">
        <f t="shared" si="29"/>
        <v>CH</v>
      </c>
      <c r="E261" s="24">
        <f t="shared" si="30"/>
        <v>1</v>
      </c>
      <c r="F261" s="24">
        <f>IF('query (2)'!A261="","",IFERROR(VALUE('query (2)'!A261),""))</f>
        <v>279</v>
      </c>
      <c r="G261" s="24" t="str">
        <f>IF('query (2)'!C261="","UNKNOWN",IFERROR(INDEX(Cleaning_Rules!$B$15:$B$20,MATCH(TRIM(UPPER('query (2)'!C261)),Cleaning_Rules!$A$15:$A$20,0)),"UNKNOWN"))</f>
        <v>FACTORY2</v>
      </c>
      <c r="H261" s="25" t="str">
        <f>IF('query (2)'!C261="","",'query (2)'!C261)</f>
        <v>FACTORY2</v>
      </c>
      <c r="I261" s="24" t="str" cm="1">
        <f t="array" ref="I261">_xlfn.IFS($G261="UNKNOWN","UNKNOWN",OR($G261="FACTORY1",$G261="FACTORY2",$G261="FACTORY3"),"PLANT",TRUE,"SHARED")</f>
        <v>PLANT</v>
      </c>
      <c r="J261" s="24" t="str">
        <f>IF('query (2)'!D261="","UNKNOWN",IF(COUNTIF(Cleaning_Rules!$A$6:$A$11,TRIM('query (2)'!D261))&gt;0,"UNKNOWN",IFERROR(INDEX(Cleaning_Rules!$B$24:$B$28,MATCH(TRIM(UPPER('query (2)'!D261)),Cleaning_Rules!$A$24:$A$28,0)),TRIM(UPPER('query (2)'!D261)))))</f>
        <v>MCB3</v>
      </c>
      <c r="K261" s="25" t="str">
        <f>IF('query (2)'!D261="","",'query (2)'!D261)</f>
        <v>MCB3</v>
      </c>
      <c r="L261" s="24" t="str">
        <f>IF($J261="UNKNOWN","",_xlfn.TEXTBEFORE($J261,{"0","1","2","3","4","5","6","7","8","9"," ","-","."},1,,,$J261))</f>
        <v>MCB</v>
      </c>
      <c r="M261" s="24" t="str">
        <f>IF('query (2)'!I261&lt;&gt;"",TRIM(UPPER('query (2)'!I261)),IF($L261="","UNKNOWN",$L261))</f>
        <v>MCB</v>
      </c>
      <c r="N261" s="24" t="str">
        <f>IF('query (2)'!I261&lt;&gt;"","SOURCE",IF($L261="","UNKNOWN","DERIVED"))</f>
        <v>SOURCE</v>
      </c>
      <c r="O261" s="24" t="str">
        <f>IF('query (2)'!E261="","NOT_SPECIFIED",TRIM(UPPER('query (2)'!E261)))</f>
        <v>ASSEMBLY</v>
      </c>
      <c r="P261" s="24" t="str">
        <f>IF('query (2)'!F261="","",TRIM(UPPER('query (2)'!F261)))</f>
        <v>1311-MC3AI</v>
      </c>
      <c r="Q261" s="24" t="str">
        <f>IF('query (2)'!G261="","UNKNOWN",IFERROR(INDEX(Cleaning_Rules!$B$38:$B$46,MATCH(TRIM(UPPER('query (2)'!G261)),Cleaning_Rules!$A$38:$A$46,0)),"UNKNOWN"))</f>
        <v>OTHER</v>
      </c>
      <c r="R261" s="24" t="str">
        <f>IF('query (2)'!H261="","",TRIM(UPPER('query (2)'!H261)))</f>
        <v>TORQUE CHECK &amp; SEALIP M/C</v>
      </c>
      <c r="S261" s="25" t="str">
        <f>IF('query (2)'!H261="","",'query (2)'!H261)</f>
        <v>Torque check &amp; Sealip  m/c</v>
      </c>
      <c r="T261" s="24" t="str">
        <f>IF('query (2)'!J261="","",TRIM(UPPER('query (2)'!J261)))</f>
        <v>TORQUE AUTO</v>
      </c>
      <c r="U261" s="24" t="str">
        <f t="shared" si="31"/>
        <v/>
      </c>
      <c r="V261" s="24" t="str">
        <f>IF('query (2)'!K261="","NOT_SPECIFIED",IFERROR(INDEX(Cleaning_Rules!$B$32:$B$34,MATCH(TRIM(UPPER('query (2)'!K261)),Cleaning_Rules!$A$32:$A$34,0)),"UNKNOWN"))</f>
        <v>NOT_SPECIFIED</v>
      </c>
      <c r="W261" s="24" t="str">
        <f t="shared" si="32"/>
        <v>CH-963 | FACTORY2 | MCB3 | MCB | ASSEMBLY | 1311-MC3AI | OTHER | TORQUE CHECK &amp; SEALIP M/C | TORQUE AUTO | NOT_SPECIFIED</v>
      </c>
      <c r="X261" s="24" t="str">
        <f t="shared" si="33"/>
        <v/>
      </c>
      <c r="Y261" s="24" t="str">
        <f t="shared" si="34"/>
        <v>MISSING_STATUS; CATEGORY_NOT_USEFUL</v>
      </c>
    </row>
    <row r="262" spans="1:25" x14ac:dyDescent="0.3">
      <c r="A262" s="24" t="str">
        <f t="shared" si="28"/>
        <v>CH-1014#0261</v>
      </c>
      <c r="B262" s="24" t="str">
        <f>IF('query (2)'!B262="","",TRIM(UPPER('query (2)'!B262)))</f>
        <v>CH-1014</v>
      </c>
      <c r="C262" s="25" t="str">
        <f>IF('query (2)'!B262="","",'query (2)'!B262)</f>
        <v>CH-1014</v>
      </c>
      <c r="D262" s="24" t="str">
        <f t="shared" si="29"/>
        <v>CH</v>
      </c>
      <c r="E262" s="24">
        <f t="shared" si="30"/>
        <v>1</v>
      </c>
      <c r="F262" s="24">
        <f>IF('query (2)'!A262="","",IFERROR(VALUE('query (2)'!A262),""))</f>
        <v>280</v>
      </c>
      <c r="G262" s="24" t="str">
        <f>IF('query (2)'!C262="","UNKNOWN",IFERROR(INDEX(Cleaning_Rules!$B$15:$B$20,MATCH(TRIM(UPPER('query (2)'!C262)),Cleaning_Rules!$A$15:$A$20,0)),"UNKNOWN"))</f>
        <v>FACTORY2</v>
      </c>
      <c r="H262" s="25" t="str">
        <f>IF('query (2)'!C262="","",'query (2)'!C262)</f>
        <v>FACTORY2</v>
      </c>
      <c r="I262" s="24" t="str" cm="1">
        <f t="array" ref="I262">_xlfn.IFS($G262="UNKNOWN","UNKNOWN",OR($G262="FACTORY1",$G262="FACTORY2",$G262="FACTORY3"),"PLANT",TRUE,"SHARED")</f>
        <v>PLANT</v>
      </c>
      <c r="J262" s="24" t="str">
        <f>IF('query (2)'!D262="","UNKNOWN",IF(COUNTIF(Cleaning_Rules!$A$6:$A$11,TRIM('query (2)'!D262))&gt;0,"UNKNOWN",IFERROR(INDEX(Cleaning_Rules!$B$24:$B$28,MATCH(TRIM(UPPER('query (2)'!D262)),Cleaning_Rules!$A$24:$A$28,0)),TRIM(UPPER('query (2)'!D262)))))</f>
        <v>MCB3</v>
      </c>
      <c r="K262" s="25" t="str">
        <f>IF('query (2)'!D262="","",'query (2)'!D262)</f>
        <v>MCB3</v>
      </c>
      <c r="L262" s="24" t="str">
        <f>IF($J262="UNKNOWN","",_xlfn.TEXTBEFORE($J262,{"0","1","2","3","4","5","6","7","8","9"," ","-","."},1,,,$J262))</f>
        <v>MCB</v>
      </c>
      <c r="M262" s="24" t="str">
        <f>IF('query (2)'!I262&lt;&gt;"",TRIM(UPPER('query (2)'!I262)),IF($L262="","UNKNOWN",$L262))</f>
        <v>MCB</v>
      </c>
      <c r="N262" s="24" t="str">
        <f>IF('query (2)'!I262&lt;&gt;"","SOURCE",IF($L262="","UNKNOWN","DERIVED"))</f>
        <v>SOURCE</v>
      </c>
      <c r="O262" s="24" t="str">
        <f>IF('query (2)'!E262="","NOT_SPECIFIED",TRIM(UPPER('query (2)'!E262)))</f>
        <v>ASSEMBLY</v>
      </c>
      <c r="P262" s="24" t="str">
        <f>IF('query (2)'!F262="","",TRIM(UPPER('query (2)'!F262)))</f>
        <v>1311-MC3AI</v>
      </c>
      <c r="Q262" s="24" t="str">
        <f>IF('query (2)'!G262="","UNKNOWN",IFERROR(INDEX(Cleaning_Rules!$B$38:$B$46,MATCH(TRIM(UPPER('query (2)'!G262)),Cleaning_Rules!$A$38:$A$46,0)),"UNKNOWN"))</f>
        <v>OTHER</v>
      </c>
      <c r="R262" s="24" t="str">
        <f>IF('query (2)'!H262="","",TRIM(UPPER('query (2)'!H262)))</f>
        <v>DIMENSION CHECKER MACHINE NO.3</v>
      </c>
      <c r="S262" s="25" t="str">
        <f>IF('query (2)'!H262="","",'query (2)'!H262)</f>
        <v>Dimension checker machine No.3</v>
      </c>
      <c r="T262" s="24" t="str">
        <f>IF('query (2)'!J262="","",TRIM(UPPER('query (2)'!J262)))</f>
        <v>DIMENSION CHECKER</v>
      </c>
      <c r="U262" s="24" t="str">
        <f t="shared" si="31"/>
        <v/>
      </c>
      <c r="V262" s="24" t="str">
        <f>IF('query (2)'!K262="","NOT_SPECIFIED",IFERROR(INDEX(Cleaning_Rules!$B$32:$B$34,MATCH(TRIM(UPPER('query (2)'!K262)),Cleaning_Rules!$A$32:$A$34,0)),"UNKNOWN"))</f>
        <v>NOT_SPECIFIED</v>
      </c>
      <c r="W262" s="24" t="str">
        <f t="shared" si="32"/>
        <v>CH-1014 | FACTORY2 | MCB3 | MCB | ASSEMBLY | 1311-MC3AI | OTHER | DIMENSION CHECKER MACHINE NO.3 | DIMENSION CHECKER | NOT_SPECIFIED</v>
      </c>
      <c r="X262" s="24" t="str">
        <f t="shared" si="33"/>
        <v/>
      </c>
      <c r="Y262" s="24" t="str">
        <f t="shared" si="34"/>
        <v>MISSING_STATUS; CATEGORY_NOT_USEFUL</v>
      </c>
    </row>
    <row r="263" spans="1:25" x14ac:dyDescent="0.3">
      <c r="A263" s="24" t="str">
        <f t="shared" si="28"/>
        <v>GR-095#0262</v>
      </c>
      <c r="B263" s="24" t="str">
        <f>IF('query (2)'!B263="","",TRIM(UPPER('query (2)'!B263)))</f>
        <v>GR-095</v>
      </c>
      <c r="C263" s="25" t="str">
        <f>IF('query (2)'!B263="","",'query (2)'!B263)</f>
        <v>GR-095</v>
      </c>
      <c r="D263" s="24" t="str">
        <f t="shared" si="29"/>
        <v>GR</v>
      </c>
      <c r="E263" s="24">
        <f t="shared" si="30"/>
        <v>1</v>
      </c>
      <c r="F263" s="24">
        <f>IF('query (2)'!A263="","",IFERROR(VALUE('query (2)'!A263),""))</f>
        <v>281</v>
      </c>
      <c r="G263" s="24" t="str">
        <f>IF('query (2)'!C263="","UNKNOWN",IFERROR(INDEX(Cleaning_Rules!$B$15:$B$20,MATCH(TRIM(UPPER('query (2)'!C263)),Cleaning_Rules!$A$15:$A$20,0)),"UNKNOWN"))</f>
        <v>FACTORY2</v>
      </c>
      <c r="H263" s="25" t="str">
        <f>IF('query (2)'!C263="","",'query (2)'!C263)</f>
        <v>FACTORY2</v>
      </c>
      <c r="I263" s="24" t="str" cm="1">
        <f t="array" ref="I263">_xlfn.IFS($G263="UNKNOWN","UNKNOWN",OR($G263="FACTORY1",$G263="FACTORY2",$G263="FACTORY3"),"PLANT",TRUE,"SHARED")</f>
        <v>PLANT</v>
      </c>
      <c r="J263" s="24" t="str">
        <f>IF('query (2)'!D263="","UNKNOWN",IF(COUNTIF(Cleaning_Rules!$A$6:$A$11,TRIM('query (2)'!D263))&gt;0,"UNKNOWN",IFERROR(INDEX(Cleaning_Rules!$B$24:$B$28,MATCH(TRIM(UPPER('query (2)'!D263)),Cleaning_Rules!$A$24:$A$28,0)),TRIM(UPPER('query (2)'!D263)))))</f>
        <v>SB1</v>
      </c>
      <c r="K263" s="25" t="str">
        <f>IF('query (2)'!D263="","",'query (2)'!D263)</f>
        <v>SB1</v>
      </c>
      <c r="L263" s="24" t="str">
        <f>IF($J263="UNKNOWN","",_xlfn.TEXTBEFORE($J263,{"0","1","2","3","4","5","6","7","8","9"," ","-","."},1,,,$J263))</f>
        <v>SB</v>
      </c>
      <c r="M263" s="24" t="str">
        <f>IF('query (2)'!I263&lt;&gt;"",TRIM(UPPER('query (2)'!I263)),IF($L263="","UNKNOWN",$L263))</f>
        <v>SB</v>
      </c>
      <c r="N263" s="24" t="str">
        <f>IF('query (2)'!I263&lt;&gt;"","SOURCE",IF($L263="","UNKNOWN","DERIVED"))</f>
        <v>SOURCE</v>
      </c>
      <c r="O263" s="24" t="str">
        <f>IF('query (2)'!E263="","NOT_SPECIFIED",TRIM(UPPER('query (2)'!E263)))</f>
        <v>GRINDING 2</v>
      </c>
      <c r="P263" s="24" t="str">
        <f>IF('query (2)'!F263="","",TRIM(UPPER('query (2)'!F263)))</f>
        <v>1203-SB1G</v>
      </c>
      <c r="Q263" s="24" t="str">
        <f>IF('query (2)'!G263="","UNKNOWN",IFERROR(INDEX(Cleaning_Rules!$B$38:$B$46,MATCH(TRIM(UPPER('query (2)'!G263)),Cleaning_Rules!$A$38:$A$46,0)),"UNKNOWN"))</f>
        <v>OTHER</v>
      </c>
      <c r="R263" s="24" t="str">
        <f>IF('query (2)'!H263="","",TRIM(UPPER('query (2)'!H263)))</f>
        <v>INNER RING RACEWAY GRINDING M/C</v>
      </c>
      <c r="S263" s="25" t="str">
        <f>IF('query (2)'!H263="","",'query (2)'!H263)</f>
        <v>Inner ring raceway grinding M/C</v>
      </c>
      <c r="T263" s="24" t="str">
        <f>IF('query (2)'!J263="","",TRIM(UPPER('query (2)'!J263)))</f>
        <v>B - RACEWAY GRINDING</v>
      </c>
      <c r="U263" s="24" t="str">
        <f t="shared" si="31"/>
        <v/>
      </c>
      <c r="V263" s="24" t="str">
        <f>IF('query (2)'!K263="","NOT_SPECIFIED",IFERROR(INDEX(Cleaning_Rules!$B$32:$B$34,MATCH(TRIM(UPPER('query (2)'!K263)),Cleaning_Rules!$A$32:$A$34,0)),"UNKNOWN"))</f>
        <v>NOT_SPECIFIED</v>
      </c>
      <c r="W263" s="24" t="str">
        <f t="shared" si="32"/>
        <v>GR-095 | FACTORY2 | SB1 | SB | GRINDING 2 | 1203-SB1G | OTHER | INNER RING RACEWAY GRINDING M/C | B - RACEWAY GRINDING | NOT_SPECIFIED</v>
      </c>
      <c r="X263" s="24" t="str">
        <f t="shared" si="33"/>
        <v/>
      </c>
      <c r="Y263" s="24" t="str">
        <f t="shared" si="34"/>
        <v>MISSING_STATUS; CATEGORY_NOT_USEFUL</v>
      </c>
    </row>
    <row r="264" spans="1:25" x14ac:dyDescent="0.3">
      <c r="A264" s="24" t="str">
        <f t="shared" si="28"/>
        <v>GR-097#0263</v>
      </c>
      <c r="B264" s="24" t="str">
        <f>IF('query (2)'!B264="","",TRIM(UPPER('query (2)'!B264)))</f>
        <v>GR-097</v>
      </c>
      <c r="C264" s="25" t="str">
        <f>IF('query (2)'!B264="","",'query (2)'!B264)</f>
        <v>GR-097</v>
      </c>
      <c r="D264" s="24" t="str">
        <f t="shared" si="29"/>
        <v>GR</v>
      </c>
      <c r="E264" s="24">
        <f t="shared" si="30"/>
        <v>1</v>
      </c>
      <c r="F264" s="24">
        <f>IF('query (2)'!A264="","",IFERROR(VALUE('query (2)'!A264),""))</f>
        <v>282</v>
      </c>
      <c r="G264" s="24" t="str">
        <f>IF('query (2)'!C264="","UNKNOWN",IFERROR(INDEX(Cleaning_Rules!$B$15:$B$20,MATCH(TRIM(UPPER('query (2)'!C264)),Cleaning_Rules!$A$15:$A$20,0)),"UNKNOWN"))</f>
        <v>FACTORY2</v>
      </c>
      <c r="H264" s="25" t="str">
        <f>IF('query (2)'!C264="","",'query (2)'!C264)</f>
        <v>FACTORY2</v>
      </c>
      <c r="I264" s="24" t="str" cm="1">
        <f t="array" ref="I264">_xlfn.IFS($G264="UNKNOWN","UNKNOWN",OR($G264="FACTORY1",$G264="FACTORY2",$G264="FACTORY3"),"PLANT",TRUE,"SHARED")</f>
        <v>PLANT</v>
      </c>
      <c r="J264" s="24" t="str">
        <f>IF('query (2)'!D264="","UNKNOWN",IF(COUNTIF(Cleaning_Rules!$A$6:$A$11,TRIM('query (2)'!D264))&gt;0,"UNKNOWN",IFERROR(INDEX(Cleaning_Rules!$B$24:$B$28,MATCH(TRIM(UPPER('query (2)'!D264)),Cleaning_Rules!$A$24:$A$28,0)),TRIM(UPPER('query (2)'!D264)))))</f>
        <v>SB1</v>
      </c>
      <c r="K264" s="25" t="str">
        <f>IF('query (2)'!D264="","",'query (2)'!D264)</f>
        <v>SB1</v>
      </c>
      <c r="L264" s="24" t="str">
        <f>IF($J264="UNKNOWN","",_xlfn.TEXTBEFORE($J264,{"0","1","2","3","4","5","6","7","8","9"," ","-","."},1,,,$J264))</f>
        <v>SB</v>
      </c>
      <c r="M264" s="24" t="str">
        <f>IF('query (2)'!I264&lt;&gt;"",TRIM(UPPER('query (2)'!I264)),IF($L264="","UNKNOWN",$L264))</f>
        <v>SB</v>
      </c>
      <c r="N264" s="24" t="str">
        <f>IF('query (2)'!I264&lt;&gt;"","SOURCE",IF($L264="","UNKNOWN","DERIVED"))</f>
        <v>SOURCE</v>
      </c>
      <c r="O264" s="24" t="str">
        <f>IF('query (2)'!E264="","NOT_SPECIFIED",TRIM(UPPER('query (2)'!E264)))</f>
        <v>GRINDING 2</v>
      </c>
      <c r="P264" s="24" t="str">
        <f>IF('query (2)'!F264="","",TRIM(UPPER('query (2)'!F264)))</f>
        <v>1203-SB1G</v>
      </c>
      <c r="Q264" s="24" t="str">
        <f>IF('query (2)'!G264="","UNKNOWN",IFERROR(INDEX(Cleaning_Rules!$B$38:$B$46,MATCH(TRIM(UPPER('query (2)'!G264)),Cleaning_Rules!$A$38:$A$46,0)),"UNKNOWN"))</f>
        <v>OTHER</v>
      </c>
      <c r="R264" s="24" t="str">
        <f>IF('query (2)'!H264="","",TRIM(UPPER('query (2)'!H264)))</f>
        <v>INNER RING BORE GRINDING M/C</v>
      </c>
      <c r="S264" s="25" t="str">
        <f>IF('query (2)'!H264="","",'query (2)'!H264)</f>
        <v>Inner ring bore grinding M/C</v>
      </c>
      <c r="T264" s="24" t="str">
        <f>IF('query (2)'!J264="","",TRIM(UPPER('query (2)'!J264)))</f>
        <v>B - BORE GRINDING</v>
      </c>
      <c r="U264" s="24" t="str">
        <f t="shared" si="31"/>
        <v/>
      </c>
      <c r="V264" s="24" t="str">
        <f>IF('query (2)'!K264="","NOT_SPECIFIED",IFERROR(INDEX(Cleaning_Rules!$B$32:$B$34,MATCH(TRIM(UPPER('query (2)'!K264)),Cleaning_Rules!$A$32:$A$34,0)),"UNKNOWN"))</f>
        <v>NOT_SPECIFIED</v>
      </c>
      <c r="W264" s="24" t="str">
        <f t="shared" si="32"/>
        <v>GR-097 | FACTORY2 | SB1 | SB | GRINDING 2 | 1203-SB1G | OTHER | INNER RING BORE GRINDING M/C | B - BORE GRINDING | NOT_SPECIFIED</v>
      </c>
      <c r="X264" s="24" t="str">
        <f t="shared" si="33"/>
        <v/>
      </c>
      <c r="Y264" s="24" t="str">
        <f t="shared" si="34"/>
        <v>MISSING_STATUS; CATEGORY_NOT_USEFUL</v>
      </c>
    </row>
    <row r="265" spans="1:25" x14ac:dyDescent="0.3">
      <c r="A265" s="24" t="str">
        <f t="shared" si="28"/>
        <v>DE-099#0264</v>
      </c>
      <c r="B265" s="24" t="str">
        <f>IF('query (2)'!B265="","",TRIM(UPPER('query (2)'!B265)))</f>
        <v>DE-099</v>
      </c>
      <c r="C265" s="25" t="str">
        <f>IF('query (2)'!B265="","",'query (2)'!B265)</f>
        <v>DE-099</v>
      </c>
      <c r="D265" s="24" t="str">
        <f t="shared" si="29"/>
        <v>DE</v>
      </c>
      <c r="E265" s="24">
        <f t="shared" si="30"/>
        <v>1</v>
      </c>
      <c r="F265" s="24">
        <f>IF('query (2)'!A265="","",IFERROR(VALUE('query (2)'!A265),""))</f>
        <v>283</v>
      </c>
      <c r="G265" s="24" t="str">
        <f>IF('query (2)'!C265="","UNKNOWN",IFERROR(INDEX(Cleaning_Rules!$B$15:$B$20,MATCH(TRIM(UPPER('query (2)'!C265)),Cleaning_Rules!$A$15:$A$20,0)),"UNKNOWN"))</f>
        <v>FACTORY2</v>
      </c>
      <c r="H265" s="25" t="str">
        <f>IF('query (2)'!C265="","",'query (2)'!C265)</f>
        <v>FACTORY2</v>
      </c>
      <c r="I265" s="24" t="str" cm="1">
        <f t="array" ref="I265">_xlfn.IFS($G265="UNKNOWN","UNKNOWN",OR($G265="FACTORY1",$G265="FACTORY2",$G265="FACTORY3"),"PLANT",TRUE,"SHARED")</f>
        <v>PLANT</v>
      </c>
      <c r="J265" s="24" t="str">
        <f>IF('query (2)'!D265="","UNKNOWN",IF(COUNTIF(Cleaning_Rules!$A$6:$A$11,TRIM('query (2)'!D265))&gt;0,"UNKNOWN",IFERROR(INDEX(Cleaning_Rules!$B$24:$B$28,MATCH(TRIM(UPPER('query (2)'!D265)),Cleaning_Rules!$A$24:$A$28,0)),TRIM(UPPER('query (2)'!D265)))))</f>
        <v>SB1</v>
      </c>
      <c r="K265" s="25" t="str">
        <f>IF('query (2)'!D265="","",'query (2)'!D265)</f>
        <v>SB1</v>
      </c>
      <c r="L265" s="24" t="str">
        <f>IF($J265="UNKNOWN","",_xlfn.TEXTBEFORE($J265,{"0","1","2","3","4","5","6","7","8","9"," ","-","."},1,,,$J265))</f>
        <v>SB</v>
      </c>
      <c r="M265" s="24" t="str">
        <f>IF('query (2)'!I265&lt;&gt;"",TRIM(UPPER('query (2)'!I265)),IF($L265="","UNKNOWN",$L265))</f>
        <v>SB</v>
      </c>
      <c r="N265" s="24" t="str">
        <f>IF('query (2)'!I265&lt;&gt;"","SOURCE",IF($L265="","UNKNOWN","DERIVED"))</f>
        <v>SOURCE</v>
      </c>
      <c r="O265" s="24" t="str">
        <f>IF('query (2)'!E265="","NOT_SPECIFIED",TRIM(UPPER('query (2)'!E265)))</f>
        <v>GRINDING 2</v>
      </c>
      <c r="P265" s="24" t="str">
        <f>IF('query (2)'!F265="","",TRIM(UPPER('query (2)'!F265)))</f>
        <v>1203-SB1G</v>
      </c>
      <c r="Q265" s="24" t="str">
        <f>IF('query (2)'!G265="","UNKNOWN",IFERROR(INDEX(Cleaning_Rules!$B$38:$B$46,MATCH(TRIM(UPPER('query (2)'!G265)),Cleaning_Rules!$A$38:$A$46,0)),"UNKNOWN"))</f>
        <v>OTHER</v>
      </c>
      <c r="R265" s="24" t="str">
        <f>IF('query (2)'!H265="","",TRIM(UPPER('query (2)'!H265)))</f>
        <v>DEMAGNETIZING FOR INNER RING M/C</v>
      </c>
      <c r="S265" s="25" t="str">
        <f>IF('query (2)'!H265="","",'query (2)'!H265)</f>
        <v>Demagnetizing for  inner  ring  M/C</v>
      </c>
      <c r="T265" s="24" t="str">
        <f>IF('query (2)'!J265="","",TRIM(UPPER('query (2)'!J265)))</f>
        <v>B - DEMAGNETIZING</v>
      </c>
      <c r="U265" s="24" t="str">
        <f t="shared" si="31"/>
        <v/>
      </c>
      <c r="V265" s="24" t="str">
        <f>IF('query (2)'!K265="","NOT_SPECIFIED",IFERROR(INDEX(Cleaning_Rules!$B$32:$B$34,MATCH(TRIM(UPPER('query (2)'!K265)),Cleaning_Rules!$A$32:$A$34,0)),"UNKNOWN"))</f>
        <v>NOT_SPECIFIED</v>
      </c>
      <c r="W265" s="24" t="str">
        <f t="shared" si="32"/>
        <v>DE-099 | FACTORY2 | SB1 | SB | GRINDING 2 | 1203-SB1G | OTHER | DEMAGNETIZING FOR INNER RING M/C | B - DEMAGNETIZING | NOT_SPECIFIED</v>
      </c>
      <c r="X265" s="24" t="str">
        <f t="shared" si="33"/>
        <v/>
      </c>
      <c r="Y265" s="24" t="str">
        <f t="shared" si="34"/>
        <v>MISSING_STATUS; CATEGORY_NOT_USEFUL</v>
      </c>
    </row>
    <row r="266" spans="1:25" x14ac:dyDescent="0.3">
      <c r="A266" s="24" t="str">
        <f t="shared" si="28"/>
        <v>GR-100#0265</v>
      </c>
      <c r="B266" s="24" t="str">
        <f>IF('query (2)'!B266="","",TRIM(UPPER('query (2)'!B266)))</f>
        <v>GR-100</v>
      </c>
      <c r="C266" s="25" t="str">
        <f>IF('query (2)'!B266="","",'query (2)'!B266)</f>
        <v>GR-100</v>
      </c>
      <c r="D266" s="24" t="str">
        <f t="shared" si="29"/>
        <v>GR</v>
      </c>
      <c r="E266" s="24">
        <f t="shared" si="30"/>
        <v>1</v>
      </c>
      <c r="F266" s="24">
        <f>IF('query (2)'!A266="","",IFERROR(VALUE('query (2)'!A266),""))</f>
        <v>284</v>
      </c>
      <c r="G266" s="24" t="str">
        <f>IF('query (2)'!C266="","UNKNOWN",IFERROR(INDEX(Cleaning_Rules!$B$15:$B$20,MATCH(TRIM(UPPER('query (2)'!C266)),Cleaning_Rules!$A$15:$A$20,0)),"UNKNOWN"))</f>
        <v>FACTORY2</v>
      </c>
      <c r="H266" s="25" t="str">
        <f>IF('query (2)'!C266="","",'query (2)'!C266)</f>
        <v>FACTORY2</v>
      </c>
      <c r="I266" s="24" t="str" cm="1">
        <f t="array" ref="I266">_xlfn.IFS($G266="UNKNOWN","UNKNOWN",OR($G266="FACTORY1",$G266="FACTORY2",$G266="FACTORY3"),"PLANT",TRUE,"SHARED")</f>
        <v>PLANT</v>
      </c>
      <c r="J266" s="24" t="str">
        <f>IF('query (2)'!D266="","UNKNOWN",IF(COUNTIF(Cleaning_Rules!$A$6:$A$11,TRIM('query (2)'!D266))&gt;0,"UNKNOWN",IFERROR(INDEX(Cleaning_Rules!$B$24:$B$28,MATCH(TRIM(UPPER('query (2)'!D266)),Cleaning_Rules!$A$24:$A$28,0)),TRIM(UPPER('query (2)'!D266)))))</f>
        <v>SB1</v>
      </c>
      <c r="K266" s="25" t="str">
        <f>IF('query (2)'!D266="","",'query (2)'!D266)</f>
        <v>SB1</v>
      </c>
      <c r="L266" s="24" t="str">
        <f>IF($J266="UNKNOWN","",_xlfn.TEXTBEFORE($J266,{"0","1","2","3","4","5","6","7","8","9"," ","-","."},1,,,$J266))</f>
        <v>SB</v>
      </c>
      <c r="M266" s="24" t="str">
        <f>IF('query (2)'!I266&lt;&gt;"",TRIM(UPPER('query (2)'!I266)),IF($L266="","UNKNOWN",$L266))</f>
        <v>SB</v>
      </c>
      <c r="N266" s="24" t="str">
        <f>IF('query (2)'!I266&lt;&gt;"","SOURCE",IF($L266="","UNKNOWN","DERIVED"))</f>
        <v>SOURCE</v>
      </c>
      <c r="O266" s="24" t="str">
        <f>IF('query (2)'!E266="","NOT_SPECIFIED",TRIM(UPPER('query (2)'!E266)))</f>
        <v>GRINDING 2</v>
      </c>
      <c r="P266" s="24" t="str">
        <f>IF('query (2)'!F266="","",TRIM(UPPER('query (2)'!F266)))</f>
        <v>1203-SB1G</v>
      </c>
      <c r="Q266" s="24" t="str">
        <f>IF('query (2)'!G266="","UNKNOWN",IFERROR(INDEX(Cleaning_Rules!$B$38:$B$46,MATCH(TRIM(UPPER('query (2)'!G266)),Cleaning_Rules!$A$38:$A$46,0)),"UNKNOWN"))</f>
        <v>OTHER</v>
      </c>
      <c r="R266" s="24" t="str">
        <f>IF('query (2)'!H266="","",TRIM(UPPER('query (2)'!H266)))</f>
        <v>INNER RING RACEWAY SUPER FINISH M/C</v>
      </c>
      <c r="S266" s="25" t="str">
        <f>IF('query (2)'!H266="","",'query (2)'!H266)</f>
        <v>Inner ring raceway super finish M/C</v>
      </c>
      <c r="T266" s="24" t="str">
        <f>IF('query (2)'!J266="","",TRIM(UPPER('query (2)'!J266)))</f>
        <v>B - RACEWAY SUPER FINISH</v>
      </c>
      <c r="U266" s="24" t="str">
        <f t="shared" si="31"/>
        <v/>
      </c>
      <c r="V266" s="24" t="str">
        <f>IF('query (2)'!K266="","NOT_SPECIFIED",IFERROR(INDEX(Cleaning_Rules!$B$32:$B$34,MATCH(TRIM(UPPER('query (2)'!K266)),Cleaning_Rules!$A$32:$A$34,0)),"UNKNOWN"))</f>
        <v>NOT_SPECIFIED</v>
      </c>
      <c r="W266" s="24" t="str">
        <f t="shared" si="32"/>
        <v>GR-100 | FACTORY2 | SB1 | SB | GRINDING 2 | 1203-SB1G | OTHER | INNER RING RACEWAY SUPER FINISH M/C | B - RACEWAY SUPER FINISH | NOT_SPECIFIED</v>
      </c>
      <c r="X266" s="24" t="str">
        <f t="shared" si="33"/>
        <v/>
      </c>
      <c r="Y266" s="24" t="str">
        <f t="shared" si="34"/>
        <v>MISSING_STATUS; CATEGORY_NOT_USEFUL</v>
      </c>
    </row>
    <row r="267" spans="1:25" x14ac:dyDescent="0.3">
      <c r="A267" s="24" t="str">
        <f t="shared" si="28"/>
        <v>GR-104#0266</v>
      </c>
      <c r="B267" s="24" t="str">
        <f>IF('query (2)'!B267="","",TRIM(UPPER('query (2)'!B267)))</f>
        <v>GR-104</v>
      </c>
      <c r="C267" s="25" t="str">
        <f>IF('query (2)'!B267="","",'query (2)'!B267)</f>
        <v>GR-104</v>
      </c>
      <c r="D267" s="24" t="str">
        <f t="shared" si="29"/>
        <v>GR</v>
      </c>
      <c r="E267" s="24">
        <f t="shared" si="30"/>
        <v>1</v>
      </c>
      <c r="F267" s="24">
        <f>IF('query (2)'!A267="","",IFERROR(VALUE('query (2)'!A267),""))</f>
        <v>285</v>
      </c>
      <c r="G267" s="24" t="str">
        <f>IF('query (2)'!C267="","UNKNOWN",IFERROR(INDEX(Cleaning_Rules!$B$15:$B$20,MATCH(TRIM(UPPER('query (2)'!C267)),Cleaning_Rules!$A$15:$A$20,0)),"UNKNOWN"))</f>
        <v>FACTORY2</v>
      </c>
      <c r="H267" s="25" t="str">
        <f>IF('query (2)'!C267="","",'query (2)'!C267)</f>
        <v>FACTORY2</v>
      </c>
      <c r="I267" s="24" t="str" cm="1">
        <f t="array" ref="I267">_xlfn.IFS($G267="UNKNOWN","UNKNOWN",OR($G267="FACTORY1",$G267="FACTORY2",$G267="FACTORY3"),"PLANT",TRUE,"SHARED")</f>
        <v>PLANT</v>
      </c>
      <c r="J267" s="24" t="str">
        <f>IF('query (2)'!D267="","UNKNOWN",IF(COUNTIF(Cleaning_Rules!$A$6:$A$11,TRIM('query (2)'!D267))&gt;0,"UNKNOWN",IFERROR(INDEX(Cleaning_Rules!$B$24:$B$28,MATCH(TRIM(UPPER('query (2)'!D267)),Cleaning_Rules!$A$24:$A$28,0)),TRIM(UPPER('query (2)'!D267)))))</f>
        <v>SB1</v>
      </c>
      <c r="K267" s="25" t="str">
        <f>IF('query (2)'!D267="","",'query (2)'!D267)</f>
        <v>SB1</v>
      </c>
      <c r="L267" s="24" t="str">
        <f>IF($J267="UNKNOWN","",_xlfn.TEXTBEFORE($J267,{"0","1","2","3","4","5","6","7","8","9"," ","-","."},1,,,$J267))</f>
        <v>SB</v>
      </c>
      <c r="M267" s="24" t="str">
        <f>IF('query (2)'!I267&lt;&gt;"",TRIM(UPPER('query (2)'!I267)),IF($L267="","UNKNOWN",$L267))</f>
        <v>SB</v>
      </c>
      <c r="N267" s="24" t="str">
        <f>IF('query (2)'!I267&lt;&gt;"","SOURCE",IF($L267="","UNKNOWN","DERIVED"))</f>
        <v>SOURCE</v>
      </c>
      <c r="O267" s="24" t="str">
        <f>IF('query (2)'!E267="","NOT_SPECIFIED",TRIM(UPPER('query (2)'!E267)))</f>
        <v>GRINDING 2</v>
      </c>
      <c r="P267" s="24" t="str">
        <f>IF('query (2)'!F267="","",TRIM(UPPER('query (2)'!F267)))</f>
        <v>1203-SB1G</v>
      </c>
      <c r="Q267" s="24" t="str">
        <f>IF('query (2)'!G267="","UNKNOWN",IFERROR(INDEX(Cleaning_Rules!$B$38:$B$46,MATCH(TRIM(UPPER('query (2)'!G267)),Cleaning_Rules!$A$38:$A$46,0)),"UNKNOWN"))</f>
        <v>OTHER</v>
      </c>
      <c r="R267" s="24" t="str">
        <f>IF('query (2)'!H267="","",TRIM(UPPER('query (2)'!H267)))</f>
        <v>OUTER RING RACEWAY GRINDING M/C</v>
      </c>
      <c r="S267" s="25" t="str">
        <f>IF('query (2)'!H267="","",'query (2)'!H267)</f>
        <v>Outer ring raceway grinding M/C</v>
      </c>
      <c r="T267" s="24" t="str">
        <f>IF('query (2)'!J267="","",TRIM(UPPER('query (2)'!J267)))</f>
        <v>A - RACEWAY GRINDING</v>
      </c>
      <c r="U267" s="24" t="str">
        <f t="shared" si="31"/>
        <v/>
      </c>
      <c r="V267" s="24" t="str">
        <f>IF('query (2)'!K267="","NOT_SPECIFIED",IFERROR(INDEX(Cleaning_Rules!$B$32:$B$34,MATCH(TRIM(UPPER('query (2)'!K267)),Cleaning_Rules!$A$32:$A$34,0)),"UNKNOWN"))</f>
        <v>NOT_SPECIFIED</v>
      </c>
      <c r="W267" s="24" t="str">
        <f t="shared" si="32"/>
        <v>GR-104 | FACTORY2 | SB1 | SB | GRINDING 2 | 1203-SB1G | OTHER | OUTER RING RACEWAY GRINDING M/C | A - RACEWAY GRINDING | NOT_SPECIFIED</v>
      </c>
      <c r="X267" s="24" t="str">
        <f t="shared" si="33"/>
        <v/>
      </c>
      <c r="Y267" s="24" t="str">
        <f t="shared" si="34"/>
        <v>MISSING_STATUS; CATEGORY_NOT_USEFUL</v>
      </c>
    </row>
    <row r="268" spans="1:25" x14ac:dyDescent="0.3">
      <c r="A268" s="24" t="str">
        <f t="shared" si="28"/>
        <v>DE-105#0267</v>
      </c>
      <c r="B268" s="24" t="str">
        <f>IF('query (2)'!B268="","",TRIM(UPPER('query (2)'!B268)))</f>
        <v>DE-105</v>
      </c>
      <c r="C268" s="25" t="str">
        <f>IF('query (2)'!B268="","",'query (2)'!B268)</f>
        <v>DE-105</v>
      </c>
      <c r="D268" s="24" t="str">
        <f t="shared" si="29"/>
        <v>DE</v>
      </c>
      <c r="E268" s="24">
        <f t="shared" si="30"/>
        <v>1</v>
      </c>
      <c r="F268" s="24">
        <f>IF('query (2)'!A268="","",IFERROR(VALUE('query (2)'!A268),""))</f>
        <v>286</v>
      </c>
      <c r="G268" s="24" t="str">
        <f>IF('query (2)'!C268="","UNKNOWN",IFERROR(INDEX(Cleaning_Rules!$B$15:$B$20,MATCH(TRIM(UPPER('query (2)'!C268)),Cleaning_Rules!$A$15:$A$20,0)),"UNKNOWN"))</f>
        <v>FACTORY2</v>
      </c>
      <c r="H268" s="25" t="str">
        <f>IF('query (2)'!C268="","",'query (2)'!C268)</f>
        <v>FACTORY2</v>
      </c>
      <c r="I268" s="24" t="str" cm="1">
        <f t="array" ref="I268">_xlfn.IFS($G268="UNKNOWN","UNKNOWN",OR($G268="FACTORY1",$G268="FACTORY2",$G268="FACTORY3"),"PLANT",TRUE,"SHARED")</f>
        <v>PLANT</v>
      </c>
      <c r="J268" s="24" t="str">
        <f>IF('query (2)'!D268="","UNKNOWN",IF(COUNTIF(Cleaning_Rules!$A$6:$A$11,TRIM('query (2)'!D268))&gt;0,"UNKNOWN",IFERROR(INDEX(Cleaning_Rules!$B$24:$B$28,MATCH(TRIM(UPPER('query (2)'!D268)),Cleaning_Rules!$A$24:$A$28,0)),TRIM(UPPER('query (2)'!D268)))))</f>
        <v>SB1</v>
      </c>
      <c r="K268" s="25" t="str">
        <f>IF('query (2)'!D268="","",'query (2)'!D268)</f>
        <v>SB1</v>
      </c>
      <c r="L268" s="24" t="str">
        <f>IF($J268="UNKNOWN","",_xlfn.TEXTBEFORE($J268,{"0","1","2","3","4","5","6","7","8","9"," ","-","."},1,,,$J268))</f>
        <v>SB</v>
      </c>
      <c r="M268" s="24" t="str">
        <f>IF('query (2)'!I268&lt;&gt;"",TRIM(UPPER('query (2)'!I268)),IF($L268="","UNKNOWN",$L268))</f>
        <v>SB</v>
      </c>
      <c r="N268" s="24" t="str">
        <f>IF('query (2)'!I268&lt;&gt;"","SOURCE",IF($L268="","UNKNOWN","DERIVED"))</f>
        <v>SOURCE</v>
      </c>
      <c r="O268" s="24" t="str">
        <f>IF('query (2)'!E268="","NOT_SPECIFIED",TRIM(UPPER('query (2)'!E268)))</f>
        <v>GRINDING 2</v>
      </c>
      <c r="P268" s="24" t="str">
        <f>IF('query (2)'!F268="","",TRIM(UPPER('query (2)'!F268)))</f>
        <v>1203-SB1G</v>
      </c>
      <c r="Q268" s="24" t="str">
        <f>IF('query (2)'!G268="","UNKNOWN",IFERROR(INDEX(Cleaning_Rules!$B$38:$B$46,MATCH(TRIM(UPPER('query (2)'!G268)),Cleaning_Rules!$A$38:$A$46,0)),"UNKNOWN"))</f>
        <v>OTHER</v>
      </c>
      <c r="R268" s="24" t="str">
        <f>IF('query (2)'!H268="","",TRIM(UPPER('query (2)'!H268)))</f>
        <v>DEMAGNETIZING FOR OUTER RING M/C</v>
      </c>
      <c r="S268" s="25" t="str">
        <f>IF('query (2)'!H268="","",'query (2)'!H268)</f>
        <v>Demagnetizing  for  outer  ring  M/C</v>
      </c>
      <c r="T268" s="24" t="str">
        <f>IF('query (2)'!J268="","",TRIM(UPPER('query (2)'!J268)))</f>
        <v>A - DEMAGNETIZING</v>
      </c>
      <c r="U268" s="24" t="str">
        <f t="shared" si="31"/>
        <v/>
      </c>
      <c r="V268" s="24" t="str">
        <f>IF('query (2)'!K268="","NOT_SPECIFIED",IFERROR(INDEX(Cleaning_Rules!$B$32:$B$34,MATCH(TRIM(UPPER('query (2)'!K268)),Cleaning_Rules!$A$32:$A$34,0)),"UNKNOWN"))</f>
        <v>NOT_SPECIFIED</v>
      </c>
      <c r="W268" s="24" t="str">
        <f t="shared" si="32"/>
        <v>DE-105 | FACTORY2 | SB1 | SB | GRINDING 2 | 1203-SB1G | OTHER | DEMAGNETIZING FOR OUTER RING M/C | A - DEMAGNETIZING | NOT_SPECIFIED</v>
      </c>
      <c r="X268" s="24" t="str">
        <f t="shared" si="33"/>
        <v/>
      </c>
      <c r="Y268" s="24" t="str">
        <f t="shared" si="34"/>
        <v>MISSING_STATUS; CATEGORY_NOT_USEFUL</v>
      </c>
    </row>
    <row r="269" spans="1:25" x14ac:dyDescent="0.3">
      <c r="A269" s="24" t="str">
        <f t="shared" si="28"/>
        <v>GR-106#0268</v>
      </c>
      <c r="B269" s="24" t="str">
        <f>IF('query (2)'!B269="","",TRIM(UPPER('query (2)'!B269)))</f>
        <v>GR-106</v>
      </c>
      <c r="C269" s="25" t="str">
        <f>IF('query (2)'!B269="","",'query (2)'!B269)</f>
        <v>GR-106</v>
      </c>
      <c r="D269" s="24" t="str">
        <f t="shared" si="29"/>
        <v>GR</v>
      </c>
      <c r="E269" s="24">
        <f t="shared" si="30"/>
        <v>1</v>
      </c>
      <c r="F269" s="24">
        <f>IF('query (2)'!A269="","",IFERROR(VALUE('query (2)'!A269),""))</f>
        <v>287</v>
      </c>
      <c r="G269" s="24" t="str">
        <f>IF('query (2)'!C269="","UNKNOWN",IFERROR(INDEX(Cleaning_Rules!$B$15:$B$20,MATCH(TRIM(UPPER('query (2)'!C269)),Cleaning_Rules!$A$15:$A$20,0)),"UNKNOWN"))</f>
        <v>FACTORY2</v>
      </c>
      <c r="H269" s="25" t="str">
        <f>IF('query (2)'!C269="","",'query (2)'!C269)</f>
        <v>FACTORY2</v>
      </c>
      <c r="I269" s="24" t="str" cm="1">
        <f t="array" ref="I269">_xlfn.IFS($G269="UNKNOWN","UNKNOWN",OR($G269="FACTORY1",$G269="FACTORY2",$G269="FACTORY3"),"PLANT",TRUE,"SHARED")</f>
        <v>PLANT</v>
      </c>
      <c r="J269" s="24" t="str">
        <f>IF('query (2)'!D269="","UNKNOWN",IF(COUNTIF(Cleaning_Rules!$A$6:$A$11,TRIM('query (2)'!D269))&gt;0,"UNKNOWN",IFERROR(INDEX(Cleaning_Rules!$B$24:$B$28,MATCH(TRIM(UPPER('query (2)'!D269)),Cleaning_Rules!$A$24:$A$28,0)),TRIM(UPPER('query (2)'!D269)))))</f>
        <v>SB1</v>
      </c>
      <c r="K269" s="25" t="str">
        <f>IF('query (2)'!D269="","",'query (2)'!D269)</f>
        <v>SB1</v>
      </c>
      <c r="L269" s="24" t="str">
        <f>IF($J269="UNKNOWN","",_xlfn.TEXTBEFORE($J269,{"0","1","2","3","4","5","6","7","8","9"," ","-","."},1,,,$J269))</f>
        <v>SB</v>
      </c>
      <c r="M269" s="24" t="str">
        <f>IF('query (2)'!I269&lt;&gt;"",TRIM(UPPER('query (2)'!I269)),IF($L269="","UNKNOWN",$L269))</f>
        <v>SB</v>
      </c>
      <c r="N269" s="24" t="str">
        <f>IF('query (2)'!I269&lt;&gt;"","SOURCE",IF($L269="","UNKNOWN","DERIVED"))</f>
        <v>SOURCE</v>
      </c>
      <c r="O269" s="24" t="str">
        <f>IF('query (2)'!E269="","NOT_SPECIFIED",TRIM(UPPER('query (2)'!E269)))</f>
        <v>GRINDING 2</v>
      </c>
      <c r="P269" s="24" t="str">
        <f>IF('query (2)'!F269="","",TRIM(UPPER('query (2)'!F269)))</f>
        <v>1203-SB1G</v>
      </c>
      <c r="Q269" s="24" t="str">
        <f>IF('query (2)'!G269="","UNKNOWN",IFERROR(INDEX(Cleaning_Rules!$B$38:$B$46,MATCH(TRIM(UPPER('query (2)'!G269)),Cleaning_Rules!$A$38:$A$46,0)),"UNKNOWN"))</f>
        <v>OTHER</v>
      </c>
      <c r="R269" s="24" t="str">
        <f>IF('query (2)'!H269="","",TRIM(UPPER('query (2)'!H269)))</f>
        <v>OUTER RING RACEWAY SUPER FINISH M/C</v>
      </c>
      <c r="S269" s="25" t="str">
        <f>IF('query (2)'!H269="","",'query (2)'!H269)</f>
        <v>Outer ring raceway super finish M/C</v>
      </c>
      <c r="T269" s="24" t="str">
        <f>IF('query (2)'!J269="","",TRIM(UPPER('query (2)'!J269)))</f>
        <v>A - RACEWAY SUPER FINISH</v>
      </c>
      <c r="U269" s="24" t="str">
        <f t="shared" si="31"/>
        <v/>
      </c>
      <c r="V269" s="24" t="str">
        <f>IF('query (2)'!K269="","NOT_SPECIFIED",IFERROR(INDEX(Cleaning_Rules!$B$32:$B$34,MATCH(TRIM(UPPER('query (2)'!K269)),Cleaning_Rules!$A$32:$A$34,0)),"UNKNOWN"))</f>
        <v>NOT_SPECIFIED</v>
      </c>
      <c r="W269" s="24" t="str">
        <f t="shared" si="32"/>
        <v>GR-106 | FACTORY2 | SB1 | SB | GRINDING 2 | 1203-SB1G | OTHER | OUTER RING RACEWAY SUPER FINISH M/C | A - RACEWAY SUPER FINISH | NOT_SPECIFIED</v>
      </c>
      <c r="X269" s="24" t="str">
        <f t="shared" si="33"/>
        <v/>
      </c>
      <c r="Y269" s="24" t="str">
        <f t="shared" si="34"/>
        <v>MISSING_STATUS; CATEGORY_NOT_USEFUL</v>
      </c>
    </row>
    <row r="270" spans="1:25" x14ac:dyDescent="0.3">
      <c r="A270" s="24" t="str">
        <f t="shared" si="28"/>
        <v>WA-107#0269</v>
      </c>
      <c r="B270" s="24" t="str">
        <f>IF('query (2)'!B270="","",TRIM(UPPER('query (2)'!B270)))</f>
        <v>WA-107</v>
      </c>
      <c r="C270" s="25" t="str">
        <f>IF('query (2)'!B270="","",'query (2)'!B270)</f>
        <v>WA-107</v>
      </c>
      <c r="D270" s="24" t="str">
        <f t="shared" si="29"/>
        <v>WA</v>
      </c>
      <c r="E270" s="24">
        <f t="shared" si="30"/>
        <v>1</v>
      </c>
      <c r="F270" s="24">
        <f>IF('query (2)'!A270="","",IFERROR(VALUE('query (2)'!A270),""))</f>
        <v>288</v>
      </c>
      <c r="G270" s="24" t="str">
        <f>IF('query (2)'!C270="","UNKNOWN",IFERROR(INDEX(Cleaning_Rules!$B$15:$B$20,MATCH(TRIM(UPPER('query (2)'!C270)),Cleaning_Rules!$A$15:$A$20,0)),"UNKNOWN"))</f>
        <v>FACTORY2</v>
      </c>
      <c r="H270" s="25" t="str">
        <f>IF('query (2)'!C270="","",'query (2)'!C270)</f>
        <v>FACTORY2</v>
      </c>
      <c r="I270" s="24" t="str" cm="1">
        <f t="array" ref="I270">_xlfn.IFS($G270="UNKNOWN","UNKNOWN",OR($G270="FACTORY1",$G270="FACTORY2",$G270="FACTORY3"),"PLANT",TRUE,"SHARED")</f>
        <v>PLANT</v>
      </c>
      <c r="J270" s="24" t="str">
        <f>IF('query (2)'!D270="","UNKNOWN",IF(COUNTIF(Cleaning_Rules!$A$6:$A$11,TRIM('query (2)'!D270))&gt;0,"UNKNOWN",IFERROR(INDEX(Cleaning_Rules!$B$24:$B$28,MATCH(TRIM(UPPER('query (2)'!D270)),Cleaning_Rules!$A$24:$A$28,0)),TRIM(UPPER('query (2)'!D270)))))</f>
        <v>SB1</v>
      </c>
      <c r="K270" s="25" t="str">
        <f>IF('query (2)'!D270="","",'query (2)'!D270)</f>
        <v>SB1</v>
      </c>
      <c r="L270" s="24" t="str">
        <f>IF($J270="UNKNOWN","",_xlfn.TEXTBEFORE($J270,{"0","1","2","3","4","5","6","7","8","9"," ","-","."},1,,,$J270))</f>
        <v>SB</v>
      </c>
      <c r="M270" s="24" t="str">
        <f>IF('query (2)'!I270&lt;&gt;"",TRIM(UPPER('query (2)'!I270)),IF($L270="","UNKNOWN",$L270))</f>
        <v>SB</v>
      </c>
      <c r="N270" s="24" t="str">
        <f>IF('query (2)'!I270&lt;&gt;"","SOURCE",IF($L270="","UNKNOWN","DERIVED"))</f>
        <v>SOURCE</v>
      </c>
      <c r="O270" s="24" t="str">
        <f>IF('query (2)'!E270="","NOT_SPECIFIED",TRIM(UPPER('query (2)'!E270)))</f>
        <v>GRINDING 2</v>
      </c>
      <c r="P270" s="24" t="str">
        <f>IF('query (2)'!F270="","",TRIM(UPPER('query (2)'!F270)))</f>
        <v>1203-SB1G</v>
      </c>
      <c r="Q270" s="24" t="str">
        <f>IF('query (2)'!G270="","UNKNOWN",IFERROR(INDEX(Cleaning_Rules!$B$38:$B$46,MATCH(TRIM(UPPER('query (2)'!G270)),Cleaning_Rules!$A$38:$A$46,0)),"UNKNOWN"))</f>
        <v>OTHER</v>
      </c>
      <c r="R270" s="24" t="str">
        <f>IF('query (2)'!H270="","",TRIM(UPPER('query (2)'!H270)))</f>
        <v>OUTER RING PART WASH EQUIPMENT M/C</v>
      </c>
      <c r="S270" s="25" t="str">
        <f>IF('query (2)'!H270="","",'query (2)'!H270)</f>
        <v>Outer   ring part wash equipment  M/C</v>
      </c>
      <c r="T270" s="24" t="str">
        <f>IF('query (2)'!J270="","",TRIM(UPPER('query (2)'!J270)))</f>
        <v>A &amp; B - PART WASH EQUIPMENT</v>
      </c>
      <c r="U270" s="24" t="str">
        <f t="shared" si="31"/>
        <v/>
      </c>
      <c r="V270" s="24" t="str">
        <f>IF('query (2)'!K270="","NOT_SPECIFIED",IFERROR(INDEX(Cleaning_Rules!$B$32:$B$34,MATCH(TRIM(UPPER('query (2)'!K270)),Cleaning_Rules!$A$32:$A$34,0)),"UNKNOWN"))</f>
        <v>NOT_SPECIFIED</v>
      </c>
      <c r="W270" s="24" t="str">
        <f t="shared" si="32"/>
        <v>WA-107 | FACTORY2 | SB1 | SB | GRINDING 2 | 1203-SB1G | OTHER | OUTER RING PART WASH EQUIPMENT M/C | A &amp; B - PART WASH EQUIPMENT | NOT_SPECIFIED</v>
      </c>
      <c r="X270" s="24" t="str">
        <f t="shared" si="33"/>
        <v/>
      </c>
      <c r="Y270" s="24" t="str">
        <f t="shared" si="34"/>
        <v>MISSING_STATUS; CATEGORY_NOT_USEFUL</v>
      </c>
    </row>
    <row r="271" spans="1:25" x14ac:dyDescent="0.3">
      <c r="A271" s="24" t="str">
        <f t="shared" si="28"/>
        <v>AS-110#0270</v>
      </c>
      <c r="B271" s="24" t="str">
        <f>IF('query (2)'!B271="","",TRIM(UPPER('query (2)'!B271)))</f>
        <v>AS-110</v>
      </c>
      <c r="C271" s="25" t="str">
        <f>IF('query (2)'!B271="","",'query (2)'!B271)</f>
        <v>AS-110</v>
      </c>
      <c r="D271" s="24" t="str">
        <f t="shared" si="29"/>
        <v>AS</v>
      </c>
      <c r="E271" s="24">
        <f t="shared" si="30"/>
        <v>1</v>
      </c>
      <c r="F271" s="24">
        <f>IF('query (2)'!A271="","",IFERROR(VALUE('query (2)'!A271),""))</f>
        <v>289</v>
      </c>
      <c r="G271" s="24" t="str">
        <f>IF('query (2)'!C271="","UNKNOWN",IFERROR(INDEX(Cleaning_Rules!$B$15:$B$20,MATCH(TRIM(UPPER('query (2)'!C271)),Cleaning_Rules!$A$15:$A$20,0)),"UNKNOWN"))</f>
        <v>FACTORY2</v>
      </c>
      <c r="H271" s="25" t="str">
        <f>IF('query (2)'!C271="","",'query (2)'!C271)</f>
        <v>FACTORY2</v>
      </c>
      <c r="I271" s="24" t="str" cm="1">
        <f t="array" ref="I271">_xlfn.IFS($G271="UNKNOWN","UNKNOWN",OR($G271="FACTORY1",$G271="FACTORY2",$G271="FACTORY3"),"PLANT",TRUE,"SHARED")</f>
        <v>PLANT</v>
      </c>
      <c r="J271" s="24" t="str">
        <f>IF('query (2)'!D271="","UNKNOWN",IF(COUNTIF(Cleaning_Rules!$A$6:$A$11,TRIM('query (2)'!D271))&gt;0,"UNKNOWN",IFERROR(INDEX(Cleaning_Rules!$B$24:$B$28,MATCH(TRIM(UPPER('query (2)'!D271)),Cleaning_Rules!$A$24:$A$28,0)),TRIM(UPPER('query (2)'!D271)))))</f>
        <v>SB1</v>
      </c>
      <c r="K271" s="25" t="str">
        <f>IF('query (2)'!D271="","",'query (2)'!D271)</f>
        <v>SB1</v>
      </c>
      <c r="L271" s="24" t="str">
        <f>IF($J271="UNKNOWN","",_xlfn.TEXTBEFORE($J271,{"0","1","2","3","4","5","6","7","8","9"," ","-","."},1,,,$J271))</f>
        <v>SB</v>
      </c>
      <c r="M271" s="24" t="str">
        <f>IF('query (2)'!I271&lt;&gt;"",TRIM(UPPER('query (2)'!I271)),IF($L271="","UNKNOWN",$L271))</f>
        <v>SB</v>
      </c>
      <c r="N271" s="24" t="str">
        <f>IF('query (2)'!I271&lt;&gt;"","SOURCE",IF($L271="","UNKNOWN","DERIVED"))</f>
        <v>SOURCE</v>
      </c>
      <c r="O271" s="24" t="str">
        <f>IF('query (2)'!E271="","NOT_SPECIFIED",TRIM(UPPER('query (2)'!E271)))</f>
        <v>ASSEMBLY</v>
      </c>
      <c r="P271" s="24" t="str">
        <f>IF('query (2)'!F271="","",TRIM(UPPER('query (2)'!F271)))</f>
        <v>1204-SB1AI</v>
      </c>
      <c r="Q271" s="24" t="str">
        <f>IF('query (2)'!G271="","UNKNOWN",IFERROR(INDEX(Cleaning_Rules!$B$38:$B$46,MATCH(TRIM(UPPER('query (2)'!G271)),Cleaning_Rules!$A$38:$A$46,0)),"UNKNOWN"))</f>
        <v>OTHER</v>
      </c>
      <c r="R271" s="24" t="str">
        <f>IF('query (2)'!H271="","",TRIM(UPPER('query (2)'!H271)))</f>
        <v>MATCHING &amp; BALL FILLING M/C</v>
      </c>
      <c r="S271" s="25" t="str">
        <f>IF('query (2)'!H271="","",'query (2)'!H271)</f>
        <v>Matching &amp; Ball filling  M/C</v>
      </c>
      <c r="T271" s="24" t="str">
        <f>IF('query (2)'!J271="","",TRIM(UPPER('query (2)'!J271)))</f>
        <v>MATCHING &amp; BALL FILLING</v>
      </c>
      <c r="U271" s="24" t="str">
        <f t="shared" si="31"/>
        <v/>
      </c>
      <c r="V271" s="24" t="str">
        <f>IF('query (2)'!K271="","NOT_SPECIFIED",IFERROR(INDEX(Cleaning_Rules!$B$32:$B$34,MATCH(TRIM(UPPER('query (2)'!K271)),Cleaning_Rules!$A$32:$A$34,0)),"UNKNOWN"))</f>
        <v>NOT_SPECIFIED</v>
      </c>
      <c r="W271" s="24" t="str">
        <f t="shared" si="32"/>
        <v>AS-110 | FACTORY2 | SB1 | SB | ASSEMBLY | 1204-SB1AI | OTHER | MATCHING &amp; BALL FILLING M/C | MATCHING &amp; BALL FILLING | NOT_SPECIFIED</v>
      </c>
      <c r="X271" s="24" t="str">
        <f t="shared" si="33"/>
        <v/>
      </c>
      <c r="Y271" s="24" t="str">
        <f t="shared" si="34"/>
        <v>MISSING_STATUS; CATEGORY_NOT_USEFUL</v>
      </c>
    </row>
    <row r="272" spans="1:25" x14ac:dyDescent="0.3">
      <c r="A272" s="24" t="str">
        <f t="shared" si="28"/>
        <v>AS-112#0271</v>
      </c>
      <c r="B272" s="24" t="str">
        <f>IF('query (2)'!B272="","",TRIM(UPPER('query (2)'!B272)))</f>
        <v>AS-112</v>
      </c>
      <c r="C272" s="25" t="str">
        <f>IF('query (2)'!B272="","",'query (2)'!B272)</f>
        <v>AS-112</v>
      </c>
      <c r="D272" s="24" t="str">
        <f t="shared" si="29"/>
        <v>AS</v>
      </c>
      <c r="E272" s="24">
        <f t="shared" si="30"/>
        <v>1</v>
      </c>
      <c r="F272" s="24">
        <f>IF('query (2)'!A272="","",IFERROR(VALUE('query (2)'!A272),""))</f>
        <v>290</v>
      </c>
      <c r="G272" s="24" t="str">
        <f>IF('query (2)'!C272="","UNKNOWN",IFERROR(INDEX(Cleaning_Rules!$B$15:$B$20,MATCH(TRIM(UPPER('query (2)'!C272)),Cleaning_Rules!$A$15:$A$20,0)),"UNKNOWN"))</f>
        <v>FACTORY2</v>
      </c>
      <c r="H272" s="25" t="str">
        <f>IF('query (2)'!C272="","",'query (2)'!C272)</f>
        <v>FACTORY2</v>
      </c>
      <c r="I272" s="24" t="str" cm="1">
        <f t="array" ref="I272">_xlfn.IFS($G272="UNKNOWN","UNKNOWN",OR($G272="FACTORY1",$G272="FACTORY2",$G272="FACTORY3"),"PLANT",TRUE,"SHARED")</f>
        <v>PLANT</v>
      </c>
      <c r="J272" s="24" t="str">
        <f>IF('query (2)'!D272="","UNKNOWN",IF(COUNTIF(Cleaning_Rules!$A$6:$A$11,TRIM('query (2)'!D272))&gt;0,"UNKNOWN",IFERROR(INDEX(Cleaning_Rules!$B$24:$B$28,MATCH(TRIM(UPPER('query (2)'!D272)),Cleaning_Rules!$A$24:$A$28,0)),TRIM(UPPER('query (2)'!D272)))))</f>
        <v>SB1</v>
      </c>
      <c r="K272" s="25" t="str">
        <f>IF('query (2)'!D272="","",'query (2)'!D272)</f>
        <v>SB1</v>
      </c>
      <c r="L272" s="24" t="str">
        <f>IF($J272="UNKNOWN","",_xlfn.TEXTBEFORE($J272,{"0","1","2","3","4","5","6","7","8","9"," ","-","."},1,,,$J272))</f>
        <v>SB</v>
      </c>
      <c r="M272" s="24" t="str">
        <f>IF('query (2)'!I272&lt;&gt;"",TRIM(UPPER('query (2)'!I272)),IF($L272="","UNKNOWN",$L272))</f>
        <v>SB</v>
      </c>
      <c r="N272" s="24" t="str">
        <f>IF('query (2)'!I272&lt;&gt;"","SOURCE",IF($L272="","UNKNOWN","DERIVED"))</f>
        <v>SOURCE</v>
      </c>
      <c r="O272" s="24" t="str">
        <f>IF('query (2)'!E272="","NOT_SPECIFIED",TRIM(UPPER('query (2)'!E272)))</f>
        <v>ASSEMBLY</v>
      </c>
      <c r="P272" s="24" t="str">
        <f>IF('query (2)'!F272="","",TRIM(UPPER('query (2)'!F272)))</f>
        <v>1204-SB1AI</v>
      </c>
      <c r="Q272" s="24" t="str">
        <f>IF('query (2)'!G272="","UNKNOWN",IFERROR(INDEX(Cleaning_Rules!$B$38:$B$46,MATCH(TRIM(UPPER('query (2)'!G272)),Cleaning_Rules!$A$38:$A$46,0)),"UNKNOWN"))</f>
        <v>OTHER</v>
      </c>
      <c r="R272" s="24" t="str">
        <f>IF('query (2)'!H272="","",TRIM(UPPER('query (2)'!H272)))</f>
        <v>RIVET PRESS M/C</v>
      </c>
      <c r="S272" s="25" t="str">
        <f>IF('query (2)'!H272="","",'query (2)'!H272)</f>
        <v>Rivet  press  M/C</v>
      </c>
      <c r="T272" s="24" t="str">
        <f>IF('query (2)'!J272="","",TRIM(UPPER('query (2)'!J272)))</f>
        <v>RIVET PRESSING</v>
      </c>
      <c r="U272" s="24" t="str">
        <f t="shared" si="31"/>
        <v/>
      </c>
      <c r="V272" s="24" t="str">
        <f>IF('query (2)'!K272="","NOT_SPECIFIED",IFERROR(INDEX(Cleaning_Rules!$B$32:$B$34,MATCH(TRIM(UPPER('query (2)'!K272)),Cleaning_Rules!$A$32:$A$34,0)),"UNKNOWN"))</f>
        <v>NOT_SPECIFIED</v>
      </c>
      <c r="W272" s="24" t="str">
        <f t="shared" si="32"/>
        <v>AS-112 | FACTORY2 | SB1 | SB | ASSEMBLY | 1204-SB1AI | OTHER | RIVET PRESS M/C | RIVET PRESSING | NOT_SPECIFIED</v>
      </c>
      <c r="X272" s="24" t="str">
        <f t="shared" si="33"/>
        <v/>
      </c>
      <c r="Y272" s="24" t="str">
        <f t="shared" si="34"/>
        <v>MISSING_STATUS; CATEGORY_NOT_USEFUL</v>
      </c>
    </row>
    <row r="273" spans="1:25" x14ac:dyDescent="0.3">
      <c r="A273" s="24" t="str">
        <f t="shared" si="28"/>
        <v>WA-113#0272</v>
      </c>
      <c r="B273" s="24" t="str">
        <f>IF('query (2)'!B273="","",TRIM(UPPER('query (2)'!B273)))</f>
        <v>WA-113</v>
      </c>
      <c r="C273" s="25" t="str">
        <f>IF('query (2)'!B273="","",'query (2)'!B273)</f>
        <v>WA-113</v>
      </c>
      <c r="D273" s="24" t="str">
        <f t="shared" si="29"/>
        <v>WA</v>
      </c>
      <c r="E273" s="24">
        <f t="shared" si="30"/>
        <v>1</v>
      </c>
      <c r="F273" s="24">
        <f>IF('query (2)'!A273="","",IFERROR(VALUE('query (2)'!A273),""))</f>
        <v>291</v>
      </c>
      <c r="G273" s="24" t="str">
        <f>IF('query (2)'!C273="","UNKNOWN",IFERROR(INDEX(Cleaning_Rules!$B$15:$B$20,MATCH(TRIM(UPPER('query (2)'!C273)),Cleaning_Rules!$A$15:$A$20,0)),"UNKNOWN"))</f>
        <v>FACTORY2</v>
      </c>
      <c r="H273" s="25" t="str">
        <f>IF('query (2)'!C273="","",'query (2)'!C273)</f>
        <v>FACTORY2</v>
      </c>
      <c r="I273" s="24" t="str" cm="1">
        <f t="array" ref="I273">_xlfn.IFS($G273="UNKNOWN","UNKNOWN",OR($G273="FACTORY1",$G273="FACTORY2",$G273="FACTORY3"),"PLANT",TRUE,"SHARED")</f>
        <v>PLANT</v>
      </c>
      <c r="J273" s="24" t="str">
        <f>IF('query (2)'!D273="","UNKNOWN",IF(COUNTIF(Cleaning_Rules!$A$6:$A$11,TRIM('query (2)'!D273))&gt;0,"UNKNOWN",IFERROR(INDEX(Cleaning_Rules!$B$24:$B$28,MATCH(TRIM(UPPER('query (2)'!D273)),Cleaning_Rules!$A$24:$A$28,0)),TRIM(UPPER('query (2)'!D273)))))</f>
        <v>SB1</v>
      </c>
      <c r="K273" s="25" t="str">
        <f>IF('query (2)'!D273="","",'query (2)'!D273)</f>
        <v>SB1</v>
      </c>
      <c r="L273" s="24" t="str">
        <f>IF($J273="UNKNOWN","",_xlfn.TEXTBEFORE($J273,{"0","1","2","3","4","5","6","7","8","9"," ","-","."},1,,,$J273))</f>
        <v>SB</v>
      </c>
      <c r="M273" s="24" t="str">
        <f>IF('query (2)'!I273&lt;&gt;"",TRIM(UPPER('query (2)'!I273)),IF($L273="","UNKNOWN",$L273))</f>
        <v>SB</v>
      </c>
      <c r="N273" s="24" t="str">
        <f>IF('query (2)'!I273&lt;&gt;"","SOURCE",IF($L273="","UNKNOWN","DERIVED"))</f>
        <v>SOURCE</v>
      </c>
      <c r="O273" s="24" t="str">
        <f>IF('query (2)'!E273="","NOT_SPECIFIED",TRIM(UPPER('query (2)'!E273)))</f>
        <v>ASSEMBLY</v>
      </c>
      <c r="P273" s="24" t="str">
        <f>IF('query (2)'!F273="","",TRIM(UPPER('query (2)'!F273)))</f>
        <v>1204-SB1AI</v>
      </c>
      <c r="Q273" s="24" t="str">
        <f>IF('query (2)'!G273="","UNKNOWN",IFERROR(INDEX(Cleaning_Rules!$B$38:$B$46,MATCH(TRIM(UPPER('query (2)'!G273)),Cleaning_Rules!$A$38:$A$46,0)),"UNKNOWN"))</f>
        <v>OTHER</v>
      </c>
      <c r="R273" s="24" t="str">
        <f>IF('query (2)'!H273="","",TRIM(UPPER('query (2)'!H273)))</f>
        <v>FINISH WASH EQUIPMENT M/C</v>
      </c>
      <c r="S273" s="25" t="str">
        <f>IF('query (2)'!H273="","",'query (2)'!H273)</f>
        <v>Finish wash equipment  M/C</v>
      </c>
      <c r="T273" s="24" t="str">
        <f>IF('query (2)'!J273="","",TRIM(UPPER('query (2)'!J273)))</f>
        <v>WASHING FINISH</v>
      </c>
      <c r="U273" s="24" t="str">
        <f t="shared" si="31"/>
        <v/>
      </c>
      <c r="V273" s="24" t="str">
        <f>IF('query (2)'!K273="","NOT_SPECIFIED",IFERROR(INDEX(Cleaning_Rules!$B$32:$B$34,MATCH(TRIM(UPPER('query (2)'!K273)),Cleaning_Rules!$A$32:$A$34,0)),"UNKNOWN"))</f>
        <v>NOT_SPECIFIED</v>
      </c>
      <c r="W273" s="24" t="str">
        <f t="shared" si="32"/>
        <v>WA-113 | FACTORY2 | SB1 | SB | ASSEMBLY | 1204-SB1AI | OTHER | FINISH WASH EQUIPMENT M/C | WASHING FINISH | NOT_SPECIFIED</v>
      </c>
      <c r="X273" s="24" t="str">
        <f t="shared" si="33"/>
        <v/>
      </c>
      <c r="Y273" s="24" t="str">
        <f t="shared" si="34"/>
        <v>MISSING_STATUS; CATEGORY_NOT_USEFUL</v>
      </c>
    </row>
    <row r="274" spans="1:25" x14ac:dyDescent="0.3">
      <c r="A274" s="24" t="str">
        <f t="shared" si="28"/>
        <v>AS-114#0273</v>
      </c>
      <c r="B274" s="24" t="str">
        <f>IF('query (2)'!B274="","",TRIM(UPPER('query (2)'!B274)))</f>
        <v>AS-114</v>
      </c>
      <c r="C274" s="25" t="str">
        <f>IF('query (2)'!B274="","",'query (2)'!B274)</f>
        <v>AS-114</v>
      </c>
      <c r="D274" s="24" t="str">
        <f t="shared" si="29"/>
        <v>AS</v>
      </c>
      <c r="E274" s="24">
        <f t="shared" si="30"/>
        <v>1</v>
      </c>
      <c r="F274" s="24">
        <f>IF('query (2)'!A274="","",IFERROR(VALUE('query (2)'!A274),""))</f>
        <v>292</v>
      </c>
      <c r="G274" s="24" t="str">
        <f>IF('query (2)'!C274="","UNKNOWN",IFERROR(INDEX(Cleaning_Rules!$B$15:$B$20,MATCH(TRIM(UPPER('query (2)'!C274)),Cleaning_Rules!$A$15:$A$20,0)),"UNKNOWN"))</f>
        <v>FACTORY2</v>
      </c>
      <c r="H274" s="25" t="str">
        <f>IF('query (2)'!C274="","",'query (2)'!C274)</f>
        <v>FACTORY2</v>
      </c>
      <c r="I274" s="24" t="str" cm="1">
        <f t="array" ref="I274">_xlfn.IFS($G274="UNKNOWN","UNKNOWN",OR($G274="FACTORY1",$G274="FACTORY2",$G274="FACTORY3"),"PLANT",TRUE,"SHARED")</f>
        <v>PLANT</v>
      </c>
      <c r="J274" s="24" t="str">
        <f>IF('query (2)'!D274="","UNKNOWN",IF(COUNTIF(Cleaning_Rules!$A$6:$A$11,TRIM('query (2)'!D274))&gt;0,"UNKNOWN",IFERROR(INDEX(Cleaning_Rules!$B$24:$B$28,MATCH(TRIM(UPPER('query (2)'!D274)),Cleaning_Rules!$A$24:$A$28,0)),TRIM(UPPER('query (2)'!D274)))))</f>
        <v>SB1</v>
      </c>
      <c r="K274" s="25" t="str">
        <f>IF('query (2)'!D274="","",'query (2)'!D274)</f>
        <v>SB1</v>
      </c>
      <c r="L274" s="24" t="str">
        <f>IF($J274="UNKNOWN","",_xlfn.TEXTBEFORE($J274,{"0","1","2","3","4","5","6","7","8","9"," ","-","."},1,,,$J274))</f>
        <v>SB</v>
      </c>
      <c r="M274" s="24" t="str">
        <f>IF('query (2)'!I274&lt;&gt;"",TRIM(UPPER('query (2)'!I274)),IF($L274="","UNKNOWN",$L274))</f>
        <v>SB</v>
      </c>
      <c r="N274" s="24" t="str">
        <f>IF('query (2)'!I274&lt;&gt;"","SOURCE",IF($L274="","UNKNOWN","DERIVED"))</f>
        <v>SOURCE</v>
      </c>
      <c r="O274" s="24" t="str">
        <f>IF('query (2)'!E274="","NOT_SPECIFIED",TRIM(UPPER('query (2)'!E274)))</f>
        <v>ASSEMBLY</v>
      </c>
      <c r="P274" s="24" t="str">
        <f>IF('query (2)'!F274="","",TRIM(UPPER('query (2)'!F274)))</f>
        <v>1204-SB1AI</v>
      </c>
      <c r="Q274" s="24" t="str">
        <f>IF('query (2)'!G274="","UNKNOWN",IFERROR(INDEX(Cleaning_Rules!$B$38:$B$46,MATCH(TRIM(UPPER('query (2)'!G274)),Cleaning_Rules!$A$38:$A$46,0)),"UNKNOWN"))</f>
        <v>OTHER</v>
      </c>
      <c r="R274" s="24" t="str">
        <f>IF('query (2)'!H274="","",TRIM(UPPER('query (2)'!H274)))</f>
        <v>GREASE INJECTION M/C</v>
      </c>
      <c r="S274" s="25" t="str">
        <f>IF('query (2)'!H274="","",'query (2)'!H274)</f>
        <v>Grease  injection  M/C</v>
      </c>
      <c r="T274" s="24" t="str">
        <f>IF('query (2)'!J274="","",TRIM(UPPER('query (2)'!J274)))</f>
        <v>GREASE INJECTION</v>
      </c>
      <c r="U274" s="24" t="str">
        <f t="shared" si="31"/>
        <v/>
      </c>
      <c r="V274" s="24" t="str">
        <f>IF('query (2)'!K274="","NOT_SPECIFIED",IFERROR(INDEX(Cleaning_Rules!$B$32:$B$34,MATCH(TRIM(UPPER('query (2)'!K274)),Cleaning_Rules!$A$32:$A$34,0)),"UNKNOWN"))</f>
        <v>NOT_SPECIFIED</v>
      </c>
      <c r="W274" s="24" t="str">
        <f t="shared" si="32"/>
        <v>AS-114 | FACTORY2 | SB1 | SB | ASSEMBLY | 1204-SB1AI | OTHER | GREASE INJECTION M/C | GREASE INJECTION | NOT_SPECIFIED</v>
      </c>
      <c r="X274" s="24" t="str">
        <f t="shared" si="33"/>
        <v/>
      </c>
      <c r="Y274" s="24" t="str">
        <f t="shared" si="34"/>
        <v>MISSING_STATUS; CATEGORY_NOT_USEFUL</v>
      </c>
    </row>
    <row r="275" spans="1:25" x14ac:dyDescent="0.3">
      <c r="A275" s="24" t="str">
        <f t="shared" si="28"/>
        <v>AS-115#0274</v>
      </c>
      <c r="B275" s="24" t="str">
        <f>IF('query (2)'!B275="","",TRIM(UPPER('query (2)'!B275)))</f>
        <v>AS-115</v>
      </c>
      <c r="C275" s="25" t="str">
        <f>IF('query (2)'!B275="","",'query (2)'!B275)</f>
        <v>AS-115</v>
      </c>
      <c r="D275" s="24" t="str">
        <f t="shared" si="29"/>
        <v>AS</v>
      </c>
      <c r="E275" s="24">
        <f t="shared" si="30"/>
        <v>1</v>
      </c>
      <c r="F275" s="24">
        <f>IF('query (2)'!A275="","",IFERROR(VALUE('query (2)'!A275),""))</f>
        <v>293</v>
      </c>
      <c r="G275" s="24" t="str">
        <f>IF('query (2)'!C275="","UNKNOWN",IFERROR(INDEX(Cleaning_Rules!$B$15:$B$20,MATCH(TRIM(UPPER('query (2)'!C275)),Cleaning_Rules!$A$15:$A$20,0)),"UNKNOWN"))</f>
        <v>FACTORY2</v>
      </c>
      <c r="H275" s="25" t="str">
        <f>IF('query (2)'!C275="","",'query (2)'!C275)</f>
        <v>FACTORY2</v>
      </c>
      <c r="I275" s="24" t="str" cm="1">
        <f t="array" ref="I275">_xlfn.IFS($G275="UNKNOWN","UNKNOWN",OR($G275="FACTORY1",$G275="FACTORY2",$G275="FACTORY3"),"PLANT",TRUE,"SHARED")</f>
        <v>PLANT</v>
      </c>
      <c r="J275" s="24" t="str">
        <f>IF('query (2)'!D275="","UNKNOWN",IF(COUNTIF(Cleaning_Rules!$A$6:$A$11,TRIM('query (2)'!D275))&gt;0,"UNKNOWN",IFERROR(INDEX(Cleaning_Rules!$B$24:$B$28,MATCH(TRIM(UPPER('query (2)'!D275)),Cleaning_Rules!$A$24:$A$28,0)),TRIM(UPPER('query (2)'!D275)))))</f>
        <v>SB1</v>
      </c>
      <c r="K275" s="25" t="str">
        <f>IF('query (2)'!D275="","",'query (2)'!D275)</f>
        <v>SB1</v>
      </c>
      <c r="L275" s="24" t="str">
        <f>IF($J275="UNKNOWN","",_xlfn.TEXTBEFORE($J275,{"0","1","2","3","4","5","6","7","8","9"," ","-","."},1,,,$J275))</f>
        <v>SB</v>
      </c>
      <c r="M275" s="24" t="str">
        <f>IF('query (2)'!I275&lt;&gt;"",TRIM(UPPER('query (2)'!I275)),IF($L275="","UNKNOWN",$L275))</f>
        <v>SB</v>
      </c>
      <c r="N275" s="24" t="str">
        <f>IF('query (2)'!I275&lt;&gt;"","SOURCE",IF($L275="","UNKNOWN","DERIVED"))</f>
        <v>SOURCE</v>
      </c>
      <c r="O275" s="24" t="str">
        <f>IF('query (2)'!E275="","NOT_SPECIFIED",TRIM(UPPER('query (2)'!E275)))</f>
        <v>ASSEMBLY</v>
      </c>
      <c r="P275" s="24" t="str">
        <f>IF('query (2)'!F275="","",TRIM(UPPER('query (2)'!F275)))</f>
        <v>1204-SB1AI</v>
      </c>
      <c r="Q275" s="24" t="str">
        <f>IF('query (2)'!G275="","UNKNOWN",IFERROR(INDEX(Cleaning_Rules!$B$38:$B$46,MATCH(TRIM(UPPER('query (2)'!G275)),Cleaning_Rules!$A$38:$A$46,0)),"UNKNOWN"))</f>
        <v>OTHER</v>
      </c>
      <c r="R275" s="24" t="str">
        <f>IF('query (2)'!H275="","",TRIM(UPPER('query (2)'!H275)))</f>
        <v>SEAL PRESS M/C</v>
      </c>
      <c r="S275" s="25" t="str">
        <f>IF('query (2)'!H275="","",'query (2)'!H275)</f>
        <v>Seal  press  M/C</v>
      </c>
      <c r="T275" s="24" t="str">
        <f>IF('query (2)'!J275="","",TRIM(UPPER('query (2)'!J275)))</f>
        <v>SEAL PRESSING NO.1</v>
      </c>
      <c r="U275" s="24" t="str">
        <f t="shared" si="31"/>
        <v/>
      </c>
      <c r="V275" s="24" t="str">
        <f>IF('query (2)'!K275="","NOT_SPECIFIED",IFERROR(INDEX(Cleaning_Rules!$B$32:$B$34,MATCH(TRIM(UPPER('query (2)'!K275)),Cleaning_Rules!$A$32:$A$34,0)),"UNKNOWN"))</f>
        <v>NOT_SPECIFIED</v>
      </c>
      <c r="W275" s="24" t="str">
        <f t="shared" si="32"/>
        <v>AS-115 | FACTORY2 | SB1 | SB | ASSEMBLY | 1204-SB1AI | OTHER | SEAL PRESS M/C | SEAL PRESSING NO.1 | NOT_SPECIFIED</v>
      </c>
      <c r="X275" s="24" t="str">
        <f t="shared" si="33"/>
        <v/>
      </c>
      <c r="Y275" s="24" t="str">
        <f t="shared" si="34"/>
        <v>MISSING_STATUS; CATEGORY_NOT_USEFUL</v>
      </c>
    </row>
    <row r="276" spans="1:25" x14ac:dyDescent="0.3">
      <c r="A276" s="24" t="str">
        <f t="shared" si="28"/>
        <v>AS-116#0275</v>
      </c>
      <c r="B276" s="24" t="str">
        <f>IF('query (2)'!B276="","",TRIM(UPPER('query (2)'!B276)))</f>
        <v>AS-116</v>
      </c>
      <c r="C276" s="25" t="str">
        <f>IF('query (2)'!B276="","",'query (2)'!B276)</f>
        <v>AS-116</v>
      </c>
      <c r="D276" s="24" t="str">
        <f t="shared" si="29"/>
        <v>AS</v>
      </c>
      <c r="E276" s="24">
        <f t="shared" si="30"/>
        <v>1</v>
      </c>
      <c r="F276" s="24">
        <f>IF('query (2)'!A276="","",IFERROR(VALUE('query (2)'!A276),""))</f>
        <v>294</v>
      </c>
      <c r="G276" s="24" t="str">
        <f>IF('query (2)'!C276="","UNKNOWN",IFERROR(INDEX(Cleaning_Rules!$B$15:$B$20,MATCH(TRIM(UPPER('query (2)'!C276)),Cleaning_Rules!$A$15:$A$20,0)),"UNKNOWN"))</f>
        <v>FACTORY2</v>
      </c>
      <c r="H276" s="25" t="str">
        <f>IF('query (2)'!C276="","",'query (2)'!C276)</f>
        <v>FACTORY2</v>
      </c>
      <c r="I276" s="24" t="str" cm="1">
        <f t="array" ref="I276">_xlfn.IFS($G276="UNKNOWN","UNKNOWN",OR($G276="FACTORY1",$G276="FACTORY2",$G276="FACTORY3"),"PLANT",TRUE,"SHARED")</f>
        <v>PLANT</v>
      </c>
      <c r="J276" s="24" t="str">
        <f>IF('query (2)'!D276="","UNKNOWN",IF(COUNTIF(Cleaning_Rules!$A$6:$A$11,TRIM('query (2)'!D276))&gt;0,"UNKNOWN",IFERROR(INDEX(Cleaning_Rules!$B$24:$B$28,MATCH(TRIM(UPPER('query (2)'!D276)),Cleaning_Rules!$A$24:$A$28,0)),TRIM(UPPER('query (2)'!D276)))))</f>
        <v>SB1</v>
      </c>
      <c r="K276" s="25" t="str">
        <f>IF('query (2)'!D276="","",'query (2)'!D276)</f>
        <v>SB1</v>
      </c>
      <c r="L276" s="24" t="str">
        <f>IF($J276="UNKNOWN","",_xlfn.TEXTBEFORE($J276,{"0","1","2","3","4","5","6","7","8","9"," ","-","."},1,,,$J276))</f>
        <v>SB</v>
      </c>
      <c r="M276" s="24" t="str">
        <f>IF('query (2)'!I276&lt;&gt;"",TRIM(UPPER('query (2)'!I276)),IF($L276="","UNKNOWN",$L276))</f>
        <v>SB</v>
      </c>
      <c r="N276" s="24" t="str">
        <f>IF('query (2)'!I276&lt;&gt;"","SOURCE",IF($L276="","UNKNOWN","DERIVED"))</f>
        <v>SOURCE</v>
      </c>
      <c r="O276" s="24" t="str">
        <f>IF('query (2)'!E276="","NOT_SPECIFIED",TRIM(UPPER('query (2)'!E276)))</f>
        <v>ASSEMBLY</v>
      </c>
      <c r="P276" s="24" t="str">
        <f>IF('query (2)'!F276="","",TRIM(UPPER('query (2)'!F276)))</f>
        <v>1204-SB1AI</v>
      </c>
      <c r="Q276" s="24" t="str">
        <f>IF('query (2)'!G276="","UNKNOWN",IFERROR(INDEX(Cleaning_Rules!$B$38:$B$46,MATCH(TRIM(UPPER('query (2)'!G276)),Cleaning_Rules!$A$38:$A$46,0)),"UNKNOWN"))</f>
        <v>OTHER</v>
      </c>
      <c r="R276" s="24" t="str">
        <f>IF('query (2)'!H276="","",TRIM(UPPER('query (2)'!H276)))</f>
        <v>SEAL PRESS M/C</v>
      </c>
      <c r="S276" s="25" t="str">
        <f>IF('query (2)'!H276="","",'query (2)'!H276)</f>
        <v>Seal  press  M/C</v>
      </c>
      <c r="T276" s="24" t="str">
        <f>IF('query (2)'!J276="","",TRIM(UPPER('query (2)'!J276)))</f>
        <v>SEAL PRESSING NO.2</v>
      </c>
      <c r="U276" s="24" t="str">
        <f t="shared" si="31"/>
        <v/>
      </c>
      <c r="V276" s="24" t="str">
        <f>IF('query (2)'!K276="","NOT_SPECIFIED",IFERROR(INDEX(Cleaning_Rules!$B$32:$B$34,MATCH(TRIM(UPPER('query (2)'!K276)),Cleaning_Rules!$A$32:$A$34,0)),"UNKNOWN"))</f>
        <v>NOT_SPECIFIED</v>
      </c>
      <c r="W276" s="24" t="str">
        <f t="shared" si="32"/>
        <v>AS-116 | FACTORY2 | SB1 | SB | ASSEMBLY | 1204-SB1AI | OTHER | SEAL PRESS M/C | SEAL PRESSING NO.2 | NOT_SPECIFIED</v>
      </c>
      <c r="X276" s="24" t="str">
        <f t="shared" si="33"/>
        <v/>
      </c>
      <c r="Y276" s="24" t="str">
        <f t="shared" si="34"/>
        <v>MISSING_STATUS; CATEGORY_NOT_USEFUL</v>
      </c>
    </row>
    <row r="277" spans="1:25" x14ac:dyDescent="0.3">
      <c r="A277" s="24" t="str">
        <f t="shared" si="28"/>
        <v>CH-117#0276</v>
      </c>
      <c r="B277" s="24" t="str">
        <f>IF('query (2)'!B277="","",TRIM(UPPER('query (2)'!B277)))</f>
        <v>CH-117</v>
      </c>
      <c r="C277" s="25" t="str">
        <f>IF('query (2)'!B277="","",'query (2)'!B277)</f>
        <v>CH-117</v>
      </c>
      <c r="D277" s="24" t="str">
        <f t="shared" si="29"/>
        <v>CH</v>
      </c>
      <c r="E277" s="24">
        <f t="shared" si="30"/>
        <v>1</v>
      </c>
      <c r="F277" s="24">
        <f>IF('query (2)'!A277="","",IFERROR(VALUE('query (2)'!A277),""))</f>
        <v>295</v>
      </c>
      <c r="G277" s="24" t="str">
        <f>IF('query (2)'!C277="","UNKNOWN",IFERROR(INDEX(Cleaning_Rules!$B$15:$B$20,MATCH(TRIM(UPPER('query (2)'!C277)),Cleaning_Rules!$A$15:$A$20,0)),"UNKNOWN"))</f>
        <v>FACTORY2</v>
      </c>
      <c r="H277" s="25" t="str">
        <f>IF('query (2)'!C277="","",'query (2)'!C277)</f>
        <v>FACTORY2</v>
      </c>
      <c r="I277" s="24" t="str" cm="1">
        <f t="array" ref="I277">_xlfn.IFS($G277="UNKNOWN","UNKNOWN",OR($G277="FACTORY1",$G277="FACTORY2",$G277="FACTORY3"),"PLANT",TRUE,"SHARED")</f>
        <v>PLANT</v>
      </c>
      <c r="J277" s="24" t="str">
        <f>IF('query (2)'!D277="","UNKNOWN",IF(COUNTIF(Cleaning_Rules!$A$6:$A$11,TRIM('query (2)'!D277))&gt;0,"UNKNOWN",IFERROR(INDEX(Cleaning_Rules!$B$24:$B$28,MATCH(TRIM(UPPER('query (2)'!D277)),Cleaning_Rules!$A$24:$A$28,0)),TRIM(UPPER('query (2)'!D277)))))</f>
        <v>SB1</v>
      </c>
      <c r="K277" s="25" t="str">
        <f>IF('query (2)'!D277="","",'query (2)'!D277)</f>
        <v>SB1</v>
      </c>
      <c r="L277" s="24" t="str">
        <f>IF($J277="UNKNOWN","",_xlfn.TEXTBEFORE($J277,{"0","1","2","3","4","5","6","7","8","9"," ","-","."},1,,,$J277))</f>
        <v>SB</v>
      </c>
      <c r="M277" s="24" t="str">
        <f>IF('query (2)'!I277&lt;&gt;"",TRIM(UPPER('query (2)'!I277)),IF($L277="","UNKNOWN",$L277))</f>
        <v>SB</v>
      </c>
      <c r="N277" s="24" t="str">
        <f>IF('query (2)'!I277&lt;&gt;"","SOURCE",IF($L277="","UNKNOWN","DERIVED"))</f>
        <v>SOURCE</v>
      </c>
      <c r="O277" s="24" t="str">
        <f>IF('query (2)'!E277="","NOT_SPECIFIED",TRIM(UPPER('query (2)'!E277)))</f>
        <v>ASSEMBLY</v>
      </c>
      <c r="P277" s="24" t="str">
        <f>IF('query (2)'!F277="","",TRIM(UPPER('query (2)'!F277)))</f>
        <v>1204-SB1AI</v>
      </c>
      <c r="Q277" s="24" t="str">
        <f>IF('query (2)'!G277="","UNKNOWN",IFERROR(INDEX(Cleaning_Rules!$B$38:$B$46,MATCH(TRIM(UPPER('query (2)'!G277)),Cleaning_Rules!$A$38:$A$46,0)),"UNKNOWN"))</f>
        <v>OTHER</v>
      </c>
      <c r="R277" s="24" t="str">
        <f>IF('query (2)'!H277="","",TRIM(UPPER('query (2)'!H277)))</f>
        <v>SEAL CHECK M/C</v>
      </c>
      <c r="S277" s="25" t="str">
        <f>IF('query (2)'!H277="","",'query (2)'!H277)</f>
        <v>Seal  check  M/C</v>
      </c>
      <c r="T277" s="24" t="str">
        <f>IF('query (2)'!J277="","",TRIM(UPPER('query (2)'!J277)))</f>
        <v>SEAL HEIGHT CHECK</v>
      </c>
      <c r="U277" s="24" t="str">
        <f t="shared" si="31"/>
        <v/>
      </c>
      <c r="V277" s="24" t="str">
        <f>IF('query (2)'!K277="","NOT_SPECIFIED",IFERROR(INDEX(Cleaning_Rules!$B$32:$B$34,MATCH(TRIM(UPPER('query (2)'!K277)),Cleaning_Rules!$A$32:$A$34,0)),"UNKNOWN"))</f>
        <v>NOT_SPECIFIED</v>
      </c>
      <c r="W277" s="24" t="str">
        <f t="shared" si="32"/>
        <v>CH-117 | FACTORY2 | SB1 | SB | ASSEMBLY | 1204-SB1AI | OTHER | SEAL CHECK M/C | SEAL HEIGHT CHECK | NOT_SPECIFIED</v>
      </c>
      <c r="X277" s="24" t="str">
        <f t="shared" si="33"/>
        <v/>
      </c>
      <c r="Y277" s="24" t="str">
        <f t="shared" si="34"/>
        <v>MISSING_STATUS; CATEGORY_NOT_USEFUL</v>
      </c>
    </row>
    <row r="278" spans="1:25" x14ac:dyDescent="0.3">
      <c r="A278" s="24" t="str">
        <f t="shared" si="28"/>
        <v>CH-118#0277</v>
      </c>
      <c r="B278" s="24" t="str">
        <f>IF('query (2)'!B278="","",TRIM(UPPER('query (2)'!B278)))</f>
        <v>CH-118</v>
      </c>
      <c r="C278" s="25" t="str">
        <f>IF('query (2)'!B278="","",'query (2)'!B278)</f>
        <v>CH-118</v>
      </c>
      <c r="D278" s="24" t="str">
        <f t="shared" si="29"/>
        <v>CH</v>
      </c>
      <c r="E278" s="24">
        <f t="shared" si="30"/>
        <v>1</v>
      </c>
      <c r="F278" s="24">
        <f>IF('query (2)'!A278="","",IFERROR(VALUE('query (2)'!A278),""))</f>
        <v>296</v>
      </c>
      <c r="G278" s="24" t="str">
        <f>IF('query (2)'!C278="","UNKNOWN",IFERROR(INDEX(Cleaning_Rules!$B$15:$B$20,MATCH(TRIM(UPPER('query (2)'!C278)),Cleaning_Rules!$A$15:$A$20,0)),"UNKNOWN"))</f>
        <v>FACTORY2</v>
      </c>
      <c r="H278" s="25" t="str">
        <f>IF('query (2)'!C278="","",'query (2)'!C278)</f>
        <v>FACTORY2</v>
      </c>
      <c r="I278" s="24" t="str" cm="1">
        <f t="array" ref="I278">_xlfn.IFS($G278="UNKNOWN","UNKNOWN",OR($G278="FACTORY1",$G278="FACTORY2",$G278="FACTORY3"),"PLANT",TRUE,"SHARED")</f>
        <v>PLANT</v>
      </c>
      <c r="J278" s="24" t="str">
        <f>IF('query (2)'!D278="","UNKNOWN",IF(COUNTIF(Cleaning_Rules!$A$6:$A$11,TRIM('query (2)'!D278))&gt;0,"UNKNOWN",IFERROR(INDEX(Cleaning_Rules!$B$24:$B$28,MATCH(TRIM(UPPER('query (2)'!D278)),Cleaning_Rules!$A$24:$A$28,0)),TRIM(UPPER('query (2)'!D278)))))</f>
        <v>SB1</v>
      </c>
      <c r="K278" s="25" t="str">
        <f>IF('query (2)'!D278="","",'query (2)'!D278)</f>
        <v>SB1</v>
      </c>
      <c r="L278" s="24" t="str">
        <f>IF($J278="UNKNOWN","",_xlfn.TEXTBEFORE($J278,{"0","1","2","3","4","5","6","7","8","9"," ","-","."},1,,,$J278))</f>
        <v>SB</v>
      </c>
      <c r="M278" s="24" t="str">
        <f>IF('query (2)'!I278&lt;&gt;"",TRIM(UPPER('query (2)'!I278)),IF($L278="","UNKNOWN",$L278))</f>
        <v>SB</v>
      </c>
      <c r="N278" s="24" t="str">
        <f>IF('query (2)'!I278&lt;&gt;"","SOURCE",IF($L278="","UNKNOWN","DERIVED"))</f>
        <v>SOURCE</v>
      </c>
      <c r="O278" s="24" t="str">
        <f>IF('query (2)'!E278="","NOT_SPECIFIED",TRIM(UPPER('query (2)'!E278)))</f>
        <v>ASSEMBLY</v>
      </c>
      <c r="P278" s="24" t="str">
        <f>IF('query (2)'!F278="","",TRIM(UPPER('query (2)'!F278)))</f>
        <v>1204-SB1AI</v>
      </c>
      <c r="Q278" s="24" t="str">
        <f>IF('query (2)'!G278="","UNKNOWN",IFERROR(INDEX(Cleaning_Rules!$B$38:$B$46,MATCH(TRIM(UPPER('query (2)'!G278)),Cleaning_Rules!$A$38:$A$46,0)),"UNKNOWN"))</f>
        <v>OTHER</v>
      </c>
      <c r="R278" s="24" t="str">
        <f>IF('query (2)'!H278="","",TRIM(UPPER('query (2)'!H278)))</f>
        <v>NOISE INSPECTION M/C (AUTO)</v>
      </c>
      <c r="S278" s="25" t="str">
        <f>IF('query (2)'!H278="","",'query (2)'!H278)</f>
        <v>Noise  inspection  M/C (Auto)</v>
      </c>
      <c r="T278" s="24" t="str">
        <f>IF('query (2)'!J278="","",TRIM(UPPER('query (2)'!J278)))</f>
        <v>NOISE INSPECTION</v>
      </c>
      <c r="U278" s="24" t="str">
        <f t="shared" si="31"/>
        <v/>
      </c>
      <c r="V278" s="24" t="str">
        <f>IF('query (2)'!K278="","NOT_SPECIFIED",IFERROR(INDEX(Cleaning_Rules!$B$32:$B$34,MATCH(TRIM(UPPER('query (2)'!K278)),Cleaning_Rules!$A$32:$A$34,0)),"UNKNOWN"))</f>
        <v>NOT_SPECIFIED</v>
      </c>
      <c r="W278" s="24" t="str">
        <f t="shared" si="32"/>
        <v>CH-118 | FACTORY2 | SB1 | SB | ASSEMBLY | 1204-SB1AI | OTHER | NOISE INSPECTION M/C (AUTO) | NOISE INSPECTION | NOT_SPECIFIED</v>
      </c>
      <c r="X278" s="24" t="str">
        <f t="shared" si="33"/>
        <v/>
      </c>
      <c r="Y278" s="24" t="str">
        <f t="shared" si="34"/>
        <v>MISSING_STATUS; CATEGORY_NOT_USEFUL</v>
      </c>
    </row>
    <row r="279" spans="1:25" x14ac:dyDescent="0.3">
      <c r="A279" s="24" t="str">
        <f t="shared" si="28"/>
        <v>CH-119#0278</v>
      </c>
      <c r="B279" s="24" t="str">
        <f>IF('query (2)'!B279="","",TRIM(UPPER('query (2)'!B279)))</f>
        <v>CH-119</v>
      </c>
      <c r="C279" s="25" t="str">
        <f>IF('query (2)'!B279="","",'query (2)'!B279)</f>
        <v>CH-119</v>
      </c>
      <c r="D279" s="24" t="str">
        <f t="shared" si="29"/>
        <v>CH</v>
      </c>
      <c r="E279" s="24">
        <f t="shared" si="30"/>
        <v>1</v>
      </c>
      <c r="F279" s="24">
        <f>IF('query (2)'!A279="","",IFERROR(VALUE('query (2)'!A279),""))</f>
        <v>297</v>
      </c>
      <c r="G279" s="24" t="str">
        <f>IF('query (2)'!C279="","UNKNOWN",IFERROR(INDEX(Cleaning_Rules!$B$15:$B$20,MATCH(TRIM(UPPER('query (2)'!C279)),Cleaning_Rules!$A$15:$A$20,0)),"UNKNOWN"))</f>
        <v>FACTORY2</v>
      </c>
      <c r="H279" s="25" t="str">
        <f>IF('query (2)'!C279="","",'query (2)'!C279)</f>
        <v>FACTORY2</v>
      </c>
      <c r="I279" s="24" t="str" cm="1">
        <f t="array" ref="I279">_xlfn.IFS($G279="UNKNOWN","UNKNOWN",OR($G279="FACTORY1",$G279="FACTORY2",$G279="FACTORY3"),"PLANT",TRUE,"SHARED")</f>
        <v>PLANT</v>
      </c>
      <c r="J279" s="24" t="str">
        <f>IF('query (2)'!D279="","UNKNOWN",IF(COUNTIF(Cleaning_Rules!$A$6:$A$11,TRIM('query (2)'!D279))&gt;0,"UNKNOWN",IFERROR(INDEX(Cleaning_Rules!$B$24:$B$28,MATCH(TRIM(UPPER('query (2)'!D279)),Cleaning_Rules!$A$24:$A$28,0)),TRIM(UPPER('query (2)'!D279)))))</f>
        <v>SB1</v>
      </c>
      <c r="K279" s="25" t="str">
        <f>IF('query (2)'!D279="","",'query (2)'!D279)</f>
        <v>SB1</v>
      </c>
      <c r="L279" s="24" t="str">
        <f>IF($J279="UNKNOWN","",_xlfn.TEXTBEFORE($J279,{"0","1","2","3","4","5","6","7","8","9"," ","-","."},1,,,$J279))</f>
        <v>SB</v>
      </c>
      <c r="M279" s="24" t="str">
        <f>IF('query (2)'!I279&lt;&gt;"",TRIM(UPPER('query (2)'!I279)),IF($L279="","UNKNOWN",$L279))</f>
        <v>SB</v>
      </c>
      <c r="N279" s="24" t="str">
        <f>IF('query (2)'!I279&lt;&gt;"","SOURCE",IF($L279="","UNKNOWN","DERIVED"))</f>
        <v>SOURCE</v>
      </c>
      <c r="O279" s="24" t="str">
        <f>IF('query (2)'!E279="","NOT_SPECIFIED",TRIM(UPPER('query (2)'!E279)))</f>
        <v>ASSEMBLY</v>
      </c>
      <c r="P279" s="24" t="str">
        <f>IF('query (2)'!F279="","",TRIM(UPPER('query (2)'!F279)))</f>
        <v>1204-SB1AI</v>
      </c>
      <c r="Q279" s="24" t="str">
        <f>IF('query (2)'!G279="","UNKNOWN",IFERROR(INDEX(Cleaning_Rules!$B$38:$B$46,MATCH(TRIM(UPPER('query (2)'!G279)),Cleaning_Rules!$A$38:$A$46,0)),"UNKNOWN"))</f>
        <v>OTHER</v>
      </c>
      <c r="R279" s="24" t="str">
        <f>IF('query (2)'!H279="","",TRIM(UPPER('query (2)'!H279)))</f>
        <v>WEIGHT CHECKER M/C</v>
      </c>
      <c r="S279" s="25" t="str">
        <f>IF('query (2)'!H279="","",'query (2)'!H279)</f>
        <v>Weight checker M/C</v>
      </c>
      <c r="T279" s="24" t="str">
        <f>IF('query (2)'!J279="","",TRIM(UPPER('query (2)'!J279)))</f>
        <v>WEIGHT CHECKER</v>
      </c>
      <c r="U279" s="24" t="str">
        <f t="shared" si="31"/>
        <v/>
      </c>
      <c r="V279" s="24" t="str">
        <f>IF('query (2)'!K279="","NOT_SPECIFIED",IFERROR(INDEX(Cleaning_Rules!$B$32:$B$34,MATCH(TRIM(UPPER('query (2)'!K279)),Cleaning_Rules!$A$32:$A$34,0)),"UNKNOWN"))</f>
        <v>NOT_SPECIFIED</v>
      </c>
      <c r="W279" s="24" t="str">
        <f t="shared" si="32"/>
        <v>CH-119 | FACTORY2 | SB1 | SB | ASSEMBLY | 1204-SB1AI | OTHER | WEIGHT CHECKER M/C | WEIGHT CHECKER | NOT_SPECIFIED</v>
      </c>
      <c r="X279" s="24" t="str">
        <f t="shared" si="33"/>
        <v/>
      </c>
      <c r="Y279" s="24" t="str">
        <f t="shared" si="34"/>
        <v>MISSING_STATUS; CATEGORY_NOT_USEFUL</v>
      </c>
    </row>
    <row r="280" spans="1:25" x14ac:dyDescent="0.3">
      <c r="A280" s="24" t="str">
        <f t="shared" si="28"/>
        <v>CH-523#0279</v>
      </c>
      <c r="B280" s="24" t="str">
        <f>IF('query (2)'!B280="","",TRIM(UPPER('query (2)'!B280)))</f>
        <v>CH-523</v>
      </c>
      <c r="C280" s="25" t="str">
        <f>IF('query (2)'!B280="","",'query (2)'!B280)</f>
        <v>CH-523</v>
      </c>
      <c r="D280" s="24" t="str">
        <f t="shared" si="29"/>
        <v>CH</v>
      </c>
      <c r="E280" s="24">
        <f t="shared" si="30"/>
        <v>2</v>
      </c>
      <c r="F280" s="24">
        <f>IF('query (2)'!A280="","",IFERROR(VALUE('query (2)'!A280),""))</f>
        <v>298</v>
      </c>
      <c r="G280" s="24" t="str">
        <f>IF('query (2)'!C280="","UNKNOWN",IFERROR(INDEX(Cleaning_Rules!$B$15:$B$20,MATCH(TRIM(UPPER('query (2)'!C280)),Cleaning_Rules!$A$15:$A$20,0)),"UNKNOWN"))</f>
        <v>FACTORY2</v>
      </c>
      <c r="H280" s="25" t="str">
        <f>IF('query (2)'!C280="","",'query (2)'!C280)</f>
        <v>FACTORY2</v>
      </c>
      <c r="I280" s="24" t="str" cm="1">
        <f t="array" ref="I280">_xlfn.IFS($G280="UNKNOWN","UNKNOWN",OR($G280="FACTORY1",$G280="FACTORY2",$G280="FACTORY3"),"PLANT",TRUE,"SHARED")</f>
        <v>PLANT</v>
      </c>
      <c r="J280" s="24" t="str">
        <f>IF('query (2)'!D280="","UNKNOWN",IF(COUNTIF(Cleaning_Rules!$A$6:$A$11,TRIM('query (2)'!D280))&gt;0,"UNKNOWN",IFERROR(INDEX(Cleaning_Rules!$B$24:$B$28,MATCH(TRIM(UPPER('query (2)'!D280)),Cleaning_Rules!$A$24:$A$28,0)),TRIM(UPPER('query (2)'!D280)))))</f>
        <v>SB1</v>
      </c>
      <c r="K280" s="25" t="str">
        <f>IF('query (2)'!D280="","",'query (2)'!D280)</f>
        <v>SB1</v>
      </c>
      <c r="L280" s="24" t="str">
        <f>IF($J280="UNKNOWN","",_xlfn.TEXTBEFORE($J280,{"0","1","2","3","4","5","6","7","8","9"," ","-","."},1,,,$J280))</f>
        <v>SB</v>
      </c>
      <c r="M280" s="24" t="str">
        <f>IF('query (2)'!I280&lt;&gt;"",TRIM(UPPER('query (2)'!I280)),IF($L280="","UNKNOWN",$L280))</f>
        <v>SB</v>
      </c>
      <c r="N280" s="24" t="str">
        <f>IF('query (2)'!I280&lt;&gt;"","SOURCE",IF($L280="","UNKNOWN","DERIVED"))</f>
        <v>SOURCE</v>
      </c>
      <c r="O280" s="24" t="str">
        <f>IF('query (2)'!E280="","NOT_SPECIFIED",TRIM(UPPER('query (2)'!E280)))</f>
        <v>ASSEMBLY</v>
      </c>
      <c r="P280" s="24" t="str">
        <f>IF('query (2)'!F280="","",TRIM(UPPER('query (2)'!F280)))</f>
        <v>1204-SB1AI</v>
      </c>
      <c r="Q280" s="24" t="str">
        <f>IF('query (2)'!G280="","UNKNOWN",IFERROR(INDEX(Cleaning_Rules!$B$38:$B$46,MATCH(TRIM(UPPER('query (2)'!G280)),Cleaning_Rules!$A$38:$A$46,0)),"UNKNOWN"))</f>
        <v>OTHER</v>
      </c>
      <c r="R280" s="24" t="str">
        <f>IF('query (2)'!H280="","",TRIM(UPPER('query (2)'!H280)))</f>
        <v>NOISE INSPECTION M/C (AUTO)</v>
      </c>
      <c r="S280" s="25" t="str">
        <f>IF('query (2)'!H280="","",'query (2)'!H280)</f>
        <v>Noise  inspection  M/C (Auto)</v>
      </c>
      <c r="T280" s="24" t="str">
        <f>IF('query (2)'!J280="","",TRIM(UPPER('query (2)'!J280)))</f>
        <v>NOISE INSPECTION</v>
      </c>
      <c r="U280" s="24" t="str">
        <f t="shared" si="31"/>
        <v/>
      </c>
      <c r="V280" s="24" t="str">
        <f>IF('query (2)'!K280="","NOT_SPECIFIED",IFERROR(INDEX(Cleaning_Rules!$B$32:$B$34,MATCH(TRIM(UPPER('query (2)'!K280)),Cleaning_Rules!$A$32:$A$34,0)),"UNKNOWN"))</f>
        <v>NOT_SPECIFIED</v>
      </c>
      <c r="W280" s="24" t="str">
        <f t="shared" si="32"/>
        <v>CH-523 | FACTORY2 | SB1 | SB | ASSEMBLY | 1204-SB1AI | OTHER | NOISE INSPECTION M/C (AUTO) | NOISE INSPECTION | NOT_SPECIFIED</v>
      </c>
      <c r="X280" s="24" t="str">
        <f t="shared" si="33"/>
        <v>DUPLICATE_QR</v>
      </c>
      <c r="Y280" s="24" t="str">
        <f t="shared" si="34"/>
        <v>MISSING_STATUS; CATEGORY_NOT_USEFUL</v>
      </c>
    </row>
    <row r="281" spans="1:25" x14ac:dyDescent="0.3">
      <c r="A281" s="24" t="str">
        <f t="shared" si="28"/>
        <v>CH-638#0280</v>
      </c>
      <c r="B281" s="24" t="str">
        <f>IF('query (2)'!B281="","",TRIM(UPPER('query (2)'!B281)))</f>
        <v>CH-638</v>
      </c>
      <c r="C281" s="25" t="str">
        <f>IF('query (2)'!B281="","",'query (2)'!B281)</f>
        <v>CH-638</v>
      </c>
      <c r="D281" s="24" t="str">
        <f t="shared" si="29"/>
        <v>CH</v>
      </c>
      <c r="E281" s="24">
        <f t="shared" si="30"/>
        <v>1</v>
      </c>
      <c r="F281" s="24">
        <f>IF('query (2)'!A281="","",IFERROR(VALUE('query (2)'!A281),""))</f>
        <v>299</v>
      </c>
      <c r="G281" s="24" t="str">
        <f>IF('query (2)'!C281="","UNKNOWN",IFERROR(INDEX(Cleaning_Rules!$B$15:$B$20,MATCH(TRIM(UPPER('query (2)'!C281)),Cleaning_Rules!$A$15:$A$20,0)),"UNKNOWN"))</f>
        <v>FACTORY2</v>
      </c>
      <c r="H281" s="25" t="str">
        <f>IF('query (2)'!C281="","",'query (2)'!C281)</f>
        <v>FACTORY2</v>
      </c>
      <c r="I281" s="24" t="str" cm="1">
        <f t="array" ref="I281">_xlfn.IFS($G281="UNKNOWN","UNKNOWN",OR($G281="FACTORY1",$G281="FACTORY2",$G281="FACTORY3"),"PLANT",TRUE,"SHARED")</f>
        <v>PLANT</v>
      </c>
      <c r="J281" s="24" t="str">
        <f>IF('query (2)'!D281="","UNKNOWN",IF(COUNTIF(Cleaning_Rules!$A$6:$A$11,TRIM('query (2)'!D281))&gt;0,"UNKNOWN",IFERROR(INDEX(Cleaning_Rules!$B$24:$B$28,MATCH(TRIM(UPPER('query (2)'!D281)),Cleaning_Rules!$A$24:$A$28,0)),TRIM(UPPER('query (2)'!D281)))))</f>
        <v>SB1</v>
      </c>
      <c r="K281" s="25" t="str">
        <f>IF('query (2)'!D281="","",'query (2)'!D281)</f>
        <v>SB1</v>
      </c>
      <c r="L281" s="24" t="str">
        <f>IF($J281="UNKNOWN","",_xlfn.TEXTBEFORE($J281,{"0","1","2","3","4","5","6","7","8","9"," ","-","."},1,,,$J281))</f>
        <v>SB</v>
      </c>
      <c r="M281" s="24" t="str">
        <f>IF('query (2)'!I281&lt;&gt;"",TRIM(UPPER('query (2)'!I281)),IF($L281="","UNKNOWN",$L281))</f>
        <v>SB</v>
      </c>
      <c r="N281" s="24" t="str">
        <f>IF('query (2)'!I281&lt;&gt;"","SOURCE",IF($L281="","UNKNOWN","DERIVED"))</f>
        <v>SOURCE</v>
      </c>
      <c r="O281" s="24" t="str">
        <f>IF('query (2)'!E281="","NOT_SPECIFIED",TRIM(UPPER('query (2)'!E281)))</f>
        <v>ASSEMBLY</v>
      </c>
      <c r="P281" s="24" t="str">
        <f>IF('query (2)'!F281="","",TRIM(UPPER('query (2)'!F281)))</f>
        <v>1204-SB1AI</v>
      </c>
      <c r="Q281" s="24" t="str">
        <f>IF('query (2)'!G281="","UNKNOWN",IFERROR(INDEX(Cleaning_Rules!$B$38:$B$46,MATCH(TRIM(UPPER('query (2)'!G281)),Cleaning_Rules!$A$38:$A$46,0)),"UNKNOWN"))</f>
        <v>OTHER</v>
      </c>
      <c r="R281" s="24" t="str">
        <f>IF('query (2)'!H281="","",TRIM(UPPER('query (2)'!H281)))</f>
        <v>AUTO RADIAL CLEARANCE M/C</v>
      </c>
      <c r="S281" s="25" t="str">
        <f>IF('query (2)'!H281="","",'query (2)'!H281)</f>
        <v>Auto radial clearance M/C</v>
      </c>
      <c r="T281" s="24" t="str">
        <f>IF('query (2)'!J281="","",TRIM(UPPER('query (2)'!J281)))</f>
        <v>R/C AUTO</v>
      </c>
      <c r="U281" s="24" t="str">
        <f t="shared" si="31"/>
        <v/>
      </c>
      <c r="V281" s="24" t="str">
        <f>IF('query (2)'!K281="","NOT_SPECIFIED",IFERROR(INDEX(Cleaning_Rules!$B$32:$B$34,MATCH(TRIM(UPPER('query (2)'!K281)),Cleaning_Rules!$A$32:$A$34,0)),"UNKNOWN"))</f>
        <v>NOT_SPECIFIED</v>
      </c>
      <c r="W281" s="24" t="str">
        <f t="shared" si="32"/>
        <v>CH-638 | FACTORY2 | SB1 | SB | ASSEMBLY | 1204-SB1AI | OTHER | AUTO RADIAL CLEARANCE M/C | R/C AUTO | NOT_SPECIFIED</v>
      </c>
      <c r="X281" s="24" t="str">
        <f t="shared" si="33"/>
        <v/>
      </c>
      <c r="Y281" s="24" t="str">
        <f t="shared" si="34"/>
        <v>MISSING_STATUS; CATEGORY_NOT_USEFUL</v>
      </c>
    </row>
    <row r="282" spans="1:25" x14ac:dyDescent="0.3">
      <c r="A282" s="24" t="str">
        <f t="shared" si="28"/>
        <v>CH-642#0281</v>
      </c>
      <c r="B282" s="24" t="str">
        <f>IF('query (2)'!B282="","",TRIM(UPPER('query (2)'!B282)))</f>
        <v>CH-642</v>
      </c>
      <c r="C282" s="25" t="str">
        <f>IF('query (2)'!B282="","",'query (2)'!B282)</f>
        <v>CH-642</v>
      </c>
      <c r="D282" s="24" t="str">
        <f t="shared" si="29"/>
        <v>CH</v>
      </c>
      <c r="E282" s="24">
        <f t="shared" si="30"/>
        <v>1</v>
      </c>
      <c r="F282" s="24">
        <f>IF('query (2)'!A282="","",IFERROR(VALUE('query (2)'!A282),""))</f>
        <v>300</v>
      </c>
      <c r="G282" s="24" t="str">
        <f>IF('query (2)'!C282="","UNKNOWN",IFERROR(INDEX(Cleaning_Rules!$B$15:$B$20,MATCH(TRIM(UPPER('query (2)'!C282)),Cleaning_Rules!$A$15:$A$20,0)),"UNKNOWN"))</f>
        <v>FACTORY2</v>
      </c>
      <c r="H282" s="25" t="str">
        <f>IF('query (2)'!C282="","",'query (2)'!C282)</f>
        <v>FACTORY2</v>
      </c>
      <c r="I282" s="24" t="str" cm="1">
        <f t="array" ref="I282">_xlfn.IFS($G282="UNKNOWN","UNKNOWN",OR($G282="FACTORY1",$G282="FACTORY2",$G282="FACTORY3"),"PLANT",TRUE,"SHARED")</f>
        <v>PLANT</v>
      </c>
      <c r="J282" s="24" t="str">
        <f>IF('query (2)'!D282="","UNKNOWN",IF(COUNTIF(Cleaning_Rules!$A$6:$A$11,TRIM('query (2)'!D282))&gt;0,"UNKNOWN",IFERROR(INDEX(Cleaning_Rules!$B$24:$B$28,MATCH(TRIM(UPPER('query (2)'!D282)),Cleaning_Rules!$A$24:$A$28,0)),TRIM(UPPER('query (2)'!D282)))))</f>
        <v>SB1</v>
      </c>
      <c r="K282" s="25" t="str">
        <f>IF('query (2)'!D282="","",'query (2)'!D282)</f>
        <v>SB1</v>
      </c>
      <c r="L282" s="24" t="str">
        <f>IF($J282="UNKNOWN","",_xlfn.TEXTBEFORE($J282,{"0","1","2","3","4","5","6","7","8","9"," ","-","."},1,,,$J282))</f>
        <v>SB</v>
      </c>
      <c r="M282" s="24" t="str">
        <f>IF('query (2)'!I282&lt;&gt;"",TRIM(UPPER('query (2)'!I282)),IF($L282="","UNKNOWN",$L282))</f>
        <v>SB</v>
      </c>
      <c r="N282" s="24" t="str">
        <f>IF('query (2)'!I282&lt;&gt;"","SOURCE",IF($L282="","UNKNOWN","DERIVED"))</f>
        <v>SOURCE</v>
      </c>
      <c r="O282" s="24" t="str">
        <f>IF('query (2)'!E282="","NOT_SPECIFIED",TRIM(UPPER('query (2)'!E282)))</f>
        <v>ASSEMBLY</v>
      </c>
      <c r="P282" s="24" t="str">
        <f>IF('query (2)'!F282="","",TRIM(UPPER('query (2)'!F282)))</f>
        <v>1204-SB1AI</v>
      </c>
      <c r="Q282" s="24" t="str">
        <f>IF('query (2)'!G282="","UNKNOWN",IFERROR(INDEX(Cleaning_Rules!$B$38:$B$46,MATCH(TRIM(UPPER('query (2)'!G282)),Cleaning_Rules!$A$38:$A$46,0)),"UNKNOWN"))</f>
        <v>OTHER</v>
      </c>
      <c r="R282" s="24" t="str">
        <f>IF('query (2)'!H282="","",TRIM(UPPER('query (2)'!H282)))</f>
        <v>NOISE MANUAL INSPECTION M/C</v>
      </c>
      <c r="S282" s="25" t="str">
        <f>IF('query (2)'!H282="","",'query (2)'!H282)</f>
        <v>Noise manual inspection M/C</v>
      </c>
      <c r="T282" s="24" t="str">
        <f>IF('query (2)'!J282="","",TRIM(UPPER('query (2)'!J282)))</f>
        <v>NOISE INSPECTION</v>
      </c>
      <c r="U282" s="24" t="str">
        <f t="shared" si="31"/>
        <v/>
      </c>
      <c r="V282" s="24" t="str">
        <f>IF('query (2)'!K282="","NOT_SPECIFIED",IFERROR(INDEX(Cleaning_Rules!$B$32:$B$34,MATCH(TRIM(UPPER('query (2)'!K282)),Cleaning_Rules!$A$32:$A$34,0)),"UNKNOWN"))</f>
        <v>NOT_SPECIFIED</v>
      </c>
      <c r="W282" s="24" t="str">
        <f t="shared" si="32"/>
        <v>CH-642 | FACTORY2 | SB1 | SB | ASSEMBLY | 1204-SB1AI | OTHER | NOISE MANUAL INSPECTION M/C | NOISE INSPECTION | NOT_SPECIFIED</v>
      </c>
      <c r="X282" s="24" t="str">
        <f t="shared" si="33"/>
        <v/>
      </c>
      <c r="Y282" s="24" t="str">
        <f t="shared" si="34"/>
        <v>MISSING_STATUS; CATEGORY_NOT_USEFUL</v>
      </c>
    </row>
    <row r="283" spans="1:25" x14ac:dyDescent="0.3">
      <c r="A283" s="24" t="str">
        <f t="shared" si="28"/>
        <v>MA-603#0282</v>
      </c>
      <c r="B283" s="24" t="str">
        <f>IF('query (2)'!B283="","",TRIM(UPPER('query (2)'!B283)))</f>
        <v>MA-603</v>
      </c>
      <c r="C283" s="25" t="str">
        <f>IF('query (2)'!B283="","",'query (2)'!B283)</f>
        <v>MA-603</v>
      </c>
      <c r="D283" s="24" t="str">
        <f t="shared" si="29"/>
        <v>MA</v>
      </c>
      <c r="E283" s="24">
        <f t="shared" si="30"/>
        <v>1</v>
      </c>
      <c r="F283" s="24">
        <f>IF('query (2)'!A283="","",IFERROR(VALUE('query (2)'!A283),""))</f>
        <v>301</v>
      </c>
      <c r="G283" s="24" t="str">
        <f>IF('query (2)'!C283="","UNKNOWN",IFERROR(INDEX(Cleaning_Rules!$B$15:$B$20,MATCH(TRIM(UPPER('query (2)'!C283)),Cleaning_Rules!$A$15:$A$20,0)),"UNKNOWN"))</f>
        <v>FACTORY2</v>
      </c>
      <c r="H283" s="25" t="str">
        <f>IF('query (2)'!C283="","",'query (2)'!C283)</f>
        <v>FACTORY2</v>
      </c>
      <c r="I283" s="24" t="str" cm="1">
        <f t="array" ref="I283">_xlfn.IFS($G283="UNKNOWN","UNKNOWN",OR($G283="FACTORY1",$G283="FACTORY2",$G283="FACTORY3"),"PLANT",TRUE,"SHARED")</f>
        <v>PLANT</v>
      </c>
      <c r="J283" s="24" t="str">
        <f>IF('query (2)'!D283="","UNKNOWN",IF(COUNTIF(Cleaning_Rules!$A$6:$A$11,TRIM('query (2)'!D283))&gt;0,"UNKNOWN",IFERROR(INDEX(Cleaning_Rules!$B$24:$B$28,MATCH(TRIM(UPPER('query (2)'!D283)),Cleaning_Rules!$A$24:$A$28,0)),TRIM(UPPER('query (2)'!D283)))))</f>
        <v>SB1</v>
      </c>
      <c r="K283" s="25" t="str">
        <f>IF('query (2)'!D283="","",'query (2)'!D283)</f>
        <v>SB1</v>
      </c>
      <c r="L283" s="24" t="str">
        <f>IF($J283="UNKNOWN","",_xlfn.TEXTBEFORE($J283,{"0","1","2","3","4","5","6","7","8","9"," ","-","."},1,,,$J283))</f>
        <v>SB</v>
      </c>
      <c r="M283" s="24" t="str">
        <f>IF('query (2)'!I283&lt;&gt;"",TRIM(UPPER('query (2)'!I283)),IF($L283="","UNKNOWN",$L283))</f>
        <v>SB</v>
      </c>
      <c r="N283" s="24" t="str">
        <f>IF('query (2)'!I283&lt;&gt;"","SOURCE",IF($L283="","UNKNOWN","DERIVED"))</f>
        <v>SOURCE</v>
      </c>
      <c r="O283" s="24" t="str">
        <f>IF('query (2)'!E283="","NOT_SPECIFIED",TRIM(UPPER('query (2)'!E283)))</f>
        <v>ASSEMBLY</v>
      </c>
      <c r="P283" s="24" t="str">
        <f>IF('query (2)'!F283="","",TRIM(UPPER('query (2)'!F283)))</f>
        <v>1204-SB1AI</v>
      </c>
      <c r="Q283" s="24" t="str">
        <f>IF('query (2)'!G283="","UNKNOWN",IFERROR(INDEX(Cleaning_Rules!$B$38:$B$46,MATCH(TRIM(UPPER('query (2)'!G283)),Cleaning_Rules!$A$38:$A$46,0)),"UNKNOWN"))</f>
        <v>OTHER</v>
      </c>
      <c r="R283" s="24" t="str">
        <f>IF('query (2)'!H283="","",TRIM(UPPER('query (2)'!H283)))</f>
        <v>LASER MARKING M/C</v>
      </c>
      <c r="S283" s="25" t="str">
        <f>IF('query (2)'!H283="","",'query (2)'!H283)</f>
        <v>Laser marking  m/c</v>
      </c>
      <c r="T283" s="24" t="str">
        <f>IF('query (2)'!J283="","",TRIM(UPPER('query (2)'!J283)))</f>
        <v>LASER MARKING</v>
      </c>
      <c r="U283" s="24" t="str">
        <f t="shared" si="31"/>
        <v/>
      </c>
      <c r="V283" s="24" t="str">
        <f>IF('query (2)'!K283="","NOT_SPECIFIED",IFERROR(INDEX(Cleaning_Rules!$B$32:$B$34,MATCH(TRIM(UPPER('query (2)'!K283)),Cleaning_Rules!$A$32:$A$34,0)),"UNKNOWN"))</f>
        <v>NOT_SPECIFIED</v>
      </c>
      <c r="W283" s="24" t="str">
        <f t="shared" si="32"/>
        <v>MA-603 | FACTORY2 | SB1 | SB | ASSEMBLY | 1204-SB1AI | OTHER | LASER MARKING M/C | LASER MARKING | NOT_SPECIFIED</v>
      </c>
      <c r="X283" s="24" t="str">
        <f t="shared" si="33"/>
        <v/>
      </c>
      <c r="Y283" s="24" t="str">
        <f t="shared" si="34"/>
        <v>MISSING_STATUS; CATEGORY_NOT_USEFUL</v>
      </c>
    </row>
    <row r="284" spans="1:25" x14ac:dyDescent="0.3">
      <c r="A284" s="24" t="str">
        <f t="shared" si="28"/>
        <v>CH-973#0283</v>
      </c>
      <c r="B284" s="24" t="str">
        <f>IF('query (2)'!B284="","",TRIM(UPPER('query (2)'!B284)))</f>
        <v>CH-973</v>
      </c>
      <c r="C284" s="25" t="str">
        <f>IF('query (2)'!B284="","",'query (2)'!B284)</f>
        <v>CH-973</v>
      </c>
      <c r="D284" s="24" t="str">
        <f t="shared" si="29"/>
        <v>CH</v>
      </c>
      <c r="E284" s="24">
        <f t="shared" si="30"/>
        <v>1</v>
      </c>
      <c r="F284" s="24">
        <f>IF('query (2)'!A284="","",IFERROR(VALUE('query (2)'!A284),""))</f>
        <v>302</v>
      </c>
      <c r="G284" s="24" t="str">
        <f>IF('query (2)'!C284="","UNKNOWN",IFERROR(INDEX(Cleaning_Rules!$B$15:$B$20,MATCH(TRIM(UPPER('query (2)'!C284)),Cleaning_Rules!$A$15:$A$20,0)),"UNKNOWN"))</f>
        <v>FACTORY2</v>
      </c>
      <c r="H284" s="25" t="str">
        <f>IF('query (2)'!C284="","",'query (2)'!C284)</f>
        <v>FACTORY2</v>
      </c>
      <c r="I284" s="24" t="str" cm="1">
        <f t="array" ref="I284">_xlfn.IFS($G284="UNKNOWN","UNKNOWN",OR($G284="FACTORY1",$G284="FACTORY2",$G284="FACTORY3"),"PLANT",TRUE,"SHARED")</f>
        <v>PLANT</v>
      </c>
      <c r="J284" s="24" t="str">
        <f>IF('query (2)'!D284="","UNKNOWN",IF(COUNTIF(Cleaning_Rules!$A$6:$A$11,TRIM('query (2)'!D284))&gt;0,"UNKNOWN",IFERROR(INDEX(Cleaning_Rules!$B$24:$B$28,MATCH(TRIM(UPPER('query (2)'!D284)),Cleaning_Rules!$A$24:$A$28,0)),TRIM(UPPER('query (2)'!D284)))))</f>
        <v>SB1</v>
      </c>
      <c r="K284" s="25" t="str">
        <f>IF('query (2)'!D284="","",'query (2)'!D284)</f>
        <v>SB1</v>
      </c>
      <c r="L284" s="24" t="str">
        <f>IF($J284="UNKNOWN","",_xlfn.TEXTBEFORE($J284,{"0","1","2","3","4","5","6","7","8","9"," ","-","."},1,,,$J284))</f>
        <v>SB</v>
      </c>
      <c r="M284" s="24" t="str">
        <f>IF('query (2)'!I284&lt;&gt;"",TRIM(UPPER('query (2)'!I284)),IF($L284="","UNKNOWN",$L284))</f>
        <v>SB</v>
      </c>
      <c r="N284" s="24" t="str">
        <f>IF('query (2)'!I284&lt;&gt;"","SOURCE",IF($L284="","UNKNOWN","DERIVED"))</f>
        <v>SOURCE</v>
      </c>
      <c r="O284" s="24" t="str">
        <f>IF('query (2)'!E284="","NOT_SPECIFIED",TRIM(UPPER('query (2)'!E284)))</f>
        <v>ASSEMBLY</v>
      </c>
      <c r="P284" s="24" t="str">
        <f>IF('query (2)'!F284="","",TRIM(UPPER('query (2)'!F284)))</f>
        <v>1204-SB1AI</v>
      </c>
      <c r="Q284" s="24" t="str">
        <f>IF('query (2)'!G284="","UNKNOWN",IFERROR(INDEX(Cleaning_Rules!$B$38:$B$46,MATCH(TRIM(UPPER('query (2)'!G284)),Cleaning_Rules!$A$38:$A$46,0)),"UNKNOWN"))</f>
        <v>OTHER</v>
      </c>
      <c r="R284" s="24" t="str">
        <f>IF('query (2)'!H284="","",TRIM(UPPER('query (2)'!H284)))</f>
        <v>OUTER / INNER RING EDDY CURRENT TESTER M/C</v>
      </c>
      <c r="S284" s="25" t="str">
        <f>IF('query (2)'!H284="","",'query (2)'!H284)</f>
        <v>Outer / Inner ring Eddy current tester  m/c</v>
      </c>
      <c r="T284" s="24" t="str">
        <f>IF('query (2)'!J284="","",TRIM(UPPER('query (2)'!J284)))</f>
        <v>A &amp; B - E.C.T.</v>
      </c>
      <c r="U284" s="24" t="str">
        <f t="shared" si="31"/>
        <v/>
      </c>
      <c r="V284" s="24" t="str">
        <f>IF('query (2)'!K284="","NOT_SPECIFIED",IFERROR(INDEX(Cleaning_Rules!$B$32:$B$34,MATCH(TRIM(UPPER('query (2)'!K284)),Cleaning_Rules!$A$32:$A$34,0)),"UNKNOWN"))</f>
        <v>NOT_SPECIFIED</v>
      </c>
      <c r="W284" s="24" t="str">
        <f t="shared" si="32"/>
        <v>CH-973 | FACTORY2 | SB1 | SB | ASSEMBLY | 1204-SB1AI | OTHER | OUTER / INNER RING EDDY CURRENT TESTER M/C | A &amp; B - E.C.T. | NOT_SPECIFIED</v>
      </c>
      <c r="X284" s="24" t="str">
        <f t="shared" si="33"/>
        <v/>
      </c>
      <c r="Y284" s="24" t="str">
        <f t="shared" si="34"/>
        <v>MISSING_STATUS; CATEGORY_NOT_USEFUL</v>
      </c>
    </row>
    <row r="285" spans="1:25" x14ac:dyDescent="0.3">
      <c r="A285" s="24" t="str">
        <f t="shared" si="28"/>
        <v>AS-1009#0284</v>
      </c>
      <c r="B285" s="24" t="str">
        <f>IF('query (2)'!B285="","",TRIM(UPPER('query (2)'!B285)))</f>
        <v>AS-1009</v>
      </c>
      <c r="C285" s="25" t="str">
        <f>IF('query (2)'!B285="","",'query (2)'!B285)</f>
        <v>AS-1009</v>
      </c>
      <c r="D285" s="24" t="str">
        <f t="shared" si="29"/>
        <v>AS</v>
      </c>
      <c r="E285" s="24">
        <f t="shared" si="30"/>
        <v>1</v>
      </c>
      <c r="F285" s="24">
        <f>IF('query (2)'!A285="","",IFERROR(VALUE('query (2)'!A285),""))</f>
        <v>303</v>
      </c>
      <c r="G285" s="24" t="str">
        <f>IF('query (2)'!C285="","UNKNOWN",IFERROR(INDEX(Cleaning_Rules!$B$15:$B$20,MATCH(TRIM(UPPER('query (2)'!C285)),Cleaning_Rules!$A$15:$A$20,0)),"UNKNOWN"))</f>
        <v>FACTORY2</v>
      </c>
      <c r="H285" s="25" t="str">
        <f>IF('query (2)'!C285="","",'query (2)'!C285)</f>
        <v>FACTORY2</v>
      </c>
      <c r="I285" s="24" t="str" cm="1">
        <f t="array" ref="I285">_xlfn.IFS($G285="UNKNOWN","UNKNOWN",OR($G285="FACTORY1",$G285="FACTORY2",$G285="FACTORY3"),"PLANT",TRUE,"SHARED")</f>
        <v>PLANT</v>
      </c>
      <c r="J285" s="24" t="str">
        <f>IF('query (2)'!D285="","UNKNOWN",IF(COUNTIF(Cleaning_Rules!$A$6:$A$11,TRIM('query (2)'!D285))&gt;0,"UNKNOWN",IFERROR(INDEX(Cleaning_Rules!$B$24:$B$28,MATCH(TRIM(UPPER('query (2)'!D285)),Cleaning_Rules!$A$24:$A$28,0)),TRIM(UPPER('query (2)'!D285)))))</f>
        <v>SB1</v>
      </c>
      <c r="K285" s="25" t="str">
        <f>IF('query (2)'!D285="","",'query (2)'!D285)</f>
        <v>SB1</v>
      </c>
      <c r="L285" s="24" t="str">
        <f>IF($J285="UNKNOWN","",_xlfn.TEXTBEFORE($J285,{"0","1","2","3","4","5","6","7","8","9"," ","-","."},1,,,$J285))</f>
        <v>SB</v>
      </c>
      <c r="M285" s="24" t="str">
        <f>IF('query (2)'!I285&lt;&gt;"",TRIM(UPPER('query (2)'!I285)),IF($L285="","UNKNOWN",$L285))</f>
        <v>SB</v>
      </c>
      <c r="N285" s="24" t="str">
        <f>IF('query (2)'!I285&lt;&gt;"","SOURCE",IF($L285="","UNKNOWN","DERIVED"))</f>
        <v>SOURCE</v>
      </c>
      <c r="O285" s="24" t="str">
        <f>IF('query (2)'!E285="","NOT_SPECIFIED",TRIM(UPPER('query (2)'!E285)))</f>
        <v>ASSEMBLY</v>
      </c>
      <c r="P285" s="24" t="str">
        <f>IF('query (2)'!F285="","",TRIM(UPPER('query (2)'!F285)))</f>
        <v>1204-SB1AI</v>
      </c>
      <c r="Q285" s="24" t="str">
        <f>IF('query (2)'!G285="","UNKNOWN",IFERROR(INDEX(Cleaning_Rules!$B$38:$B$46,MATCH(TRIM(UPPER('query (2)'!G285)),Cleaning_Rules!$A$38:$A$46,0)),"UNKNOWN"))</f>
        <v>OTHER</v>
      </c>
      <c r="R285" s="24" t="str">
        <f>IF('query (2)'!H285="","",TRIM(UPPER('query (2)'!H285)))</f>
        <v>SLINGER PRESS M/C</v>
      </c>
      <c r="S285" s="25" t="str">
        <f>IF('query (2)'!H285="","",'query (2)'!H285)</f>
        <v>Slinger press m/c</v>
      </c>
      <c r="T285" s="24" t="str">
        <f>IF('query (2)'!J285="","",TRIM(UPPER('query (2)'!J285)))</f>
        <v>SLINGLE PRESS</v>
      </c>
      <c r="U285" s="24" t="str">
        <f t="shared" si="31"/>
        <v/>
      </c>
      <c r="V285" s="24" t="str">
        <f>IF('query (2)'!K285="","NOT_SPECIFIED",IFERROR(INDEX(Cleaning_Rules!$B$32:$B$34,MATCH(TRIM(UPPER('query (2)'!K285)),Cleaning_Rules!$A$32:$A$34,0)),"UNKNOWN"))</f>
        <v>NOT_SPECIFIED</v>
      </c>
      <c r="W285" s="24" t="str">
        <f t="shared" si="32"/>
        <v>AS-1009 | FACTORY2 | SB1 | SB | ASSEMBLY | 1204-SB1AI | OTHER | SLINGER PRESS M/C | SLINGLE PRESS | NOT_SPECIFIED</v>
      </c>
      <c r="X285" s="24" t="str">
        <f t="shared" si="33"/>
        <v/>
      </c>
      <c r="Y285" s="24" t="str">
        <f t="shared" si="34"/>
        <v>MISSING_STATUS; CATEGORY_NOT_USEFUL</v>
      </c>
    </row>
    <row r="286" spans="1:25" x14ac:dyDescent="0.3">
      <c r="A286" s="24" t="str">
        <f t="shared" si="28"/>
        <v>CH-109#0285</v>
      </c>
      <c r="B286" s="24" t="str">
        <f>IF('query (2)'!B286="","",TRIM(UPPER('query (2)'!B286)))</f>
        <v>CH-109</v>
      </c>
      <c r="C286" s="25" t="str">
        <f>IF('query (2)'!B286="","",'query (2)'!B286)</f>
        <v>CH-109</v>
      </c>
      <c r="D286" s="24" t="str">
        <f t="shared" si="29"/>
        <v>CH</v>
      </c>
      <c r="E286" s="24">
        <f t="shared" si="30"/>
        <v>1</v>
      </c>
      <c r="F286" s="24">
        <f>IF('query (2)'!A286="","",IFERROR(VALUE('query (2)'!A286),""))</f>
        <v>304</v>
      </c>
      <c r="G286" s="24" t="str">
        <f>IF('query (2)'!C286="","UNKNOWN",IFERROR(INDEX(Cleaning_Rules!$B$15:$B$20,MATCH(TRIM(UPPER('query (2)'!C286)),Cleaning_Rules!$A$15:$A$20,0)),"UNKNOWN"))</f>
        <v>FACTORY2</v>
      </c>
      <c r="H286" s="25" t="str">
        <f>IF('query (2)'!C286="","",'query (2)'!C286)</f>
        <v>FACTORY2</v>
      </c>
      <c r="I286" s="24" t="str" cm="1">
        <f t="array" ref="I286">_xlfn.IFS($G286="UNKNOWN","UNKNOWN",OR($G286="FACTORY1",$G286="FACTORY2",$G286="FACTORY3"),"PLANT",TRUE,"SHARED")</f>
        <v>PLANT</v>
      </c>
      <c r="J286" s="24" t="str">
        <f>IF('query (2)'!D286="","UNKNOWN",IF(COUNTIF(Cleaning_Rules!$A$6:$A$11,TRIM('query (2)'!D286))&gt;0,"UNKNOWN",IFERROR(INDEX(Cleaning_Rules!$B$24:$B$28,MATCH(TRIM(UPPER('query (2)'!D286)),Cleaning_Rules!$A$24:$A$28,0)),TRIM(UPPER('query (2)'!D286)))))</f>
        <v>SB1</v>
      </c>
      <c r="K286" s="25" t="str">
        <f>IF('query (2)'!D286="","",'query (2)'!D286)</f>
        <v>SB1</v>
      </c>
      <c r="L286" s="24" t="str">
        <f>IF($J286="UNKNOWN","",_xlfn.TEXTBEFORE($J286,{"0","1","2","3","4","5","6","7","8","9"," ","-","."},1,,,$J286))</f>
        <v>SB</v>
      </c>
      <c r="M286" s="24" t="str">
        <f>IF('query (2)'!I286&lt;&gt;"",TRIM(UPPER('query (2)'!I286)),IF($L286="","UNKNOWN",$L286))</f>
        <v>SB</v>
      </c>
      <c r="N286" s="24" t="str">
        <f>IF('query (2)'!I286&lt;&gt;"","SOURCE",IF($L286="","UNKNOWN","DERIVED"))</f>
        <v>SOURCE</v>
      </c>
      <c r="O286" s="24" t="str">
        <f>IF('query (2)'!E286="","NOT_SPECIFIED",TRIM(UPPER('query (2)'!E286)))</f>
        <v>ASSEMBLY</v>
      </c>
      <c r="P286" s="24" t="str">
        <f>IF('query (2)'!F286="","",TRIM(UPPER('query (2)'!F286)))</f>
        <v>1204-SB1AI</v>
      </c>
      <c r="Q286" s="24" t="str">
        <f>IF('query (2)'!G286="","UNKNOWN",IFERROR(INDEX(Cleaning_Rules!$B$38:$B$46,MATCH(TRIM(UPPER('query (2)'!G286)),Cleaning_Rules!$A$38:$A$46,0)),"UNKNOWN"))</f>
        <v>OTHER</v>
      </c>
      <c r="R286" s="24" t="str">
        <f>IF('query (2)'!H286="","",TRIM(UPPER('query (2)'!H286)))</f>
        <v>OUTER / INNER RING MEASUREMENT FOR MACHINE</v>
      </c>
      <c r="S286" s="25" t="str">
        <f>IF('query (2)'!H286="","",'query (2)'!H286)</f>
        <v>Outer / Inner ring measurement for machine</v>
      </c>
      <c r="T286" s="24" t="str">
        <f>IF('query (2)'!J286="","",TRIM(UPPER('query (2)'!J286)))</f>
        <v/>
      </c>
      <c r="U286" s="24" t="str">
        <f t="shared" si="31"/>
        <v/>
      </c>
      <c r="V286" s="24" t="str">
        <f>IF('query (2)'!K286="","NOT_SPECIFIED",IFERROR(INDEX(Cleaning_Rules!$B$32:$B$34,MATCH(TRIM(UPPER('query (2)'!K286)),Cleaning_Rules!$A$32:$A$34,0)),"UNKNOWN"))</f>
        <v>NOT_SPECIFIED</v>
      </c>
      <c r="W286" s="24" t="str">
        <f t="shared" si="32"/>
        <v>CH-109 | FACTORY2 | SB1 | SB | ASSEMBLY | 1204-SB1AI | OTHER | OUTER / INNER RING MEASUREMENT FOR MACHINE | NOT_SPECIFIED</v>
      </c>
      <c r="X286" s="24" t="str">
        <f t="shared" si="33"/>
        <v/>
      </c>
      <c r="Y286" s="24" t="str">
        <f t="shared" si="34"/>
        <v>MISSING_STATUS; CATEGORY_NOT_USEFUL; MISSING_PRODUCTION_NAME</v>
      </c>
    </row>
    <row r="287" spans="1:25" x14ac:dyDescent="0.3">
      <c r="A287" s="24" t="str">
        <f t="shared" si="28"/>
        <v>GR-212#0286</v>
      </c>
      <c r="B287" s="24" t="str">
        <f>IF('query (2)'!B287="","",TRIM(UPPER('query (2)'!B287)))</f>
        <v>GR-212</v>
      </c>
      <c r="C287" s="25" t="str">
        <f>IF('query (2)'!B287="","",'query (2)'!B287)</f>
        <v>GR-212</v>
      </c>
      <c r="D287" s="24" t="str">
        <f t="shared" si="29"/>
        <v>GR</v>
      </c>
      <c r="E287" s="24">
        <f t="shared" si="30"/>
        <v>1</v>
      </c>
      <c r="F287" s="24">
        <f>IF('query (2)'!A287="","",IFERROR(VALUE('query (2)'!A287),""))</f>
        <v>305</v>
      </c>
      <c r="G287" s="24" t="str">
        <f>IF('query (2)'!C287="","UNKNOWN",IFERROR(INDEX(Cleaning_Rules!$B$15:$B$20,MATCH(TRIM(UPPER('query (2)'!C287)),Cleaning_Rules!$A$15:$A$20,0)),"UNKNOWN"))</f>
        <v>FACTORY2</v>
      </c>
      <c r="H287" s="25" t="str">
        <f>IF('query (2)'!C287="","",'query (2)'!C287)</f>
        <v>FACTORY2</v>
      </c>
      <c r="I287" s="24" t="str" cm="1">
        <f t="array" ref="I287">_xlfn.IFS($G287="UNKNOWN","UNKNOWN",OR($G287="FACTORY1",$G287="FACTORY2",$G287="FACTORY3"),"PLANT",TRUE,"SHARED")</f>
        <v>PLANT</v>
      </c>
      <c r="J287" s="24" t="str">
        <f>IF('query (2)'!D287="","UNKNOWN",IF(COUNTIF(Cleaning_Rules!$A$6:$A$11,TRIM('query (2)'!D287))&gt;0,"UNKNOWN",IFERROR(INDEX(Cleaning_Rules!$B$24:$B$28,MATCH(TRIM(UPPER('query (2)'!D287)),Cleaning_Rules!$A$24:$A$28,0)),TRIM(UPPER('query (2)'!D287)))))</f>
        <v>SB2</v>
      </c>
      <c r="K287" s="25" t="str">
        <f>IF('query (2)'!D287="","",'query (2)'!D287)</f>
        <v>SB2</v>
      </c>
      <c r="L287" s="24" t="str">
        <f>IF($J287="UNKNOWN","",_xlfn.TEXTBEFORE($J287,{"0","1","2","3","4","5","6","7","8","9"," ","-","."},1,,,$J287))</f>
        <v>SB</v>
      </c>
      <c r="M287" s="24" t="str">
        <f>IF('query (2)'!I287&lt;&gt;"",TRIM(UPPER('query (2)'!I287)),IF($L287="","UNKNOWN",$L287))</f>
        <v>SB</v>
      </c>
      <c r="N287" s="24" t="str">
        <f>IF('query (2)'!I287&lt;&gt;"","SOURCE",IF($L287="","UNKNOWN","DERIVED"))</f>
        <v>SOURCE</v>
      </c>
      <c r="O287" s="24" t="str">
        <f>IF('query (2)'!E287="","NOT_SPECIFIED",TRIM(UPPER('query (2)'!E287)))</f>
        <v>GRINDING 2</v>
      </c>
      <c r="P287" s="24" t="str">
        <f>IF('query (2)'!F287="","",TRIM(UPPER('query (2)'!F287)))</f>
        <v>1206-SB2G</v>
      </c>
      <c r="Q287" s="24" t="str">
        <f>IF('query (2)'!G287="","UNKNOWN",IFERROR(INDEX(Cleaning_Rules!$B$38:$B$46,MATCH(TRIM(UPPER('query (2)'!G287)),Cleaning_Rules!$A$38:$A$46,0)),"UNKNOWN"))</f>
        <v>OTHER</v>
      </c>
      <c r="R287" s="24" t="str">
        <f>IF('query (2)'!H287="","",TRIM(UPPER('query (2)'!H287)))</f>
        <v>INNER RING RACEWAY GRINDING M/C</v>
      </c>
      <c r="S287" s="25" t="str">
        <f>IF('query (2)'!H287="","",'query (2)'!H287)</f>
        <v>Inner ring raceway grinding M/C</v>
      </c>
      <c r="T287" s="24" t="str">
        <f>IF('query (2)'!J287="","",TRIM(UPPER('query (2)'!J287)))</f>
        <v>B - RACEWAY GRINDING</v>
      </c>
      <c r="U287" s="24" t="str">
        <f t="shared" si="31"/>
        <v/>
      </c>
      <c r="V287" s="24" t="str">
        <f>IF('query (2)'!K287="","NOT_SPECIFIED",IFERROR(INDEX(Cleaning_Rules!$B$32:$B$34,MATCH(TRIM(UPPER('query (2)'!K287)),Cleaning_Rules!$A$32:$A$34,0)),"UNKNOWN"))</f>
        <v>NOT_SPECIFIED</v>
      </c>
      <c r="W287" s="24" t="str">
        <f t="shared" si="32"/>
        <v>GR-212 | FACTORY2 | SB2 | SB | GRINDING 2 | 1206-SB2G | OTHER | INNER RING RACEWAY GRINDING M/C | B - RACEWAY GRINDING | NOT_SPECIFIED</v>
      </c>
      <c r="X287" s="24" t="str">
        <f t="shared" si="33"/>
        <v/>
      </c>
      <c r="Y287" s="24" t="str">
        <f t="shared" si="34"/>
        <v>MISSING_STATUS; CATEGORY_NOT_USEFUL</v>
      </c>
    </row>
    <row r="288" spans="1:25" x14ac:dyDescent="0.3">
      <c r="A288" s="24" t="str">
        <f t="shared" si="28"/>
        <v>GR-214#0287</v>
      </c>
      <c r="B288" s="24" t="str">
        <f>IF('query (2)'!B288="","",TRIM(UPPER('query (2)'!B288)))</f>
        <v>GR-214</v>
      </c>
      <c r="C288" s="25" t="str">
        <f>IF('query (2)'!B288="","",'query (2)'!B288)</f>
        <v>GR-214</v>
      </c>
      <c r="D288" s="24" t="str">
        <f t="shared" si="29"/>
        <v>GR</v>
      </c>
      <c r="E288" s="24">
        <f t="shared" si="30"/>
        <v>1</v>
      </c>
      <c r="F288" s="24">
        <f>IF('query (2)'!A288="","",IFERROR(VALUE('query (2)'!A288),""))</f>
        <v>306</v>
      </c>
      <c r="G288" s="24" t="str">
        <f>IF('query (2)'!C288="","UNKNOWN",IFERROR(INDEX(Cleaning_Rules!$B$15:$B$20,MATCH(TRIM(UPPER('query (2)'!C288)),Cleaning_Rules!$A$15:$A$20,0)),"UNKNOWN"))</f>
        <v>FACTORY2</v>
      </c>
      <c r="H288" s="25" t="str">
        <f>IF('query (2)'!C288="","",'query (2)'!C288)</f>
        <v>FACTORY2</v>
      </c>
      <c r="I288" s="24" t="str" cm="1">
        <f t="array" ref="I288">_xlfn.IFS($G288="UNKNOWN","UNKNOWN",OR($G288="FACTORY1",$G288="FACTORY2",$G288="FACTORY3"),"PLANT",TRUE,"SHARED")</f>
        <v>PLANT</v>
      </c>
      <c r="J288" s="24" t="str">
        <f>IF('query (2)'!D288="","UNKNOWN",IF(COUNTIF(Cleaning_Rules!$A$6:$A$11,TRIM('query (2)'!D288))&gt;0,"UNKNOWN",IFERROR(INDEX(Cleaning_Rules!$B$24:$B$28,MATCH(TRIM(UPPER('query (2)'!D288)),Cleaning_Rules!$A$24:$A$28,0)),TRIM(UPPER('query (2)'!D288)))))</f>
        <v>SB2</v>
      </c>
      <c r="K288" s="25" t="str">
        <f>IF('query (2)'!D288="","",'query (2)'!D288)</f>
        <v>SB2</v>
      </c>
      <c r="L288" s="24" t="str">
        <f>IF($J288="UNKNOWN","",_xlfn.TEXTBEFORE($J288,{"0","1","2","3","4","5","6","7","8","9"," ","-","."},1,,,$J288))</f>
        <v>SB</v>
      </c>
      <c r="M288" s="24" t="str">
        <f>IF('query (2)'!I288&lt;&gt;"",TRIM(UPPER('query (2)'!I288)),IF($L288="","UNKNOWN",$L288))</f>
        <v>SB</v>
      </c>
      <c r="N288" s="24" t="str">
        <f>IF('query (2)'!I288&lt;&gt;"","SOURCE",IF($L288="","UNKNOWN","DERIVED"))</f>
        <v>SOURCE</v>
      </c>
      <c r="O288" s="24" t="str">
        <f>IF('query (2)'!E288="","NOT_SPECIFIED",TRIM(UPPER('query (2)'!E288)))</f>
        <v>GRINDING 2</v>
      </c>
      <c r="P288" s="24" t="str">
        <f>IF('query (2)'!F288="","",TRIM(UPPER('query (2)'!F288)))</f>
        <v>1206-SB2G</v>
      </c>
      <c r="Q288" s="24" t="str">
        <f>IF('query (2)'!G288="","UNKNOWN",IFERROR(INDEX(Cleaning_Rules!$B$38:$B$46,MATCH(TRIM(UPPER('query (2)'!G288)),Cleaning_Rules!$A$38:$A$46,0)),"UNKNOWN"))</f>
        <v>OTHER</v>
      </c>
      <c r="R288" s="24" t="str">
        <f>IF('query (2)'!H288="","",TRIM(UPPER('query (2)'!H288)))</f>
        <v>INNER RING BORE GRINDING M/C</v>
      </c>
      <c r="S288" s="25" t="str">
        <f>IF('query (2)'!H288="","",'query (2)'!H288)</f>
        <v>Inner ring bore grinding M/C</v>
      </c>
      <c r="T288" s="24" t="str">
        <f>IF('query (2)'!J288="","",TRIM(UPPER('query (2)'!J288)))</f>
        <v>B - BORE GRINDING</v>
      </c>
      <c r="U288" s="24" t="str">
        <f t="shared" si="31"/>
        <v/>
      </c>
      <c r="V288" s="24" t="str">
        <f>IF('query (2)'!K288="","NOT_SPECIFIED",IFERROR(INDEX(Cleaning_Rules!$B$32:$B$34,MATCH(TRIM(UPPER('query (2)'!K288)),Cleaning_Rules!$A$32:$A$34,0)),"UNKNOWN"))</f>
        <v>NOT_SPECIFIED</v>
      </c>
      <c r="W288" s="24" t="str">
        <f t="shared" si="32"/>
        <v>GR-214 | FACTORY2 | SB2 | SB | GRINDING 2 | 1206-SB2G | OTHER | INNER RING BORE GRINDING M/C | B - BORE GRINDING | NOT_SPECIFIED</v>
      </c>
      <c r="X288" s="24" t="str">
        <f t="shared" si="33"/>
        <v/>
      </c>
      <c r="Y288" s="24" t="str">
        <f t="shared" si="34"/>
        <v>MISSING_STATUS; CATEGORY_NOT_USEFUL</v>
      </c>
    </row>
    <row r="289" spans="1:25" x14ac:dyDescent="0.3">
      <c r="A289" s="24" t="str">
        <f t="shared" si="28"/>
        <v>DE-216#0288</v>
      </c>
      <c r="B289" s="24" t="str">
        <f>IF('query (2)'!B289="","",TRIM(UPPER('query (2)'!B289)))</f>
        <v>DE-216</v>
      </c>
      <c r="C289" s="25" t="str">
        <f>IF('query (2)'!B289="","",'query (2)'!B289)</f>
        <v>DE-216</v>
      </c>
      <c r="D289" s="24" t="str">
        <f t="shared" si="29"/>
        <v>DE</v>
      </c>
      <c r="E289" s="24">
        <f t="shared" si="30"/>
        <v>1</v>
      </c>
      <c r="F289" s="24">
        <f>IF('query (2)'!A289="","",IFERROR(VALUE('query (2)'!A289),""))</f>
        <v>307</v>
      </c>
      <c r="G289" s="24" t="str">
        <f>IF('query (2)'!C289="","UNKNOWN",IFERROR(INDEX(Cleaning_Rules!$B$15:$B$20,MATCH(TRIM(UPPER('query (2)'!C289)),Cleaning_Rules!$A$15:$A$20,0)),"UNKNOWN"))</f>
        <v>FACTORY2</v>
      </c>
      <c r="H289" s="25" t="str">
        <f>IF('query (2)'!C289="","",'query (2)'!C289)</f>
        <v>FACTORY2</v>
      </c>
      <c r="I289" s="24" t="str" cm="1">
        <f t="array" ref="I289">_xlfn.IFS($G289="UNKNOWN","UNKNOWN",OR($G289="FACTORY1",$G289="FACTORY2",$G289="FACTORY3"),"PLANT",TRUE,"SHARED")</f>
        <v>PLANT</v>
      </c>
      <c r="J289" s="24" t="str">
        <f>IF('query (2)'!D289="","UNKNOWN",IF(COUNTIF(Cleaning_Rules!$A$6:$A$11,TRIM('query (2)'!D289))&gt;0,"UNKNOWN",IFERROR(INDEX(Cleaning_Rules!$B$24:$B$28,MATCH(TRIM(UPPER('query (2)'!D289)),Cleaning_Rules!$A$24:$A$28,0)),TRIM(UPPER('query (2)'!D289)))))</f>
        <v>SB2</v>
      </c>
      <c r="K289" s="25" t="str">
        <f>IF('query (2)'!D289="","",'query (2)'!D289)</f>
        <v>SB2</v>
      </c>
      <c r="L289" s="24" t="str">
        <f>IF($J289="UNKNOWN","",_xlfn.TEXTBEFORE($J289,{"0","1","2","3","4","5","6","7","8","9"," ","-","."},1,,,$J289))</f>
        <v>SB</v>
      </c>
      <c r="M289" s="24" t="str">
        <f>IF('query (2)'!I289&lt;&gt;"",TRIM(UPPER('query (2)'!I289)),IF($L289="","UNKNOWN",$L289))</f>
        <v>SB</v>
      </c>
      <c r="N289" s="24" t="str">
        <f>IF('query (2)'!I289&lt;&gt;"","SOURCE",IF($L289="","UNKNOWN","DERIVED"))</f>
        <v>SOURCE</v>
      </c>
      <c r="O289" s="24" t="str">
        <f>IF('query (2)'!E289="","NOT_SPECIFIED",TRIM(UPPER('query (2)'!E289)))</f>
        <v>GRINDING 2</v>
      </c>
      <c r="P289" s="24" t="str">
        <f>IF('query (2)'!F289="","",TRIM(UPPER('query (2)'!F289)))</f>
        <v>1206-SB2G</v>
      </c>
      <c r="Q289" s="24" t="str">
        <f>IF('query (2)'!G289="","UNKNOWN",IFERROR(INDEX(Cleaning_Rules!$B$38:$B$46,MATCH(TRIM(UPPER('query (2)'!G289)),Cleaning_Rules!$A$38:$A$46,0)),"UNKNOWN"))</f>
        <v>OTHER</v>
      </c>
      <c r="R289" s="24" t="str">
        <f>IF('query (2)'!H289="","",TRIM(UPPER('query (2)'!H289)))</f>
        <v>DEMAGNETIZING FOR INNER RING M/C</v>
      </c>
      <c r="S289" s="25" t="str">
        <f>IF('query (2)'!H289="","",'query (2)'!H289)</f>
        <v>Demagnetizing for  inner  ring  M/C</v>
      </c>
      <c r="T289" s="24" t="str">
        <f>IF('query (2)'!J289="","",TRIM(UPPER('query (2)'!J289)))</f>
        <v>B - DEMAGNETIZING</v>
      </c>
      <c r="U289" s="24" t="str">
        <f t="shared" si="31"/>
        <v/>
      </c>
      <c r="V289" s="24" t="str">
        <f>IF('query (2)'!K289="","NOT_SPECIFIED",IFERROR(INDEX(Cleaning_Rules!$B$32:$B$34,MATCH(TRIM(UPPER('query (2)'!K289)),Cleaning_Rules!$A$32:$A$34,0)),"UNKNOWN"))</f>
        <v>NOT_SPECIFIED</v>
      </c>
      <c r="W289" s="24" t="str">
        <f t="shared" si="32"/>
        <v>DE-216 | FACTORY2 | SB2 | SB | GRINDING 2 | 1206-SB2G | OTHER | DEMAGNETIZING FOR INNER RING M/C | B - DEMAGNETIZING | NOT_SPECIFIED</v>
      </c>
      <c r="X289" s="24" t="str">
        <f t="shared" si="33"/>
        <v/>
      </c>
      <c r="Y289" s="24" t="str">
        <f t="shared" si="34"/>
        <v>MISSING_STATUS; CATEGORY_NOT_USEFUL</v>
      </c>
    </row>
    <row r="290" spans="1:25" x14ac:dyDescent="0.3">
      <c r="A290" s="24" t="str">
        <f t="shared" si="28"/>
        <v>GR-217#0289</v>
      </c>
      <c r="B290" s="24" t="str">
        <f>IF('query (2)'!B290="","",TRIM(UPPER('query (2)'!B290)))</f>
        <v>GR-217</v>
      </c>
      <c r="C290" s="25" t="str">
        <f>IF('query (2)'!B290="","",'query (2)'!B290)</f>
        <v>GR-217</v>
      </c>
      <c r="D290" s="24" t="str">
        <f t="shared" si="29"/>
        <v>GR</v>
      </c>
      <c r="E290" s="24">
        <f t="shared" si="30"/>
        <v>1</v>
      </c>
      <c r="F290" s="24">
        <f>IF('query (2)'!A290="","",IFERROR(VALUE('query (2)'!A290),""))</f>
        <v>308</v>
      </c>
      <c r="G290" s="24" t="str">
        <f>IF('query (2)'!C290="","UNKNOWN",IFERROR(INDEX(Cleaning_Rules!$B$15:$B$20,MATCH(TRIM(UPPER('query (2)'!C290)),Cleaning_Rules!$A$15:$A$20,0)),"UNKNOWN"))</f>
        <v>FACTORY2</v>
      </c>
      <c r="H290" s="25" t="str">
        <f>IF('query (2)'!C290="","",'query (2)'!C290)</f>
        <v>FACTORY2</v>
      </c>
      <c r="I290" s="24" t="str" cm="1">
        <f t="array" ref="I290">_xlfn.IFS($G290="UNKNOWN","UNKNOWN",OR($G290="FACTORY1",$G290="FACTORY2",$G290="FACTORY3"),"PLANT",TRUE,"SHARED")</f>
        <v>PLANT</v>
      </c>
      <c r="J290" s="24" t="str">
        <f>IF('query (2)'!D290="","UNKNOWN",IF(COUNTIF(Cleaning_Rules!$A$6:$A$11,TRIM('query (2)'!D290))&gt;0,"UNKNOWN",IFERROR(INDEX(Cleaning_Rules!$B$24:$B$28,MATCH(TRIM(UPPER('query (2)'!D290)),Cleaning_Rules!$A$24:$A$28,0)),TRIM(UPPER('query (2)'!D290)))))</f>
        <v>SB2</v>
      </c>
      <c r="K290" s="25" t="str">
        <f>IF('query (2)'!D290="","",'query (2)'!D290)</f>
        <v>SB2</v>
      </c>
      <c r="L290" s="24" t="str">
        <f>IF($J290="UNKNOWN","",_xlfn.TEXTBEFORE($J290,{"0","1","2","3","4","5","6","7","8","9"," ","-","."},1,,,$J290))</f>
        <v>SB</v>
      </c>
      <c r="M290" s="24" t="str">
        <f>IF('query (2)'!I290&lt;&gt;"",TRIM(UPPER('query (2)'!I290)),IF($L290="","UNKNOWN",$L290))</f>
        <v>SB</v>
      </c>
      <c r="N290" s="24" t="str">
        <f>IF('query (2)'!I290&lt;&gt;"","SOURCE",IF($L290="","UNKNOWN","DERIVED"))</f>
        <v>SOURCE</v>
      </c>
      <c r="O290" s="24" t="str">
        <f>IF('query (2)'!E290="","NOT_SPECIFIED",TRIM(UPPER('query (2)'!E290)))</f>
        <v>GRINDING 2</v>
      </c>
      <c r="P290" s="24" t="str">
        <f>IF('query (2)'!F290="","",TRIM(UPPER('query (2)'!F290)))</f>
        <v>1206-SB2G</v>
      </c>
      <c r="Q290" s="24" t="str">
        <f>IF('query (2)'!G290="","UNKNOWN",IFERROR(INDEX(Cleaning_Rules!$B$38:$B$46,MATCH(TRIM(UPPER('query (2)'!G290)),Cleaning_Rules!$A$38:$A$46,0)),"UNKNOWN"))</f>
        <v>OTHER</v>
      </c>
      <c r="R290" s="24" t="str">
        <f>IF('query (2)'!H290="","",TRIM(UPPER('query (2)'!H290)))</f>
        <v>INNER RING RACEWAY SUPER FINISH M/C</v>
      </c>
      <c r="S290" s="25" t="str">
        <f>IF('query (2)'!H290="","",'query (2)'!H290)</f>
        <v>Inner ring raceway super finish M/C</v>
      </c>
      <c r="T290" s="24" t="str">
        <f>IF('query (2)'!J290="","",TRIM(UPPER('query (2)'!J290)))</f>
        <v>B - RACEWAY SUPER FINISH</v>
      </c>
      <c r="U290" s="24" t="str">
        <f t="shared" si="31"/>
        <v/>
      </c>
      <c r="V290" s="24" t="str">
        <f>IF('query (2)'!K290="","NOT_SPECIFIED",IFERROR(INDEX(Cleaning_Rules!$B$32:$B$34,MATCH(TRIM(UPPER('query (2)'!K290)),Cleaning_Rules!$A$32:$A$34,0)),"UNKNOWN"))</f>
        <v>NOT_SPECIFIED</v>
      </c>
      <c r="W290" s="24" t="str">
        <f t="shared" si="32"/>
        <v>GR-217 | FACTORY2 | SB2 | SB | GRINDING 2 | 1206-SB2G | OTHER | INNER RING RACEWAY SUPER FINISH M/C | B - RACEWAY SUPER FINISH | NOT_SPECIFIED</v>
      </c>
      <c r="X290" s="24" t="str">
        <f t="shared" si="33"/>
        <v/>
      </c>
      <c r="Y290" s="24" t="str">
        <f t="shared" si="34"/>
        <v>MISSING_STATUS; CATEGORY_NOT_USEFUL</v>
      </c>
    </row>
    <row r="291" spans="1:25" x14ac:dyDescent="0.3">
      <c r="A291" s="24" t="str">
        <f t="shared" si="28"/>
        <v>GR-221#0290</v>
      </c>
      <c r="B291" s="24" t="str">
        <f>IF('query (2)'!B291="","",TRIM(UPPER('query (2)'!B291)))</f>
        <v>GR-221</v>
      </c>
      <c r="C291" s="25" t="str">
        <f>IF('query (2)'!B291="","",'query (2)'!B291)</f>
        <v>GR-221</v>
      </c>
      <c r="D291" s="24" t="str">
        <f t="shared" si="29"/>
        <v>GR</v>
      </c>
      <c r="E291" s="24">
        <f t="shared" si="30"/>
        <v>1</v>
      </c>
      <c r="F291" s="24">
        <f>IF('query (2)'!A291="","",IFERROR(VALUE('query (2)'!A291),""))</f>
        <v>309</v>
      </c>
      <c r="G291" s="24" t="str">
        <f>IF('query (2)'!C291="","UNKNOWN",IFERROR(INDEX(Cleaning_Rules!$B$15:$B$20,MATCH(TRIM(UPPER('query (2)'!C291)),Cleaning_Rules!$A$15:$A$20,0)),"UNKNOWN"))</f>
        <v>FACTORY2</v>
      </c>
      <c r="H291" s="25" t="str">
        <f>IF('query (2)'!C291="","",'query (2)'!C291)</f>
        <v>FACTORY2</v>
      </c>
      <c r="I291" s="24" t="str" cm="1">
        <f t="array" ref="I291">_xlfn.IFS($G291="UNKNOWN","UNKNOWN",OR($G291="FACTORY1",$G291="FACTORY2",$G291="FACTORY3"),"PLANT",TRUE,"SHARED")</f>
        <v>PLANT</v>
      </c>
      <c r="J291" s="24" t="str">
        <f>IF('query (2)'!D291="","UNKNOWN",IF(COUNTIF(Cleaning_Rules!$A$6:$A$11,TRIM('query (2)'!D291))&gt;0,"UNKNOWN",IFERROR(INDEX(Cleaning_Rules!$B$24:$B$28,MATCH(TRIM(UPPER('query (2)'!D291)),Cleaning_Rules!$A$24:$A$28,0)),TRIM(UPPER('query (2)'!D291)))))</f>
        <v>SB2</v>
      </c>
      <c r="K291" s="25" t="str">
        <f>IF('query (2)'!D291="","",'query (2)'!D291)</f>
        <v>SB2</v>
      </c>
      <c r="L291" s="24" t="str">
        <f>IF($J291="UNKNOWN","",_xlfn.TEXTBEFORE($J291,{"0","1","2","3","4","5","6","7","8","9"," ","-","."},1,,,$J291))</f>
        <v>SB</v>
      </c>
      <c r="M291" s="24" t="str">
        <f>IF('query (2)'!I291&lt;&gt;"",TRIM(UPPER('query (2)'!I291)),IF($L291="","UNKNOWN",$L291))</f>
        <v>SB</v>
      </c>
      <c r="N291" s="24" t="str">
        <f>IF('query (2)'!I291&lt;&gt;"","SOURCE",IF($L291="","UNKNOWN","DERIVED"))</f>
        <v>SOURCE</v>
      </c>
      <c r="O291" s="24" t="str">
        <f>IF('query (2)'!E291="","NOT_SPECIFIED",TRIM(UPPER('query (2)'!E291)))</f>
        <v>GRINDING 2</v>
      </c>
      <c r="P291" s="24" t="str">
        <f>IF('query (2)'!F291="","",TRIM(UPPER('query (2)'!F291)))</f>
        <v>1206-SB2G</v>
      </c>
      <c r="Q291" s="24" t="str">
        <f>IF('query (2)'!G291="","UNKNOWN",IFERROR(INDEX(Cleaning_Rules!$B$38:$B$46,MATCH(TRIM(UPPER('query (2)'!G291)),Cleaning_Rules!$A$38:$A$46,0)),"UNKNOWN"))</f>
        <v>OTHER</v>
      </c>
      <c r="R291" s="24" t="str">
        <f>IF('query (2)'!H291="","",TRIM(UPPER('query (2)'!H291)))</f>
        <v>OUTER RING RACEWAY GRINDING M/C</v>
      </c>
      <c r="S291" s="25" t="str">
        <f>IF('query (2)'!H291="","",'query (2)'!H291)</f>
        <v>Outer ring raceway grinding M/C</v>
      </c>
      <c r="T291" s="24" t="str">
        <f>IF('query (2)'!J291="","",TRIM(UPPER('query (2)'!J291)))</f>
        <v>A - RACEWAY GRINDING</v>
      </c>
      <c r="U291" s="24" t="str">
        <f t="shared" si="31"/>
        <v/>
      </c>
      <c r="V291" s="24" t="str">
        <f>IF('query (2)'!K291="","NOT_SPECIFIED",IFERROR(INDEX(Cleaning_Rules!$B$32:$B$34,MATCH(TRIM(UPPER('query (2)'!K291)),Cleaning_Rules!$A$32:$A$34,0)),"UNKNOWN"))</f>
        <v>NOT_SPECIFIED</v>
      </c>
      <c r="W291" s="24" t="str">
        <f t="shared" si="32"/>
        <v>GR-221 | FACTORY2 | SB2 | SB | GRINDING 2 | 1206-SB2G | OTHER | OUTER RING RACEWAY GRINDING M/C | A - RACEWAY GRINDING | NOT_SPECIFIED</v>
      </c>
      <c r="X291" s="24" t="str">
        <f t="shared" si="33"/>
        <v/>
      </c>
      <c r="Y291" s="24" t="str">
        <f t="shared" si="34"/>
        <v>MISSING_STATUS; CATEGORY_NOT_USEFUL</v>
      </c>
    </row>
    <row r="292" spans="1:25" x14ac:dyDescent="0.3">
      <c r="A292" s="24" t="str">
        <f t="shared" si="28"/>
        <v>DE-222#0291</v>
      </c>
      <c r="B292" s="24" t="str">
        <f>IF('query (2)'!B292="","",TRIM(UPPER('query (2)'!B292)))</f>
        <v>DE-222</v>
      </c>
      <c r="C292" s="25" t="str">
        <f>IF('query (2)'!B292="","",'query (2)'!B292)</f>
        <v>DE-222</v>
      </c>
      <c r="D292" s="24" t="str">
        <f t="shared" si="29"/>
        <v>DE</v>
      </c>
      <c r="E292" s="24">
        <f t="shared" si="30"/>
        <v>1</v>
      </c>
      <c r="F292" s="24">
        <f>IF('query (2)'!A292="","",IFERROR(VALUE('query (2)'!A292),""))</f>
        <v>310</v>
      </c>
      <c r="G292" s="24" t="str">
        <f>IF('query (2)'!C292="","UNKNOWN",IFERROR(INDEX(Cleaning_Rules!$B$15:$B$20,MATCH(TRIM(UPPER('query (2)'!C292)),Cleaning_Rules!$A$15:$A$20,0)),"UNKNOWN"))</f>
        <v>FACTORY2</v>
      </c>
      <c r="H292" s="25" t="str">
        <f>IF('query (2)'!C292="","",'query (2)'!C292)</f>
        <v>FACTORY2</v>
      </c>
      <c r="I292" s="24" t="str" cm="1">
        <f t="array" ref="I292">_xlfn.IFS($G292="UNKNOWN","UNKNOWN",OR($G292="FACTORY1",$G292="FACTORY2",$G292="FACTORY3"),"PLANT",TRUE,"SHARED")</f>
        <v>PLANT</v>
      </c>
      <c r="J292" s="24" t="str">
        <f>IF('query (2)'!D292="","UNKNOWN",IF(COUNTIF(Cleaning_Rules!$A$6:$A$11,TRIM('query (2)'!D292))&gt;0,"UNKNOWN",IFERROR(INDEX(Cleaning_Rules!$B$24:$B$28,MATCH(TRIM(UPPER('query (2)'!D292)),Cleaning_Rules!$A$24:$A$28,0)),TRIM(UPPER('query (2)'!D292)))))</f>
        <v>SB2</v>
      </c>
      <c r="K292" s="25" t="str">
        <f>IF('query (2)'!D292="","",'query (2)'!D292)</f>
        <v>SB2</v>
      </c>
      <c r="L292" s="24" t="str">
        <f>IF($J292="UNKNOWN","",_xlfn.TEXTBEFORE($J292,{"0","1","2","3","4","5","6","7","8","9"," ","-","."},1,,,$J292))</f>
        <v>SB</v>
      </c>
      <c r="M292" s="24" t="str">
        <f>IF('query (2)'!I292&lt;&gt;"",TRIM(UPPER('query (2)'!I292)),IF($L292="","UNKNOWN",$L292))</f>
        <v>SB</v>
      </c>
      <c r="N292" s="24" t="str">
        <f>IF('query (2)'!I292&lt;&gt;"","SOURCE",IF($L292="","UNKNOWN","DERIVED"))</f>
        <v>SOURCE</v>
      </c>
      <c r="O292" s="24" t="str">
        <f>IF('query (2)'!E292="","NOT_SPECIFIED",TRIM(UPPER('query (2)'!E292)))</f>
        <v>GRINDING 2</v>
      </c>
      <c r="P292" s="24" t="str">
        <f>IF('query (2)'!F292="","",TRIM(UPPER('query (2)'!F292)))</f>
        <v>1206-SB2G</v>
      </c>
      <c r="Q292" s="24" t="str">
        <f>IF('query (2)'!G292="","UNKNOWN",IFERROR(INDEX(Cleaning_Rules!$B$38:$B$46,MATCH(TRIM(UPPER('query (2)'!G292)),Cleaning_Rules!$A$38:$A$46,0)),"UNKNOWN"))</f>
        <v>OTHER</v>
      </c>
      <c r="R292" s="24" t="str">
        <f>IF('query (2)'!H292="","",TRIM(UPPER('query (2)'!H292)))</f>
        <v>DEMAGNETIZING FOR OUTER RING M/C</v>
      </c>
      <c r="S292" s="25" t="str">
        <f>IF('query (2)'!H292="","",'query (2)'!H292)</f>
        <v>Demagnetizing  for  outer  ring  M/C</v>
      </c>
      <c r="T292" s="24" t="str">
        <f>IF('query (2)'!J292="","",TRIM(UPPER('query (2)'!J292)))</f>
        <v>A - DEMAGNETIZING</v>
      </c>
      <c r="U292" s="24" t="str">
        <f t="shared" si="31"/>
        <v/>
      </c>
      <c r="V292" s="24" t="str">
        <f>IF('query (2)'!K292="","NOT_SPECIFIED",IFERROR(INDEX(Cleaning_Rules!$B$32:$B$34,MATCH(TRIM(UPPER('query (2)'!K292)),Cleaning_Rules!$A$32:$A$34,0)),"UNKNOWN"))</f>
        <v>NOT_SPECIFIED</v>
      </c>
      <c r="W292" s="24" t="str">
        <f t="shared" si="32"/>
        <v>DE-222 | FACTORY2 | SB2 | SB | GRINDING 2 | 1206-SB2G | OTHER | DEMAGNETIZING FOR OUTER RING M/C | A - DEMAGNETIZING | NOT_SPECIFIED</v>
      </c>
      <c r="X292" s="24" t="str">
        <f t="shared" si="33"/>
        <v/>
      </c>
      <c r="Y292" s="24" t="str">
        <f t="shared" si="34"/>
        <v>MISSING_STATUS; CATEGORY_NOT_USEFUL</v>
      </c>
    </row>
    <row r="293" spans="1:25" x14ac:dyDescent="0.3">
      <c r="A293" s="24" t="str">
        <f t="shared" si="28"/>
        <v>GR-223#0292</v>
      </c>
      <c r="B293" s="24" t="str">
        <f>IF('query (2)'!B293="","",TRIM(UPPER('query (2)'!B293)))</f>
        <v>GR-223</v>
      </c>
      <c r="C293" s="25" t="str">
        <f>IF('query (2)'!B293="","",'query (2)'!B293)</f>
        <v>GR-223</v>
      </c>
      <c r="D293" s="24" t="str">
        <f t="shared" si="29"/>
        <v>GR</v>
      </c>
      <c r="E293" s="24">
        <f t="shared" si="30"/>
        <v>1</v>
      </c>
      <c r="F293" s="24">
        <f>IF('query (2)'!A293="","",IFERROR(VALUE('query (2)'!A293),""))</f>
        <v>311</v>
      </c>
      <c r="G293" s="24" t="str">
        <f>IF('query (2)'!C293="","UNKNOWN",IFERROR(INDEX(Cleaning_Rules!$B$15:$B$20,MATCH(TRIM(UPPER('query (2)'!C293)),Cleaning_Rules!$A$15:$A$20,0)),"UNKNOWN"))</f>
        <v>FACTORY2</v>
      </c>
      <c r="H293" s="25" t="str">
        <f>IF('query (2)'!C293="","",'query (2)'!C293)</f>
        <v>FACTORY2</v>
      </c>
      <c r="I293" s="24" t="str" cm="1">
        <f t="array" ref="I293">_xlfn.IFS($G293="UNKNOWN","UNKNOWN",OR($G293="FACTORY1",$G293="FACTORY2",$G293="FACTORY3"),"PLANT",TRUE,"SHARED")</f>
        <v>PLANT</v>
      </c>
      <c r="J293" s="24" t="str">
        <f>IF('query (2)'!D293="","UNKNOWN",IF(COUNTIF(Cleaning_Rules!$A$6:$A$11,TRIM('query (2)'!D293))&gt;0,"UNKNOWN",IFERROR(INDEX(Cleaning_Rules!$B$24:$B$28,MATCH(TRIM(UPPER('query (2)'!D293)),Cleaning_Rules!$A$24:$A$28,0)),TRIM(UPPER('query (2)'!D293)))))</f>
        <v>SB2</v>
      </c>
      <c r="K293" s="25" t="str">
        <f>IF('query (2)'!D293="","",'query (2)'!D293)</f>
        <v>SB2</v>
      </c>
      <c r="L293" s="24" t="str">
        <f>IF($J293="UNKNOWN","",_xlfn.TEXTBEFORE($J293,{"0","1","2","3","4","5","6","7","8","9"," ","-","."},1,,,$J293))</f>
        <v>SB</v>
      </c>
      <c r="M293" s="24" t="str">
        <f>IF('query (2)'!I293&lt;&gt;"",TRIM(UPPER('query (2)'!I293)),IF($L293="","UNKNOWN",$L293))</f>
        <v>SB</v>
      </c>
      <c r="N293" s="24" t="str">
        <f>IF('query (2)'!I293&lt;&gt;"","SOURCE",IF($L293="","UNKNOWN","DERIVED"))</f>
        <v>SOURCE</v>
      </c>
      <c r="O293" s="24" t="str">
        <f>IF('query (2)'!E293="","NOT_SPECIFIED",TRIM(UPPER('query (2)'!E293)))</f>
        <v>GRINDING 2</v>
      </c>
      <c r="P293" s="24" t="str">
        <f>IF('query (2)'!F293="","",TRIM(UPPER('query (2)'!F293)))</f>
        <v>1206-SB2G</v>
      </c>
      <c r="Q293" s="24" t="str">
        <f>IF('query (2)'!G293="","UNKNOWN",IFERROR(INDEX(Cleaning_Rules!$B$38:$B$46,MATCH(TRIM(UPPER('query (2)'!G293)),Cleaning_Rules!$A$38:$A$46,0)),"UNKNOWN"))</f>
        <v>OTHER</v>
      </c>
      <c r="R293" s="24" t="str">
        <f>IF('query (2)'!H293="","",TRIM(UPPER('query (2)'!H293)))</f>
        <v>OUTER RING RACEWAY SUPER FINISH M/C</v>
      </c>
      <c r="S293" s="25" t="str">
        <f>IF('query (2)'!H293="","",'query (2)'!H293)</f>
        <v>Outer ring raceway super finish M/C</v>
      </c>
      <c r="T293" s="24" t="str">
        <f>IF('query (2)'!J293="","",TRIM(UPPER('query (2)'!J293)))</f>
        <v>A - RACEWAY SUPER FINISH</v>
      </c>
      <c r="U293" s="24" t="str">
        <f t="shared" si="31"/>
        <v/>
      </c>
      <c r="V293" s="24" t="str">
        <f>IF('query (2)'!K293="","NOT_SPECIFIED",IFERROR(INDEX(Cleaning_Rules!$B$32:$B$34,MATCH(TRIM(UPPER('query (2)'!K293)),Cleaning_Rules!$A$32:$A$34,0)),"UNKNOWN"))</f>
        <v>NOT_SPECIFIED</v>
      </c>
      <c r="W293" s="24" t="str">
        <f t="shared" si="32"/>
        <v>GR-223 | FACTORY2 | SB2 | SB | GRINDING 2 | 1206-SB2G | OTHER | OUTER RING RACEWAY SUPER FINISH M/C | A - RACEWAY SUPER FINISH | NOT_SPECIFIED</v>
      </c>
      <c r="X293" s="24" t="str">
        <f t="shared" si="33"/>
        <v/>
      </c>
      <c r="Y293" s="24" t="str">
        <f t="shared" si="34"/>
        <v>MISSING_STATUS; CATEGORY_NOT_USEFUL</v>
      </c>
    </row>
    <row r="294" spans="1:25" x14ac:dyDescent="0.3">
      <c r="A294" s="24" t="str">
        <f t="shared" si="28"/>
        <v>WA-224#0293</v>
      </c>
      <c r="B294" s="24" t="str">
        <f>IF('query (2)'!B294="","",TRIM(UPPER('query (2)'!B294)))</f>
        <v>WA-224</v>
      </c>
      <c r="C294" s="25" t="str">
        <f>IF('query (2)'!B294="","",'query (2)'!B294)</f>
        <v>WA-224</v>
      </c>
      <c r="D294" s="24" t="str">
        <f t="shared" si="29"/>
        <v>WA</v>
      </c>
      <c r="E294" s="24">
        <f t="shared" si="30"/>
        <v>1</v>
      </c>
      <c r="F294" s="24">
        <f>IF('query (2)'!A294="","",IFERROR(VALUE('query (2)'!A294),""))</f>
        <v>312</v>
      </c>
      <c r="G294" s="24" t="str">
        <f>IF('query (2)'!C294="","UNKNOWN",IFERROR(INDEX(Cleaning_Rules!$B$15:$B$20,MATCH(TRIM(UPPER('query (2)'!C294)),Cleaning_Rules!$A$15:$A$20,0)),"UNKNOWN"))</f>
        <v>FACTORY2</v>
      </c>
      <c r="H294" s="25" t="str">
        <f>IF('query (2)'!C294="","",'query (2)'!C294)</f>
        <v>FACTORY2</v>
      </c>
      <c r="I294" s="24" t="str" cm="1">
        <f t="array" ref="I294">_xlfn.IFS($G294="UNKNOWN","UNKNOWN",OR($G294="FACTORY1",$G294="FACTORY2",$G294="FACTORY3"),"PLANT",TRUE,"SHARED")</f>
        <v>PLANT</v>
      </c>
      <c r="J294" s="24" t="str">
        <f>IF('query (2)'!D294="","UNKNOWN",IF(COUNTIF(Cleaning_Rules!$A$6:$A$11,TRIM('query (2)'!D294))&gt;0,"UNKNOWN",IFERROR(INDEX(Cleaning_Rules!$B$24:$B$28,MATCH(TRIM(UPPER('query (2)'!D294)),Cleaning_Rules!$A$24:$A$28,0)),TRIM(UPPER('query (2)'!D294)))))</f>
        <v>SB2</v>
      </c>
      <c r="K294" s="25" t="str">
        <f>IF('query (2)'!D294="","",'query (2)'!D294)</f>
        <v>SB2</v>
      </c>
      <c r="L294" s="24" t="str">
        <f>IF($J294="UNKNOWN","",_xlfn.TEXTBEFORE($J294,{"0","1","2","3","4","5","6","7","8","9"," ","-","."},1,,,$J294))</f>
        <v>SB</v>
      </c>
      <c r="M294" s="24" t="str">
        <f>IF('query (2)'!I294&lt;&gt;"",TRIM(UPPER('query (2)'!I294)),IF($L294="","UNKNOWN",$L294))</f>
        <v>SB</v>
      </c>
      <c r="N294" s="24" t="str">
        <f>IF('query (2)'!I294&lt;&gt;"","SOURCE",IF($L294="","UNKNOWN","DERIVED"))</f>
        <v>SOURCE</v>
      </c>
      <c r="O294" s="24" t="str">
        <f>IF('query (2)'!E294="","NOT_SPECIFIED",TRIM(UPPER('query (2)'!E294)))</f>
        <v>GRINDING 2</v>
      </c>
      <c r="P294" s="24" t="str">
        <f>IF('query (2)'!F294="","",TRIM(UPPER('query (2)'!F294)))</f>
        <v>1206-SB2G</v>
      </c>
      <c r="Q294" s="24" t="str">
        <f>IF('query (2)'!G294="","UNKNOWN",IFERROR(INDEX(Cleaning_Rules!$B$38:$B$46,MATCH(TRIM(UPPER('query (2)'!G294)),Cleaning_Rules!$A$38:$A$46,0)),"UNKNOWN"))</f>
        <v>OTHER</v>
      </c>
      <c r="R294" s="24" t="str">
        <f>IF('query (2)'!H294="","",TRIM(UPPER('query (2)'!H294)))</f>
        <v>OUTER / INNER RING PART WASH EQUIPMENT M/C</v>
      </c>
      <c r="S294" s="25" t="str">
        <f>IF('query (2)'!H294="","",'query (2)'!H294)</f>
        <v>Outer / Inner  ring part wash equipment  M/C</v>
      </c>
      <c r="T294" s="24" t="str">
        <f>IF('query (2)'!J294="","",TRIM(UPPER('query (2)'!J294)))</f>
        <v>A &amp; B - PART WASH EQUIPMENT</v>
      </c>
      <c r="U294" s="24" t="str">
        <f t="shared" si="31"/>
        <v/>
      </c>
      <c r="V294" s="24" t="str">
        <f>IF('query (2)'!K294="","NOT_SPECIFIED",IFERROR(INDEX(Cleaning_Rules!$B$32:$B$34,MATCH(TRIM(UPPER('query (2)'!K294)),Cleaning_Rules!$A$32:$A$34,0)),"UNKNOWN"))</f>
        <v>NOT_SPECIFIED</v>
      </c>
      <c r="W294" s="24" t="str">
        <f t="shared" si="32"/>
        <v>WA-224 | FACTORY2 | SB2 | SB | GRINDING 2 | 1206-SB2G | OTHER | OUTER / INNER RING PART WASH EQUIPMENT M/C | A &amp; B - PART WASH EQUIPMENT | NOT_SPECIFIED</v>
      </c>
      <c r="X294" s="24" t="str">
        <f t="shared" si="33"/>
        <v/>
      </c>
      <c r="Y294" s="24" t="str">
        <f t="shared" si="34"/>
        <v>MISSING_STATUS; CATEGORY_NOT_USEFUL</v>
      </c>
    </row>
    <row r="295" spans="1:25" x14ac:dyDescent="0.3">
      <c r="A295" s="24" t="str">
        <f t="shared" si="28"/>
        <v>AS-229#0294</v>
      </c>
      <c r="B295" s="24" t="str">
        <f>IF('query (2)'!B295="","",TRIM(UPPER('query (2)'!B295)))</f>
        <v>AS-229</v>
      </c>
      <c r="C295" s="25" t="str">
        <f>IF('query (2)'!B295="","",'query (2)'!B295)</f>
        <v>AS-229</v>
      </c>
      <c r="D295" s="24" t="str">
        <f t="shared" si="29"/>
        <v>AS</v>
      </c>
      <c r="E295" s="24">
        <f t="shared" si="30"/>
        <v>1</v>
      </c>
      <c r="F295" s="24">
        <f>IF('query (2)'!A295="","",IFERROR(VALUE('query (2)'!A295),""))</f>
        <v>313</v>
      </c>
      <c r="G295" s="24" t="str">
        <f>IF('query (2)'!C295="","UNKNOWN",IFERROR(INDEX(Cleaning_Rules!$B$15:$B$20,MATCH(TRIM(UPPER('query (2)'!C295)),Cleaning_Rules!$A$15:$A$20,0)),"UNKNOWN"))</f>
        <v>FACTORY2</v>
      </c>
      <c r="H295" s="25" t="str">
        <f>IF('query (2)'!C295="","",'query (2)'!C295)</f>
        <v>FACTORY2</v>
      </c>
      <c r="I295" s="24" t="str" cm="1">
        <f t="array" ref="I295">_xlfn.IFS($G295="UNKNOWN","UNKNOWN",OR($G295="FACTORY1",$G295="FACTORY2",$G295="FACTORY3"),"PLANT",TRUE,"SHARED")</f>
        <v>PLANT</v>
      </c>
      <c r="J295" s="24" t="str">
        <f>IF('query (2)'!D295="","UNKNOWN",IF(COUNTIF(Cleaning_Rules!$A$6:$A$11,TRIM('query (2)'!D295))&gt;0,"UNKNOWN",IFERROR(INDEX(Cleaning_Rules!$B$24:$B$28,MATCH(TRIM(UPPER('query (2)'!D295)),Cleaning_Rules!$A$24:$A$28,0)),TRIM(UPPER('query (2)'!D295)))))</f>
        <v>SB2</v>
      </c>
      <c r="K295" s="25" t="str">
        <f>IF('query (2)'!D295="","",'query (2)'!D295)</f>
        <v>SB2</v>
      </c>
      <c r="L295" s="24" t="str">
        <f>IF($J295="UNKNOWN","",_xlfn.TEXTBEFORE($J295,{"0","1","2","3","4","5","6","7","8","9"," ","-","."},1,,,$J295))</f>
        <v>SB</v>
      </c>
      <c r="M295" s="24" t="str">
        <f>IF('query (2)'!I295&lt;&gt;"",TRIM(UPPER('query (2)'!I295)),IF($L295="","UNKNOWN",$L295))</f>
        <v>SB</v>
      </c>
      <c r="N295" s="24" t="str">
        <f>IF('query (2)'!I295&lt;&gt;"","SOURCE",IF($L295="","UNKNOWN","DERIVED"))</f>
        <v>SOURCE</v>
      </c>
      <c r="O295" s="24" t="str">
        <f>IF('query (2)'!E295="","NOT_SPECIFIED",TRIM(UPPER('query (2)'!E295)))</f>
        <v>ASSEMBLY</v>
      </c>
      <c r="P295" s="24" t="str">
        <f>IF('query (2)'!F295="","",TRIM(UPPER('query (2)'!F295)))</f>
        <v>1207-SB2AI</v>
      </c>
      <c r="Q295" s="24" t="str">
        <f>IF('query (2)'!G295="","UNKNOWN",IFERROR(INDEX(Cleaning_Rules!$B$38:$B$46,MATCH(TRIM(UPPER('query (2)'!G295)),Cleaning_Rules!$A$38:$A$46,0)),"UNKNOWN"))</f>
        <v>OTHER</v>
      </c>
      <c r="R295" s="24" t="str">
        <f>IF('query (2)'!H295="","",TRIM(UPPER('query (2)'!H295)))</f>
        <v>RIVET PRESS M/C</v>
      </c>
      <c r="S295" s="25" t="str">
        <f>IF('query (2)'!H295="","",'query (2)'!H295)</f>
        <v>Rivet  press  M/C</v>
      </c>
      <c r="T295" s="24" t="str">
        <f>IF('query (2)'!J295="","",TRIM(UPPER('query (2)'!J295)))</f>
        <v>RIVET PRESSING</v>
      </c>
      <c r="U295" s="24" t="str">
        <f t="shared" si="31"/>
        <v/>
      </c>
      <c r="V295" s="24" t="str">
        <f>IF('query (2)'!K295="","NOT_SPECIFIED",IFERROR(INDEX(Cleaning_Rules!$B$32:$B$34,MATCH(TRIM(UPPER('query (2)'!K295)),Cleaning_Rules!$A$32:$A$34,0)),"UNKNOWN"))</f>
        <v>NOT_SPECIFIED</v>
      </c>
      <c r="W295" s="24" t="str">
        <f t="shared" si="32"/>
        <v>AS-229 | FACTORY2 | SB2 | SB | ASSEMBLY | 1207-SB2AI | OTHER | RIVET PRESS M/C | RIVET PRESSING | NOT_SPECIFIED</v>
      </c>
      <c r="X295" s="24" t="str">
        <f t="shared" si="33"/>
        <v/>
      </c>
      <c r="Y295" s="24" t="str">
        <f t="shared" si="34"/>
        <v>MISSING_STATUS; CATEGORY_NOT_USEFUL</v>
      </c>
    </row>
    <row r="296" spans="1:25" x14ac:dyDescent="0.3">
      <c r="A296" s="24" t="str">
        <f t="shared" si="28"/>
        <v>WA-230#0295</v>
      </c>
      <c r="B296" s="24" t="str">
        <f>IF('query (2)'!B296="","",TRIM(UPPER('query (2)'!B296)))</f>
        <v>WA-230</v>
      </c>
      <c r="C296" s="25" t="str">
        <f>IF('query (2)'!B296="","",'query (2)'!B296)</f>
        <v>WA-230</v>
      </c>
      <c r="D296" s="24" t="str">
        <f t="shared" si="29"/>
        <v>WA</v>
      </c>
      <c r="E296" s="24">
        <f t="shared" si="30"/>
        <v>1</v>
      </c>
      <c r="F296" s="24">
        <f>IF('query (2)'!A296="","",IFERROR(VALUE('query (2)'!A296),""))</f>
        <v>314</v>
      </c>
      <c r="G296" s="24" t="str">
        <f>IF('query (2)'!C296="","UNKNOWN",IFERROR(INDEX(Cleaning_Rules!$B$15:$B$20,MATCH(TRIM(UPPER('query (2)'!C296)),Cleaning_Rules!$A$15:$A$20,0)),"UNKNOWN"))</f>
        <v>FACTORY2</v>
      </c>
      <c r="H296" s="25" t="str">
        <f>IF('query (2)'!C296="","",'query (2)'!C296)</f>
        <v>FACTORY2</v>
      </c>
      <c r="I296" s="24" t="str" cm="1">
        <f t="array" ref="I296">_xlfn.IFS($G296="UNKNOWN","UNKNOWN",OR($G296="FACTORY1",$G296="FACTORY2",$G296="FACTORY3"),"PLANT",TRUE,"SHARED")</f>
        <v>PLANT</v>
      </c>
      <c r="J296" s="24" t="str">
        <f>IF('query (2)'!D296="","UNKNOWN",IF(COUNTIF(Cleaning_Rules!$A$6:$A$11,TRIM('query (2)'!D296))&gt;0,"UNKNOWN",IFERROR(INDEX(Cleaning_Rules!$B$24:$B$28,MATCH(TRIM(UPPER('query (2)'!D296)),Cleaning_Rules!$A$24:$A$28,0)),TRIM(UPPER('query (2)'!D296)))))</f>
        <v>SB2</v>
      </c>
      <c r="K296" s="25" t="str">
        <f>IF('query (2)'!D296="","",'query (2)'!D296)</f>
        <v>SB2</v>
      </c>
      <c r="L296" s="24" t="str">
        <f>IF($J296="UNKNOWN","",_xlfn.TEXTBEFORE($J296,{"0","1","2","3","4","5","6","7","8","9"," ","-","."},1,,,$J296))</f>
        <v>SB</v>
      </c>
      <c r="M296" s="24" t="str">
        <f>IF('query (2)'!I296&lt;&gt;"",TRIM(UPPER('query (2)'!I296)),IF($L296="","UNKNOWN",$L296))</f>
        <v>SB</v>
      </c>
      <c r="N296" s="24" t="str">
        <f>IF('query (2)'!I296&lt;&gt;"","SOURCE",IF($L296="","UNKNOWN","DERIVED"))</f>
        <v>SOURCE</v>
      </c>
      <c r="O296" s="24" t="str">
        <f>IF('query (2)'!E296="","NOT_SPECIFIED",TRIM(UPPER('query (2)'!E296)))</f>
        <v>ASSEMBLY</v>
      </c>
      <c r="P296" s="24" t="str">
        <f>IF('query (2)'!F296="","",TRIM(UPPER('query (2)'!F296)))</f>
        <v>1207-SB2AI</v>
      </c>
      <c r="Q296" s="24" t="str">
        <f>IF('query (2)'!G296="","UNKNOWN",IFERROR(INDEX(Cleaning_Rules!$B$38:$B$46,MATCH(TRIM(UPPER('query (2)'!G296)),Cleaning_Rules!$A$38:$A$46,0)),"UNKNOWN"))</f>
        <v>OTHER</v>
      </c>
      <c r="R296" s="24" t="str">
        <f>IF('query (2)'!H296="","",TRIM(UPPER('query (2)'!H296)))</f>
        <v>FINISH WASH EQUIPMENT M/C</v>
      </c>
      <c r="S296" s="25" t="str">
        <f>IF('query (2)'!H296="","",'query (2)'!H296)</f>
        <v>Finish wash equipment  M/C</v>
      </c>
      <c r="T296" s="24" t="str">
        <f>IF('query (2)'!J296="","",TRIM(UPPER('query (2)'!J296)))</f>
        <v>WASHING FINISH</v>
      </c>
      <c r="U296" s="24" t="str">
        <f t="shared" si="31"/>
        <v/>
      </c>
      <c r="V296" s="24" t="str">
        <f>IF('query (2)'!K296="","NOT_SPECIFIED",IFERROR(INDEX(Cleaning_Rules!$B$32:$B$34,MATCH(TRIM(UPPER('query (2)'!K296)),Cleaning_Rules!$A$32:$A$34,0)),"UNKNOWN"))</f>
        <v>NOT_SPECIFIED</v>
      </c>
      <c r="W296" s="24" t="str">
        <f t="shared" si="32"/>
        <v>WA-230 | FACTORY2 | SB2 | SB | ASSEMBLY | 1207-SB2AI | OTHER | FINISH WASH EQUIPMENT M/C | WASHING FINISH | NOT_SPECIFIED</v>
      </c>
      <c r="X296" s="24" t="str">
        <f t="shared" si="33"/>
        <v/>
      </c>
      <c r="Y296" s="24" t="str">
        <f t="shared" si="34"/>
        <v>MISSING_STATUS; CATEGORY_NOT_USEFUL</v>
      </c>
    </row>
    <row r="297" spans="1:25" x14ac:dyDescent="0.3">
      <c r="A297" s="24" t="str">
        <f t="shared" si="28"/>
        <v>AS-231#0296</v>
      </c>
      <c r="B297" s="24" t="str">
        <f>IF('query (2)'!B297="","",TRIM(UPPER('query (2)'!B297)))</f>
        <v>AS-231</v>
      </c>
      <c r="C297" s="25" t="str">
        <f>IF('query (2)'!B297="","",'query (2)'!B297)</f>
        <v>AS-231</v>
      </c>
      <c r="D297" s="24" t="str">
        <f t="shared" si="29"/>
        <v>AS</v>
      </c>
      <c r="E297" s="24">
        <f t="shared" si="30"/>
        <v>1</v>
      </c>
      <c r="F297" s="24">
        <f>IF('query (2)'!A297="","",IFERROR(VALUE('query (2)'!A297),""))</f>
        <v>315</v>
      </c>
      <c r="G297" s="24" t="str">
        <f>IF('query (2)'!C297="","UNKNOWN",IFERROR(INDEX(Cleaning_Rules!$B$15:$B$20,MATCH(TRIM(UPPER('query (2)'!C297)),Cleaning_Rules!$A$15:$A$20,0)),"UNKNOWN"))</f>
        <v>FACTORY2</v>
      </c>
      <c r="H297" s="25" t="str">
        <f>IF('query (2)'!C297="","",'query (2)'!C297)</f>
        <v>FACTORY2</v>
      </c>
      <c r="I297" s="24" t="str" cm="1">
        <f t="array" ref="I297">_xlfn.IFS($G297="UNKNOWN","UNKNOWN",OR($G297="FACTORY1",$G297="FACTORY2",$G297="FACTORY3"),"PLANT",TRUE,"SHARED")</f>
        <v>PLANT</v>
      </c>
      <c r="J297" s="24" t="str">
        <f>IF('query (2)'!D297="","UNKNOWN",IF(COUNTIF(Cleaning_Rules!$A$6:$A$11,TRIM('query (2)'!D297))&gt;0,"UNKNOWN",IFERROR(INDEX(Cleaning_Rules!$B$24:$B$28,MATCH(TRIM(UPPER('query (2)'!D297)),Cleaning_Rules!$A$24:$A$28,0)),TRIM(UPPER('query (2)'!D297)))))</f>
        <v>SB2</v>
      </c>
      <c r="K297" s="25" t="str">
        <f>IF('query (2)'!D297="","",'query (2)'!D297)</f>
        <v>SB2</v>
      </c>
      <c r="L297" s="24" t="str">
        <f>IF($J297="UNKNOWN","",_xlfn.TEXTBEFORE($J297,{"0","1","2","3","4","5","6","7","8","9"," ","-","."},1,,,$J297))</f>
        <v>SB</v>
      </c>
      <c r="M297" s="24" t="str">
        <f>IF('query (2)'!I297&lt;&gt;"",TRIM(UPPER('query (2)'!I297)),IF($L297="","UNKNOWN",$L297))</f>
        <v>SB</v>
      </c>
      <c r="N297" s="24" t="str">
        <f>IF('query (2)'!I297&lt;&gt;"","SOURCE",IF($L297="","UNKNOWN","DERIVED"))</f>
        <v>SOURCE</v>
      </c>
      <c r="O297" s="24" t="str">
        <f>IF('query (2)'!E297="","NOT_SPECIFIED",TRIM(UPPER('query (2)'!E297)))</f>
        <v>ASSEMBLY</v>
      </c>
      <c r="P297" s="24" t="str">
        <f>IF('query (2)'!F297="","",TRIM(UPPER('query (2)'!F297)))</f>
        <v>1207-SB2AI</v>
      </c>
      <c r="Q297" s="24" t="str">
        <f>IF('query (2)'!G297="","UNKNOWN",IFERROR(INDEX(Cleaning_Rules!$B$38:$B$46,MATCH(TRIM(UPPER('query (2)'!G297)),Cleaning_Rules!$A$38:$A$46,0)),"UNKNOWN"))</f>
        <v>OTHER</v>
      </c>
      <c r="R297" s="24" t="str">
        <f>IF('query (2)'!H297="","",TRIM(UPPER('query (2)'!H297)))</f>
        <v>GREASE INJECTION M/C</v>
      </c>
      <c r="S297" s="25" t="str">
        <f>IF('query (2)'!H297="","",'query (2)'!H297)</f>
        <v>Grease  injection  M/C</v>
      </c>
      <c r="T297" s="24" t="str">
        <f>IF('query (2)'!J297="","",TRIM(UPPER('query (2)'!J297)))</f>
        <v>GREASE INJECTION</v>
      </c>
      <c r="U297" s="24" t="str">
        <f t="shared" si="31"/>
        <v/>
      </c>
      <c r="V297" s="24" t="str">
        <f>IF('query (2)'!K297="","NOT_SPECIFIED",IFERROR(INDEX(Cleaning_Rules!$B$32:$B$34,MATCH(TRIM(UPPER('query (2)'!K297)),Cleaning_Rules!$A$32:$A$34,0)),"UNKNOWN"))</f>
        <v>NOT_SPECIFIED</v>
      </c>
      <c r="W297" s="24" t="str">
        <f t="shared" si="32"/>
        <v>AS-231 | FACTORY2 | SB2 | SB | ASSEMBLY | 1207-SB2AI | OTHER | GREASE INJECTION M/C | GREASE INJECTION | NOT_SPECIFIED</v>
      </c>
      <c r="X297" s="24" t="str">
        <f t="shared" si="33"/>
        <v/>
      </c>
      <c r="Y297" s="24" t="str">
        <f t="shared" si="34"/>
        <v>MISSING_STATUS; CATEGORY_NOT_USEFUL</v>
      </c>
    </row>
    <row r="298" spans="1:25" x14ac:dyDescent="0.3">
      <c r="A298" s="24" t="str">
        <f t="shared" si="28"/>
        <v>AS-232#0297</v>
      </c>
      <c r="B298" s="24" t="str">
        <f>IF('query (2)'!B298="","",TRIM(UPPER('query (2)'!B298)))</f>
        <v>AS-232</v>
      </c>
      <c r="C298" s="25" t="str">
        <f>IF('query (2)'!B298="","",'query (2)'!B298)</f>
        <v>AS-232</v>
      </c>
      <c r="D298" s="24" t="str">
        <f t="shared" si="29"/>
        <v>AS</v>
      </c>
      <c r="E298" s="24">
        <f t="shared" si="30"/>
        <v>1</v>
      </c>
      <c r="F298" s="24">
        <f>IF('query (2)'!A298="","",IFERROR(VALUE('query (2)'!A298),""))</f>
        <v>316</v>
      </c>
      <c r="G298" s="24" t="str">
        <f>IF('query (2)'!C298="","UNKNOWN",IFERROR(INDEX(Cleaning_Rules!$B$15:$B$20,MATCH(TRIM(UPPER('query (2)'!C298)),Cleaning_Rules!$A$15:$A$20,0)),"UNKNOWN"))</f>
        <v>FACTORY2</v>
      </c>
      <c r="H298" s="25" t="str">
        <f>IF('query (2)'!C298="","",'query (2)'!C298)</f>
        <v>FACTORY2</v>
      </c>
      <c r="I298" s="24" t="str" cm="1">
        <f t="array" ref="I298">_xlfn.IFS($G298="UNKNOWN","UNKNOWN",OR($G298="FACTORY1",$G298="FACTORY2",$G298="FACTORY3"),"PLANT",TRUE,"SHARED")</f>
        <v>PLANT</v>
      </c>
      <c r="J298" s="24" t="str">
        <f>IF('query (2)'!D298="","UNKNOWN",IF(COUNTIF(Cleaning_Rules!$A$6:$A$11,TRIM('query (2)'!D298))&gt;0,"UNKNOWN",IFERROR(INDEX(Cleaning_Rules!$B$24:$B$28,MATCH(TRIM(UPPER('query (2)'!D298)),Cleaning_Rules!$A$24:$A$28,0)),TRIM(UPPER('query (2)'!D298)))))</f>
        <v>SB2</v>
      </c>
      <c r="K298" s="25" t="str">
        <f>IF('query (2)'!D298="","",'query (2)'!D298)</f>
        <v>SB2</v>
      </c>
      <c r="L298" s="24" t="str">
        <f>IF($J298="UNKNOWN","",_xlfn.TEXTBEFORE($J298,{"0","1","2","3","4","5","6","7","8","9"," ","-","."},1,,,$J298))</f>
        <v>SB</v>
      </c>
      <c r="M298" s="24" t="str">
        <f>IF('query (2)'!I298&lt;&gt;"",TRIM(UPPER('query (2)'!I298)),IF($L298="","UNKNOWN",$L298))</f>
        <v>SB</v>
      </c>
      <c r="N298" s="24" t="str">
        <f>IF('query (2)'!I298&lt;&gt;"","SOURCE",IF($L298="","UNKNOWN","DERIVED"))</f>
        <v>SOURCE</v>
      </c>
      <c r="O298" s="24" t="str">
        <f>IF('query (2)'!E298="","NOT_SPECIFIED",TRIM(UPPER('query (2)'!E298)))</f>
        <v>ASSEMBLY</v>
      </c>
      <c r="P298" s="24" t="str">
        <f>IF('query (2)'!F298="","",TRIM(UPPER('query (2)'!F298)))</f>
        <v>1207-SB2AI</v>
      </c>
      <c r="Q298" s="24" t="str">
        <f>IF('query (2)'!G298="","UNKNOWN",IFERROR(INDEX(Cleaning_Rules!$B$38:$B$46,MATCH(TRIM(UPPER('query (2)'!G298)),Cleaning_Rules!$A$38:$A$46,0)),"UNKNOWN"))</f>
        <v>OTHER</v>
      </c>
      <c r="R298" s="24" t="str">
        <f>IF('query (2)'!H298="","",TRIM(UPPER('query (2)'!H298)))</f>
        <v>SEAL PRESS M/C</v>
      </c>
      <c r="S298" s="25" t="str">
        <f>IF('query (2)'!H298="","",'query (2)'!H298)</f>
        <v>Seal  press  M/C</v>
      </c>
      <c r="T298" s="24" t="str">
        <f>IF('query (2)'!J298="","",TRIM(UPPER('query (2)'!J298)))</f>
        <v>SEAL PRESSING NO.1</v>
      </c>
      <c r="U298" s="24" t="str">
        <f t="shared" si="31"/>
        <v/>
      </c>
      <c r="V298" s="24" t="str">
        <f>IF('query (2)'!K298="","NOT_SPECIFIED",IFERROR(INDEX(Cleaning_Rules!$B$32:$B$34,MATCH(TRIM(UPPER('query (2)'!K298)),Cleaning_Rules!$A$32:$A$34,0)),"UNKNOWN"))</f>
        <v>NOT_SPECIFIED</v>
      </c>
      <c r="W298" s="24" t="str">
        <f t="shared" si="32"/>
        <v>AS-232 | FACTORY2 | SB2 | SB | ASSEMBLY | 1207-SB2AI | OTHER | SEAL PRESS M/C | SEAL PRESSING NO.1 | NOT_SPECIFIED</v>
      </c>
      <c r="X298" s="24" t="str">
        <f t="shared" si="33"/>
        <v/>
      </c>
      <c r="Y298" s="24" t="str">
        <f t="shared" si="34"/>
        <v>MISSING_STATUS; CATEGORY_NOT_USEFUL</v>
      </c>
    </row>
    <row r="299" spans="1:25" x14ac:dyDescent="0.3">
      <c r="A299" s="24" t="str">
        <f t="shared" si="28"/>
        <v>AS-233#0298</v>
      </c>
      <c r="B299" s="24" t="str">
        <f>IF('query (2)'!B299="","",TRIM(UPPER('query (2)'!B299)))</f>
        <v>AS-233</v>
      </c>
      <c r="C299" s="25" t="str">
        <f>IF('query (2)'!B299="","",'query (2)'!B299)</f>
        <v>AS-233</v>
      </c>
      <c r="D299" s="24" t="str">
        <f t="shared" si="29"/>
        <v>AS</v>
      </c>
      <c r="E299" s="24">
        <f t="shared" si="30"/>
        <v>1</v>
      </c>
      <c r="F299" s="24">
        <f>IF('query (2)'!A299="","",IFERROR(VALUE('query (2)'!A299),""))</f>
        <v>317</v>
      </c>
      <c r="G299" s="24" t="str">
        <f>IF('query (2)'!C299="","UNKNOWN",IFERROR(INDEX(Cleaning_Rules!$B$15:$B$20,MATCH(TRIM(UPPER('query (2)'!C299)),Cleaning_Rules!$A$15:$A$20,0)),"UNKNOWN"))</f>
        <v>FACTORY2</v>
      </c>
      <c r="H299" s="25" t="str">
        <f>IF('query (2)'!C299="","",'query (2)'!C299)</f>
        <v>FACTORY2</v>
      </c>
      <c r="I299" s="24" t="str" cm="1">
        <f t="array" ref="I299">_xlfn.IFS($G299="UNKNOWN","UNKNOWN",OR($G299="FACTORY1",$G299="FACTORY2",$G299="FACTORY3"),"PLANT",TRUE,"SHARED")</f>
        <v>PLANT</v>
      </c>
      <c r="J299" s="24" t="str">
        <f>IF('query (2)'!D299="","UNKNOWN",IF(COUNTIF(Cleaning_Rules!$A$6:$A$11,TRIM('query (2)'!D299))&gt;0,"UNKNOWN",IFERROR(INDEX(Cleaning_Rules!$B$24:$B$28,MATCH(TRIM(UPPER('query (2)'!D299)),Cleaning_Rules!$A$24:$A$28,0)),TRIM(UPPER('query (2)'!D299)))))</f>
        <v>SB2</v>
      </c>
      <c r="K299" s="25" t="str">
        <f>IF('query (2)'!D299="","",'query (2)'!D299)</f>
        <v>SB2</v>
      </c>
      <c r="L299" s="24" t="str">
        <f>IF($J299="UNKNOWN","",_xlfn.TEXTBEFORE($J299,{"0","1","2","3","4","5","6","7","8","9"," ","-","."},1,,,$J299))</f>
        <v>SB</v>
      </c>
      <c r="M299" s="24" t="str">
        <f>IF('query (2)'!I299&lt;&gt;"",TRIM(UPPER('query (2)'!I299)),IF($L299="","UNKNOWN",$L299))</f>
        <v>SB</v>
      </c>
      <c r="N299" s="24" t="str">
        <f>IF('query (2)'!I299&lt;&gt;"","SOURCE",IF($L299="","UNKNOWN","DERIVED"))</f>
        <v>SOURCE</v>
      </c>
      <c r="O299" s="24" t="str">
        <f>IF('query (2)'!E299="","NOT_SPECIFIED",TRIM(UPPER('query (2)'!E299)))</f>
        <v>ASSEMBLY</v>
      </c>
      <c r="P299" s="24" t="str">
        <f>IF('query (2)'!F299="","",TRIM(UPPER('query (2)'!F299)))</f>
        <v>1207-SB2AI</v>
      </c>
      <c r="Q299" s="24" t="str">
        <f>IF('query (2)'!G299="","UNKNOWN",IFERROR(INDEX(Cleaning_Rules!$B$38:$B$46,MATCH(TRIM(UPPER('query (2)'!G299)),Cleaning_Rules!$A$38:$A$46,0)),"UNKNOWN"))</f>
        <v>OTHER</v>
      </c>
      <c r="R299" s="24" t="str">
        <f>IF('query (2)'!H299="","",TRIM(UPPER('query (2)'!H299)))</f>
        <v>SEAL PRESS M/C</v>
      </c>
      <c r="S299" s="25" t="str">
        <f>IF('query (2)'!H299="","",'query (2)'!H299)</f>
        <v>Seal  press  M/C</v>
      </c>
      <c r="T299" s="24" t="str">
        <f>IF('query (2)'!J299="","",TRIM(UPPER('query (2)'!J299)))</f>
        <v>SEAL PRESSING NO.2</v>
      </c>
      <c r="U299" s="24" t="str">
        <f t="shared" si="31"/>
        <v/>
      </c>
      <c r="V299" s="24" t="str">
        <f>IF('query (2)'!K299="","NOT_SPECIFIED",IFERROR(INDEX(Cleaning_Rules!$B$32:$B$34,MATCH(TRIM(UPPER('query (2)'!K299)),Cleaning_Rules!$A$32:$A$34,0)),"UNKNOWN"))</f>
        <v>NOT_SPECIFIED</v>
      </c>
      <c r="W299" s="24" t="str">
        <f t="shared" si="32"/>
        <v>AS-233 | FACTORY2 | SB2 | SB | ASSEMBLY | 1207-SB2AI | OTHER | SEAL PRESS M/C | SEAL PRESSING NO.2 | NOT_SPECIFIED</v>
      </c>
      <c r="X299" s="24" t="str">
        <f t="shared" si="33"/>
        <v/>
      </c>
      <c r="Y299" s="24" t="str">
        <f t="shared" si="34"/>
        <v>MISSING_STATUS; CATEGORY_NOT_USEFUL</v>
      </c>
    </row>
    <row r="300" spans="1:25" x14ac:dyDescent="0.3">
      <c r="A300" s="24" t="str">
        <f t="shared" si="28"/>
        <v>CH-234#0299</v>
      </c>
      <c r="B300" s="24" t="str">
        <f>IF('query (2)'!B300="","",TRIM(UPPER('query (2)'!B300)))</f>
        <v>CH-234</v>
      </c>
      <c r="C300" s="25" t="str">
        <f>IF('query (2)'!B300="","",'query (2)'!B300)</f>
        <v>CH-234</v>
      </c>
      <c r="D300" s="24" t="str">
        <f t="shared" si="29"/>
        <v>CH</v>
      </c>
      <c r="E300" s="24">
        <f t="shared" si="30"/>
        <v>1</v>
      </c>
      <c r="F300" s="24">
        <f>IF('query (2)'!A300="","",IFERROR(VALUE('query (2)'!A300),""))</f>
        <v>318</v>
      </c>
      <c r="G300" s="24" t="str">
        <f>IF('query (2)'!C300="","UNKNOWN",IFERROR(INDEX(Cleaning_Rules!$B$15:$B$20,MATCH(TRIM(UPPER('query (2)'!C300)),Cleaning_Rules!$A$15:$A$20,0)),"UNKNOWN"))</f>
        <v>FACTORY2</v>
      </c>
      <c r="H300" s="25" t="str">
        <f>IF('query (2)'!C300="","",'query (2)'!C300)</f>
        <v>FACTORY2</v>
      </c>
      <c r="I300" s="24" t="str" cm="1">
        <f t="array" ref="I300">_xlfn.IFS($G300="UNKNOWN","UNKNOWN",OR($G300="FACTORY1",$G300="FACTORY2",$G300="FACTORY3"),"PLANT",TRUE,"SHARED")</f>
        <v>PLANT</v>
      </c>
      <c r="J300" s="24" t="str">
        <f>IF('query (2)'!D300="","UNKNOWN",IF(COUNTIF(Cleaning_Rules!$A$6:$A$11,TRIM('query (2)'!D300))&gt;0,"UNKNOWN",IFERROR(INDEX(Cleaning_Rules!$B$24:$B$28,MATCH(TRIM(UPPER('query (2)'!D300)),Cleaning_Rules!$A$24:$A$28,0)),TRIM(UPPER('query (2)'!D300)))))</f>
        <v>SB2</v>
      </c>
      <c r="K300" s="25" t="str">
        <f>IF('query (2)'!D300="","",'query (2)'!D300)</f>
        <v>SB2</v>
      </c>
      <c r="L300" s="24" t="str">
        <f>IF($J300="UNKNOWN","",_xlfn.TEXTBEFORE($J300,{"0","1","2","3","4","5","6","7","8","9"," ","-","."},1,,,$J300))</f>
        <v>SB</v>
      </c>
      <c r="M300" s="24" t="str">
        <f>IF('query (2)'!I300&lt;&gt;"",TRIM(UPPER('query (2)'!I300)),IF($L300="","UNKNOWN",$L300))</f>
        <v>SB</v>
      </c>
      <c r="N300" s="24" t="str">
        <f>IF('query (2)'!I300&lt;&gt;"","SOURCE",IF($L300="","UNKNOWN","DERIVED"))</f>
        <v>SOURCE</v>
      </c>
      <c r="O300" s="24" t="str">
        <f>IF('query (2)'!E300="","NOT_SPECIFIED",TRIM(UPPER('query (2)'!E300)))</f>
        <v>ASSEMBLY</v>
      </c>
      <c r="P300" s="24" t="str">
        <f>IF('query (2)'!F300="","",TRIM(UPPER('query (2)'!F300)))</f>
        <v>1207-SB2AI</v>
      </c>
      <c r="Q300" s="24" t="str">
        <f>IF('query (2)'!G300="","UNKNOWN",IFERROR(INDEX(Cleaning_Rules!$B$38:$B$46,MATCH(TRIM(UPPER('query (2)'!G300)),Cleaning_Rules!$A$38:$A$46,0)),"UNKNOWN"))</f>
        <v>OTHER</v>
      </c>
      <c r="R300" s="24" t="str">
        <f>IF('query (2)'!H300="","",TRIM(UPPER('query (2)'!H300)))</f>
        <v>SEAL CHECK M/C</v>
      </c>
      <c r="S300" s="25" t="str">
        <f>IF('query (2)'!H300="","",'query (2)'!H300)</f>
        <v>Seal  check  M/C</v>
      </c>
      <c r="T300" s="24" t="str">
        <f>IF('query (2)'!J300="","",TRIM(UPPER('query (2)'!J300)))</f>
        <v>SEAL HEIGHT CHECK</v>
      </c>
      <c r="U300" s="24" t="str">
        <f t="shared" si="31"/>
        <v/>
      </c>
      <c r="V300" s="24" t="str">
        <f>IF('query (2)'!K300="","NOT_SPECIFIED",IFERROR(INDEX(Cleaning_Rules!$B$32:$B$34,MATCH(TRIM(UPPER('query (2)'!K300)),Cleaning_Rules!$A$32:$A$34,0)),"UNKNOWN"))</f>
        <v>NOT_SPECIFIED</v>
      </c>
      <c r="W300" s="24" t="str">
        <f t="shared" si="32"/>
        <v>CH-234 | FACTORY2 | SB2 | SB | ASSEMBLY | 1207-SB2AI | OTHER | SEAL CHECK M/C | SEAL HEIGHT CHECK | NOT_SPECIFIED</v>
      </c>
      <c r="X300" s="24" t="str">
        <f t="shared" si="33"/>
        <v/>
      </c>
      <c r="Y300" s="24" t="str">
        <f t="shared" si="34"/>
        <v>MISSING_STATUS; CATEGORY_NOT_USEFUL</v>
      </c>
    </row>
    <row r="301" spans="1:25" x14ac:dyDescent="0.3">
      <c r="A301" s="24" t="str">
        <f t="shared" si="28"/>
        <v>CH-235#0300</v>
      </c>
      <c r="B301" s="24" t="str">
        <f>IF('query (2)'!B301="","",TRIM(UPPER('query (2)'!B301)))</f>
        <v>CH-235</v>
      </c>
      <c r="C301" s="25" t="str">
        <f>IF('query (2)'!B301="","",'query (2)'!B301)</f>
        <v>CH-235</v>
      </c>
      <c r="D301" s="24" t="str">
        <f t="shared" si="29"/>
        <v>CH</v>
      </c>
      <c r="E301" s="24">
        <f t="shared" si="30"/>
        <v>1</v>
      </c>
      <c r="F301" s="24">
        <f>IF('query (2)'!A301="","",IFERROR(VALUE('query (2)'!A301),""))</f>
        <v>319</v>
      </c>
      <c r="G301" s="24" t="str">
        <f>IF('query (2)'!C301="","UNKNOWN",IFERROR(INDEX(Cleaning_Rules!$B$15:$B$20,MATCH(TRIM(UPPER('query (2)'!C301)),Cleaning_Rules!$A$15:$A$20,0)),"UNKNOWN"))</f>
        <v>FACTORY2</v>
      </c>
      <c r="H301" s="25" t="str">
        <f>IF('query (2)'!C301="","",'query (2)'!C301)</f>
        <v>FACTORY2</v>
      </c>
      <c r="I301" s="24" t="str" cm="1">
        <f t="array" ref="I301">_xlfn.IFS($G301="UNKNOWN","UNKNOWN",OR($G301="FACTORY1",$G301="FACTORY2",$G301="FACTORY3"),"PLANT",TRUE,"SHARED")</f>
        <v>PLANT</v>
      </c>
      <c r="J301" s="24" t="str">
        <f>IF('query (2)'!D301="","UNKNOWN",IF(COUNTIF(Cleaning_Rules!$A$6:$A$11,TRIM('query (2)'!D301))&gt;0,"UNKNOWN",IFERROR(INDEX(Cleaning_Rules!$B$24:$B$28,MATCH(TRIM(UPPER('query (2)'!D301)),Cleaning_Rules!$A$24:$A$28,0)),TRIM(UPPER('query (2)'!D301)))))</f>
        <v>SB2</v>
      </c>
      <c r="K301" s="25" t="str">
        <f>IF('query (2)'!D301="","",'query (2)'!D301)</f>
        <v>SB2</v>
      </c>
      <c r="L301" s="24" t="str">
        <f>IF($J301="UNKNOWN","",_xlfn.TEXTBEFORE($J301,{"0","1","2","3","4","5","6","7","8","9"," ","-","."},1,,,$J301))</f>
        <v>SB</v>
      </c>
      <c r="M301" s="24" t="str">
        <f>IF('query (2)'!I301&lt;&gt;"",TRIM(UPPER('query (2)'!I301)),IF($L301="","UNKNOWN",$L301))</f>
        <v>SB</v>
      </c>
      <c r="N301" s="24" t="str">
        <f>IF('query (2)'!I301&lt;&gt;"","SOURCE",IF($L301="","UNKNOWN","DERIVED"))</f>
        <v>SOURCE</v>
      </c>
      <c r="O301" s="24" t="str">
        <f>IF('query (2)'!E301="","NOT_SPECIFIED",TRIM(UPPER('query (2)'!E301)))</f>
        <v>ASSEMBLY</v>
      </c>
      <c r="P301" s="24" t="str">
        <f>IF('query (2)'!F301="","",TRIM(UPPER('query (2)'!F301)))</f>
        <v>1207-SB2AI</v>
      </c>
      <c r="Q301" s="24" t="str">
        <f>IF('query (2)'!G301="","UNKNOWN",IFERROR(INDEX(Cleaning_Rules!$B$38:$B$46,MATCH(TRIM(UPPER('query (2)'!G301)),Cleaning_Rules!$A$38:$A$46,0)),"UNKNOWN"))</f>
        <v>OTHER</v>
      </c>
      <c r="R301" s="24" t="str">
        <f>IF('query (2)'!H301="","",TRIM(UPPER('query (2)'!H301)))</f>
        <v>NOISE INSPECTION M/C (AUTO)</v>
      </c>
      <c r="S301" s="25" t="str">
        <f>IF('query (2)'!H301="","",'query (2)'!H301)</f>
        <v>Noise  inspection  M/C (Auto)</v>
      </c>
      <c r="T301" s="24" t="str">
        <f>IF('query (2)'!J301="","",TRIM(UPPER('query (2)'!J301)))</f>
        <v>NOISE INSPECTION</v>
      </c>
      <c r="U301" s="24" t="str">
        <f t="shared" si="31"/>
        <v/>
      </c>
      <c r="V301" s="24" t="str">
        <f>IF('query (2)'!K301="","NOT_SPECIFIED",IFERROR(INDEX(Cleaning_Rules!$B$32:$B$34,MATCH(TRIM(UPPER('query (2)'!K301)),Cleaning_Rules!$A$32:$A$34,0)),"UNKNOWN"))</f>
        <v>NOT_SPECIFIED</v>
      </c>
      <c r="W301" s="24" t="str">
        <f t="shared" si="32"/>
        <v>CH-235 | FACTORY2 | SB2 | SB | ASSEMBLY | 1207-SB2AI | OTHER | NOISE INSPECTION M/C (AUTO) | NOISE INSPECTION | NOT_SPECIFIED</v>
      </c>
      <c r="X301" s="24" t="str">
        <f t="shared" si="33"/>
        <v/>
      </c>
      <c r="Y301" s="24" t="str">
        <f t="shared" si="34"/>
        <v>MISSING_STATUS; CATEGORY_NOT_USEFUL</v>
      </c>
    </row>
    <row r="302" spans="1:25" x14ac:dyDescent="0.3">
      <c r="A302" s="24" t="str">
        <f t="shared" si="28"/>
        <v>CH-236#0301</v>
      </c>
      <c r="B302" s="24" t="str">
        <f>IF('query (2)'!B302="","",TRIM(UPPER('query (2)'!B302)))</f>
        <v>CH-236</v>
      </c>
      <c r="C302" s="25" t="str">
        <f>IF('query (2)'!B302="","",'query (2)'!B302)</f>
        <v>CH-236</v>
      </c>
      <c r="D302" s="24" t="str">
        <f t="shared" si="29"/>
        <v>CH</v>
      </c>
      <c r="E302" s="24">
        <f t="shared" si="30"/>
        <v>1</v>
      </c>
      <c r="F302" s="24">
        <f>IF('query (2)'!A302="","",IFERROR(VALUE('query (2)'!A302),""))</f>
        <v>320</v>
      </c>
      <c r="G302" s="24" t="str">
        <f>IF('query (2)'!C302="","UNKNOWN",IFERROR(INDEX(Cleaning_Rules!$B$15:$B$20,MATCH(TRIM(UPPER('query (2)'!C302)),Cleaning_Rules!$A$15:$A$20,0)),"UNKNOWN"))</f>
        <v>FACTORY2</v>
      </c>
      <c r="H302" s="25" t="str">
        <f>IF('query (2)'!C302="","",'query (2)'!C302)</f>
        <v>FACTORY2</v>
      </c>
      <c r="I302" s="24" t="str" cm="1">
        <f t="array" ref="I302">_xlfn.IFS($G302="UNKNOWN","UNKNOWN",OR($G302="FACTORY1",$G302="FACTORY2",$G302="FACTORY3"),"PLANT",TRUE,"SHARED")</f>
        <v>PLANT</v>
      </c>
      <c r="J302" s="24" t="str">
        <f>IF('query (2)'!D302="","UNKNOWN",IF(COUNTIF(Cleaning_Rules!$A$6:$A$11,TRIM('query (2)'!D302))&gt;0,"UNKNOWN",IFERROR(INDEX(Cleaning_Rules!$B$24:$B$28,MATCH(TRIM(UPPER('query (2)'!D302)),Cleaning_Rules!$A$24:$A$28,0)),TRIM(UPPER('query (2)'!D302)))))</f>
        <v>SB2</v>
      </c>
      <c r="K302" s="25" t="str">
        <f>IF('query (2)'!D302="","",'query (2)'!D302)</f>
        <v>SB2</v>
      </c>
      <c r="L302" s="24" t="str">
        <f>IF($J302="UNKNOWN","",_xlfn.TEXTBEFORE($J302,{"0","1","2","3","4","5","6","7","8","9"," ","-","."},1,,,$J302))</f>
        <v>SB</v>
      </c>
      <c r="M302" s="24" t="str">
        <f>IF('query (2)'!I302&lt;&gt;"",TRIM(UPPER('query (2)'!I302)),IF($L302="","UNKNOWN",$L302))</f>
        <v>SB</v>
      </c>
      <c r="N302" s="24" t="str">
        <f>IF('query (2)'!I302&lt;&gt;"","SOURCE",IF($L302="","UNKNOWN","DERIVED"))</f>
        <v>SOURCE</v>
      </c>
      <c r="O302" s="24" t="str">
        <f>IF('query (2)'!E302="","NOT_SPECIFIED",TRIM(UPPER('query (2)'!E302)))</f>
        <v>ASSEMBLY</v>
      </c>
      <c r="P302" s="24" t="str">
        <f>IF('query (2)'!F302="","",TRIM(UPPER('query (2)'!F302)))</f>
        <v>1207-SB2AI</v>
      </c>
      <c r="Q302" s="24" t="str">
        <f>IF('query (2)'!G302="","UNKNOWN",IFERROR(INDEX(Cleaning_Rules!$B$38:$B$46,MATCH(TRIM(UPPER('query (2)'!G302)),Cleaning_Rules!$A$38:$A$46,0)),"UNKNOWN"))</f>
        <v>OTHER</v>
      </c>
      <c r="R302" s="24" t="str">
        <f>IF('query (2)'!H302="","",TRIM(UPPER('query (2)'!H302)))</f>
        <v>WEIGHT CHECKER M/C</v>
      </c>
      <c r="S302" s="25" t="str">
        <f>IF('query (2)'!H302="","",'query (2)'!H302)</f>
        <v>Weight checker M/C</v>
      </c>
      <c r="T302" s="24" t="str">
        <f>IF('query (2)'!J302="","",TRIM(UPPER('query (2)'!J302)))</f>
        <v>WEIGHT CHECKER</v>
      </c>
      <c r="U302" s="24" t="str">
        <f t="shared" si="31"/>
        <v/>
      </c>
      <c r="V302" s="24" t="str">
        <f>IF('query (2)'!K302="","NOT_SPECIFIED",IFERROR(INDEX(Cleaning_Rules!$B$32:$B$34,MATCH(TRIM(UPPER('query (2)'!K302)),Cleaning_Rules!$A$32:$A$34,0)),"UNKNOWN"))</f>
        <v>NOT_SPECIFIED</v>
      </c>
      <c r="W302" s="24" t="str">
        <f t="shared" si="32"/>
        <v>CH-236 | FACTORY2 | SB2 | SB | ASSEMBLY | 1207-SB2AI | OTHER | WEIGHT CHECKER M/C | WEIGHT CHECKER | NOT_SPECIFIED</v>
      </c>
      <c r="X302" s="24" t="str">
        <f t="shared" si="33"/>
        <v/>
      </c>
      <c r="Y302" s="24" t="str">
        <f t="shared" si="34"/>
        <v>MISSING_STATUS; CATEGORY_NOT_USEFUL</v>
      </c>
    </row>
    <row r="303" spans="1:25" x14ac:dyDescent="0.3">
      <c r="A303" s="24" t="str">
        <f t="shared" si="28"/>
        <v>CH-639#0302</v>
      </c>
      <c r="B303" s="24" t="str">
        <f>IF('query (2)'!B303="","",TRIM(UPPER('query (2)'!B303)))</f>
        <v>CH-639</v>
      </c>
      <c r="C303" s="25" t="str">
        <f>IF('query (2)'!B303="","",'query (2)'!B303)</f>
        <v>CH-639</v>
      </c>
      <c r="D303" s="24" t="str">
        <f t="shared" si="29"/>
        <v>CH</v>
      </c>
      <c r="E303" s="24">
        <f t="shared" si="30"/>
        <v>1</v>
      </c>
      <c r="F303" s="24">
        <f>IF('query (2)'!A303="","",IFERROR(VALUE('query (2)'!A303),""))</f>
        <v>321</v>
      </c>
      <c r="G303" s="24" t="str">
        <f>IF('query (2)'!C303="","UNKNOWN",IFERROR(INDEX(Cleaning_Rules!$B$15:$B$20,MATCH(TRIM(UPPER('query (2)'!C303)),Cleaning_Rules!$A$15:$A$20,0)),"UNKNOWN"))</f>
        <v>FACTORY2</v>
      </c>
      <c r="H303" s="25" t="str">
        <f>IF('query (2)'!C303="","",'query (2)'!C303)</f>
        <v>FACTORY2</v>
      </c>
      <c r="I303" s="24" t="str" cm="1">
        <f t="array" ref="I303">_xlfn.IFS($G303="UNKNOWN","UNKNOWN",OR($G303="FACTORY1",$G303="FACTORY2",$G303="FACTORY3"),"PLANT",TRUE,"SHARED")</f>
        <v>PLANT</v>
      </c>
      <c r="J303" s="24" t="str">
        <f>IF('query (2)'!D303="","UNKNOWN",IF(COUNTIF(Cleaning_Rules!$A$6:$A$11,TRIM('query (2)'!D303))&gt;0,"UNKNOWN",IFERROR(INDEX(Cleaning_Rules!$B$24:$B$28,MATCH(TRIM(UPPER('query (2)'!D303)),Cleaning_Rules!$A$24:$A$28,0)),TRIM(UPPER('query (2)'!D303)))))</f>
        <v>SB2</v>
      </c>
      <c r="K303" s="25" t="str">
        <f>IF('query (2)'!D303="","",'query (2)'!D303)</f>
        <v>SB2</v>
      </c>
      <c r="L303" s="24" t="str">
        <f>IF($J303="UNKNOWN","",_xlfn.TEXTBEFORE($J303,{"0","1","2","3","4","5","6","7","8","9"," ","-","."},1,,,$J303))</f>
        <v>SB</v>
      </c>
      <c r="M303" s="24" t="str">
        <f>IF('query (2)'!I303&lt;&gt;"",TRIM(UPPER('query (2)'!I303)),IF($L303="","UNKNOWN",$L303))</f>
        <v>SB</v>
      </c>
      <c r="N303" s="24" t="str">
        <f>IF('query (2)'!I303&lt;&gt;"","SOURCE",IF($L303="","UNKNOWN","DERIVED"))</f>
        <v>SOURCE</v>
      </c>
      <c r="O303" s="24" t="str">
        <f>IF('query (2)'!E303="","NOT_SPECIFIED",TRIM(UPPER('query (2)'!E303)))</f>
        <v>ASSEMBLY</v>
      </c>
      <c r="P303" s="24" t="str">
        <f>IF('query (2)'!F303="","",TRIM(UPPER('query (2)'!F303)))</f>
        <v>1207-SB2AI</v>
      </c>
      <c r="Q303" s="24" t="str">
        <f>IF('query (2)'!G303="","UNKNOWN",IFERROR(INDEX(Cleaning_Rules!$B$38:$B$46,MATCH(TRIM(UPPER('query (2)'!G303)),Cleaning_Rules!$A$38:$A$46,0)),"UNKNOWN"))</f>
        <v>OTHER</v>
      </c>
      <c r="R303" s="24" t="str">
        <f>IF('query (2)'!H303="","",TRIM(UPPER('query (2)'!H303)))</f>
        <v>AUTO RADIAL CLEARANCE M/C</v>
      </c>
      <c r="S303" s="25" t="str">
        <f>IF('query (2)'!H303="","",'query (2)'!H303)</f>
        <v>Auto radial clearance M/C</v>
      </c>
      <c r="T303" s="24" t="str">
        <f>IF('query (2)'!J303="","",TRIM(UPPER('query (2)'!J303)))</f>
        <v>R/C AUTO</v>
      </c>
      <c r="U303" s="24" t="str">
        <f t="shared" si="31"/>
        <v/>
      </c>
      <c r="V303" s="24" t="str">
        <f>IF('query (2)'!K303="","NOT_SPECIFIED",IFERROR(INDEX(Cleaning_Rules!$B$32:$B$34,MATCH(TRIM(UPPER('query (2)'!K303)),Cleaning_Rules!$A$32:$A$34,0)),"UNKNOWN"))</f>
        <v>NOT_SPECIFIED</v>
      </c>
      <c r="W303" s="24" t="str">
        <f t="shared" si="32"/>
        <v>CH-639 | FACTORY2 | SB2 | SB | ASSEMBLY | 1207-SB2AI | OTHER | AUTO RADIAL CLEARANCE M/C | R/C AUTO | NOT_SPECIFIED</v>
      </c>
      <c r="X303" s="24" t="str">
        <f t="shared" si="33"/>
        <v/>
      </c>
      <c r="Y303" s="24" t="str">
        <f t="shared" si="34"/>
        <v>MISSING_STATUS; CATEGORY_NOT_USEFUL</v>
      </c>
    </row>
    <row r="304" spans="1:25" x14ac:dyDescent="0.3">
      <c r="A304" s="24" t="str">
        <f t="shared" si="28"/>
        <v>CH-643#0303</v>
      </c>
      <c r="B304" s="24" t="str">
        <f>IF('query (2)'!B304="","",TRIM(UPPER('query (2)'!B304)))</f>
        <v>CH-643</v>
      </c>
      <c r="C304" s="25" t="str">
        <f>IF('query (2)'!B304="","",'query (2)'!B304)</f>
        <v>CH-643</v>
      </c>
      <c r="D304" s="24" t="str">
        <f t="shared" si="29"/>
        <v>CH</v>
      </c>
      <c r="E304" s="24">
        <f t="shared" si="30"/>
        <v>1</v>
      </c>
      <c r="F304" s="24">
        <f>IF('query (2)'!A304="","",IFERROR(VALUE('query (2)'!A304),""))</f>
        <v>322</v>
      </c>
      <c r="G304" s="24" t="str">
        <f>IF('query (2)'!C304="","UNKNOWN",IFERROR(INDEX(Cleaning_Rules!$B$15:$B$20,MATCH(TRIM(UPPER('query (2)'!C304)),Cleaning_Rules!$A$15:$A$20,0)),"UNKNOWN"))</f>
        <v>FACTORY2</v>
      </c>
      <c r="H304" s="25" t="str">
        <f>IF('query (2)'!C304="","",'query (2)'!C304)</f>
        <v>FACTORY2</v>
      </c>
      <c r="I304" s="24" t="str" cm="1">
        <f t="array" ref="I304">_xlfn.IFS($G304="UNKNOWN","UNKNOWN",OR($G304="FACTORY1",$G304="FACTORY2",$G304="FACTORY3"),"PLANT",TRUE,"SHARED")</f>
        <v>PLANT</v>
      </c>
      <c r="J304" s="24" t="str">
        <f>IF('query (2)'!D304="","UNKNOWN",IF(COUNTIF(Cleaning_Rules!$A$6:$A$11,TRIM('query (2)'!D304))&gt;0,"UNKNOWN",IFERROR(INDEX(Cleaning_Rules!$B$24:$B$28,MATCH(TRIM(UPPER('query (2)'!D304)),Cleaning_Rules!$A$24:$A$28,0)),TRIM(UPPER('query (2)'!D304)))))</f>
        <v>SB2</v>
      </c>
      <c r="K304" s="25" t="str">
        <f>IF('query (2)'!D304="","",'query (2)'!D304)</f>
        <v>SB2</v>
      </c>
      <c r="L304" s="24" t="str">
        <f>IF($J304="UNKNOWN","",_xlfn.TEXTBEFORE($J304,{"0","1","2","3","4","5","6","7","8","9"," ","-","."},1,,,$J304))</f>
        <v>SB</v>
      </c>
      <c r="M304" s="24" t="str">
        <f>IF('query (2)'!I304&lt;&gt;"",TRIM(UPPER('query (2)'!I304)),IF($L304="","UNKNOWN",$L304))</f>
        <v>SB</v>
      </c>
      <c r="N304" s="24" t="str">
        <f>IF('query (2)'!I304&lt;&gt;"","SOURCE",IF($L304="","UNKNOWN","DERIVED"))</f>
        <v>SOURCE</v>
      </c>
      <c r="O304" s="24" t="str">
        <f>IF('query (2)'!E304="","NOT_SPECIFIED",TRIM(UPPER('query (2)'!E304)))</f>
        <v>ASSEMBLY</v>
      </c>
      <c r="P304" s="24" t="str">
        <f>IF('query (2)'!F304="","",TRIM(UPPER('query (2)'!F304)))</f>
        <v>1207-SB2AI</v>
      </c>
      <c r="Q304" s="24" t="str">
        <f>IF('query (2)'!G304="","UNKNOWN",IFERROR(INDEX(Cleaning_Rules!$B$38:$B$46,MATCH(TRIM(UPPER('query (2)'!G304)),Cleaning_Rules!$A$38:$A$46,0)),"UNKNOWN"))</f>
        <v>OTHER</v>
      </c>
      <c r="R304" s="24" t="str">
        <f>IF('query (2)'!H304="","",TRIM(UPPER('query (2)'!H304)))</f>
        <v>NOISE MANUAL INSPECTION M/C</v>
      </c>
      <c r="S304" s="25" t="str">
        <f>IF('query (2)'!H304="","",'query (2)'!H304)</f>
        <v>Noise manual inspection M/C</v>
      </c>
      <c r="T304" s="24" t="str">
        <f>IF('query (2)'!J304="","",TRIM(UPPER('query (2)'!J304)))</f>
        <v>NOISE INSPECTION</v>
      </c>
      <c r="U304" s="24" t="str">
        <f t="shared" si="31"/>
        <v/>
      </c>
      <c r="V304" s="24" t="str">
        <f>IF('query (2)'!K304="","NOT_SPECIFIED",IFERROR(INDEX(Cleaning_Rules!$B$32:$B$34,MATCH(TRIM(UPPER('query (2)'!K304)),Cleaning_Rules!$A$32:$A$34,0)),"UNKNOWN"))</f>
        <v>NOT_SPECIFIED</v>
      </c>
      <c r="W304" s="24" t="str">
        <f t="shared" si="32"/>
        <v>CH-643 | FACTORY2 | SB2 | SB | ASSEMBLY | 1207-SB2AI | OTHER | NOISE MANUAL INSPECTION M/C | NOISE INSPECTION | NOT_SPECIFIED</v>
      </c>
      <c r="X304" s="24" t="str">
        <f t="shared" si="33"/>
        <v/>
      </c>
      <c r="Y304" s="24" t="str">
        <f t="shared" si="34"/>
        <v>MISSING_STATUS; CATEGORY_NOT_USEFUL</v>
      </c>
    </row>
    <row r="305" spans="1:25" x14ac:dyDescent="0.3">
      <c r="A305" s="24" t="str">
        <f t="shared" si="28"/>
        <v>MA-878#0304</v>
      </c>
      <c r="B305" s="24" t="str">
        <f>IF('query (2)'!B305="","",TRIM(UPPER('query (2)'!B305)))</f>
        <v>MA-878</v>
      </c>
      <c r="C305" s="25" t="str">
        <f>IF('query (2)'!B305="","",'query (2)'!B305)</f>
        <v>MA-878</v>
      </c>
      <c r="D305" s="24" t="str">
        <f t="shared" si="29"/>
        <v>MA</v>
      </c>
      <c r="E305" s="24">
        <f t="shared" si="30"/>
        <v>1</v>
      </c>
      <c r="F305" s="24">
        <f>IF('query (2)'!A305="","",IFERROR(VALUE('query (2)'!A305),""))</f>
        <v>323</v>
      </c>
      <c r="G305" s="24" t="str">
        <f>IF('query (2)'!C305="","UNKNOWN",IFERROR(INDEX(Cleaning_Rules!$B$15:$B$20,MATCH(TRIM(UPPER('query (2)'!C305)),Cleaning_Rules!$A$15:$A$20,0)),"UNKNOWN"))</f>
        <v>FACTORY2</v>
      </c>
      <c r="H305" s="25" t="str">
        <f>IF('query (2)'!C305="","",'query (2)'!C305)</f>
        <v>FACTORY2</v>
      </c>
      <c r="I305" s="24" t="str" cm="1">
        <f t="array" ref="I305">_xlfn.IFS($G305="UNKNOWN","UNKNOWN",OR($G305="FACTORY1",$G305="FACTORY2",$G305="FACTORY3"),"PLANT",TRUE,"SHARED")</f>
        <v>PLANT</v>
      </c>
      <c r="J305" s="24" t="str">
        <f>IF('query (2)'!D305="","UNKNOWN",IF(COUNTIF(Cleaning_Rules!$A$6:$A$11,TRIM('query (2)'!D305))&gt;0,"UNKNOWN",IFERROR(INDEX(Cleaning_Rules!$B$24:$B$28,MATCH(TRIM(UPPER('query (2)'!D305)),Cleaning_Rules!$A$24:$A$28,0)),TRIM(UPPER('query (2)'!D305)))))</f>
        <v>SB2</v>
      </c>
      <c r="K305" s="25" t="str">
        <f>IF('query (2)'!D305="","",'query (2)'!D305)</f>
        <v>SB2</v>
      </c>
      <c r="L305" s="24" t="str">
        <f>IF($J305="UNKNOWN","",_xlfn.TEXTBEFORE($J305,{"0","1","2","3","4","5","6","7","8","9"," ","-","."},1,,,$J305))</f>
        <v>SB</v>
      </c>
      <c r="M305" s="24" t="str">
        <f>IF('query (2)'!I305&lt;&gt;"",TRIM(UPPER('query (2)'!I305)),IF($L305="","UNKNOWN",$L305))</f>
        <v>SB</v>
      </c>
      <c r="N305" s="24" t="str">
        <f>IF('query (2)'!I305&lt;&gt;"","SOURCE",IF($L305="","UNKNOWN","DERIVED"))</f>
        <v>SOURCE</v>
      </c>
      <c r="O305" s="24" t="str">
        <f>IF('query (2)'!E305="","NOT_SPECIFIED",TRIM(UPPER('query (2)'!E305)))</f>
        <v>ASSEMBLY</v>
      </c>
      <c r="P305" s="24" t="str">
        <f>IF('query (2)'!F305="","",TRIM(UPPER('query (2)'!F305)))</f>
        <v>1207-SB2AI</v>
      </c>
      <c r="Q305" s="24" t="str">
        <f>IF('query (2)'!G305="","UNKNOWN",IFERROR(INDEX(Cleaning_Rules!$B$38:$B$46,MATCH(TRIM(UPPER('query (2)'!G305)),Cleaning_Rules!$A$38:$A$46,0)),"UNKNOWN"))</f>
        <v>OTHER</v>
      </c>
      <c r="R305" s="24" t="str">
        <f>IF('query (2)'!H305="","",TRIM(UPPER('query (2)'!H305)))</f>
        <v>LASER MARKER M/C.</v>
      </c>
      <c r="S305" s="25" t="str">
        <f>IF('query (2)'!H305="","",'query (2)'!H305)</f>
        <v>Laser marker M/C.</v>
      </c>
      <c r="T305" s="24" t="str">
        <f>IF('query (2)'!J305="","",TRIM(UPPER('query (2)'!J305)))</f>
        <v>LASER MARKING</v>
      </c>
      <c r="U305" s="24" t="str">
        <f t="shared" si="31"/>
        <v/>
      </c>
      <c r="V305" s="24" t="str">
        <f>IF('query (2)'!K305="","NOT_SPECIFIED",IFERROR(INDEX(Cleaning_Rules!$B$32:$B$34,MATCH(TRIM(UPPER('query (2)'!K305)),Cleaning_Rules!$A$32:$A$34,0)),"UNKNOWN"))</f>
        <v>NOT_SPECIFIED</v>
      </c>
      <c r="W305" s="24" t="str">
        <f t="shared" si="32"/>
        <v>MA-878 | FACTORY2 | SB2 | SB | ASSEMBLY | 1207-SB2AI | OTHER | LASER MARKER M/C. | LASER MARKING | NOT_SPECIFIED</v>
      </c>
      <c r="X305" s="24" t="str">
        <f t="shared" si="33"/>
        <v/>
      </c>
      <c r="Y305" s="24" t="str">
        <f t="shared" si="34"/>
        <v>MISSING_STATUS; CATEGORY_NOT_USEFUL</v>
      </c>
    </row>
    <row r="306" spans="1:25" x14ac:dyDescent="0.3">
      <c r="A306" s="24" t="str">
        <f t="shared" si="28"/>
        <v>AR-906#0305</v>
      </c>
      <c r="B306" s="24" t="str">
        <f>IF('query (2)'!B306="","",TRIM(UPPER('query (2)'!B306)))</f>
        <v>AR-906</v>
      </c>
      <c r="C306" s="25" t="str">
        <f>IF('query (2)'!B306="","",'query (2)'!B306)</f>
        <v>AR-906</v>
      </c>
      <c r="D306" s="24" t="str">
        <f t="shared" si="29"/>
        <v>AR</v>
      </c>
      <c r="E306" s="24">
        <f t="shared" si="30"/>
        <v>1</v>
      </c>
      <c r="F306" s="24">
        <f>IF('query (2)'!A306="","",IFERROR(VALUE('query (2)'!A306),""))</f>
        <v>324</v>
      </c>
      <c r="G306" s="24" t="str">
        <f>IF('query (2)'!C306="","UNKNOWN",IFERROR(INDEX(Cleaning_Rules!$B$15:$B$20,MATCH(TRIM(UPPER('query (2)'!C306)),Cleaning_Rules!$A$15:$A$20,0)),"UNKNOWN"))</f>
        <v>FACTORY2</v>
      </c>
      <c r="H306" s="25" t="str">
        <f>IF('query (2)'!C306="","",'query (2)'!C306)</f>
        <v>FACTORY2</v>
      </c>
      <c r="I306" s="24" t="str" cm="1">
        <f t="array" ref="I306">_xlfn.IFS($G306="UNKNOWN","UNKNOWN",OR($G306="FACTORY1",$G306="FACTORY2",$G306="FACTORY3"),"PLANT",TRUE,"SHARED")</f>
        <v>PLANT</v>
      </c>
      <c r="J306" s="24" t="str">
        <f>IF('query (2)'!D306="","UNKNOWN",IF(COUNTIF(Cleaning_Rules!$A$6:$A$11,TRIM('query (2)'!D306))&gt;0,"UNKNOWN",IFERROR(INDEX(Cleaning_Rules!$B$24:$B$28,MATCH(TRIM(UPPER('query (2)'!D306)),Cleaning_Rules!$A$24:$A$28,0)),TRIM(UPPER('query (2)'!D306)))))</f>
        <v>SB2</v>
      </c>
      <c r="K306" s="25" t="str">
        <f>IF('query (2)'!D306="","",'query (2)'!D306)</f>
        <v>SB2</v>
      </c>
      <c r="L306" s="24" t="str">
        <f>IF($J306="UNKNOWN","",_xlfn.TEXTBEFORE($J306,{"0","1","2","3","4","5","6","7","8","9"," ","-","."},1,,,$J306))</f>
        <v>SB</v>
      </c>
      <c r="M306" s="24" t="str">
        <f>IF('query (2)'!I306&lt;&gt;"",TRIM(UPPER('query (2)'!I306)),IF($L306="","UNKNOWN",$L306))</f>
        <v>SB</v>
      </c>
      <c r="N306" s="24" t="str">
        <f>IF('query (2)'!I306&lt;&gt;"","SOURCE",IF($L306="","UNKNOWN","DERIVED"))</f>
        <v>SOURCE</v>
      </c>
      <c r="O306" s="24" t="str">
        <f>IF('query (2)'!E306="","NOT_SPECIFIED",TRIM(UPPER('query (2)'!E306)))</f>
        <v>ASSEMBLY</v>
      </c>
      <c r="P306" s="24" t="str">
        <f>IF('query (2)'!F306="","",TRIM(UPPER('query (2)'!F306)))</f>
        <v>1207-SB2AI</v>
      </c>
      <c r="Q306" s="24" t="str">
        <f>IF('query (2)'!G306="","UNKNOWN",IFERROR(INDEX(Cleaning_Rules!$B$38:$B$46,MATCH(TRIM(UPPER('query (2)'!G306)),Cleaning_Rules!$A$38:$A$46,0)),"UNKNOWN"))</f>
        <v>OTHER</v>
      </c>
      <c r="R306" s="24" t="str">
        <f>IF('query (2)'!H306="","",TRIM(UPPER('query (2)'!H306)))</f>
        <v>AUTO ANTIRUST</v>
      </c>
      <c r="S306" s="25" t="str">
        <f>IF('query (2)'!H306="","",'query (2)'!H306)</f>
        <v>Auto antirust</v>
      </c>
      <c r="T306" s="24" t="str">
        <f>IF('query (2)'!J306="","",TRIM(UPPER('query (2)'!J306)))</f>
        <v>ANTI RUST AUTO</v>
      </c>
      <c r="U306" s="24" t="str">
        <f t="shared" si="31"/>
        <v/>
      </c>
      <c r="V306" s="24" t="str">
        <f>IF('query (2)'!K306="","NOT_SPECIFIED",IFERROR(INDEX(Cleaning_Rules!$B$32:$B$34,MATCH(TRIM(UPPER('query (2)'!K306)),Cleaning_Rules!$A$32:$A$34,0)),"UNKNOWN"))</f>
        <v>NOT_SPECIFIED</v>
      </c>
      <c r="W306" s="24" t="str">
        <f t="shared" si="32"/>
        <v>AR-906 | FACTORY2 | SB2 | SB | ASSEMBLY | 1207-SB2AI | OTHER | AUTO ANTIRUST | ANTI RUST AUTO | NOT_SPECIFIED</v>
      </c>
      <c r="X306" s="24" t="str">
        <f t="shared" si="33"/>
        <v/>
      </c>
      <c r="Y306" s="24" t="str">
        <f t="shared" si="34"/>
        <v>MISSING_STATUS; CATEGORY_NOT_USEFUL</v>
      </c>
    </row>
    <row r="307" spans="1:25" x14ac:dyDescent="0.3">
      <c r="A307" s="24" t="str">
        <f t="shared" si="28"/>
        <v>CH-971#0306</v>
      </c>
      <c r="B307" s="24" t="str">
        <f>IF('query (2)'!B307="","",TRIM(UPPER('query (2)'!B307)))</f>
        <v>CH-971</v>
      </c>
      <c r="C307" s="25" t="str">
        <f>IF('query (2)'!B307="","",'query (2)'!B307)</f>
        <v>CH-971</v>
      </c>
      <c r="D307" s="24" t="str">
        <f t="shared" si="29"/>
        <v>CH</v>
      </c>
      <c r="E307" s="24">
        <f t="shared" si="30"/>
        <v>1</v>
      </c>
      <c r="F307" s="24">
        <f>IF('query (2)'!A307="","",IFERROR(VALUE('query (2)'!A307),""))</f>
        <v>325</v>
      </c>
      <c r="G307" s="24" t="str">
        <f>IF('query (2)'!C307="","UNKNOWN",IFERROR(INDEX(Cleaning_Rules!$B$15:$B$20,MATCH(TRIM(UPPER('query (2)'!C307)),Cleaning_Rules!$A$15:$A$20,0)),"UNKNOWN"))</f>
        <v>FACTORY2</v>
      </c>
      <c r="H307" s="25" t="str">
        <f>IF('query (2)'!C307="","",'query (2)'!C307)</f>
        <v>FACTORY2</v>
      </c>
      <c r="I307" s="24" t="str" cm="1">
        <f t="array" ref="I307">_xlfn.IFS($G307="UNKNOWN","UNKNOWN",OR($G307="FACTORY1",$G307="FACTORY2",$G307="FACTORY3"),"PLANT",TRUE,"SHARED")</f>
        <v>PLANT</v>
      </c>
      <c r="J307" s="24" t="str">
        <f>IF('query (2)'!D307="","UNKNOWN",IF(COUNTIF(Cleaning_Rules!$A$6:$A$11,TRIM('query (2)'!D307))&gt;0,"UNKNOWN",IFERROR(INDEX(Cleaning_Rules!$B$24:$B$28,MATCH(TRIM(UPPER('query (2)'!D307)),Cleaning_Rules!$A$24:$A$28,0)),TRIM(UPPER('query (2)'!D307)))))</f>
        <v>SB2</v>
      </c>
      <c r="K307" s="25" t="str">
        <f>IF('query (2)'!D307="","",'query (2)'!D307)</f>
        <v>SB2</v>
      </c>
      <c r="L307" s="24" t="str">
        <f>IF($J307="UNKNOWN","",_xlfn.TEXTBEFORE($J307,{"0","1","2","3","4","5","6","7","8","9"," ","-","."},1,,,$J307))</f>
        <v>SB</v>
      </c>
      <c r="M307" s="24" t="str">
        <f>IF('query (2)'!I307&lt;&gt;"",TRIM(UPPER('query (2)'!I307)),IF($L307="","UNKNOWN",$L307))</f>
        <v>SB</v>
      </c>
      <c r="N307" s="24" t="str">
        <f>IF('query (2)'!I307&lt;&gt;"","SOURCE",IF($L307="","UNKNOWN","DERIVED"))</f>
        <v>SOURCE</v>
      </c>
      <c r="O307" s="24" t="str">
        <f>IF('query (2)'!E307="","NOT_SPECIFIED",TRIM(UPPER('query (2)'!E307)))</f>
        <v>ASSEMBLY</v>
      </c>
      <c r="P307" s="24" t="str">
        <f>IF('query (2)'!F307="","",TRIM(UPPER('query (2)'!F307)))</f>
        <v>1207-SB2AI</v>
      </c>
      <c r="Q307" s="24" t="str">
        <f>IF('query (2)'!G307="","UNKNOWN",IFERROR(INDEX(Cleaning_Rules!$B$38:$B$46,MATCH(TRIM(UPPER('query (2)'!G307)),Cleaning_Rules!$A$38:$A$46,0)),"UNKNOWN"))</f>
        <v>OTHER</v>
      </c>
      <c r="R307" s="24" t="str">
        <f>IF('query (2)'!H307="","",TRIM(UPPER('query (2)'!H307)))</f>
        <v>OUTER / INNER EDDY CURRENT TESTER M/C</v>
      </c>
      <c r="S307" s="25" t="str">
        <f>IF('query (2)'!H307="","",'query (2)'!H307)</f>
        <v>Outer / Inner  Eddy current tester m/c</v>
      </c>
      <c r="T307" s="24" t="str">
        <f>IF('query (2)'!J307="","",TRIM(UPPER('query (2)'!J307)))</f>
        <v>A &amp; B - E.C.T.</v>
      </c>
      <c r="U307" s="24" t="str">
        <f t="shared" si="31"/>
        <v/>
      </c>
      <c r="V307" s="24" t="str">
        <f>IF('query (2)'!K307="","NOT_SPECIFIED",IFERROR(INDEX(Cleaning_Rules!$B$32:$B$34,MATCH(TRIM(UPPER('query (2)'!K307)),Cleaning_Rules!$A$32:$A$34,0)),"UNKNOWN"))</f>
        <v>NOT_SPECIFIED</v>
      </c>
      <c r="W307" s="24" t="str">
        <f t="shared" si="32"/>
        <v>CH-971 | FACTORY2 | SB2 | SB | ASSEMBLY | 1207-SB2AI | OTHER | OUTER / INNER EDDY CURRENT TESTER M/C | A &amp; B - E.C.T. | NOT_SPECIFIED</v>
      </c>
      <c r="X307" s="24" t="str">
        <f t="shared" si="33"/>
        <v/>
      </c>
      <c r="Y307" s="24" t="str">
        <f t="shared" si="34"/>
        <v>MISSING_STATUS; CATEGORY_NOT_USEFUL</v>
      </c>
    </row>
    <row r="308" spans="1:25" x14ac:dyDescent="0.3">
      <c r="A308" s="24" t="str">
        <f t="shared" si="28"/>
        <v>AS-986#0307</v>
      </c>
      <c r="B308" s="24" t="str">
        <f>IF('query (2)'!B308="","",TRIM(UPPER('query (2)'!B308)))</f>
        <v>AS-986</v>
      </c>
      <c r="C308" s="25" t="str">
        <f>IF('query (2)'!B308="","",'query (2)'!B308)</f>
        <v>AS-986</v>
      </c>
      <c r="D308" s="24" t="str">
        <f t="shared" si="29"/>
        <v>AS</v>
      </c>
      <c r="E308" s="24">
        <f t="shared" si="30"/>
        <v>1</v>
      </c>
      <c r="F308" s="24">
        <f>IF('query (2)'!A308="","",IFERROR(VALUE('query (2)'!A308),""))</f>
        <v>326</v>
      </c>
      <c r="G308" s="24" t="str">
        <f>IF('query (2)'!C308="","UNKNOWN",IFERROR(INDEX(Cleaning_Rules!$B$15:$B$20,MATCH(TRIM(UPPER('query (2)'!C308)),Cleaning_Rules!$A$15:$A$20,0)),"UNKNOWN"))</f>
        <v>FACTORY2</v>
      </c>
      <c r="H308" s="25" t="str">
        <f>IF('query (2)'!C308="","",'query (2)'!C308)</f>
        <v>FACTORY2</v>
      </c>
      <c r="I308" s="24" t="str" cm="1">
        <f t="array" ref="I308">_xlfn.IFS($G308="UNKNOWN","UNKNOWN",OR($G308="FACTORY1",$G308="FACTORY2",$G308="FACTORY3"),"PLANT",TRUE,"SHARED")</f>
        <v>PLANT</v>
      </c>
      <c r="J308" s="24" t="str">
        <f>IF('query (2)'!D308="","UNKNOWN",IF(COUNTIF(Cleaning_Rules!$A$6:$A$11,TRIM('query (2)'!D308))&gt;0,"UNKNOWN",IFERROR(INDEX(Cleaning_Rules!$B$24:$B$28,MATCH(TRIM(UPPER('query (2)'!D308)),Cleaning_Rules!$A$24:$A$28,0)),TRIM(UPPER('query (2)'!D308)))))</f>
        <v>SB2</v>
      </c>
      <c r="K308" s="25" t="str">
        <f>IF('query (2)'!D308="","",'query (2)'!D308)</f>
        <v>SB2</v>
      </c>
      <c r="L308" s="24" t="str">
        <f>IF($J308="UNKNOWN","",_xlfn.TEXTBEFORE($J308,{"0","1","2","3","4","5","6","7","8","9"," ","-","."},1,,,$J308))</f>
        <v>SB</v>
      </c>
      <c r="M308" s="24" t="str">
        <f>IF('query (2)'!I308&lt;&gt;"",TRIM(UPPER('query (2)'!I308)),IF($L308="","UNKNOWN",$L308))</f>
        <v>SB</v>
      </c>
      <c r="N308" s="24" t="str">
        <f>IF('query (2)'!I308&lt;&gt;"","SOURCE",IF($L308="","UNKNOWN","DERIVED"))</f>
        <v>SOURCE</v>
      </c>
      <c r="O308" s="24" t="str">
        <f>IF('query (2)'!E308="","NOT_SPECIFIED",TRIM(UPPER('query (2)'!E308)))</f>
        <v>ASSEMBLY</v>
      </c>
      <c r="P308" s="24" t="str">
        <f>IF('query (2)'!F308="","",TRIM(UPPER('query (2)'!F308)))</f>
        <v>1207-SB2AI</v>
      </c>
      <c r="Q308" s="24" t="str">
        <f>IF('query (2)'!G308="","UNKNOWN",IFERROR(INDEX(Cleaning_Rules!$B$38:$B$46,MATCH(TRIM(UPPER('query (2)'!G308)),Cleaning_Rules!$A$38:$A$46,0)),"UNKNOWN"))</f>
        <v>OTHER</v>
      </c>
      <c r="R308" s="24" t="str">
        <f>IF('query (2)'!H308="","",TRIM(UPPER('query (2)'!H308)))</f>
        <v>MATCHING &amp; BALL FILLING AUTO</v>
      </c>
      <c r="S308" s="25" t="str">
        <f>IF('query (2)'!H308="","",'query (2)'!H308)</f>
        <v>Matching &amp; Ball filling  auto</v>
      </c>
      <c r="T308" s="24" t="str">
        <f>IF('query (2)'!J308="","",TRIM(UPPER('query (2)'!J308)))</f>
        <v>MATCHING &amp; BALL FILLING</v>
      </c>
      <c r="U308" s="24" t="str">
        <f t="shared" si="31"/>
        <v/>
      </c>
      <c r="V308" s="24" t="str">
        <f>IF('query (2)'!K308="","NOT_SPECIFIED",IFERROR(INDEX(Cleaning_Rules!$B$32:$B$34,MATCH(TRIM(UPPER('query (2)'!K308)),Cleaning_Rules!$A$32:$A$34,0)),"UNKNOWN"))</f>
        <v>NOT_SPECIFIED</v>
      </c>
      <c r="W308" s="24" t="str">
        <f t="shared" si="32"/>
        <v>AS-986 | FACTORY2 | SB2 | SB | ASSEMBLY | 1207-SB2AI | OTHER | MATCHING &amp; BALL FILLING AUTO | MATCHING &amp; BALL FILLING | NOT_SPECIFIED</v>
      </c>
      <c r="X308" s="24" t="str">
        <f t="shared" si="33"/>
        <v/>
      </c>
      <c r="Y308" s="24" t="str">
        <f t="shared" si="34"/>
        <v>MISSING_STATUS; CATEGORY_NOT_USEFUL</v>
      </c>
    </row>
    <row r="309" spans="1:25" x14ac:dyDescent="0.3">
      <c r="A309" s="24" t="str">
        <f t="shared" si="28"/>
        <v>CH-1018#0308</v>
      </c>
      <c r="B309" s="24" t="str">
        <f>IF('query (2)'!B309="","",TRIM(UPPER('query (2)'!B309)))</f>
        <v>CH-1018</v>
      </c>
      <c r="C309" s="25" t="str">
        <f>IF('query (2)'!B309="","",'query (2)'!B309)</f>
        <v>CH-1018</v>
      </c>
      <c r="D309" s="24" t="str">
        <f t="shared" si="29"/>
        <v>CH</v>
      </c>
      <c r="E309" s="24">
        <f t="shared" si="30"/>
        <v>1</v>
      </c>
      <c r="F309" s="24">
        <f>IF('query (2)'!A309="","",IFERROR(VALUE('query (2)'!A309),""))</f>
        <v>327</v>
      </c>
      <c r="G309" s="24" t="str">
        <f>IF('query (2)'!C309="","UNKNOWN",IFERROR(INDEX(Cleaning_Rules!$B$15:$B$20,MATCH(TRIM(UPPER('query (2)'!C309)),Cleaning_Rules!$A$15:$A$20,0)),"UNKNOWN"))</f>
        <v>FACTORY2</v>
      </c>
      <c r="H309" s="25" t="str">
        <f>IF('query (2)'!C309="","",'query (2)'!C309)</f>
        <v>FACTORY2</v>
      </c>
      <c r="I309" s="24" t="str" cm="1">
        <f t="array" ref="I309">_xlfn.IFS($G309="UNKNOWN","UNKNOWN",OR($G309="FACTORY1",$G309="FACTORY2",$G309="FACTORY3"),"PLANT",TRUE,"SHARED")</f>
        <v>PLANT</v>
      </c>
      <c r="J309" s="24" t="str">
        <f>IF('query (2)'!D309="","UNKNOWN",IF(COUNTIF(Cleaning_Rules!$A$6:$A$11,TRIM('query (2)'!D309))&gt;0,"UNKNOWN",IFERROR(INDEX(Cleaning_Rules!$B$24:$B$28,MATCH(TRIM(UPPER('query (2)'!D309)),Cleaning_Rules!$A$24:$A$28,0)),TRIM(UPPER('query (2)'!D309)))))</f>
        <v>SB2</v>
      </c>
      <c r="K309" s="25" t="str">
        <f>IF('query (2)'!D309="","",'query (2)'!D309)</f>
        <v>SB2</v>
      </c>
      <c r="L309" s="24" t="str">
        <f>IF($J309="UNKNOWN","",_xlfn.TEXTBEFORE($J309,{"0","1","2","3","4","5","6","7","8","9"," ","-","."},1,,,$J309))</f>
        <v>SB</v>
      </c>
      <c r="M309" s="24" t="str">
        <f>IF('query (2)'!I309&lt;&gt;"",TRIM(UPPER('query (2)'!I309)),IF($L309="","UNKNOWN",$L309))</f>
        <v>SB</v>
      </c>
      <c r="N309" s="24" t="str">
        <f>IF('query (2)'!I309&lt;&gt;"","SOURCE",IF($L309="","UNKNOWN","DERIVED"))</f>
        <v>SOURCE</v>
      </c>
      <c r="O309" s="24" t="str">
        <f>IF('query (2)'!E309="","NOT_SPECIFIED",TRIM(UPPER('query (2)'!E309)))</f>
        <v>ASSEMBLY</v>
      </c>
      <c r="P309" s="24" t="str">
        <f>IF('query (2)'!F309="","",TRIM(UPPER('query (2)'!F309)))</f>
        <v>1207-SB2AI</v>
      </c>
      <c r="Q309" s="24" t="str">
        <f>IF('query (2)'!G309="","UNKNOWN",IFERROR(INDEX(Cleaning_Rules!$B$38:$B$46,MATCH(TRIM(UPPER('query (2)'!G309)),Cleaning_Rules!$A$38:$A$46,0)),"UNKNOWN"))</f>
        <v>OTHER</v>
      </c>
      <c r="R309" s="24" t="str">
        <f>IF('query (2)'!H309="","",TRIM(UPPER('query (2)'!H309)))</f>
        <v>DIMENSION CHECK M/C</v>
      </c>
      <c r="S309" s="25" t="str">
        <f>IF('query (2)'!H309="","",'query (2)'!H309)</f>
        <v>Dimension check M/C</v>
      </c>
      <c r="T309" s="24" t="str">
        <f>IF('query (2)'!J309="","",TRIM(UPPER('query (2)'!J309)))</f>
        <v>OD.CHECK AUTO</v>
      </c>
      <c r="U309" s="24" t="str">
        <f t="shared" si="31"/>
        <v/>
      </c>
      <c r="V309" s="24" t="str">
        <f>IF('query (2)'!K309="","NOT_SPECIFIED",IFERROR(INDEX(Cleaning_Rules!$B$32:$B$34,MATCH(TRIM(UPPER('query (2)'!K309)),Cleaning_Rules!$A$32:$A$34,0)),"UNKNOWN"))</f>
        <v>NOT_SPECIFIED</v>
      </c>
      <c r="W309" s="24" t="str">
        <f t="shared" si="32"/>
        <v>CH-1018 | FACTORY2 | SB2 | SB | ASSEMBLY | 1207-SB2AI | OTHER | DIMENSION CHECK M/C | OD.CHECK AUTO | NOT_SPECIFIED</v>
      </c>
      <c r="X309" s="24" t="str">
        <f t="shared" si="33"/>
        <v/>
      </c>
      <c r="Y309" s="24" t="str">
        <f t="shared" si="34"/>
        <v>MISSING_STATUS; CATEGORY_NOT_USEFUL</v>
      </c>
    </row>
    <row r="310" spans="1:25" x14ac:dyDescent="0.3">
      <c r="A310" s="24" t="str">
        <f t="shared" si="28"/>
        <v>GR-275#0309</v>
      </c>
      <c r="B310" s="24" t="str">
        <f>IF('query (2)'!B310="","",TRIM(UPPER('query (2)'!B310)))</f>
        <v>GR-275</v>
      </c>
      <c r="C310" s="25" t="str">
        <f>IF('query (2)'!B310="","",'query (2)'!B310)</f>
        <v>GR-275</v>
      </c>
      <c r="D310" s="24" t="str">
        <f t="shared" si="29"/>
        <v>GR</v>
      </c>
      <c r="E310" s="24">
        <f t="shared" si="30"/>
        <v>1</v>
      </c>
      <c r="F310" s="24">
        <f>IF('query (2)'!A310="","",IFERROR(VALUE('query (2)'!A310),""))</f>
        <v>328</v>
      </c>
      <c r="G310" s="24" t="str">
        <f>IF('query (2)'!C310="","UNKNOWN",IFERROR(INDEX(Cleaning_Rules!$B$15:$B$20,MATCH(TRIM(UPPER('query (2)'!C310)),Cleaning_Rules!$A$15:$A$20,0)),"UNKNOWN"))</f>
        <v>FACTORY2</v>
      </c>
      <c r="H310" s="25" t="str">
        <f>IF('query (2)'!C310="","",'query (2)'!C310)</f>
        <v>FACTORY2</v>
      </c>
      <c r="I310" s="24" t="str" cm="1">
        <f t="array" ref="I310">_xlfn.IFS($G310="UNKNOWN","UNKNOWN",OR($G310="FACTORY1",$G310="FACTORY2",$G310="FACTORY3"),"PLANT",TRUE,"SHARED")</f>
        <v>PLANT</v>
      </c>
      <c r="J310" s="24" t="str">
        <f>IF('query (2)'!D310="","UNKNOWN",IF(COUNTIF(Cleaning_Rules!$A$6:$A$11,TRIM('query (2)'!D310))&gt;0,"UNKNOWN",IFERROR(INDEX(Cleaning_Rules!$B$24:$B$28,MATCH(TRIM(UPPER('query (2)'!D310)),Cleaning_Rules!$A$24:$A$28,0)),TRIM(UPPER('query (2)'!D310)))))</f>
        <v>SB3</v>
      </c>
      <c r="K310" s="25" t="str">
        <f>IF('query (2)'!D310="","",'query (2)'!D310)</f>
        <v>SB3</v>
      </c>
      <c r="L310" s="24" t="str">
        <f>IF($J310="UNKNOWN","",_xlfn.TEXTBEFORE($J310,{"0","1","2","3","4","5","6","7","8","9"," ","-","."},1,,,$J310))</f>
        <v>SB</v>
      </c>
      <c r="M310" s="24" t="str">
        <f>IF('query (2)'!I310&lt;&gt;"",TRIM(UPPER('query (2)'!I310)),IF($L310="","UNKNOWN",$L310))</f>
        <v>SB</v>
      </c>
      <c r="N310" s="24" t="str">
        <f>IF('query (2)'!I310&lt;&gt;"","SOURCE",IF($L310="","UNKNOWN","DERIVED"))</f>
        <v>SOURCE</v>
      </c>
      <c r="O310" s="24" t="str">
        <f>IF('query (2)'!E310="","NOT_SPECIFIED",TRIM(UPPER('query (2)'!E310)))</f>
        <v>GRINDING 2</v>
      </c>
      <c r="P310" s="24" t="str">
        <f>IF('query (2)'!F310="","",TRIM(UPPER('query (2)'!F310)))</f>
        <v>1209-SB3G</v>
      </c>
      <c r="Q310" s="24" t="str">
        <f>IF('query (2)'!G310="","UNKNOWN",IFERROR(INDEX(Cleaning_Rules!$B$38:$B$46,MATCH(TRIM(UPPER('query (2)'!G310)),Cleaning_Rules!$A$38:$A$46,0)),"UNKNOWN"))</f>
        <v>OTHER</v>
      </c>
      <c r="R310" s="24" t="str">
        <f>IF('query (2)'!H310="","",TRIM(UPPER('query (2)'!H310)))</f>
        <v>INNER RING RACEWAY GRINDING M/C</v>
      </c>
      <c r="S310" s="25" t="str">
        <f>IF('query (2)'!H310="","",'query (2)'!H310)</f>
        <v>Inner ring raceway grinding M/C</v>
      </c>
      <c r="T310" s="24" t="str">
        <f>IF('query (2)'!J310="","",TRIM(UPPER('query (2)'!J310)))</f>
        <v>B - RACEWAY GRINDING</v>
      </c>
      <c r="U310" s="24" t="str">
        <f t="shared" si="31"/>
        <v/>
      </c>
      <c r="V310" s="24" t="str">
        <f>IF('query (2)'!K310="","NOT_SPECIFIED",IFERROR(INDEX(Cleaning_Rules!$B$32:$B$34,MATCH(TRIM(UPPER('query (2)'!K310)),Cleaning_Rules!$A$32:$A$34,0)),"UNKNOWN"))</f>
        <v>NOT_SPECIFIED</v>
      </c>
      <c r="W310" s="24" t="str">
        <f t="shared" si="32"/>
        <v>GR-275 | FACTORY2 | SB3 | SB | GRINDING 2 | 1209-SB3G | OTHER | INNER RING RACEWAY GRINDING M/C | B - RACEWAY GRINDING | NOT_SPECIFIED</v>
      </c>
      <c r="X310" s="24" t="str">
        <f t="shared" si="33"/>
        <v/>
      </c>
      <c r="Y310" s="24" t="str">
        <f t="shared" si="34"/>
        <v>MISSING_STATUS; CATEGORY_NOT_USEFUL</v>
      </c>
    </row>
    <row r="311" spans="1:25" x14ac:dyDescent="0.3">
      <c r="A311" s="24" t="str">
        <f t="shared" si="28"/>
        <v>GR-277#0310</v>
      </c>
      <c r="B311" s="24" t="str">
        <f>IF('query (2)'!B311="","",TRIM(UPPER('query (2)'!B311)))</f>
        <v>GR-277</v>
      </c>
      <c r="C311" s="25" t="str">
        <f>IF('query (2)'!B311="","",'query (2)'!B311)</f>
        <v>GR-277</v>
      </c>
      <c r="D311" s="24" t="str">
        <f t="shared" si="29"/>
        <v>GR</v>
      </c>
      <c r="E311" s="24">
        <f t="shared" si="30"/>
        <v>1</v>
      </c>
      <c r="F311" s="24">
        <f>IF('query (2)'!A311="","",IFERROR(VALUE('query (2)'!A311),""))</f>
        <v>329</v>
      </c>
      <c r="G311" s="24" t="str">
        <f>IF('query (2)'!C311="","UNKNOWN",IFERROR(INDEX(Cleaning_Rules!$B$15:$B$20,MATCH(TRIM(UPPER('query (2)'!C311)),Cleaning_Rules!$A$15:$A$20,0)),"UNKNOWN"))</f>
        <v>FACTORY2</v>
      </c>
      <c r="H311" s="25" t="str">
        <f>IF('query (2)'!C311="","",'query (2)'!C311)</f>
        <v>FACTORY2</v>
      </c>
      <c r="I311" s="24" t="str" cm="1">
        <f t="array" ref="I311">_xlfn.IFS($G311="UNKNOWN","UNKNOWN",OR($G311="FACTORY1",$G311="FACTORY2",$G311="FACTORY3"),"PLANT",TRUE,"SHARED")</f>
        <v>PLANT</v>
      </c>
      <c r="J311" s="24" t="str">
        <f>IF('query (2)'!D311="","UNKNOWN",IF(COUNTIF(Cleaning_Rules!$A$6:$A$11,TRIM('query (2)'!D311))&gt;0,"UNKNOWN",IFERROR(INDEX(Cleaning_Rules!$B$24:$B$28,MATCH(TRIM(UPPER('query (2)'!D311)),Cleaning_Rules!$A$24:$A$28,0)),TRIM(UPPER('query (2)'!D311)))))</f>
        <v>SB3</v>
      </c>
      <c r="K311" s="25" t="str">
        <f>IF('query (2)'!D311="","",'query (2)'!D311)</f>
        <v>SB3</v>
      </c>
      <c r="L311" s="24" t="str">
        <f>IF($J311="UNKNOWN","",_xlfn.TEXTBEFORE($J311,{"0","1","2","3","4","5","6","7","8","9"," ","-","."},1,,,$J311))</f>
        <v>SB</v>
      </c>
      <c r="M311" s="24" t="str">
        <f>IF('query (2)'!I311&lt;&gt;"",TRIM(UPPER('query (2)'!I311)),IF($L311="","UNKNOWN",$L311))</f>
        <v>SB</v>
      </c>
      <c r="N311" s="24" t="str">
        <f>IF('query (2)'!I311&lt;&gt;"","SOURCE",IF($L311="","UNKNOWN","DERIVED"))</f>
        <v>SOURCE</v>
      </c>
      <c r="O311" s="24" t="str">
        <f>IF('query (2)'!E311="","NOT_SPECIFIED",TRIM(UPPER('query (2)'!E311)))</f>
        <v>GRINDING 2</v>
      </c>
      <c r="P311" s="24" t="str">
        <f>IF('query (2)'!F311="","",TRIM(UPPER('query (2)'!F311)))</f>
        <v>1209-SB3G</v>
      </c>
      <c r="Q311" s="24" t="str">
        <f>IF('query (2)'!G311="","UNKNOWN",IFERROR(INDEX(Cleaning_Rules!$B$38:$B$46,MATCH(TRIM(UPPER('query (2)'!G311)),Cleaning_Rules!$A$38:$A$46,0)),"UNKNOWN"))</f>
        <v>OTHER</v>
      </c>
      <c r="R311" s="24" t="str">
        <f>IF('query (2)'!H311="","",TRIM(UPPER('query (2)'!H311)))</f>
        <v>INNER RING BORE GRINDING M/C</v>
      </c>
      <c r="S311" s="25" t="str">
        <f>IF('query (2)'!H311="","",'query (2)'!H311)</f>
        <v>Inner ring bore grinding M/C</v>
      </c>
      <c r="T311" s="24" t="str">
        <f>IF('query (2)'!J311="","",TRIM(UPPER('query (2)'!J311)))</f>
        <v>B - BORE GRINDING</v>
      </c>
      <c r="U311" s="24" t="str">
        <f t="shared" si="31"/>
        <v/>
      </c>
      <c r="V311" s="24" t="str">
        <f>IF('query (2)'!K311="","NOT_SPECIFIED",IFERROR(INDEX(Cleaning_Rules!$B$32:$B$34,MATCH(TRIM(UPPER('query (2)'!K311)),Cleaning_Rules!$A$32:$A$34,0)),"UNKNOWN"))</f>
        <v>NOT_SPECIFIED</v>
      </c>
      <c r="W311" s="24" t="str">
        <f t="shared" si="32"/>
        <v>GR-277 | FACTORY2 | SB3 | SB | GRINDING 2 | 1209-SB3G | OTHER | INNER RING BORE GRINDING M/C | B - BORE GRINDING | NOT_SPECIFIED</v>
      </c>
      <c r="X311" s="24" t="str">
        <f t="shared" si="33"/>
        <v/>
      </c>
      <c r="Y311" s="24" t="str">
        <f t="shared" si="34"/>
        <v>MISSING_STATUS; CATEGORY_NOT_USEFUL</v>
      </c>
    </row>
    <row r="312" spans="1:25" x14ac:dyDescent="0.3">
      <c r="A312" s="24" t="str">
        <f t="shared" si="28"/>
        <v>DE-279#0311</v>
      </c>
      <c r="B312" s="24" t="str">
        <f>IF('query (2)'!B312="","",TRIM(UPPER('query (2)'!B312)))</f>
        <v>DE-279</v>
      </c>
      <c r="C312" s="25" t="str">
        <f>IF('query (2)'!B312="","",'query (2)'!B312)</f>
        <v>DE-279</v>
      </c>
      <c r="D312" s="24" t="str">
        <f t="shared" si="29"/>
        <v>DE</v>
      </c>
      <c r="E312" s="24">
        <f t="shared" si="30"/>
        <v>1</v>
      </c>
      <c r="F312" s="24">
        <f>IF('query (2)'!A312="","",IFERROR(VALUE('query (2)'!A312),""))</f>
        <v>330</v>
      </c>
      <c r="G312" s="24" t="str">
        <f>IF('query (2)'!C312="","UNKNOWN",IFERROR(INDEX(Cleaning_Rules!$B$15:$B$20,MATCH(TRIM(UPPER('query (2)'!C312)),Cleaning_Rules!$A$15:$A$20,0)),"UNKNOWN"))</f>
        <v>FACTORY2</v>
      </c>
      <c r="H312" s="25" t="str">
        <f>IF('query (2)'!C312="","",'query (2)'!C312)</f>
        <v>FACTORY2</v>
      </c>
      <c r="I312" s="24" t="str" cm="1">
        <f t="array" ref="I312">_xlfn.IFS($G312="UNKNOWN","UNKNOWN",OR($G312="FACTORY1",$G312="FACTORY2",$G312="FACTORY3"),"PLANT",TRUE,"SHARED")</f>
        <v>PLANT</v>
      </c>
      <c r="J312" s="24" t="str">
        <f>IF('query (2)'!D312="","UNKNOWN",IF(COUNTIF(Cleaning_Rules!$A$6:$A$11,TRIM('query (2)'!D312))&gt;0,"UNKNOWN",IFERROR(INDEX(Cleaning_Rules!$B$24:$B$28,MATCH(TRIM(UPPER('query (2)'!D312)),Cleaning_Rules!$A$24:$A$28,0)),TRIM(UPPER('query (2)'!D312)))))</f>
        <v>SB3</v>
      </c>
      <c r="K312" s="25" t="str">
        <f>IF('query (2)'!D312="","",'query (2)'!D312)</f>
        <v>SB3</v>
      </c>
      <c r="L312" s="24" t="str">
        <f>IF($J312="UNKNOWN","",_xlfn.TEXTBEFORE($J312,{"0","1","2","3","4","5","6","7","8","9"," ","-","."},1,,,$J312))</f>
        <v>SB</v>
      </c>
      <c r="M312" s="24" t="str">
        <f>IF('query (2)'!I312&lt;&gt;"",TRIM(UPPER('query (2)'!I312)),IF($L312="","UNKNOWN",$L312))</f>
        <v>SB</v>
      </c>
      <c r="N312" s="24" t="str">
        <f>IF('query (2)'!I312&lt;&gt;"","SOURCE",IF($L312="","UNKNOWN","DERIVED"))</f>
        <v>SOURCE</v>
      </c>
      <c r="O312" s="24" t="str">
        <f>IF('query (2)'!E312="","NOT_SPECIFIED",TRIM(UPPER('query (2)'!E312)))</f>
        <v>GRINDING 2</v>
      </c>
      <c r="P312" s="24" t="str">
        <f>IF('query (2)'!F312="","",TRIM(UPPER('query (2)'!F312)))</f>
        <v>1209-SB3G</v>
      </c>
      <c r="Q312" s="24" t="str">
        <f>IF('query (2)'!G312="","UNKNOWN",IFERROR(INDEX(Cleaning_Rules!$B$38:$B$46,MATCH(TRIM(UPPER('query (2)'!G312)),Cleaning_Rules!$A$38:$A$46,0)),"UNKNOWN"))</f>
        <v>OTHER</v>
      </c>
      <c r="R312" s="24" t="str">
        <f>IF('query (2)'!H312="","",TRIM(UPPER('query (2)'!H312)))</f>
        <v>DEMAGNETIZING FOR INNER RING M/C</v>
      </c>
      <c r="S312" s="25" t="str">
        <f>IF('query (2)'!H312="","",'query (2)'!H312)</f>
        <v>Demagnetizing for  inner  ring  M/C</v>
      </c>
      <c r="T312" s="24" t="str">
        <f>IF('query (2)'!J312="","",TRIM(UPPER('query (2)'!J312)))</f>
        <v>B - DEMAGNETIZING</v>
      </c>
      <c r="U312" s="24" t="str">
        <f t="shared" si="31"/>
        <v/>
      </c>
      <c r="V312" s="24" t="str">
        <f>IF('query (2)'!K312="","NOT_SPECIFIED",IFERROR(INDEX(Cleaning_Rules!$B$32:$B$34,MATCH(TRIM(UPPER('query (2)'!K312)),Cleaning_Rules!$A$32:$A$34,0)),"UNKNOWN"))</f>
        <v>NOT_SPECIFIED</v>
      </c>
      <c r="W312" s="24" t="str">
        <f t="shared" si="32"/>
        <v>DE-279 | FACTORY2 | SB3 | SB | GRINDING 2 | 1209-SB3G | OTHER | DEMAGNETIZING FOR INNER RING M/C | B - DEMAGNETIZING | NOT_SPECIFIED</v>
      </c>
      <c r="X312" s="24" t="str">
        <f t="shared" si="33"/>
        <v/>
      </c>
      <c r="Y312" s="24" t="str">
        <f t="shared" si="34"/>
        <v>MISSING_STATUS; CATEGORY_NOT_USEFUL</v>
      </c>
    </row>
    <row r="313" spans="1:25" x14ac:dyDescent="0.3">
      <c r="A313" s="24" t="str">
        <f t="shared" si="28"/>
        <v>GR-280#0312</v>
      </c>
      <c r="B313" s="24" t="str">
        <f>IF('query (2)'!B313="","",TRIM(UPPER('query (2)'!B313)))</f>
        <v>GR-280</v>
      </c>
      <c r="C313" s="25" t="str">
        <f>IF('query (2)'!B313="","",'query (2)'!B313)</f>
        <v>GR-280</v>
      </c>
      <c r="D313" s="24" t="str">
        <f t="shared" si="29"/>
        <v>GR</v>
      </c>
      <c r="E313" s="24">
        <f t="shared" si="30"/>
        <v>1</v>
      </c>
      <c r="F313" s="24">
        <f>IF('query (2)'!A313="","",IFERROR(VALUE('query (2)'!A313),""))</f>
        <v>331</v>
      </c>
      <c r="G313" s="24" t="str">
        <f>IF('query (2)'!C313="","UNKNOWN",IFERROR(INDEX(Cleaning_Rules!$B$15:$B$20,MATCH(TRIM(UPPER('query (2)'!C313)),Cleaning_Rules!$A$15:$A$20,0)),"UNKNOWN"))</f>
        <v>FACTORY2</v>
      </c>
      <c r="H313" s="25" t="str">
        <f>IF('query (2)'!C313="","",'query (2)'!C313)</f>
        <v>FACTORY2</v>
      </c>
      <c r="I313" s="24" t="str" cm="1">
        <f t="array" ref="I313">_xlfn.IFS($G313="UNKNOWN","UNKNOWN",OR($G313="FACTORY1",$G313="FACTORY2",$G313="FACTORY3"),"PLANT",TRUE,"SHARED")</f>
        <v>PLANT</v>
      </c>
      <c r="J313" s="24" t="str">
        <f>IF('query (2)'!D313="","UNKNOWN",IF(COUNTIF(Cleaning_Rules!$A$6:$A$11,TRIM('query (2)'!D313))&gt;0,"UNKNOWN",IFERROR(INDEX(Cleaning_Rules!$B$24:$B$28,MATCH(TRIM(UPPER('query (2)'!D313)),Cleaning_Rules!$A$24:$A$28,0)),TRIM(UPPER('query (2)'!D313)))))</f>
        <v>SB3</v>
      </c>
      <c r="K313" s="25" t="str">
        <f>IF('query (2)'!D313="","",'query (2)'!D313)</f>
        <v>SB3</v>
      </c>
      <c r="L313" s="24" t="str">
        <f>IF($J313="UNKNOWN","",_xlfn.TEXTBEFORE($J313,{"0","1","2","3","4","5","6","7","8","9"," ","-","."},1,,,$J313))</f>
        <v>SB</v>
      </c>
      <c r="M313" s="24" t="str">
        <f>IF('query (2)'!I313&lt;&gt;"",TRIM(UPPER('query (2)'!I313)),IF($L313="","UNKNOWN",$L313))</f>
        <v>SB</v>
      </c>
      <c r="N313" s="24" t="str">
        <f>IF('query (2)'!I313&lt;&gt;"","SOURCE",IF($L313="","UNKNOWN","DERIVED"))</f>
        <v>SOURCE</v>
      </c>
      <c r="O313" s="24" t="str">
        <f>IF('query (2)'!E313="","NOT_SPECIFIED",TRIM(UPPER('query (2)'!E313)))</f>
        <v>GRINDING 2</v>
      </c>
      <c r="P313" s="24" t="str">
        <f>IF('query (2)'!F313="","",TRIM(UPPER('query (2)'!F313)))</f>
        <v>1209-SB3G</v>
      </c>
      <c r="Q313" s="24" t="str">
        <f>IF('query (2)'!G313="","UNKNOWN",IFERROR(INDEX(Cleaning_Rules!$B$38:$B$46,MATCH(TRIM(UPPER('query (2)'!G313)),Cleaning_Rules!$A$38:$A$46,0)),"UNKNOWN"))</f>
        <v>OTHER</v>
      </c>
      <c r="R313" s="24" t="str">
        <f>IF('query (2)'!H313="","",TRIM(UPPER('query (2)'!H313)))</f>
        <v>INNER RING RACEWAY SUPER FINISH M/C</v>
      </c>
      <c r="S313" s="25" t="str">
        <f>IF('query (2)'!H313="","",'query (2)'!H313)</f>
        <v>Inner ring raceway super finish M/C</v>
      </c>
      <c r="T313" s="24" t="str">
        <f>IF('query (2)'!J313="","",TRIM(UPPER('query (2)'!J313)))</f>
        <v>B - RACEWAY SUPER FINISH</v>
      </c>
      <c r="U313" s="24" t="str">
        <f t="shared" si="31"/>
        <v/>
      </c>
      <c r="V313" s="24" t="str">
        <f>IF('query (2)'!K313="","NOT_SPECIFIED",IFERROR(INDEX(Cleaning_Rules!$B$32:$B$34,MATCH(TRIM(UPPER('query (2)'!K313)),Cleaning_Rules!$A$32:$A$34,0)),"UNKNOWN"))</f>
        <v>NOT_SPECIFIED</v>
      </c>
      <c r="W313" s="24" t="str">
        <f t="shared" si="32"/>
        <v>GR-280 | FACTORY2 | SB3 | SB | GRINDING 2 | 1209-SB3G | OTHER | INNER RING RACEWAY SUPER FINISH M/C | B - RACEWAY SUPER FINISH | NOT_SPECIFIED</v>
      </c>
      <c r="X313" s="24" t="str">
        <f t="shared" si="33"/>
        <v/>
      </c>
      <c r="Y313" s="24" t="str">
        <f t="shared" si="34"/>
        <v>MISSING_STATUS; CATEGORY_NOT_USEFUL</v>
      </c>
    </row>
    <row r="314" spans="1:25" x14ac:dyDescent="0.3">
      <c r="A314" s="24" t="str">
        <f t="shared" si="28"/>
        <v>GR-284#0313</v>
      </c>
      <c r="B314" s="24" t="str">
        <f>IF('query (2)'!B314="","",TRIM(UPPER('query (2)'!B314)))</f>
        <v>GR-284</v>
      </c>
      <c r="C314" s="25" t="str">
        <f>IF('query (2)'!B314="","",'query (2)'!B314)</f>
        <v>GR-284</v>
      </c>
      <c r="D314" s="24" t="str">
        <f t="shared" si="29"/>
        <v>GR</v>
      </c>
      <c r="E314" s="24">
        <f t="shared" si="30"/>
        <v>1</v>
      </c>
      <c r="F314" s="24">
        <f>IF('query (2)'!A314="","",IFERROR(VALUE('query (2)'!A314),""))</f>
        <v>332</v>
      </c>
      <c r="G314" s="24" t="str">
        <f>IF('query (2)'!C314="","UNKNOWN",IFERROR(INDEX(Cleaning_Rules!$B$15:$B$20,MATCH(TRIM(UPPER('query (2)'!C314)),Cleaning_Rules!$A$15:$A$20,0)),"UNKNOWN"))</f>
        <v>FACTORY2</v>
      </c>
      <c r="H314" s="25" t="str">
        <f>IF('query (2)'!C314="","",'query (2)'!C314)</f>
        <v>FACTORY2</v>
      </c>
      <c r="I314" s="24" t="str" cm="1">
        <f t="array" ref="I314">_xlfn.IFS($G314="UNKNOWN","UNKNOWN",OR($G314="FACTORY1",$G314="FACTORY2",$G314="FACTORY3"),"PLANT",TRUE,"SHARED")</f>
        <v>PLANT</v>
      </c>
      <c r="J314" s="24" t="str">
        <f>IF('query (2)'!D314="","UNKNOWN",IF(COUNTIF(Cleaning_Rules!$A$6:$A$11,TRIM('query (2)'!D314))&gt;0,"UNKNOWN",IFERROR(INDEX(Cleaning_Rules!$B$24:$B$28,MATCH(TRIM(UPPER('query (2)'!D314)),Cleaning_Rules!$A$24:$A$28,0)),TRIM(UPPER('query (2)'!D314)))))</f>
        <v>SB3</v>
      </c>
      <c r="K314" s="25" t="str">
        <f>IF('query (2)'!D314="","",'query (2)'!D314)</f>
        <v>SB3</v>
      </c>
      <c r="L314" s="24" t="str">
        <f>IF($J314="UNKNOWN","",_xlfn.TEXTBEFORE($J314,{"0","1","2","3","4","5","6","7","8","9"," ","-","."},1,,,$J314))</f>
        <v>SB</v>
      </c>
      <c r="M314" s="24" t="str">
        <f>IF('query (2)'!I314&lt;&gt;"",TRIM(UPPER('query (2)'!I314)),IF($L314="","UNKNOWN",$L314))</f>
        <v>SB</v>
      </c>
      <c r="N314" s="24" t="str">
        <f>IF('query (2)'!I314&lt;&gt;"","SOURCE",IF($L314="","UNKNOWN","DERIVED"))</f>
        <v>SOURCE</v>
      </c>
      <c r="O314" s="24" t="str">
        <f>IF('query (2)'!E314="","NOT_SPECIFIED",TRIM(UPPER('query (2)'!E314)))</f>
        <v>GRINDING 2</v>
      </c>
      <c r="P314" s="24" t="str">
        <f>IF('query (2)'!F314="","",TRIM(UPPER('query (2)'!F314)))</f>
        <v>1209-SB3G</v>
      </c>
      <c r="Q314" s="24" t="str">
        <f>IF('query (2)'!G314="","UNKNOWN",IFERROR(INDEX(Cleaning_Rules!$B$38:$B$46,MATCH(TRIM(UPPER('query (2)'!G314)),Cleaning_Rules!$A$38:$A$46,0)),"UNKNOWN"))</f>
        <v>OTHER</v>
      </c>
      <c r="R314" s="24" t="str">
        <f>IF('query (2)'!H314="","",TRIM(UPPER('query (2)'!H314)))</f>
        <v>OUTER RING RACEWAY GRINDING M/C</v>
      </c>
      <c r="S314" s="25" t="str">
        <f>IF('query (2)'!H314="","",'query (2)'!H314)</f>
        <v>Outer ring raceway grinding M/C</v>
      </c>
      <c r="T314" s="24" t="str">
        <f>IF('query (2)'!J314="","",TRIM(UPPER('query (2)'!J314)))</f>
        <v>A - RACEWAY GRINDING</v>
      </c>
      <c r="U314" s="24" t="str">
        <f t="shared" si="31"/>
        <v/>
      </c>
      <c r="V314" s="24" t="str">
        <f>IF('query (2)'!K314="","NOT_SPECIFIED",IFERROR(INDEX(Cleaning_Rules!$B$32:$B$34,MATCH(TRIM(UPPER('query (2)'!K314)),Cleaning_Rules!$A$32:$A$34,0)),"UNKNOWN"))</f>
        <v>NOT_SPECIFIED</v>
      </c>
      <c r="W314" s="24" t="str">
        <f t="shared" si="32"/>
        <v>GR-284 | FACTORY2 | SB3 | SB | GRINDING 2 | 1209-SB3G | OTHER | OUTER RING RACEWAY GRINDING M/C | A - RACEWAY GRINDING | NOT_SPECIFIED</v>
      </c>
      <c r="X314" s="24" t="str">
        <f t="shared" si="33"/>
        <v/>
      </c>
      <c r="Y314" s="24" t="str">
        <f t="shared" si="34"/>
        <v>MISSING_STATUS; CATEGORY_NOT_USEFUL</v>
      </c>
    </row>
    <row r="315" spans="1:25" x14ac:dyDescent="0.3">
      <c r="A315" s="24" t="str">
        <f t="shared" si="28"/>
        <v>DE-285#0314</v>
      </c>
      <c r="B315" s="24" t="str">
        <f>IF('query (2)'!B315="","",TRIM(UPPER('query (2)'!B315)))</f>
        <v>DE-285</v>
      </c>
      <c r="C315" s="25" t="str">
        <f>IF('query (2)'!B315="","",'query (2)'!B315)</f>
        <v>DE-285</v>
      </c>
      <c r="D315" s="24" t="str">
        <f t="shared" si="29"/>
        <v>DE</v>
      </c>
      <c r="E315" s="24">
        <f t="shared" si="30"/>
        <v>1</v>
      </c>
      <c r="F315" s="24">
        <f>IF('query (2)'!A315="","",IFERROR(VALUE('query (2)'!A315),""))</f>
        <v>333</v>
      </c>
      <c r="G315" s="24" t="str">
        <f>IF('query (2)'!C315="","UNKNOWN",IFERROR(INDEX(Cleaning_Rules!$B$15:$B$20,MATCH(TRIM(UPPER('query (2)'!C315)),Cleaning_Rules!$A$15:$A$20,0)),"UNKNOWN"))</f>
        <v>FACTORY2</v>
      </c>
      <c r="H315" s="25" t="str">
        <f>IF('query (2)'!C315="","",'query (2)'!C315)</f>
        <v>FACTORY2</v>
      </c>
      <c r="I315" s="24" t="str" cm="1">
        <f t="array" ref="I315">_xlfn.IFS($G315="UNKNOWN","UNKNOWN",OR($G315="FACTORY1",$G315="FACTORY2",$G315="FACTORY3"),"PLANT",TRUE,"SHARED")</f>
        <v>PLANT</v>
      </c>
      <c r="J315" s="24" t="str">
        <f>IF('query (2)'!D315="","UNKNOWN",IF(COUNTIF(Cleaning_Rules!$A$6:$A$11,TRIM('query (2)'!D315))&gt;0,"UNKNOWN",IFERROR(INDEX(Cleaning_Rules!$B$24:$B$28,MATCH(TRIM(UPPER('query (2)'!D315)),Cleaning_Rules!$A$24:$A$28,0)),TRIM(UPPER('query (2)'!D315)))))</f>
        <v>SB3</v>
      </c>
      <c r="K315" s="25" t="str">
        <f>IF('query (2)'!D315="","",'query (2)'!D315)</f>
        <v>SB3</v>
      </c>
      <c r="L315" s="24" t="str">
        <f>IF($J315="UNKNOWN","",_xlfn.TEXTBEFORE($J315,{"0","1","2","3","4","5","6","7","8","9"," ","-","."},1,,,$J315))</f>
        <v>SB</v>
      </c>
      <c r="M315" s="24" t="str">
        <f>IF('query (2)'!I315&lt;&gt;"",TRIM(UPPER('query (2)'!I315)),IF($L315="","UNKNOWN",$L315))</f>
        <v>SB</v>
      </c>
      <c r="N315" s="24" t="str">
        <f>IF('query (2)'!I315&lt;&gt;"","SOURCE",IF($L315="","UNKNOWN","DERIVED"))</f>
        <v>SOURCE</v>
      </c>
      <c r="O315" s="24" t="str">
        <f>IF('query (2)'!E315="","NOT_SPECIFIED",TRIM(UPPER('query (2)'!E315)))</f>
        <v>GRINDING 2</v>
      </c>
      <c r="P315" s="24" t="str">
        <f>IF('query (2)'!F315="","",TRIM(UPPER('query (2)'!F315)))</f>
        <v>1209-SB3G</v>
      </c>
      <c r="Q315" s="24" t="str">
        <f>IF('query (2)'!G315="","UNKNOWN",IFERROR(INDEX(Cleaning_Rules!$B$38:$B$46,MATCH(TRIM(UPPER('query (2)'!G315)),Cleaning_Rules!$A$38:$A$46,0)),"UNKNOWN"))</f>
        <v>OTHER</v>
      </c>
      <c r="R315" s="24" t="str">
        <f>IF('query (2)'!H315="","",TRIM(UPPER('query (2)'!H315)))</f>
        <v>DEMAGNETIZING FOR OUTER RING M/C</v>
      </c>
      <c r="S315" s="25" t="str">
        <f>IF('query (2)'!H315="","",'query (2)'!H315)</f>
        <v>Demagnetizing  for  outer  ring  M/C</v>
      </c>
      <c r="T315" s="24" t="str">
        <f>IF('query (2)'!J315="","",TRIM(UPPER('query (2)'!J315)))</f>
        <v>A - DEMAGNETIZING</v>
      </c>
      <c r="U315" s="24" t="str">
        <f t="shared" si="31"/>
        <v/>
      </c>
      <c r="V315" s="24" t="str">
        <f>IF('query (2)'!K315="","NOT_SPECIFIED",IFERROR(INDEX(Cleaning_Rules!$B$32:$B$34,MATCH(TRIM(UPPER('query (2)'!K315)),Cleaning_Rules!$A$32:$A$34,0)),"UNKNOWN"))</f>
        <v>NOT_SPECIFIED</v>
      </c>
      <c r="W315" s="24" t="str">
        <f t="shared" si="32"/>
        <v>DE-285 | FACTORY2 | SB3 | SB | GRINDING 2 | 1209-SB3G | OTHER | DEMAGNETIZING FOR OUTER RING M/C | A - DEMAGNETIZING | NOT_SPECIFIED</v>
      </c>
      <c r="X315" s="24" t="str">
        <f t="shared" si="33"/>
        <v/>
      </c>
      <c r="Y315" s="24" t="str">
        <f t="shared" si="34"/>
        <v>MISSING_STATUS; CATEGORY_NOT_USEFUL</v>
      </c>
    </row>
    <row r="316" spans="1:25" x14ac:dyDescent="0.3">
      <c r="A316" s="24" t="str">
        <f t="shared" si="28"/>
        <v>GR-286#0315</v>
      </c>
      <c r="B316" s="24" t="str">
        <f>IF('query (2)'!B316="","",TRIM(UPPER('query (2)'!B316)))</f>
        <v>GR-286</v>
      </c>
      <c r="C316" s="25" t="str">
        <f>IF('query (2)'!B316="","",'query (2)'!B316)</f>
        <v>GR-286</v>
      </c>
      <c r="D316" s="24" t="str">
        <f t="shared" si="29"/>
        <v>GR</v>
      </c>
      <c r="E316" s="24">
        <f t="shared" si="30"/>
        <v>1</v>
      </c>
      <c r="F316" s="24">
        <f>IF('query (2)'!A316="","",IFERROR(VALUE('query (2)'!A316),""))</f>
        <v>334</v>
      </c>
      <c r="G316" s="24" t="str">
        <f>IF('query (2)'!C316="","UNKNOWN",IFERROR(INDEX(Cleaning_Rules!$B$15:$B$20,MATCH(TRIM(UPPER('query (2)'!C316)),Cleaning_Rules!$A$15:$A$20,0)),"UNKNOWN"))</f>
        <v>FACTORY2</v>
      </c>
      <c r="H316" s="25" t="str">
        <f>IF('query (2)'!C316="","",'query (2)'!C316)</f>
        <v>FACTORY2</v>
      </c>
      <c r="I316" s="24" t="str" cm="1">
        <f t="array" ref="I316">_xlfn.IFS($G316="UNKNOWN","UNKNOWN",OR($G316="FACTORY1",$G316="FACTORY2",$G316="FACTORY3"),"PLANT",TRUE,"SHARED")</f>
        <v>PLANT</v>
      </c>
      <c r="J316" s="24" t="str">
        <f>IF('query (2)'!D316="","UNKNOWN",IF(COUNTIF(Cleaning_Rules!$A$6:$A$11,TRIM('query (2)'!D316))&gt;0,"UNKNOWN",IFERROR(INDEX(Cleaning_Rules!$B$24:$B$28,MATCH(TRIM(UPPER('query (2)'!D316)),Cleaning_Rules!$A$24:$A$28,0)),TRIM(UPPER('query (2)'!D316)))))</f>
        <v>SB3</v>
      </c>
      <c r="K316" s="25" t="str">
        <f>IF('query (2)'!D316="","",'query (2)'!D316)</f>
        <v>SB3</v>
      </c>
      <c r="L316" s="24" t="str">
        <f>IF($J316="UNKNOWN","",_xlfn.TEXTBEFORE($J316,{"0","1","2","3","4","5","6","7","8","9"," ","-","."},1,,,$J316))</f>
        <v>SB</v>
      </c>
      <c r="M316" s="24" t="str">
        <f>IF('query (2)'!I316&lt;&gt;"",TRIM(UPPER('query (2)'!I316)),IF($L316="","UNKNOWN",$L316))</f>
        <v>SB</v>
      </c>
      <c r="N316" s="24" t="str">
        <f>IF('query (2)'!I316&lt;&gt;"","SOURCE",IF($L316="","UNKNOWN","DERIVED"))</f>
        <v>SOURCE</v>
      </c>
      <c r="O316" s="24" t="str">
        <f>IF('query (2)'!E316="","NOT_SPECIFIED",TRIM(UPPER('query (2)'!E316)))</f>
        <v>GRINDING 2</v>
      </c>
      <c r="P316" s="24" t="str">
        <f>IF('query (2)'!F316="","",TRIM(UPPER('query (2)'!F316)))</f>
        <v>1209-SB3G</v>
      </c>
      <c r="Q316" s="24" t="str">
        <f>IF('query (2)'!G316="","UNKNOWN",IFERROR(INDEX(Cleaning_Rules!$B$38:$B$46,MATCH(TRIM(UPPER('query (2)'!G316)),Cleaning_Rules!$A$38:$A$46,0)),"UNKNOWN"))</f>
        <v>OTHER</v>
      </c>
      <c r="R316" s="24" t="str">
        <f>IF('query (2)'!H316="","",TRIM(UPPER('query (2)'!H316)))</f>
        <v>OUTER RING RACEWAY SUPER FINISH M/C</v>
      </c>
      <c r="S316" s="25" t="str">
        <f>IF('query (2)'!H316="","",'query (2)'!H316)</f>
        <v>Outer ring raceway super finish M/C</v>
      </c>
      <c r="T316" s="24" t="str">
        <f>IF('query (2)'!J316="","",TRIM(UPPER('query (2)'!J316)))</f>
        <v>A - RACEWAY SUPER FINISH</v>
      </c>
      <c r="U316" s="24" t="str">
        <f t="shared" si="31"/>
        <v/>
      </c>
      <c r="V316" s="24" t="str">
        <f>IF('query (2)'!K316="","NOT_SPECIFIED",IFERROR(INDEX(Cleaning_Rules!$B$32:$B$34,MATCH(TRIM(UPPER('query (2)'!K316)),Cleaning_Rules!$A$32:$A$34,0)),"UNKNOWN"))</f>
        <v>NOT_SPECIFIED</v>
      </c>
      <c r="W316" s="24" t="str">
        <f t="shared" si="32"/>
        <v>GR-286 | FACTORY2 | SB3 | SB | GRINDING 2 | 1209-SB3G | OTHER | OUTER RING RACEWAY SUPER FINISH M/C | A - RACEWAY SUPER FINISH | NOT_SPECIFIED</v>
      </c>
      <c r="X316" s="24" t="str">
        <f t="shared" si="33"/>
        <v/>
      </c>
      <c r="Y316" s="24" t="str">
        <f t="shared" si="34"/>
        <v>MISSING_STATUS; CATEGORY_NOT_USEFUL</v>
      </c>
    </row>
    <row r="317" spans="1:25" x14ac:dyDescent="0.3">
      <c r="A317" s="24" t="str">
        <f t="shared" si="28"/>
        <v>WA-287#0316</v>
      </c>
      <c r="B317" s="24" t="str">
        <f>IF('query (2)'!B317="","",TRIM(UPPER('query (2)'!B317)))</f>
        <v>WA-287</v>
      </c>
      <c r="C317" s="25" t="str">
        <f>IF('query (2)'!B317="","",'query (2)'!B317)</f>
        <v>WA-287</v>
      </c>
      <c r="D317" s="24" t="str">
        <f t="shared" si="29"/>
        <v>WA</v>
      </c>
      <c r="E317" s="24">
        <f t="shared" si="30"/>
        <v>1</v>
      </c>
      <c r="F317" s="24">
        <f>IF('query (2)'!A317="","",IFERROR(VALUE('query (2)'!A317),""))</f>
        <v>335</v>
      </c>
      <c r="G317" s="24" t="str">
        <f>IF('query (2)'!C317="","UNKNOWN",IFERROR(INDEX(Cleaning_Rules!$B$15:$B$20,MATCH(TRIM(UPPER('query (2)'!C317)),Cleaning_Rules!$A$15:$A$20,0)),"UNKNOWN"))</f>
        <v>FACTORY2</v>
      </c>
      <c r="H317" s="25" t="str">
        <f>IF('query (2)'!C317="","",'query (2)'!C317)</f>
        <v>FACTORY2</v>
      </c>
      <c r="I317" s="24" t="str" cm="1">
        <f t="array" ref="I317">_xlfn.IFS($G317="UNKNOWN","UNKNOWN",OR($G317="FACTORY1",$G317="FACTORY2",$G317="FACTORY3"),"PLANT",TRUE,"SHARED")</f>
        <v>PLANT</v>
      </c>
      <c r="J317" s="24" t="str">
        <f>IF('query (2)'!D317="","UNKNOWN",IF(COUNTIF(Cleaning_Rules!$A$6:$A$11,TRIM('query (2)'!D317))&gt;0,"UNKNOWN",IFERROR(INDEX(Cleaning_Rules!$B$24:$B$28,MATCH(TRIM(UPPER('query (2)'!D317)),Cleaning_Rules!$A$24:$A$28,0)),TRIM(UPPER('query (2)'!D317)))))</f>
        <v>SB3</v>
      </c>
      <c r="K317" s="25" t="str">
        <f>IF('query (2)'!D317="","",'query (2)'!D317)</f>
        <v>SB3</v>
      </c>
      <c r="L317" s="24" t="str">
        <f>IF($J317="UNKNOWN","",_xlfn.TEXTBEFORE($J317,{"0","1","2","3","4","5","6","7","8","9"," ","-","."},1,,,$J317))</f>
        <v>SB</v>
      </c>
      <c r="M317" s="24" t="str">
        <f>IF('query (2)'!I317&lt;&gt;"",TRIM(UPPER('query (2)'!I317)),IF($L317="","UNKNOWN",$L317))</f>
        <v>SB</v>
      </c>
      <c r="N317" s="24" t="str">
        <f>IF('query (2)'!I317&lt;&gt;"","SOURCE",IF($L317="","UNKNOWN","DERIVED"))</f>
        <v>SOURCE</v>
      </c>
      <c r="O317" s="24" t="str">
        <f>IF('query (2)'!E317="","NOT_SPECIFIED",TRIM(UPPER('query (2)'!E317)))</f>
        <v>GRINDING 2</v>
      </c>
      <c r="P317" s="24" t="str">
        <f>IF('query (2)'!F317="","",TRIM(UPPER('query (2)'!F317)))</f>
        <v>1209-SB3G</v>
      </c>
      <c r="Q317" s="24" t="str">
        <f>IF('query (2)'!G317="","UNKNOWN",IFERROR(INDEX(Cleaning_Rules!$B$38:$B$46,MATCH(TRIM(UPPER('query (2)'!G317)),Cleaning_Rules!$A$38:$A$46,0)),"UNKNOWN"))</f>
        <v>OTHER</v>
      </c>
      <c r="R317" s="24" t="str">
        <f>IF('query (2)'!H317="","",TRIM(UPPER('query (2)'!H317)))</f>
        <v>OUTER / INNER RING PART WASH EQUIPMENT M/C</v>
      </c>
      <c r="S317" s="25" t="str">
        <f>IF('query (2)'!H317="","",'query (2)'!H317)</f>
        <v>Outer / Inner  ring part wash equipment  M/C</v>
      </c>
      <c r="T317" s="24" t="str">
        <f>IF('query (2)'!J317="","",TRIM(UPPER('query (2)'!J317)))</f>
        <v>A &amp; B - PART WASH EQUIPMENT</v>
      </c>
      <c r="U317" s="24" t="str">
        <f t="shared" si="31"/>
        <v/>
      </c>
      <c r="V317" s="24" t="str">
        <f>IF('query (2)'!K317="","NOT_SPECIFIED",IFERROR(INDEX(Cleaning_Rules!$B$32:$B$34,MATCH(TRIM(UPPER('query (2)'!K317)),Cleaning_Rules!$A$32:$A$34,0)),"UNKNOWN"))</f>
        <v>NOT_SPECIFIED</v>
      </c>
      <c r="W317" s="24" t="str">
        <f t="shared" si="32"/>
        <v>WA-287 | FACTORY2 | SB3 | SB | GRINDING 2 | 1209-SB3G | OTHER | OUTER / INNER RING PART WASH EQUIPMENT M/C | A &amp; B - PART WASH EQUIPMENT | NOT_SPECIFIED</v>
      </c>
      <c r="X317" s="24" t="str">
        <f t="shared" si="33"/>
        <v/>
      </c>
      <c r="Y317" s="24" t="str">
        <f t="shared" si="34"/>
        <v>MISSING_STATUS; CATEGORY_NOT_USEFUL</v>
      </c>
    </row>
    <row r="318" spans="1:25" x14ac:dyDescent="0.3">
      <c r="A318" s="24" t="str">
        <f t="shared" si="28"/>
        <v>CH-289#0317</v>
      </c>
      <c r="B318" s="24" t="str">
        <f>IF('query (2)'!B318="","",TRIM(UPPER('query (2)'!B318)))</f>
        <v>CH-289</v>
      </c>
      <c r="C318" s="25" t="str">
        <f>IF('query (2)'!B318="","",'query (2)'!B318)</f>
        <v>CH-289</v>
      </c>
      <c r="D318" s="24" t="str">
        <f t="shared" si="29"/>
        <v>CH</v>
      </c>
      <c r="E318" s="24">
        <f t="shared" si="30"/>
        <v>1</v>
      </c>
      <c r="F318" s="24">
        <f>IF('query (2)'!A318="","",IFERROR(VALUE('query (2)'!A318),""))</f>
        <v>336</v>
      </c>
      <c r="G318" s="24" t="str">
        <f>IF('query (2)'!C318="","UNKNOWN",IFERROR(INDEX(Cleaning_Rules!$B$15:$B$20,MATCH(TRIM(UPPER('query (2)'!C318)),Cleaning_Rules!$A$15:$A$20,0)),"UNKNOWN"))</f>
        <v>FACTORY2</v>
      </c>
      <c r="H318" s="25" t="str">
        <f>IF('query (2)'!C318="","",'query (2)'!C318)</f>
        <v>FACTORY2</v>
      </c>
      <c r="I318" s="24" t="str" cm="1">
        <f t="array" ref="I318">_xlfn.IFS($G318="UNKNOWN","UNKNOWN",OR($G318="FACTORY1",$G318="FACTORY2",$G318="FACTORY3"),"PLANT",TRUE,"SHARED")</f>
        <v>PLANT</v>
      </c>
      <c r="J318" s="24" t="str">
        <f>IF('query (2)'!D318="","UNKNOWN",IF(COUNTIF(Cleaning_Rules!$A$6:$A$11,TRIM('query (2)'!D318))&gt;0,"UNKNOWN",IFERROR(INDEX(Cleaning_Rules!$B$24:$B$28,MATCH(TRIM(UPPER('query (2)'!D318)),Cleaning_Rules!$A$24:$A$28,0)),TRIM(UPPER('query (2)'!D318)))))</f>
        <v>SB3</v>
      </c>
      <c r="K318" s="25" t="str">
        <f>IF('query (2)'!D318="","",'query (2)'!D318)</f>
        <v>SB3</v>
      </c>
      <c r="L318" s="24" t="str">
        <f>IF($J318="UNKNOWN","",_xlfn.TEXTBEFORE($J318,{"0","1","2","3","4","5","6","7","8","9"," ","-","."},1,,,$J318))</f>
        <v>SB</v>
      </c>
      <c r="M318" s="24" t="str">
        <f>IF('query (2)'!I318&lt;&gt;"",TRIM(UPPER('query (2)'!I318)),IF($L318="","UNKNOWN",$L318))</f>
        <v>SB</v>
      </c>
      <c r="N318" s="24" t="str">
        <f>IF('query (2)'!I318&lt;&gt;"","SOURCE",IF($L318="","UNKNOWN","DERIVED"))</f>
        <v>SOURCE</v>
      </c>
      <c r="O318" s="24" t="str">
        <f>IF('query (2)'!E318="","NOT_SPECIFIED",TRIM(UPPER('query (2)'!E318)))</f>
        <v>ASSEMBLY</v>
      </c>
      <c r="P318" s="24" t="str">
        <f>IF('query (2)'!F318="","",TRIM(UPPER('query (2)'!F318)))</f>
        <v>1210-SB3AI</v>
      </c>
      <c r="Q318" s="24" t="str">
        <f>IF('query (2)'!G318="","UNKNOWN",IFERROR(INDEX(Cleaning_Rules!$B$38:$B$46,MATCH(TRIM(UPPER('query (2)'!G318)),Cleaning_Rules!$A$38:$A$46,0)),"UNKNOWN"))</f>
        <v>OTHER</v>
      </c>
      <c r="R318" s="24" t="str">
        <f>IF('query (2)'!H318="","",TRIM(UPPER('query (2)'!H318)))</f>
        <v>OUTER/INNER RING MEASUREMENT FOR MATCHING M/C</v>
      </c>
      <c r="S318" s="25" t="str">
        <f>IF('query (2)'!H318="","",'query (2)'!H318)</f>
        <v>Outer/inner ring measurement for matching  M/C</v>
      </c>
      <c r="T318" s="24" t="str">
        <f>IF('query (2)'!J318="","",TRIM(UPPER('query (2)'!J318)))</f>
        <v/>
      </c>
      <c r="U318" s="24" t="str">
        <f t="shared" si="31"/>
        <v/>
      </c>
      <c r="V318" s="24" t="str">
        <f>IF('query (2)'!K318="","NOT_SPECIFIED",IFERROR(INDEX(Cleaning_Rules!$B$32:$B$34,MATCH(TRIM(UPPER('query (2)'!K318)),Cleaning_Rules!$A$32:$A$34,0)),"UNKNOWN"))</f>
        <v>NOT_SPECIFIED</v>
      </c>
      <c r="W318" s="24" t="str">
        <f t="shared" si="32"/>
        <v>CH-289 | FACTORY2 | SB3 | SB | ASSEMBLY | 1210-SB3AI | OTHER | OUTER/INNER RING MEASUREMENT FOR MATCHING M/C | NOT_SPECIFIED</v>
      </c>
      <c r="X318" s="24" t="str">
        <f t="shared" si="33"/>
        <v/>
      </c>
      <c r="Y318" s="24" t="str">
        <f t="shared" si="34"/>
        <v>MISSING_STATUS; CATEGORY_NOT_USEFUL; MISSING_PRODUCTION_NAME</v>
      </c>
    </row>
    <row r="319" spans="1:25" x14ac:dyDescent="0.3">
      <c r="A319" s="24" t="str">
        <f t="shared" si="28"/>
        <v>AS-290#0318</v>
      </c>
      <c r="B319" s="24" t="str">
        <f>IF('query (2)'!B319="","",TRIM(UPPER('query (2)'!B319)))</f>
        <v>AS-290</v>
      </c>
      <c r="C319" s="25" t="str">
        <f>IF('query (2)'!B319="","",'query (2)'!B319)</f>
        <v>AS-290</v>
      </c>
      <c r="D319" s="24" t="str">
        <f t="shared" si="29"/>
        <v>AS</v>
      </c>
      <c r="E319" s="24">
        <f t="shared" si="30"/>
        <v>1</v>
      </c>
      <c r="F319" s="24">
        <f>IF('query (2)'!A319="","",IFERROR(VALUE('query (2)'!A319),""))</f>
        <v>337</v>
      </c>
      <c r="G319" s="24" t="str">
        <f>IF('query (2)'!C319="","UNKNOWN",IFERROR(INDEX(Cleaning_Rules!$B$15:$B$20,MATCH(TRIM(UPPER('query (2)'!C319)),Cleaning_Rules!$A$15:$A$20,0)),"UNKNOWN"))</f>
        <v>FACTORY2</v>
      </c>
      <c r="H319" s="25" t="str">
        <f>IF('query (2)'!C319="","",'query (2)'!C319)</f>
        <v>FACTORY2</v>
      </c>
      <c r="I319" s="24" t="str" cm="1">
        <f t="array" ref="I319">_xlfn.IFS($G319="UNKNOWN","UNKNOWN",OR($G319="FACTORY1",$G319="FACTORY2",$G319="FACTORY3"),"PLANT",TRUE,"SHARED")</f>
        <v>PLANT</v>
      </c>
      <c r="J319" s="24" t="str">
        <f>IF('query (2)'!D319="","UNKNOWN",IF(COUNTIF(Cleaning_Rules!$A$6:$A$11,TRIM('query (2)'!D319))&gt;0,"UNKNOWN",IFERROR(INDEX(Cleaning_Rules!$B$24:$B$28,MATCH(TRIM(UPPER('query (2)'!D319)),Cleaning_Rules!$A$24:$A$28,0)),TRIM(UPPER('query (2)'!D319)))))</f>
        <v>SB3</v>
      </c>
      <c r="K319" s="25" t="str">
        <f>IF('query (2)'!D319="","",'query (2)'!D319)</f>
        <v>SB3</v>
      </c>
      <c r="L319" s="24" t="str">
        <f>IF($J319="UNKNOWN","",_xlfn.TEXTBEFORE($J319,{"0","1","2","3","4","5","6","7","8","9"," ","-","."},1,,,$J319))</f>
        <v>SB</v>
      </c>
      <c r="M319" s="24" t="str">
        <f>IF('query (2)'!I319&lt;&gt;"",TRIM(UPPER('query (2)'!I319)),IF($L319="","UNKNOWN",$L319))</f>
        <v>SB</v>
      </c>
      <c r="N319" s="24" t="str">
        <f>IF('query (2)'!I319&lt;&gt;"","SOURCE",IF($L319="","UNKNOWN","DERIVED"))</f>
        <v>SOURCE</v>
      </c>
      <c r="O319" s="24" t="str">
        <f>IF('query (2)'!E319="","NOT_SPECIFIED",TRIM(UPPER('query (2)'!E319)))</f>
        <v>ASSEMBLY</v>
      </c>
      <c r="P319" s="24" t="str">
        <f>IF('query (2)'!F319="","",TRIM(UPPER('query (2)'!F319)))</f>
        <v>1210-SB3AI</v>
      </c>
      <c r="Q319" s="24" t="str">
        <f>IF('query (2)'!G319="","UNKNOWN",IFERROR(INDEX(Cleaning_Rules!$B$38:$B$46,MATCH(TRIM(UPPER('query (2)'!G319)),Cleaning_Rules!$A$38:$A$46,0)),"UNKNOWN"))</f>
        <v>OTHER</v>
      </c>
      <c r="R319" s="24" t="str">
        <f>IF('query (2)'!H319="","",TRIM(UPPER('query (2)'!H319)))</f>
        <v>MATCHING &amp; BALL FILLING M/C</v>
      </c>
      <c r="S319" s="25" t="str">
        <f>IF('query (2)'!H319="","",'query (2)'!H319)</f>
        <v>Matching &amp; Ball filling  M/C</v>
      </c>
      <c r="T319" s="24" t="str">
        <f>IF('query (2)'!J319="","",TRIM(UPPER('query (2)'!J319)))</f>
        <v>MATCHING &amp; BALL FILLING</v>
      </c>
      <c r="U319" s="24" t="str">
        <f t="shared" si="31"/>
        <v/>
      </c>
      <c r="V319" s="24" t="str">
        <f>IF('query (2)'!K319="","NOT_SPECIFIED",IFERROR(INDEX(Cleaning_Rules!$B$32:$B$34,MATCH(TRIM(UPPER('query (2)'!K319)),Cleaning_Rules!$A$32:$A$34,0)),"UNKNOWN"))</f>
        <v>NOT_SPECIFIED</v>
      </c>
      <c r="W319" s="24" t="str">
        <f t="shared" si="32"/>
        <v>AS-290 | FACTORY2 | SB3 | SB | ASSEMBLY | 1210-SB3AI | OTHER | MATCHING &amp; BALL FILLING M/C | MATCHING &amp; BALL FILLING | NOT_SPECIFIED</v>
      </c>
      <c r="X319" s="24" t="str">
        <f t="shared" si="33"/>
        <v/>
      </c>
      <c r="Y319" s="24" t="str">
        <f t="shared" si="34"/>
        <v>MISSING_STATUS; CATEGORY_NOT_USEFUL</v>
      </c>
    </row>
    <row r="320" spans="1:25" x14ac:dyDescent="0.3">
      <c r="A320" s="24" t="str">
        <f t="shared" si="28"/>
        <v>AS-291#0319</v>
      </c>
      <c r="B320" s="24" t="str">
        <f>IF('query (2)'!B320="","",TRIM(UPPER('query (2)'!B320)))</f>
        <v>AS-291</v>
      </c>
      <c r="C320" s="25" t="str">
        <f>IF('query (2)'!B320="","",'query (2)'!B320)</f>
        <v>AS-291</v>
      </c>
      <c r="D320" s="24" t="str">
        <f t="shared" si="29"/>
        <v>AS</v>
      </c>
      <c r="E320" s="24">
        <f t="shared" si="30"/>
        <v>1</v>
      </c>
      <c r="F320" s="24">
        <f>IF('query (2)'!A320="","",IFERROR(VALUE('query (2)'!A320),""))</f>
        <v>338</v>
      </c>
      <c r="G320" s="24" t="str">
        <f>IF('query (2)'!C320="","UNKNOWN",IFERROR(INDEX(Cleaning_Rules!$B$15:$B$20,MATCH(TRIM(UPPER('query (2)'!C320)),Cleaning_Rules!$A$15:$A$20,0)),"UNKNOWN"))</f>
        <v>FACTORY2</v>
      </c>
      <c r="H320" s="25" t="str">
        <f>IF('query (2)'!C320="","",'query (2)'!C320)</f>
        <v>FACTORY2</v>
      </c>
      <c r="I320" s="24" t="str" cm="1">
        <f t="array" ref="I320">_xlfn.IFS($G320="UNKNOWN","UNKNOWN",OR($G320="FACTORY1",$G320="FACTORY2",$G320="FACTORY3"),"PLANT",TRUE,"SHARED")</f>
        <v>PLANT</v>
      </c>
      <c r="J320" s="24" t="str">
        <f>IF('query (2)'!D320="","UNKNOWN",IF(COUNTIF(Cleaning_Rules!$A$6:$A$11,TRIM('query (2)'!D320))&gt;0,"UNKNOWN",IFERROR(INDEX(Cleaning_Rules!$B$24:$B$28,MATCH(TRIM(UPPER('query (2)'!D320)),Cleaning_Rules!$A$24:$A$28,0)),TRIM(UPPER('query (2)'!D320)))))</f>
        <v>SB3</v>
      </c>
      <c r="K320" s="25" t="str">
        <f>IF('query (2)'!D320="","",'query (2)'!D320)</f>
        <v>SB3</v>
      </c>
      <c r="L320" s="24" t="str">
        <f>IF($J320="UNKNOWN","",_xlfn.TEXTBEFORE($J320,{"0","1","2","3","4","5","6","7","8","9"," ","-","."},1,,,$J320))</f>
        <v>SB</v>
      </c>
      <c r="M320" s="24" t="str">
        <f>IF('query (2)'!I320&lt;&gt;"",TRIM(UPPER('query (2)'!I320)),IF($L320="","UNKNOWN",$L320))</f>
        <v>SB</v>
      </c>
      <c r="N320" s="24" t="str">
        <f>IF('query (2)'!I320&lt;&gt;"","SOURCE",IF($L320="","UNKNOWN","DERIVED"))</f>
        <v>SOURCE</v>
      </c>
      <c r="O320" s="24" t="str">
        <f>IF('query (2)'!E320="","NOT_SPECIFIED",TRIM(UPPER('query (2)'!E320)))</f>
        <v>ASSEMBLY</v>
      </c>
      <c r="P320" s="24" t="str">
        <f>IF('query (2)'!F320="","",TRIM(UPPER('query (2)'!F320)))</f>
        <v>1210-SB3AI</v>
      </c>
      <c r="Q320" s="24" t="str">
        <f>IF('query (2)'!G320="","UNKNOWN",IFERROR(INDEX(Cleaning_Rules!$B$38:$B$46,MATCH(TRIM(UPPER('query (2)'!G320)),Cleaning_Rules!$A$38:$A$46,0)),"UNKNOWN"))</f>
        <v>OTHER</v>
      </c>
      <c r="R320" s="24" t="str">
        <f>IF('query (2)'!H320="","",TRIM(UPPER('query (2)'!H320)))</f>
        <v>BALL SEPERATION M/C</v>
      </c>
      <c r="S320" s="25" t="str">
        <f>IF('query (2)'!H320="","",'query (2)'!H320)</f>
        <v>Ball seperation M/C</v>
      </c>
      <c r="T320" s="24" t="str">
        <f>IF('query (2)'!J320="","",TRIM(UPPER('query (2)'!J320)))</f>
        <v/>
      </c>
      <c r="U320" s="24" t="str">
        <f t="shared" si="31"/>
        <v/>
      </c>
      <c r="V320" s="24" t="str">
        <f>IF('query (2)'!K320="","NOT_SPECIFIED",IFERROR(INDEX(Cleaning_Rules!$B$32:$B$34,MATCH(TRIM(UPPER('query (2)'!K320)),Cleaning_Rules!$A$32:$A$34,0)),"UNKNOWN"))</f>
        <v>NOT_SPECIFIED</v>
      </c>
      <c r="W320" s="24" t="str">
        <f t="shared" si="32"/>
        <v>AS-291 | FACTORY2 | SB3 | SB | ASSEMBLY | 1210-SB3AI | OTHER | BALL SEPERATION M/C | NOT_SPECIFIED</v>
      </c>
      <c r="X320" s="24" t="str">
        <f t="shared" si="33"/>
        <v/>
      </c>
      <c r="Y320" s="24" t="str">
        <f t="shared" si="34"/>
        <v>MISSING_STATUS; CATEGORY_NOT_USEFUL; MISSING_PRODUCTION_NAME</v>
      </c>
    </row>
    <row r="321" spans="1:25" x14ac:dyDescent="0.3">
      <c r="A321" s="24" t="str">
        <f t="shared" si="28"/>
        <v>AS-292#0320</v>
      </c>
      <c r="B321" s="24" t="str">
        <f>IF('query (2)'!B321="","",TRIM(UPPER('query (2)'!B321)))</f>
        <v>AS-292</v>
      </c>
      <c r="C321" s="25" t="str">
        <f>IF('query (2)'!B321="","",'query (2)'!B321)</f>
        <v>AS-292</v>
      </c>
      <c r="D321" s="24" t="str">
        <f t="shared" si="29"/>
        <v>AS</v>
      </c>
      <c r="E321" s="24">
        <f t="shared" si="30"/>
        <v>1</v>
      </c>
      <c r="F321" s="24">
        <f>IF('query (2)'!A321="","",IFERROR(VALUE('query (2)'!A321),""))</f>
        <v>339</v>
      </c>
      <c r="G321" s="24" t="str">
        <f>IF('query (2)'!C321="","UNKNOWN",IFERROR(INDEX(Cleaning_Rules!$B$15:$B$20,MATCH(TRIM(UPPER('query (2)'!C321)),Cleaning_Rules!$A$15:$A$20,0)),"UNKNOWN"))</f>
        <v>FACTORY2</v>
      </c>
      <c r="H321" s="25" t="str">
        <f>IF('query (2)'!C321="","",'query (2)'!C321)</f>
        <v>FACTORY2</v>
      </c>
      <c r="I321" s="24" t="str" cm="1">
        <f t="array" ref="I321">_xlfn.IFS($G321="UNKNOWN","UNKNOWN",OR($G321="FACTORY1",$G321="FACTORY2",$G321="FACTORY3"),"PLANT",TRUE,"SHARED")</f>
        <v>PLANT</v>
      </c>
      <c r="J321" s="24" t="str">
        <f>IF('query (2)'!D321="","UNKNOWN",IF(COUNTIF(Cleaning_Rules!$A$6:$A$11,TRIM('query (2)'!D321))&gt;0,"UNKNOWN",IFERROR(INDEX(Cleaning_Rules!$B$24:$B$28,MATCH(TRIM(UPPER('query (2)'!D321)),Cleaning_Rules!$A$24:$A$28,0)),TRIM(UPPER('query (2)'!D321)))))</f>
        <v>SB3</v>
      </c>
      <c r="K321" s="25" t="str">
        <f>IF('query (2)'!D321="","",'query (2)'!D321)</f>
        <v>SB3</v>
      </c>
      <c r="L321" s="24" t="str">
        <f>IF($J321="UNKNOWN","",_xlfn.TEXTBEFORE($J321,{"0","1","2","3","4","5","6","7","8","9"," ","-","."},1,,,$J321))</f>
        <v>SB</v>
      </c>
      <c r="M321" s="24" t="str">
        <f>IF('query (2)'!I321&lt;&gt;"",TRIM(UPPER('query (2)'!I321)),IF($L321="","UNKNOWN",$L321))</f>
        <v>SB</v>
      </c>
      <c r="N321" s="24" t="str">
        <f>IF('query (2)'!I321&lt;&gt;"","SOURCE",IF($L321="","UNKNOWN","DERIVED"))</f>
        <v>SOURCE</v>
      </c>
      <c r="O321" s="24" t="str">
        <f>IF('query (2)'!E321="","NOT_SPECIFIED",TRIM(UPPER('query (2)'!E321)))</f>
        <v>ASSEMBLY</v>
      </c>
      <c r="P321" s="24" t="str">
        <f>IF('query (2)'!F321="","",TRIM(UPPER('query (2)'!F321)))</f>
        <v>1210-SB3AI</v>
      </c>
      <c r="Q321" s="24" t="str">
        <f>IF('query (2)'!G321="","UNKNOWN",IFERROR(INDEX(Cleaning_Rules!$B$38:$B$46,MATCH(TRIM(UPPER('query (2)'!G321)),Cleaning_Rules!$A$38:$A$46,0)),"UNKNOWN"))</f>
        <v>OTHER</v>
      </c>
      <c r="R321" s="24" t="str">
        <f>IF('query (2)'!H321="","",TRIM(UPPER('query (2)'!H321)))</f>
        <v>RIVET PRESS M/C</v>
      </c>
      <c r="S321" s="25" t="str">
        <f>IF('query (2)'!H321="","",'query (2)'!H321)</f>
        <v>Rivet  press  M/C</v>
      </c>
      <c r="T321" s="24" t="str">
        <f>IF('query (2)'!J321="","",TRIM(UPPER('query (2)'!J321)))</f>
        <v>RIVET PRESSING</v>
      </c>
      <c r="U321" s="24" t="str">
        <f t="shared" si="31"/>
        <v/>
      </c>
      <c r="V321" s="24" t="str">
        <f>IF('query (2)'!K321="","NOT_SPECIFIED",IFERROR(INDEX(Cleaning_Rules!$B$32:$B$34,MATCH(TRIM(UPPER('query (2)'!K321)),Cleaning_Rules!$A$32:$A$34,0)),"UNKNOWN"))</f>
        <v>NOT_SPECIFIED</v>
      </c>
      <c r="W321" s="24" t="str">
        <f t="shared" si="32"/>
        <v>AS-292 | FACTORY2 | SB3 | SB | ASSEMBLY | 1210-SB3AI | OTHER | RIVET PRESS M/C | RIVET PRESSING | NOT_SPECIFIED</v>
      </c>
      <c r="X321" s="24" t="str">
        <f t="shared" si="33"/>
        <v/>
      </c>
      <c r="Y321" s="24" t="str">
        <f t="shared" si="34"/>
        <v>MISSING_STATUS; CATEGORY_NOT_USEFUL</v>
      </c>
    </row>
    <row r="322" spans="1:25" x14ac:dyDescent="0.3">
      <c r="A322" s="24" t="str">
        <f t="shared" si="28"/>
        <v>WA-293#0321</v>
      </c>
      <c r="B322" s="24" t="str">
        <f>IF('query (2)'!B322="","",TRIM(UPPER('query (2)'!B322)))</f>
        <v>WA-293</v>
      </c>
      <c r="C322" s="25" t="str">
        <f>IF('query (2)'!B322="","",'query (2)'!B322)</f>
        <v>WA-293</v>
      </c>
      <c r="D322" s="24" t="str">
        <f t="shared" si="29"/>
        <v>WA</v>
      </c>
      <c r="E322" s="24">
        <f t="shared" si="30"/>
        <v>1</v>
      </c>
      <c r="F322" s="24">
        <f>IF('query (2)'!A322="","",IFERROR(VALUE('query (2)'!A322),""))</f>
        <v>340</v>
      </c>
      <c r="G322" s="24" t="str">
        <f>IF('query (2)'!C322="","UNKNOWN",IFERROR(INDEX(Cleaning_Rules!$B$15:$B$20,MATCH(TRIM(UPPER('query (2)'!C322)),Cleaning_Rules!$A$15:$A$20,0)),"UNKNOWN"))</f>
        <v>FACTORY2</v>
      </c>
      <c r="H322" s="25" t="str">
        <f>IF('query (2)'!C322="","",'query (2)'!C322)</f>
        <v>FACTORY2</v>
      </c>
      <c r="I322" s="24" t="str" cm="1">
        <f t="array" ref="I322">_xlfn.IFS($G322="UNKNOWN","UNKNOWN",OR($G322="FACTORY1",$G322="FACTORY2",$G322="FACTORY3"),"PLANT",TRUE,"SHARED")</f>
        <v>PLANT</v>
      </c>
      <c r="J322" s="24" t="str">
        <f>IF('query (2)'!D322="","UNKNOWN",IF(COUNTIF(Cleaning_Rules!$A$6:$A$11,TRIM('query (2)'!D322))&gt;0,"UNKNOWN",IFERROR(INDEX(Cleaning_Rules!$B$24:$B$28,MATCH(TRIM(UPPER('query (2)'!D322)),Cleaning_Rules!$A$24:$A$28,0)),TRIM(UPPER('query (2)'!D322)))))</f>
        <v>SB3</v>
      </c>
      <c r="K322" s="25" t="str">
        <f>IF('query (2)'!D322="","",'query (2)'!D322)</f>
        <v>SB3</v>
      </c>
      <c r="L322" s="24" t="str">
        <f>IF($J322="UNKNOWN","",_xlfn.TEXTBEFORE($J322,{"0","1","2","3","4","5","6","7","8","9"," ","-","."},1,,,$J322))</f>
        <v>SB</v>
      </c>
      <c r="M322" s="24" t="str">
        <f>IF('query (2)'!I322&lt;&gt;"",TRIM(UPPER('query (2)'!I322)),IF($L322="","UNKNOWN",$L322))</f>
        <v>SB</v>
      </c>
      <c r="N322" s="24" t="str">
        <f>IF('query (2)'!I322&lt;&gt;"","SOURCE",IF($L322="","UNKNOWN","DERIVED"))</f>
        <v>SOURCE</v>
      </c>
      <c r="O322" s="24" t="str">
        <f>IF('query (2)'!E322="","NOT_SPECIFIED",TRIM(UPPER('query (2)'!E322)))</f>
        <v>ASSEMBLY</v>
      </c>
      <c r="P322" s="24" t="str">
        <f>IF('query (2)'!F322="","",TRIM(UPPER('query (2)'!F322)))</f>
        <v>1210-SB3AI</v>
      </c>
      <c r="Q322" s="24" t="str">
        <f>IF('query (2)'!G322="","UNKNOWN",IFERROR(INDEX(Cleaning_Rules!$B$38:$B$46,MATCH(TRIM(UPPER('query (2)'!G322)),Cleaning_Rules!$A$38:$A$46,0)),"UNKNOWN"))</f>
        <v>OTHER</v>
      </c>
      <c r="R322" s="24" t="str">
        <f>IF('query (2)'!H322="","",TRIM(UPPER('query (2)'!H322)))</f>
        <v>ROUGH WASHING M/C</v>
      </c>
      <c r="S322" s="25" t="str">
        <f>IF('query (2)'!H322="","",'query (2)'!H322)</f>
        <v>Rough  washing  M/C</v>
      </c>
      <c r="T322" s="24" t="str">
        <f>IF('query (2)'!J322="","",TRIM(UPPER('query (2)'!J322)))</f>
        <v/>
      </c>
      <c r="U322" s="24" t="str">
        <f t="shared" si="31"/>
        <v/>
      </c>
      <c r="V322" s="24" t="str">
        <f>IF('query (2)'!K322="","NOT_SPECIFIED",IFERROR(INDEX(Cleaning_Rules!$B$32:$B$34,MATCH(TRIM(UPPER('query (2)'!K322)),Cleaning_Rules!$A$32:$A$34,0)),"UNKNOWN"))</f>
        <v>NOT_SPECIFIED</v>
      </c>
      <c r="W322" s="24" t="str">
        <f t="shared" si="32"/>
        <v>WA-293 | FACTORY2 | SB3 | SB | ASSEMBLY | 1210-SB3AI | OTHER | ROUGH WASHING M/C | NOT_SPECIFIED</v>
      </c>
      <c r="X322" s="24" t="str">
        <f t="shared" si="33"/>
        <v/>
      </c>
      <c r="Y322" s="24" t="str">
        <f t="shared" si="34"/>
        <v>MISSING_STATUS; CATEGORY_NOT_USEFUL; MISSING_PRODUCTION_NAME</v>
      </c>
    </row>
    <row r="323" spans="1:25" x14ac:dyDescent="0.3">
      <c r="A323" s="24" t="str">
        <f t="shared" ref="A323:A386" si="35">IF($B323="","NO_QR#"&amp;TEXT(ROW()-1,"0000"),$B323&amp;"#"&amp;TEXT(ROW()-1,"0000"))</f>
        <v>CH-297#0322</v>
      </c>
      <c r="B323" s="24" t="str">
        <f>IF('query (2)'!B323="","",TRIM(UPPER('query (2)'!B323)))</f>
        <v>CH-297</v>
      </c>
      <c r="C323" s="25" t="str">
        <f>IF('query (2)'!B323="","",'query (2)'!B323)</f>
        <v>CH-297</v>
      </c>
      <c r="D323" s="24" t="str">
        <f t="shared" ref="D323:D386" si="36">IF($B323="","",IFERROR(_xlfn.TEXTBEFORE($B323,"-"),"NO_PREFIX"))</f>
        <v>CH</v>
      </c>
      <c r="E323" s="24">
        <f t="shared" ref="E323:E386" si="37">IF($B323="","",COUNTIF($B$2:$B$974,$B323))</f>
        <v>1</v>
      </c>
      <c r="F323" s="24">
        <f>IF('query (2)'!A323="","",IFERROR(VALUE('query (2)'!A323),""))</f>
        <v>341</v>
      </c>
      <c r="G323" s="24" t="str">
        <f>IF('query (2)'!C323="","UNKNOWN",IFERROR(INDEX(Cleaning_Rules!$B$15:$B$20,MATCH(TRIM(UPPER('query (2)'!C323)),Cleaning_Rules!$A$15:$A$20,0)),"UNKNOWN"))</f>
        <v>FACTORY2</v>
      </c>
      <c r="H323" s="25" t="str">
        <f>IF('query (2)'!C323="","",'query (2)'!C323)</f>
        <v>FACTORY2</v>
      </c>
      <c r="I323" s="24" t="str" cm="1">
        <f t="array" ref="I323">_xlfn.IFS($G323="UNKNOWN","UNKNOWN",OR($G323="FACTORY1",$G323="FACTORY2",$G323="FACTORY3"),"PLANT",TRUE,"SHARED")</f>
        <v>PLANT</v>
      </c>
      <c r="J323" s="24" t="str">
        <f>IF('query (2)'!D323="","UNKNOWN",IF(COUNTIF(Cleaning_Rules!$A$6:$A$11,TRIM('query (2)'!D323))&gt;0,"UNKNOWN",IFERROR(INDEX(Cleaning_Rules!$B$24:$B$28,MATCH(TRIM(UPPER('query (2)'!D323)),Cleaning_Rules!$A$24:$A$28,0)),TRIM(UPPER('query (2)'!D323)))))</f>
        <v>SB3</v>
      </c>
      <c r="K323" s="25" t="str">
        <f>IF('query (2)'!D323="","",'query (2)'!D323)</f>
        <v>SB3</v>
      </c>
      <c r="L323" s="24" t="str">
        <f>IF($J323="UNKNOWN","",_xlfn.TEXTBEFORE($J323,{"0","1","2","3","4","5","6","7","8","9"," ","-","."},1,,,$J323))</f>
        <v>SB</v>
      </c>
      <c r="M323" s="24" t="str">
        <f>IF('query (2)'!I323&lt;&gt;"",TRIM(UPPER('query (2)'!I323)),IF($L323="","UNKNOWN",$L323))</f>
        <v>SB</v>
      </c>
      <c r="N323" s="24" t="str">
        <f>IF('query (2)'!I323&lt;&gt;"","SOURCE",IF($L323="","UNKNOWN","DERIVED"))</f>
        <v>SOURCE</v>
      </c>
      <c r="O323" s="24" t="str">
        <f>IF('query (2)'!E323="","NOT_SPECIFIED",TRIM(UPPER('query (2)'!E323)))</f>
        <v>ASSEMBLY</v>
      </c>
      <c r="P323" s="24" t="str">
        <f>IF('query (2)'!F323="","",TRIM(UPPER('query (2)'!F323)))</f>
        <v>1210-SB3AI</v>
      </c>
      <c r="Q323" s="24" t="str">
        <f>IF('query (2)'!G323="","UNKNOWN",IFERROR(INDEX(Cleaning_Rules!$B$38:$B$46,MATCH(TRIM(UPPER('query (2)'!G323)),Cleaning_Rules!$A$38:$A$46,0)),"UNKNOWN"))</f>
        <v>OTHER</v>
      </c>
      <c r="R323" s="24" t="str">
        <f>IF('query (2)'!H323="","",TRIM(UPPER('query (2)'!H323)))</f>
        <v>NOISE INSPECTION M/C</v>
      </c>
      <c r="S323" s="25" t="str">
        <f>IF('query (2)'!H323="","",'query (2)'!H323)</f>
        <v>Noise  inspection  M/C</v>
      </c>
      <c r="T323" s="24" t="str">
        <f>IF('query (2)'!J323="","",TRIM(UPPER('query (2)'!J323)))</f>
        <v>NOISE INSPECTION</v>
      </c>
      <c r="U323" s="24" t="str">
        <f t="shared" ref="U323:U386" si="38">IFERROR(IF(ISNUMBER(VALUE(MID($R323,SEARCH("(??-???)",$R323)+4,3))),MID($R323,SEARCH("(??-???)",$R323)+1,6),""),"")</f>
        <v/>
      </c>
      <c r="V323" s="24" t="str">
        <f>IF('query (2)'!K323="","NOT_SPECIFIED",IFERROR(INDEX(Cleaning_Rules!$B$32:$B$34,MATCH(TRIM(UPPER('query (2)'!K323)),Cleaning_Rules!$A$32:$A$34,0)),"UNKNOWN"))</f>
        <v>NOT_SPECIFIED</v>
      </c>
      <c r="W323" s="24" t="str">
        <f t="shared" ref="W323:W386" si="39">_xlfn.TEXTJOIN(" | ",TRUE,$B323,$G323,$J323,$M323,$O323,$P323,$Q323,$R323,$T323,$V323)</f>
        <v>CH-297 | FACTORY2 | SB3 | SB | ASSEMBLY | 1210-SB3AI | OTHER | NOISE INSPECTION M/C | NOISE INSPECTION | NOT_SPECIFIED</v>
      </c>
      <c r="X323" s="24" t="str">
        <f t="shared" ref="X323:X386" si="40">_xlfn.TEXTJOIN("; ",TRUE,IF($B323="","MISSING_QR",""),IF(N($E323)&gt;1,"DUPLICATE_QR",""),IF($F323="","MISSING_NO",""),IF($G323="UNKNOWN","MISSING_LOCATION",""),IF($J323="UNKNOWN","MISSING_DEPARTMENT",""),IF($N323="UNKNOWN","MISSING_SECTION",""),IF($O323="NOT_SPECIFIED","MISSING_RESPONSIBLE",""),IF($P323="","MISSING_COST_CENTER",""),IF($Q323="UNKNOWN","MISSING_CATEGORY",""),IF($R323="","MISSING_DESCRIPTION",""))</f>
        <v/>
      </c>
      <c r="Y323" s="24" t="str">
        <f t="shared" ref="Y323:Y386" si="41">_xlfn.TEXTJOIN("; ",TRUE,IF($V323="NOT_SPECIFIED","MISSING_STATUS",""),IF($Q323="OTHER","CATEGORY_NOT_USEFUL",""),IF($T323="","MISSING_PRODUCTION_NAME",""),IF($N323="DERIVED","SECTION_DERIVED",""))</f>
        <v>MISSING_STATUS; CATEGORY_NOT_USEFUL</v>
      </c>
    </row>
    <row r="324" spans="1:25" x14ac:dyDescent="0.3">
      <c r="A324" s="24" t="str">
        <f t="shared" si="35"/>
        <v>AS-298#0323</v>
      </c>
      <c r="B324" s="24" t="str">
        <f>IF('query (2)'!B324="","",TRIM(UPPER('query (2)'!B324)))</f>
        <v>AS-298</v>
      </c>
      <c r="C324" s="25" t="str">
        <f>IF('query (2)'!B324="","",'query (2)'!B324)</f>
        <v>AS-298</v>
      </c>
      <c r="D324" s="24" t="str">
        <f t="shared" si="36"/>
        <v>AS</v>
      </c>
      <c r="E324" s="24">
        <f t="shared" si="37"/>
        <v>1</v>
      </c>
      <c r="F324" s="24">
        <f>IF('query (2)'!A324="","",IFERROR(VALUE('query (2)'!A324),""))</f>
        <v>342</v>
      </c>
      <c r="G324" s="24" t="str">
        <f>IF('query (2)'!C324="","UNKNOWN",IFERROR(INDEX(Cleaning_Rules!$B$15:$B$20,MATCH(TRIM(UPPER('query (2)'!C324)),Cleaning_Rules!$A$15:$A$20,0)),"UNKNOWN"))</f>
        <v>FACTORY2</v>
      </c>
      <c r="H324" s="25" t="str">
        <f>IF('query (2)'!C324="","",'query (2)'!C324)</f>
        <v>FACTORY2</v>
      </c>
      <c r="I324" s="24" t="str" cm="1">
        <f t="array" ref="I324">_xlfn.IFS($G324="UNKNOWN","UNKNOWN",OR($G324="FACTORY1",$G324="FACTORY2",$G324="FACTORY3"),"PLANT",TRUE,"SHARED")</f>
        <v>PLANT</v>
      </c>
      <c r="J324" s="24" t="str">
        <f>IF('query (2)'!D324="","UNKNOWN",IF(COUNTIF(Cleaning_Rules!$A$6:$A$11,TRIM('query (2)'!D324))&gt;0,"UNKNOWN",IFERROR(INDEX(Cleaning_Rules!$B$24:$B$28,MATCH(TRIM(UPPER('query (2)'!D324)),Cleaning_Rules!$A$24:$A$28,0)),TRIM(UPPER('query (2)'!D324)))))</f>
        <v>SB3</v>
      </c>
      <c r="K324" s="25" t="str">
        <f>IF('query (2)'!D324="","",'query (2)'!D324)</f>
        <v>SB3</v>
      </c>
      <c r="L324" s="24" t="str">
        <f>IF($J324="UNKNOWN","",_xlfn.TEXTBEFORE($J324,{"0","1","2","3","4","5","6","7","8","9"," ","-","."},1,,,$J324))</f>
        <v>SB</v>
      </c>
      <c r="M324" s="24" t="str">
        <f>IF('query (2)'!I324&lt;&gt;"",TRIM(UPPER('query (2)'!I324)),IF($L324="","UNKNOWN",$L324))</f>
        <v>SB</v>
      </c>
      <c r="N324" s="24" t="str">
        <f>IF('query (2)'!I324&lt;&gt;"","SOURCE",IF($L324="","UNKNOWN","DERIVED"))</f>
        <v>SOURCE</v>
      </c>
      <c r="O324" s="24" t="str">
        <f>IF('query (2)'!E324="","NOT_SPECIFIED",TRIM(UPPER('query (2)'!E324)))</f>
        <v>ASSEMBLY</v>
      </c>
      <c r="P324" s="24" t="str">
        <f>IF('query (2)'!F324="","",TRIM(UPPER('query (2)'!F324)))</f>
        <v>1210-SB3AI</v>
      </c>
      <c r="Q324" s="24" t="str">
        <f>IF('query (2)'!G324="","UNKNOWN",IFERROR(INDEX(Cleaning_Rules!$B$38:$B$46,MATCH(TRIM(UPPER('query (2)'!G324)),Cleaning_Rules!$A$38:$A$46,0)),"UNKNOWN"))</f>
        <v>OTHER</v>
      </c>
      <c r="R324" s="24" t="str">
        <f>IF('query (2)'!H324="","",TRIM(UPPER('query (2)'!H324)))</f>
        <v>GREASE INJECTION M/C</v>
      </c>
      <c r="S324" s="25" t="str">
        <f>IF('query (2)'!H324="","",'query (2)'!H324)</f>
        <v>Grease  injection  M/C</v>
      </c>
      <c r="T324" s="24" t="str">
        <f>IF('query (2)'!J324="","",TRIM(UPPER('query (2)'!J324)))</f>
        <v>GREASE INJECTION</v>
      </c>
      <c r="U324" s="24" t="str">
        <f t="shared" si="38"/>
        <v/>
      </c>
      <c r="V324" s="24" t="str">
        <f>IF('query (2)'!K324="","NOT_SPECIFIED",IFERROR(INDEX(Cleaning_Rules!$B$32:$B$34,MATCH(TRIM(UPPER('query (2)'!K324)),Cleaning_Rules!$A$32:$A$34,0)),"UNKNOWN"))</f>
        <v>NOT_SPECIFIED</v>
      </c>
      <c r="W324" s="24" t="str">
        <f t="shared" si="39"/>
        <v>AS-298 | FACTORY2 | SB3 | SB | ASSEMBLY | 1210-SB3AI | OTHER | GREASE INJECTION M/C | GREASE INJECTION | NOT_SPECIFIED</v>
      </c>
      <c r="X324" s="24" t="str">
        <f t="shared" si="40"/>
        <v/>
      </c>
      <c r="Y324" s="24" t="str">
        <f t="shared" si="41"/>
        <v>MISSING_STATUS; CATEGORY_NOT_USEFUL</v>
      </c>
    </row>
    <row r="325" spans="1:25" x14ac:dyDescent="0.3">
      <c r="A325" s="24" t="str">
        <f t="shared" si="35"/>
        <v>AS-299#0324</v>
      </c>
      <c r="B325" s="24" t="str">
        <f>IF('query (2)'!B325="","",TRIM(UPPER('query (2)'!B325)))</f>
        <v>AS-299</v>
      </c>
      <c r="C325" s="25" t="str">
        <f>IF('query (2)'!B325="","",'query (2)'!B325)</f>
        <v>AS-299</v>
      </c>
      <c r="D325" s="24" t="str">
        <f t="shared" si="36"/>
        <v>AS</v>
      </c>
      <c r="E325" s="24">
        <f t="shared" si="37"/>
        <v>1</v>
      </c>
      <c r="F325" s="24">
        <f>IF('query (2)'!A325="","",IFERROR(VALUE('query (2)'!A325),""))</f>
        <v>343</v>
      </c>
      <c r="G325" s="24" t="str">
        <f>IF('query (2)'!C325="","UNKNOWN",IFERROR(INDEX(Cleaning_Rules!$B$15:$B$20,MATCH(TRIM(UPPER('query (2)'!C325)),Cleaning_Rules!$A$15:$A$20,0)),"UNKNOWN"))</f>
        <v>FACTORY2</v>
      </c>
      <c r="H325" s="25" t="str">
        <f>IF('query (2)'!C325="","",'query (2)'!C325)</f>
        <v>FACTORY2</v>
      </c>
      <c r="I325" s="24" t="str" cm="1">
        <f t="array" ref="I325">_xlfn.IFS($G325="UNKNOWN","UNKNOWN",OR($G325="FACTORY1",$G325="FACTORY2",$G325="FACTORY3"),"PLANT",TRUE,"SHARED")</f>
        <v>PLANT</v>
      </c>
      <c r="J325" s="24" t="str">
        <f>IF('query (2)'!D325="","UNKNOWN",IF(COUNTIF(Cleaning_Rules!$A$6:$A$11,TRIM('query (2)'!D325))&gt;0,"UNKNOWN",IFERROR(INDEX(Cleaning_Rules!$B$24:$B$28,MATCH(TRIM(UPPER('query (2)'!D325)),Cleaning_Rules!$A$24:$A$28,0)),TRIM(UPPER('query (2)'!D325)))))</f>
        <v>SB3</v>
      </c>
      <c r="K325" s="25" t="str">
        <f>IF('query (2)'!D325="","",'query (2)'!D325)</f>
        <v>SB3</v>
      </c>
      <c r="L325" s="24" t="str">
        <f>IF($J325="UNKNOWN","",_xlfn.TEXTBEFORE($J325,{"0","1","2","3","4","5","6","7","8","9"," ","-","."},1,,,$J325))</f>
        <v>SB</v>
      </c>
      <c r="M325" s="24" t="str">
        <f>IF('query (2)'!I325&lt;&gt;"",TRIM(UPPER('query (2)'!I325)),IF($L325="","UNKNOWN",$L325))</f>
        <v>SB</v>
      </c>
      <c r="N325" s="24" t="str">
        <f>IF('query (2)'!I325&lt;&gt;"","SOURCE",IF($L325="","UNKNOWN","DERIVED"))</f>
        <v>SOURCE</v>
      </c>
      <c r="O325" s="24" t="str">
        <f>IF('query (2)'!E325="","NOT_SPECIFIED",TRIM(UPPER('query (2)'!E325)))</f>
        <v>ASSEMBLY</v>
      </c>
      <c r="P325" s="24" t="str">
        <f>IF('query (2)'!F325="","",TRIM(UPPER('query (2)'!F325)))</f>
        <v>1210-SB3AI</v>
      </c>
      <c r="Q325" s="24" t="str">
        <f>IF('query (2)'!G325="","UNKNOWN",IFERROR(INDEX(Cleaning_Rules!$B$38:$B$46,MATCH(TRIM(UPPER('query (2)'!G325)),Cleaning_Rules!$A$38:$A$46,0)),"UNKNOWN"))</f>
        <v>OTHER</v>
      </c>
      <c r="R325" s="24" t="str">
        <f>IF('query (2)'!H325="","",TRIM(UPPER('query (2)'!H325)))</f>
        <v>SEAL PRESS NO.1 M/C</v>
      </c>
      <c r="S325" s="25" t="str">
        <f>IF('query (2)'!H325="","",'query (2)'!H325)</f>
        <v>Seal  press NO.1  M/C</v>
      </c>
      <c r="T325" s="24" t="str">
        <f>IF('query (2)'!J325="","",TRIM(UPPER('query (2)'!J325)))</f>
        <v>SEAL PRESSING NO.1</v>
      </c>
      <c r="U325" s="24" t="str">
        <f t="shared" si="38"/>
        <v/>
      </c>
      <c r="V325" s="24" t="str">
        <f>IF('query (2)'!K325="","NOT_SPECIFIED",IFERROR(INDEX(Cleaning_Rules!$B$32:$B$34,MATCH(TRIM(UPPER('query (2)'!K325)),Cleaning_Rules!$A$32:$A$34,0)),"UNKNOWN"))</f>
        <v>NOT_SPECIFIED</v>
      </c>
      <c r="W325" s="24" t="str">
        <f t="shared" si="39"/>
        <v>AS-299 | FACTORY2 | SB3 | SB | ASSEMBLY | 1210-SB3AI | OTHER | SEAL PRESS NO.1 M/C | SEAL PRESSING NO.1 | NOT_SPECIFIED</v>
      </c>
      <c r="X325" s="24" t="str">
        <f t="shared" si="40"/>
        <v/>
      </c>
      <c r="Y325" s="24" t="str">
        <f t="shared" si="41"/>
        <v>MISSING_STATUS; CATEGORY_NOT_USEFUL</v>
      </c>
    </row>
    <row r="326" spans="1:25" x14ac:dyDescent="0.3">
      <c r="A326" s="24" t="str">
        <f t="shared" si="35"/>
        <v>AS-300#0325</v>
      </c>
      <c r="B326" s="24" t="str">
        <f>IF('query (2)'!B326="","",TRIM(UPPER('query (2)'!B326)))</f>
        <v>AS-300</v>
      </c>
      <c r="C326" s="25" t="str">
        <f>IF('query (2)'!B326="","",'query (2)'!B326)</f>
        <v>AS-300</v>
      </c>
      <c r="D326" s="24" t="str">
        <f t="shared" si="36"/>
        <v>AS</v>
      </c>
      <c r="E326" s="24">
        <f t="shared" si="37"/>
        <v>1</v>
      </c>
      <c r="F326" s="24">
        <f>IF('query (2)'!A326="","",IFERROR(VALUE('query (2)'!A326),""))</f>
        <v>344</v>
      </c>
      <c r="G326" s="24" t="str">
        <f>IF('query (2)'!C326="","UNKNOWN",IFERROR(INDEX(Cleaning_Rules!$B$15:$B$20,MATCH(TRIM(UPPER('query (2)'!C326)),Cleaning_Rules!$A$15:$A$20,0)),"UNKNOWN"))</f>
        <v>FACTORY2</v>
      </c>
      <c r="H326" s="25" t="str">
        <f>IF('query (2)'!C326="","",'query (2)'!C326)</f>
        <v>FACTORY2</v>
      </c>
      <c r="I326" s="24" t="str" cm="1">
        <f t="array" ref="I326">_xlfn.IFS($G326="UNKNOWN","UNKNOWN",OR($G326="FACTORY1",$G326="FACTORY2",$G326="FACTORY3"),"PLANT",TRUE,"SHARED")</f>
        <v>PLANT</v>
      </c>
      <c r="J326" s="24" t="str">
        <f>IF('query (2)'!D326="","UNKNOWN",IF(COUNTIF(Cleaning_Rules!$A$6:$A$11,TRIM('query (2)'!D326))&gt;0,"UNKNOWN",IFERROR(INDEX(Cleaning_Rules!$B$24:$B$28,MATCH(TRIM(UPPER('query (2)'!D326)),Cleaning_Rules!$A$24:$A$28,0)),TRIM(UPPER('query (2)'!D326)))))</f>
        <v>SB3</v>
      </c>
      <c r="K326" s="25" t="str">
        <f>IF('query (2)'!D326="","",'query (2)'!D326)</f>
        <v>SB3</v>
      </c>
      <c r="L326" s="24" t="str">
        <f>IF($J326="UNKNOWN","",_xlfn.TEXTBEFORE($J326,{"0","1","2","3","4","5","6","7","8","9"," ","-","."},1,,,$J326))</f>
        <v>SB</v>
      </c>
      <c r="M326" s="24" t="str">
        <f>IF('query (2)'!I326&lt;&gt;"",TRIM(UPPER('query (2)'!I326)),IF($L326="","UNKNOWN",$L326))</f>
        <v>SB</v>
      </c>
      <c r="N326" s="24" t="str">
        <f>IF('query (2)'!I326&lt;&gt;"","SOURCE",IF($L326="","UNKNOWN","DERIVED"))</f>
        <v>SOURCE</v>
      </c>
      <c r="O326" s="24" t="str">
        <f>IF('query (2)'!E326="","NOT_SPECIFIED",TRIM(UPPER('query (2)'!E326)))</f>
        <v>ASSEMBLY</v>
      </c>
      <c r="P326" s="24" t="str">
        <f>IF('query (2)'!F326="","",TRIM(UPPER('query (2)'!F326)))</f>
        <v>1210-SB3AI</v>
      </c>
      <c r="Q326" s="24" t="str">
        <f>IF('query (2)'!G326="","UNKNOWN",IFERROR(INDEX(Cleaning_Rules!$B$38:$B$46,MATCH(TRIM(UPPER('query (2)'!G326)),Cleaning_Rules!$A$38:$A$46,0)),"UNKNOWN"))</f>
        <v>OTHER</v>
      </c>
      <c r="R326" s="24" t="str">
        <f>IF('query (2)'!H326="","",TRIM(UPPER('query (2)'!H326)))</f>
        <v>SEAL PRESS NO.2 M/C</v>
      </c>
      <c r="S326" s="25" t="str">
        <f>IF('query (2)'!H326="","",'query (2)'!H326)</f>
        <v>Seal  press NO.2  M/C</v>
      </c>
      <c r="T326" s="24" t="str">
        <f>IF('query (2)'!J326="","",TRIM(UPPER('query (2)'!J326)))</f>
        <v>SEAL PRESSING NO.2</v>
      </c>
      <c r="U326" s="24" t="str">
        <f t="shared" si="38"/>
        <v/>
      </c>
      <c r="V326" s="24" t="str">
        <f>IF('query (2)'!K326="","NOT_SPECIFIED",IFERROR(INDEX(Cleaning_Rules!$B$32:$B$34,MATCH(TRIM(UPPER('query (2)'!K326)),Cleaning_Rules!$A$32:$A$34,0)),"UNKNOWN"))</f>
        <v>NOT_SPECIFIED</v>
      </c>
      <c r="W326" s="24" t="str">
        <f t="shared" si="39"/>
        <v>AS-300 | FACTORY2 | SB3 | SB | ASSEMBLY | 1210-SB3AI | OTHER | SEAL PRESS NO.2 M/C | SEAL PRESSING NO.2 | NOT_SPECIFIED</v>
      </c>
      <c r="X326" s="24" t="str">
        <f t="shared" si="40"/>
        <v/>
      </c>
      <c r="Y326" s="24" t="str">
        <f t="shared" si="41"/>
        <v>MISSING_STATUS; CATEGORY_NOT_USEFUL</v>
      </c>
    </row>
    <row r="327" spans="1:25" x14ac:dyDescent="0.3">
      <c r="A327" s="24" t="str">
        <f t="shared" si="35"/>
        <v>CH-301#0326</v>
      </c>
      <c r="B327" s="24" t="str">
        <f>IF('query (2)'!B327="","",TRIM(UPPER('query (2)'!B327)))</f>
        <v>CH-301</v>
      </c>
      <c r="C327" s="25" t="str">
        <f>IF('query (2)'!B327="","",'query (2)'!B327)</f>
        <v>CH-301</v>
      </c>
      <c r="D327" s="24" t="str">
        <f t="shared" si="36"/>
        <v>CH</v>
      </c>
      <c r="E327" s="24">
        <f t="shared" si="37"/>
        <v>1</v>
      </c>
      <c r="F327" s="24">
        <f>IF('query (2)'!A327="","",IFERROR(VALUE('query (2)'!A327),""))</f>
        <v>345</v>
      </c>
      <c r="G327" s="24" t="str">
        <f>IF('query (2)'!C327="","UNKNOWN",IFERROR(INDEX(Cleaning_Rules!$B$15:$B$20,MATCH(TRIM(UPPER('query (2)'!C327)),Cleaning_Rules!$A$15:$A$20,0)),"UNKNOWN"))</f>
        <v>FACTORY2</v>
      </c>
      <c r="H327" s="25" t="str">
        <f>IF('query (2)'!C327="","",'query (2)'!C327)</f>
        <v>FACTORY2</v>
      </c>
      <c r="I327" s="24" t="str" cm="1">
        <f t="array" ref="I327">_xlfn.IFS($G327="UNKNOWN","UNKNOWN",OR($G327="FACTORY1",$G327="FACTORY2",$G327="FACTORY3"),"PLANT",TRUE,"SHARED")</f>
        <v>PLANT</v>
      </c>
      <c r="J327" s="24" t="str">
        <f>IF('query (2)'!D327="","UNKNOWN",IF(COUNTIF(Cleaning_Rules!$A$6:$A$11,TRIM('query (2)'!D327))&gt;0,"UNKNOWN",IFERROR(INDEX(Cleaning_Rules!$B$24:$B$28,MATCH(TRIM(UPPER('query (2)'!D327)),Cleaning_Rules!$A$24:$A$28,0)),TRIM(UPPER('query (2)'!D327)))))</f>
        <v>SB3</v>
      </c>
      <c r="K327" s="25" t="str">
        <f>IF('query (2)'!D327="","",'query (2)'!D327)</f>
        <v>SB3</v>
      </c>
      <c r="L327" s="24" t="str">
        <f>IF($J327="UNKNOWN","",_xlfn.TEXTBEFORE($J327,{"0","1","2","3","4","5","6","7","8","9"," ","-","."},1,,,$J327))</f>
        <v>SB</v>
      </c>
      <c r="M327" s="24" t="str">
        <f>IF('query (2)'!I327&lt;&gt;"",TRIM(UPPER('query (2)'!I327)),IF($L327="","UNKNOWN",$L327))</f>
        <v>SB</v>
      </c>
      <c r="N327" s="24" t="str">
        <f>IF('query (2)'!I327&lt;&gt;"","SOURCE",IF($L327="","UNKNOWN","DERIVED"))</f>
        <v>SOURCE</v>
      </c>
      <c r="O327" s="24" t="str">
        <f>IF('query (2)'!E327="","NOT_SPECIFIED",TRIM(UPPER('query (2)'!E327)))</f>
        <v>ASSEMBLY</v>
      </c>
      <c r="P327" s="24" t="str">
        <f>IF('query (2)'!F327="","",TRIM(UPPER('query (2)'!F327)))</f>
        <v>1210-SB3AI</v>
      </c>
      <c r="Q327" s="24" t="str">
        <f>IF('query (2)'!G327="","UNKNOWN",IFERROR(INDEX(Cleaning_Rules!$B$38:$B$46,MATCH(TRIM(UPPER('query (2)'!G327)),Cleaning_Rules!$A$38:$A$46,0)),"UNKNOWN"))</f>
        <v>OTHER</v>
      </c>
      <c r="R327" s="24" t="str">
        <f>IF('query (2)'!H327="","",TRIM(UPPER('query (2)'!H327)))</f>
        <v>SEAL CHECK M/C</v>
      </c>
      <c r="S327" s="25" t="str">
        <f>IF('query (2)'!H327="","",'query (2)'!H327)</f>
        <v>Seal  check  M/C</v>
      </c>
      <c r="T327" s="24" t="str">
        <f>IF('query (2)'!J327="","",TRIM(UPPER('query (2)'!J327)))</f>
        <v>SEAL HEIGHT CHECK</v>
      </c>
      <c r="U327" s="24" t="str">
        <f t="shared" si="38"/>
        <v/>
      </c>
      <c r="V327" s="24" t="str">
        <f>IF('query (2)'!K327="","NOT_SPECIFIED",IFERROR(INDEX(Cleaning_Rules!$B$32:$B$34,MATCH(TRIM(UPPER('query (2)'!K327)),Cleaning_Rules!$A$32:$A$34,0)),"UNKNOWN"))</f>
        <v>NOT_SPECIFIED</v>
      </c>
      <c r="W327" s="24" t="str">
        <f t="shared" si="39"/>
        <v>CH-301 | FACTORY2 | SB3 | SB | ASSEMBLY | 1210-SB3AI | OTHER | SEAL CHECK M/C | SEAL HEIGHT CHECK | NOT_SPECIFIED</v>
      </c>
      <c r="X327" s="24" t="str">
        <f t="shared" si="40"/>
        <v/>
      </c>
      <c r="Y327" s="24" t="str">
        <f t="shared" si="41"/>
        <v>MISSING_STATUS; CATEGORY_NOT_USEFUL</v>
      </c>
    </row>
    <row r="328" spans="1:25" x14ac:dyDescent="0.3">
      <c r="A328" s="24" t="str">
        <f t="shared" si="35"/>
        <v>CH-302#0327</v>
      </c>
      <c r="B328" s="24" t="str">
        <f>IF('query (2)'!B328="","",TRIM(UPPER('query (2)'!B328)))</f>
        <v>CH-302</v>
      </c>
      <c r="C328" s="25" t="str">
        <f>IF('query (2)'!B328="","",'query (2)'!B328)</f>
        <v>CH-302</v>
      </c>
      <c r="D328" s="24" t="str">
        <f t="shared" si="36"/>
        <v>CH</v>
      </c>
      <c r="E328" s="24">
        <f t="shared" si="37"/>
        <v>1</v>
      </c>
      <c r="F328" s="24">
        <f>IF('query (2)'!A328="","",IFERROR(VALUE('query (2)'!A328),""))</f>
        <v>346</v>
      </c>
      <c r="G328" s="24" t="str">
        <f>IF('query (2)'!C328="","UNKNOWN",IFERROR(INDEX(Cleaning_Rules!$B$15:$B$20,MATCH(TRIM(UPPER('query (2)'!C328)),Cleaning_Rules!$A$15:$A$20,0)),"UNKNOWN"))</f>
        <v>FACTORY2</v>
      </c>
      <c r="H328" s="25" t="str">
        <f>IF('query (2)'!C328="","",'query (2)'!C328)</f>
        <v>FACTORY2</v>
      </c>
      <c r="I328" s="24" t="str" cm="1">
        <f t="array" ref="I328">_xlfn.IFS($G328="UNKNOWN","UNKNOWN",OR($G328="FACTORY1",$G328="FACTORY2",$G328="FACTORY3"),"PLANT",TRUE,"SHARED")</f>
        <v>PLANT</v>
      </c>
      <c r="J328" s="24" t="str">
        <f>IF('query (2)'!D328="","UNKNOWN",IF(COUNTIF(Cleaning_Rules!$A$6:$A$11,TRIM('query (2)'!D328))&gt;0,"UNKNOWN",IFERROR(INDEX(Cleaning_Rules!$B$24:$B$28,MATCH(TRIM(UPPER('query (2)'!D328)),Cleaning_Rules!$A$24:$A$28,0)),TRIM(UPPER('query (2)'!D328)))))</f>
        <v>SB3</v>
      </c>
      <c r="K328" s="25" t="str">
        <f>IF('query (2)'!D328="","",'query (2)'!D328)</f>
        <v>SB3</v>
      </c>
      <c r="L328" s="24" t="str">
        <f>IF($J328="UNKNOWN","",_xlfn.TEXTBEFORE($J328,{"0","1","2","3","4","5","6","7","8","9"," ","-","."},1,,,$J328))</f>
        <v>SB</v>
      </c>
      <c r="M328" s="24" t="str">
        <f>IF('query (2)'!I328&lt;&gt;"",TRIM(UPPER('query (2)'!I328)),IF($L328="","UNKNOWN",$L328))</f>
        <v>SB</v>
      </c>
      <c r="N328" s="24" t="str">
        <f>IF('query (2)'!I328&lt;&gt;"","SOURCE",IF($L328="","UNKNOWN","DERIVED"))</f>
        <v>SOURCE</v>
      </c>
      <c r="O328" s="24" t="str">
        <f>IF('query (2)'!E328="","NOT_SPECIFIED",TRIM(UPPER('query (2)'!E328)))</f>
        <v>ASSEMBLY</v>
      </c>
      <c r="P328" s="24" t="str">
        <f>IF('query (2)'!F328="","",TRIM(UPPER('query (2)'!F328)))</f>
        <v>1210-SB3AI</v>
      </c>
      <c r="Q328" s="24" t="str">
        <f>IF('query (2)'!G328="","UNKNOWN",IFERROR(INDEX(Cleaning_Rules!$B$38:$B$46,MATCH(TRIM(UPPER('query (2)'!G328)),Cleaning_Rules!$A$38:$A$46,0)),"UNKNOWN"))</f>
        <v>OTHER</v>
      </c>
      <c r="R328" s="24" t="str">
        <f>IF('query (2)'!H328="","",TRIM(UPPER('query (2)'!H328)))</f>
        <v>WEIGHT CHECKER M/C</v>
      </c>
      <c r="S328" s="25" t="str">
        <f>IF('query (2)'!H328="","",'query (2)'!H328)</f>
        <v>Weight  checker  M/C</v>
      </c>
      <c r="T328" s="24" t="str">
        <f>IF('query (2)'!J328="","",TRIM(UPPER('query (2)'!J328)))</f>
        <v>WEIGHT CHECKER</v>
      </c>
      <c r="U328" s="24" t="str">
        <f t="shared" si="38"/>
        <v/>
      </c>
      <c r="V328" s="24" t="str">
        <f>IF('query (2)'!K328="","NOT_SPECIFIED",IFERROR(INDEX(Cleaning_Rules!$B$32:$B$34,MATCH(TRIM(UPPER('query (2)'!K328)),Cleaning_Rules!$A$32:$A$34,0)),"UNKNOWN"))</f>
        <v>NOT_SPECIFIED</v>
      </c>
      <c r="W328" s="24" t="str">
        <f t="shared" si="39"/>
        <v>CH-302 | FACTORY2 | SB3 | SB | ASSEMBLY | 1210-SB3AI | OTHER | WEIGHT CHECKER M/C | WEIGHT CHECKER | NOT_SPECIFIED</v>
      </c>
      <c r="X328" s="24" t="str">
        <f t="shared" si="40"/>
        <v/>
      </c>
      <c r="Y328" s="24" t="str">
        <f t="shared" si="41"/>
        <v>MISSING_STATUS; CATEGORY_NOT_USEFUL</v>
      </c>
    </row>
    <row r="329" spans="1:25" x14ac:dyDescent="0.3">
      <c r="A329" s="24" t="str">
        <f t="shared" si="35"/>
        <v>MA-729#0328</v>
      </c>
      <c r="B329" s="24" t="str">
        <f>IF('query (2)'!B329="","",TRIM(UPPER('query (2)'!B329)))</f>
        <v>MA-729</v>
      </c>
      <c r="C329" s="25" t="str">
        <f>IF('query (2)'!B329="","",'query (2)'!B329)</f>
        <v>MA-729</v>
      </c>
      <c r="D329" s="24" t="str">
        <f t="shared" si="36"/>
        <v>MA</v>
      </c>
      <c r="E329" s="24">
        <f t="shared" si="37"/>
        <v>1</v>
      </c>
      <c r="F329" s="24">
        <f>IF('query (2)'!A329="","",IFERROR(VALUE('query (2)'!A329),""))</f>
        <v>347</v>
      </c>
      <c r="G329" s="24" t="str">
        <f>IF('query (2)'!C329="","UNKNOWN",IFERROR(INDEX(Cleaning_Rules!$B$15:$B$20,MATCH(TRIM(UPPER('query (2)'!C329)),Cleaning_Rules!$A$15:$A$20,0)),"UNKNOWN"))</f>
        <v>FACTORY2</v>
      </c>
      <c r="H329" s="25" t="str">
        <f>IF('query (2)'!C329="","",'query (2)'!C329)</f>
        <v>FACTORY2</v>
      </c>
      <c r="I329" s="24" t="str" cm="1">
        <f t="array" ref="I329">_xlfn.IFS($G329="UNKNOWN","UNKNOWN",OR($G329="FACTORY1",$G329="FACTORY2",$G329="FACTORY3"),"PLANT",TRUE,"SHARED")</f>
        <v>PLANT</v>
      </c>
      <c r="J329" s="24" t="str">
        <f>IF('query (2)'!D329="","UNKNOWN",IF(COUNTIF(Cleaning_Rules!$A$6:$A$11,TRIM('query (2)'!D329))&gt;0,"UNKNOWN",IFERROR(INDEX(Cleaning_Rules!$B$24:$B$28,MATCH(TRIM(UPPER('query (2)'!D329)),Cleaning_Rules!$A$24:$A$28,0)),TRIM(UPPER('query (2)'!D329)))))</f>
        <v>SB3</v>
      </c>
      <c r="K329" s="25" t="str">
        <f>IF('query (2)'!D329="","",'query (2)'!D329)</f>
        <v>SB3</v>
      </c>
      <c r="L329" s="24" t="str">
        <f>IF($J329="UNKNOWN","",_xlfn.TEXTBEFORE($J329,{"0","1","2","3","4","5","6","7","8","9"," ","-","."},1,,,$J329))</f>
        <v>SB</v>
      </c>
      <c r="M329" s="24" t="str">
        <f>IF('query (2)'!I329&lt;&gt;"",TRIM(UPPER('query (2)'!I329)),IF($L329="","UNKNOWN",$L329))</f>
        <v>SB</v>
      </c>
      <c r="N329" s="24" t="str">
        <f>IF('query (2)'!I329&lt;&gt;"","SOURCE",IF($L329="","UNKNOWN","DERIVED"))</f>
        <v>SOURCE</v>
      </c>
      <c r="O329" s="24" t="str">
        <f>IF('query (2)'!E329="","NOT_SPECIFIED",TRIM(UPPER('query (2)'!E329)))</f>
        <v>ASSEMBLY</v>
      </c>
      <c r="P329" s="24" t="str">
        <f>IF('query (2)'!F329="","",TRIM(UPPER('query (2)'!F329)))</f>
        <v>1210-SB3AI</v>
      </c>
      <c r="Q329" s="24" t="str">
        <f>IF('query (2)'!G329="","UNKNOWN",IFERROR(INDEX(Cleaning_Rules!$B$38:$B$46,MATCH(TRIM(UPPER('query (2)'!G329)),Cleaning_Rules!$A$38:$A$46,0)),"UNKNOWN"))</f>
        <v>OTHER</v>
      </c>
      <c r="R329" s="24" t="str">
        <f>IF('query (2)'!H329="","",TRIM(UPPER('query (2)'!H329)))</f>
        <v>LASER MARK</v>
      </c>
      <c r="S329" s="25" t="str">
        <f>IF('query (2)'!H329="","",'query (2)'!H329)</f>
        <v>Laser mark</v>
      </c>
      <c r="T329" s="24" t="str">
        <f>IF('query (2)'!J329="","",TRIM(UPPER('query (2)'!J329)))</f>
        <v>LASER MARKING</v>
      </c>
      <c r="U329" s="24" t="str">
        <f t="shared" si="38"/>
        <v/>
      </c>
      <c r="V329" s="24" t="str">
        <f>IF('query (2)'!K329="","NOT_SPECIFIED",IFERROR(INDEX(Cleaning_Rules!$B$32:$B$34,MATCH(TRIM(UPPER('query (2)'!K329)),Cleaning_Rules!$A$32:$A$34,0)),"UNKNOWN"))</f>
        <v>NOT_SPECIFIED</v>
      </c>
      <c r="W329" s="24" t="str">
        <f t="shared" si="39"/>
        <v>MA-729 | FACTORY2 | SB3 | SB | ASSEMBLY | 1210-SB3AI | OTHER | LASER MARK | LASER MARKING | NOT_SPECIFIED</v>
      </c>
      <c r="X329" s="24" t="str">
        <f t="shared" si="40"/>
        <v/>
      </c>
      <c r="Y329" s="24" t="str">
        <f t="shared" si="41"/>
        <v>MISSING_STATUS; CATEGORY_NOT_USEFUL</v>
      </c>
    </row>
    <row r="330" spans="1:25" x14ac:dyDescent="0.3">
      <c r="A330" s="24" t="str">
        <f t="shared" si="35"/>
        <v>CH-640#0329</v>
      </c>
      <c r="B330" s="24" t="str">
        <f>IF('query (2)'!B330="","",TRIM(UPPER('query (2)'!B330)))</f>
        <v>CH-640</v>
      </c>
      <c r="C330" s="25" t="str">
        <f>IF('query (2)'!B330="","",'query (2)'!B330)</f>
        <v>CH-640</v>
      </c>
      <c r="D330" s="24" t="str">
        <f t="shared" si="36"/>
        <v>CH</v>
      </c>
      <c r="E330" s="24">
        <f t="shared" si="37"/>
        <v>1</v>
      </c>
      <c r="F330" s="24">
        <f>IF('query (2)'!A330="","",IFERROR(VALUE('query (2)'!A330),""))</f>
        <v>348</v>
      </c>
      <c r="G330" s="24" t="str">
        <f>IF('query (2)'!C330="","UNKNOWN",IFERROR(INDEX(Cleaning_Rules!$B$15:$B$20,MATCH(TRIM(UPPER('query (2)'!C330)),Cleaning_Rules!$A$15:$A$20,0)),"UNKNOWN"))</f>
        <v>FACTORY2</v>
      </c>
      <c r="H330" s="25" t="str">
        <f>IF('query (2)'!C330="","",'query (2)'!C330)</f>
        <v>FACTORY2</v>
      </c>
      <c r="I330" s="24" t="str" cm="1">
        <f t="array" ref="I330">_xlfn.IFS($G330="UNKNOWN","UNKNOWN",OR($G330="FACTORY1",$G330="FACTORY2",$G330="FACTORY3"),"PLANT",TRUE,"SHARED")</f>
        <v>PLANT</v>
      </c>
      <c r="J330" s="24" t="str">
        <f>IF('query (2)'!D330="","UNKNOWN",IF(COUNTIF(Cleaning_Rules!$A$6:$A$11,TRIM('query (2)'!D330))&gt;0,"UNKNOWN",IFERROR(INDEX(Cleaning_Rules!$B$24:$B$28,MATCH(TRIM(UPPER('query (2)'!D330)),Cleaning_Rules!$A$24:$A$28,0)),TRIM(UPPER('query (2)'!D330)))))</f>
        <v>SB3</v>
      </c>
      <c r="K330" s="25" t="str">
        <f>IF('query (2)'!D330="","",'query (2)'!D330)</f>
        <v>SB3</v>
      </c>
      <c r="L330" s="24" t="str">
        <f>IF($J330="UNKNOWN","",_xlfn.TEXTBEFORE($J330,{"0","1","2","3","4","5","6","7","8","9"," ","-","."},1,,,$J330))</f>
        <v>SB</v>
      </c>
      <c r="M330" s="24" t="str">
        <f>IF('query (2)'!I330&lt;&gt;"",TRIM(UPPER('query (2)'!I330)),IF($L330="","UNKNOWN",$L330))</f>
        <v>SB</v>
      </c>
      <c r="N330" s="24" t="str">
        <f>IF('query (2)'!I330&lt;&gt;"","SOURCE",IF($L330="","UNKNOWN","DERIVED"))</f>
        <v>SOURCE</v>
      </c>
      <c r="O330" s="24" t="str">
        <f>IF('query (2)'!E330="","NOT_SPECIFIED",TRIM(UPPER('query (2)'!E330)))</f>
        <v>ASSEMBLY</v>
      </c>
      <c r="P330" s="24" t="str">
        <f>IF('query (2)'!F330="","",TRIM(UPPER('query (2)'!F330)))</f>
        <v>1210-SB3AI</v>
      </c>
      <c r="Q330" s="24" t="str">
        <f>IF('query (2)'!G330="","UNKNOWN",IFERROR(INDEX(Cleaning_Rules!$B$38:$B$46,MATCH(TRIM(UPPER('query (2)'!G330)),Cleaning_Rules!$A$38:$A$46,0)),"UNKNOWN"))</f>
        <v>OTHER</v>
      </c>
      <c r="R330" s="24" t="str">
        <f>IF('query (2)'!H330="","",TRIM(UPPER('query (2)'!H330)))</f>
        <v>AUTO RADIAL CLEARANCE M/C</v>
      </c>
      <c r="S330" s="25" t="str">
        <f>IF('query (2)'!H330="","",'query (2)'!H330)</f>
        <v>Auto radial clearance M/C</v>
      </c>
      <c r="T330" s="24" t="str">
        <f>IF('query (2)'!J330="","",TRIM(UPPER('query (2)'!J330)))</f>
        <v>R/C AUTO</v>
      </c>
      <c r="U330" s="24" t="str">
        <f t="shared" si="38"/>
        <v/>
      </c>
      <c r="V330" s="24" t="str">
        <f>IF('query (2)'!K330="","NOT_SPECIFIED",IFERROR(INDEX(Cleaning_Rules!$B$32:$B$34,MATCH(TRIM(UPPER('query (2)'!K330)),Cleaning_Rules!$A$32:$A$34,0)),"UNKNOWN"))</f>
        <v>NOT_SPECIFIED</v>
      </c>
      <c r="W330" s="24" t="str">
        <f t="shared" si="39"/>
        <v>CH-640 | FACTORY2 | SB3 | SB | ASSEMBLY | 1210-SB3AI | OTHER | AUTO RADIAL CLEARANCE M/C | R/C AUTO | NOT_SPECIFIED</v>
      </c>
      <c r="X330" s="24" t="str">
        <f t="shared" si="40"/>
        <v/>
      </c>
      <c r="Y330" s="24" t="str">
        <f t="shared" si="41"/>
        <v>MISSING_STATUS; CATEGORY_NOT_USEFUL</v>
      </c>
    </row>
    <row r="331" spans="1:25" x14ac:dyDescent="0.3">
      <c r="A331" s="24" t="str">
        <f t="shared" si="35"/>
        <v>CH-644#0330</v>
      </c>
      <c r="B331" s="24" t="str">
        <f>IF('query (2)'!B331="","",TRIM(UPPER('query (2)'!B331)))</f>
        <v>CH-644</v>
      </c>
      <c r="C331" s="25" t="str">
        <f>IF('query (2)'!B331="","",'query (2)'!B331)</f>
        <v>CH-644</v>
      </c>
      <c r="D331" s="24" t="str">
        <f t="shared" si="36"/>
        <v>CH</v>
      </c>
      <c r="E331" s="24">
        <f t="shared" si="37"/>
        <v>1</v>
      </c>
      <c r="F331" s="24">
        <f>IF('query (2)'!A331="","",IFERROR(VALUE('query (2)'!A331),""))</f>
        <v>349</v>
      </c>
      <c r="G331" s="24" t="str">
        <f>IF('query (2)'!C331="","UNKNOWN",IFERROR(INDEX(Cleaning_Rules!$B$15:$B$20,MATCH(TRIM(UPPER('query (2)'!C331)),Cleaning_Rules!$A$15:$A$20,0)),"UNKNOWN"))</f>
        <v>FACTORY2</v>
      </c>
      <c r="H331" s="25" t="str">
        <f>IF('query (2)'!C331="","",'query (2)'!C331)</f>
        <v>FACTORY2</v>
      </c>
      <c r="I331" s="24" t="str" cm="1">
        <f t="array" ref="I331">_xlfn.IFS($G331="UNKNOWN","UNKNOWN",OR($G331="FACTORY1",$G331="FACTORY2",$G331="FACTORY3"),"PLANT",TRUE,"SHARED")</f>
        <v>PLANT</v>
      </c>
      <c r="J331" s="24" t="str">
        <f>IF('query (2)'!D331="","UNKNOWN",IF(COUNTIF(Cleaning_Rules!$A$6:$A$11,TRIM('query (2)'!D331))&gt;0,"UNKNOWN",IFERROR(INDEX(Cleaning_Rules!$B$24:$B$28,MATCH(TRIM(UPPER('query (2)'!D331)),Cleaning_Rules!$A$24:$A$28,0)),TRIM(UPPER('query (2)'!D331)))))</f>
        <v>SB3</v>
      </c>
      <c r="K331" s="25" t="str">
        <f>IF('query (2)'!D331="","",'query (2)'!D331)</f>
        <v>SB3</v>
      </c>
      <c r="L331" s="24" t="str">
        <f>IF($J331="UNKNOWN","",_xlfn.TEXTBEFORE($J331,{"0","1","2","3","4","5","6","7","8","9"," ","-","."},1,,,$J331))</f>
        <v>SB</v>
      </c>
      <c r="M331" s="24" t="str">
        <f>IF('query (2)'!I331&lt;&gt;"",TRIM(UPPER('query (2)'!I331)),IF($L331="","UNKNOWN",$L331))</f>
        <v>SB</v>
      </c>
      <c r="N331" s="24" t="str">
        <f>IF('query (2)'!I331&lt;&gt;"","SOURCE",IF($L331="","UNKNOWN","DERIVED"))</f>
        <v>SOURCE</v>
      </c>
      <c r="O331" s="24" t="str">
        <f>IF('query (2)'!E331="","NOT_SPECIFIED",TRIM(UPPER('query (2)'!E331)))</f>
        <v>ASSEMBLY</v>
      </c>
      <c r="P331" s="24" t="str">
        <f>IF('query (2)'!F331="","",TRIM(UPPER('query (2)'!F331)))</f>
        <v>1210-SB3AI</v>
      </c>
      <c r="Q331" s="24" t="str">
        <f>IF('query (2)'!G331="","UNKNOWN",IFERROR(INDEX(Cleaning_Rules!$B$38:$B$46,MATCH(TRIM(UPPER('query (2)'!G331)),Cleaning_Rules!$A$38:$A$46,0)),"UNKNOWN"))</f>
        <v>OTHER</v>
      </c>
      <c r="R331" s="24" t="str">
        <f>IF('query (2)'!H331="","",TRIM(UPPER('query (2)'!H331)))</f>
        <v>NOISE MANUAL INSPECTION M/C</v>
      </c>
      <c r="S331" s="25" t="str">
        <f>IF('query (2)'!H331="","",'query (2)'!H331)</f>
        <v>Noise manual inspection M/C</v>
      </c>
      <c r="T331" s="24" t="str">
        <f>IF('query (2)'!J331="","",TRIM(UPPER('query (2)'!J331)))</f>
        <v>NOISE INSPECTION</v>
      </c>
      <c r="U331" s="24" t="str">
        <f t="shared" si="38"/>
        <v/>
      </c>
      <c r="V331" s="24" t="str">
        <f>IF('query (2)'!K331="","NOT_SPECIFIED",IFERROR(INDEX(Cleaning_Rules!$B$32:$B$34,MATCH(TRIM(UPPER('query (2)'!K331)),Cleaning_Rules!$A$32:$A$34,0)),"UNKNOWN"))</f>
        <v>NOT_SPECIFIED</v>
      </c>
      <c r="W331" s="24" t="str">
        <f t="shared" si="39"/>
        <v>CH-644 | FACTORY2 | SB3 | SB | ASSEMBLY | 1210-SB3AI | OTHER | NOISE MANUAL INSPECTION M/C | NOISE INSPECTION | NOT_SPECIFIED</v>
      </c>
      <c r="X331" s="24" t="str">
        <f t="shared" si="40"/>
        <v/>
      </c>
      <c r="Y331" s="24" t="str">
        <f t="shared" si="41"/>
        <v>MISSING_STATUS; CATEGORY_NOT_USEFUL</v>
      </c>
    </row>
    <row r="332" spans="1:25" x14ac:dyDescent="0.3">
      <c r="A332" s="24" t="str">
        <f t="shared" si="35"/>
        <v>CH-968#0331</v>
      </c>
      <c r="B332" s="24" t="str">
        <f>IF('query (2)'!B332="","",TRIM(UPPER('query (2)'!B332)))</f>
        <v>CH-968</v>
      </c>
      <c r="C332" s="25" t="str">
        <f>IF('query (2)'!B332="","",'query (2)'!B332)</f>
        <v>CH-968</v>
      </c>
      <c r="D332" s="24" t="str">
        <f t="shared" si="36"/>
        <v>CH</v>
      </c>
      <c r="E332" s="24">
        <f t="shared" si="37"/>
        <v>1</v>
      </c>
      <c r="F332" s="24">
        <f>IF('query (2)'!A332="","",IFERROR(VALUE('query (2)'!A332),""))</f>
        <v>350</v>
      </c>
      <c r="G332" s="24" t="str">
        <f>IF('query (2)'!C332="","UNKNOWN",IFERROR(INDEX(Cleaning_Rules!$B$15:$B$20,MATCH(TRIM(UPPER('query (2)'!C332)),Cleaning_Rules!$A$15:$A$20,0)),"UNKNOWN"))</f>
        <v>FACTORY2</v>
      </c>
      <c r="H332" s="25" t="str">
        <f>IF('query (2)'!C332="","",'query (2)'!C332)</f>
        <v>FACTORY2</v>
      </c>
      <c r="I332" s="24" t="str" cm="1">
        <f t="array" ref="I332">_xlfn.IFS($G332="UNKNOWN","UNKNOWN",OR($G332="FACTORY1",$G332="FACTORY2",$G332="FACTORY3"),"PLANT",TRUE,"SHARED")</f>
        <v>PLANT</v>
      </c>
      <c r="J332" s="24" t="str">
        <f>IF('query (2)'!D332="","UNKNOWN",IF(COUNTIF(Cleaning_Rules!$A$6:$A$11,TRIM('query (2)'!D332))&gt;0,"UNKNOWN",IFERROR(INDEX(Cleaning_Rules!$B$24:$B$28,MATCH(TRIM(UPPER('query (2)'!D332)),Cleaning_Rules!$A$24:$A$28,0)),TRIM(UPPER('query (2)'!D332)))))</f>
        <v>SB3</v>
      </c>
      <c r="K332" s="25" t="str">
        <f>IF('query (2)'!D332="","",'query (2)'!D332)</f>
        <v>SB3</v>
      </c>
      <c r="L332" s="24" t="str">
        <f>IF($J332="UNKNOWN","",_xlfn.TEXTBEFORE($J332,{"0","1","2","3","4","5","6","7","8","9"," ","-","."},1,,,$J332))</f>
        <v>SB</v>
      </c>
      <c r="M332" s="24" t="str">
        <f>IF('query (2)'!I332&lt;&gt;"",TRIM(UPPER('query (2)'!I332)),IF($L332="","UNKNOWN",$L332))</f>
        <v>SB</v>
      </c>
      <c r="N332" s="24" t="str">
        <f>IF('query (2)'!I332&lt;&gt;"","SOURCE",IF($L332="","UNKNOWN","DERIVED"))</f>
        <v>SOURCE</v>
      </c>
      <c r="O332" s="24" t="str">
        <f>IF('query (2)'!E332="","NOT_SPECIFIED",TRIM(UPPER('query (2)'!E332)))</f>
        <v>ASSEMBLY</v>
      </c>
      <c r="P332" s="24" t="str">
        <f>IF('query (2)'!F332="","",TRIM(UPPER('query (2)'!F332)))</f>
        <v>1210-SB3AI</v>
      </c>
      <c r="Q332" s="24" t="str">
        <f>IF('query (2)'!G332="","UNKNOWN",IFERROR(INDEX(Cleaning_Rules!$B$38:$B$46,MATCH(TRIM(UPPER('query (2)'!G332)),Cleaning_Rules!$A$38:$A$46,0)),"UNKNOWN"))</f>
        <v>OTHER</v>
      </c>
      <c r="R332" s="24" t="str">
        <f>IF('query (2)'!H332="","",TRIM(UPPER('query (2)'!H332)))</f>
        <v>OUTER / INNER EDDY CURRENT TESTER M/C</v>
      </c>
      <c r="S332" s="25" t="str">
        <f>IF('query (2)'!H332="","",'query (2)'!H332)</f>
        <v>Outer / Inner  Eddy current tester m/c</v>
      </c>
      <c r="T332" s="24" t="str">
        <f>IF('query (2)'!J332="","",TRIM(UPPER('query (2)'!J332)))</f>
        <v>A &amp; B - E.C.T.</v>
      </c>
      <c r="U332" s="24" t="str">
        <f t="shared" si="38"/>
        <v/>
      </c>
      <c r="V332" s="24" t="str">
        <f>IF('query (2)'!K332="","NOT_SPECIFIED",IFERROR(INDEX(Cleaning_Rules!$B$32:$B$34,MATCH(TRIM(UPPER('query (2)'!K332)),Cleaning_Rules!$A$32:$A$34,0)),"UNKNOWN"))</f>
        <v>NOT_SPECIFIED</v>
      </c>
      <c r="W332" s="24" t="str">
        <f t="shared" si="39"/>
        <v>CH-968 | FACTORY2 | SB3 | SB | ASSEMBLY | 1210-SB3AI | OTHER | OUTER / INNER EDDY CURRENT TESTER M/C | A &amp; B - E.C.T. | NOT_SPECIFIED</v>
      </c>
      <c r="X332" s="24" t="str">
        <f t="shared" si="40"/>
        <v/>
      </c>
      <c r="Y332" s="24" t="str">
        <f t="shared" si="41"/>
        <v>MISSING_STATUS; CATEGORY_NOT_USEFUL</v>
      </c>
    </row>
    <row r="333" spans="1:25" x14ac:dyDescent="0.3">
      <c r="A333" s="24" t="str">
        <f t="shared" si="35"/>
        <v>WA-1007#0332</v>
      </c>
      <c r="B333" s="24" t="str">
        <f>IF('query (2)'!B333="","",TRIM(UPPER('query (2)'!B333)))</f>
        <v>WA-1007</v>
      </c>
      <c r="C333" s="25" t="str">
        <f>IF('query (2)'!B333="","",'query (2)'!B333)</f>
        <v>WA-1007</v>
      </c>
      <c r="D333" s="24" t="str">
        <f t="shared" si="36"/>
        <v>WA</v>
      </c>
      <c r="E333" s="24">
        <f t="shared" si="37"/>
        <v>1</v>
      </c>
      <c r="F333" s="24">
        <f>IF('query (2)'!A333="","",IFERROR(VALUE('query (2)'!A333),""))</f>
        <v>351</v>
      </c>
      <c r="G333" s="24" t="str">
        <f>IF('query (2)'!C333="","UNKNOWN",IFERROR(INDEX(Cleaning_Rules!$B$15:$B$20,MATCH(TRIM(UPPER('query (2)'!C333)),Cleaning_Rules!$A$15:$A$20,0)),"UNKNOWN"))</f>
        <v>FACTORY2</v>
      </c>
      <c r="H333" s="25" t="str">
        <f>IF('query (2)'!C333="","",'query (2)'!C333)</f>
        <v>FACTORY2</v>
      </c>
      <c r="I333" s="24" t="str" cm="1">
        <f t="array" ref="I333">_xlfn.IFS($G333="UNKNOWN","UNKNOWN",OR($G333="FACTORY1",$G333="FACTORY2",$G333="FACTORY3"),"PLANT",TRUE,"SHARED")</f>
        <v>PLANT</v>
      </c>
      <c r="J333" s="24" t="str">
        <f>IF('query (2)'!D333="","UNKNOWN",IF(COUNTIF(Cleaning_Rules!$A$6:$A$11,TRIM('query (2)'!D333))&gt;0,"UNKNOWN",IFERROR(INDEX(Cleaning_Rules!$B$24:$B$28,MATCH(TRIM(UPPER('query (2)'!D333)),Cleaning_Rules!$A$24:$A$28,0)),TRIM(UPPER('query (2)'!D333)))))</f>
        <v>SB3</v>
      </c>
      <c r="K333" s="25" t="str">
        <f>IF('query (2)'!D333="","",'query (2)'!D333)</f>
        <v>SB3</v>
      </c>
      <c r="L333" s="24" t="str">
        <f>IF($J333="UNKNOWN","",_xlfn.TEXTBEFORE($J333,{"0","1","2","3","4","5","6","7","8","9"," ","-","."},1,,,$J333))</f>
        <v>SB</v>
      </c>
      <c r="M333" s="24" t="str">
        <f>IF('query (2)'!I333&lt;&gt;"",TRIM(UPPER('query (2)'!I333)),IF($L333="","UNKNOWN",$L333))</f>
        <v>SB</v>
      </c>
      <c r="N333" s="24" t="str">
        <f>IF('query (2)'!I333&lt;&gt;"","SOURCE",IF($L333="","UNKNOWN","DERIVED"))</f>
        <v>SOURCE</v>
      </c>
      <c r="O333" s="24" t="str">
        <f>IF('query (2)'!E333="","NOT_SPECIFIED",TRIM(UPPER('query (2)'!E333)))</f>
        <v>ASSEMBLY</v>
      </c>
      <c r="P333" s="24" t="str">
        <f>IF('query (2)'!F333="","",TRIM(UPPER('query (2)'!F333)))</f>
        <v>1210-SB3AI</v>
      </c>
      <c r="Q333" s="24" t="str">
        <f>IF('query (2)'!G333="","UNKNOWN",IFERROR(INDEX(Cleaning_Rules!$B$38:$B$46,MATCH(TRIM(UPPER('query (2)'!G333)),Cleaning_Rules!$A$38:$A$46,0)),"UNKNOWN"))</f>
        <v>OTHER</v>
      </c>
      <c r="R333" s="24" t="str">
        <f>IF('query (2)'!H333="","",TRIM(UPPER('query (2)'!H333)))</f>
        <v>FINISH WASHINE M/C</v>
      </c>
      <c r="S333" s="25" t="str">
        <f>IF('query (2)'!H333="","",'query (2)'!H333)</f>
        <v>Finish washine m/c</v>
      </c>
      <c r="T333" s="24" t="str">
        <f>IF('query (2)'!J333="","",TRIM(UPPER('query (2)'!J333)))</f>
        <v>WASHING FINISH</v>
      </c>
      <c r="U333" s="24" t="str">
        <f t="shared" si="38"/>
        <v/>
      </c>
      <c r="V333" s="24" t="str">
        <f>IF('query (2)'!K333="","NOT_SPECIFIED",IFERROR(INDEX(Cleaning_Rules!$B$32:$B$34,MATCH(TRIM(UPPER('query (2)'!K333)),Cleaning_Rules!$A$32:$A$34,0)),"UNKNOWN"))</f>
        <v>NOT_SPECIFIED</v>
      </c>
      <c r="W333" s="24" t="str">
        <f t="shared" si="39"/>
        <v>WA-1007 | FACTORY2 | SB3 | SB | ASSEMBLY | 1210-SB3AI | OTHER | FINISH WASHINE M/C | WASHING FINISH | NOT_SPECIFIED</v>
      </c>
      <c r="X333" s="24" t="str">
        <f t="shared" si="40"/>
        <v/>
      </c>
      <c r="Y333" s="24" t="str">
        <f t="shared" si="41"/>
        <v>MISSING_STATUS; CATEGORY_NOT_USEFUL</v>
      </c>
    </row>
    <row r="334" spans="1:25" x14ac:dyDescent="0.3">
      <c r="A334" s="24" t="str">
        <f t="shared" si="35"/>
        <v>CH-1012#0333</v>
      </c>
      <c r="B334" s="24" t="str">
        <f>IF('query (2)'!B334="","",TRIM(UPPER('query (2)'!B334)))</f>
        <v>CH-1012</v>
      </c>
      <c r="C334" s="25" t="str">
        <f>IF('query (2)'!B334="","",'query (2)'!B334)</f>
        <v>CH-1012</v>
      </c>
      <c r="D334" s="24" t="str">
        <f t="shared" si="36"/>
        <v>CH</v>
      </c>
      <c r="E334" s="24">
        <f t="shared" si="37"/>
        <v>1</v>
      </c>
      <c r="F334" s="24">
        <f>IF('query (2)'!A334="","",IFERROR(VALUE('query (2)'!A334),""))</f>
        <v>352</v>
      </c>
      <c r="G334" s="24" t="str">
        <f>IF('query (2)'!C334="","UNKNOWN",IFERROR(INDEX(Cleaning_Rules!$B$15:$B$20,MATCH(TRIM(UPPER('query (2)'!C334)),Cleaning_Rules!$A$15:$A$20,0)),"UNKNOWN"))</f>
        <v>FACTORY2</v>
      </c>
      <c r="H334" s="25" t="str">
        <f>IF('query (2)'!C334="","",'query (2)'!C334)</f>
        <v>FACTORY2</v>
      </c>
      <c r="I334" s="24" t="str" cm="1">
        <f t="array" ref="I334">_xlfn.IFS($G334="UNKNOWN","UNKNOWN",OR($G334="FACTORY1",$G334="FACTORY2",$G334="FACTORY3"),"PLANT",TRUE,"SHARED")</f>
        <v>PLANT</v>
      </c>
      <c r="J334" s="24" t="str">
        <f>IF('query (2)'!D334="","UNKNOWN",IF(COUNTIF(Cleaning_Rules!$A$6:$A$11,TRIM('query (2)'!D334))&gt;0,"UNKNOWN",IFERROR(INDEX(Cleaning_Rules!$B$24:$B$28,MATCH(TRIM(UPPER('query (2)'!D334)),Cleaning_Rules!$A$24:$A$28,0)),TRIM(UPPER('query (2)'!D334)))))</f>
        <v>SB3</v>
      </c>
      <c r="K334" s="25" t="str">
        <f>IF('query (2)'!D334="","",'query (2)'!D334)</f>
        <v>SB3</v>
      </c>
      <c r="L334" s="24" t="str">
        <f>IF($J334="UNKNOWN","",_xlfn.TEXTBEFORE($J334,{"0","1","2","3","4","5","6","7","8","9"," ","-","."},1,,,$J334))</f>
        <v>SB</v>
      </c>
      <c r="M334" s="24" t="str">
        <f>IF('query (2)'!I334&lt;&gt;"",TRIM(UPPER('query (2)'!I334)),IF($L334="","UNKNOWN",$L334))</f>
        <v>SB</v>
      </c>
      <c r="N334" s="24" t="str">
        <f>IF('query (2)'!I334&lt;&gt;"","SOURCE",IF($L334="","UNKNOWN","DERIVED"))</f>
        <v>SOURCE</v>
      </c>
      <c r="O334" s="24" t="str">
        <f>IF('query (2)'!E334="","NOT_SPECIFIED",TRIM(UPPER('query (2)'!E334)))</f>
        <v>ASSEMBLY</v>
      </c>
      <c r="P334" s="24" t="str">
        <f>IF('query (2)'!F334="","",TRIM(UPPER('query (2)'!F334)))</f>
        <v>1210-SB3AI</v>
      </c>
      <c r="Q334" s="24" t="str">
        <f>IF('query (2)'!G334="","UNKNOWN",IFERROR(INDEX(Cleaning_Rules!$B$38:$B$46,MATCH(TRIM(UPPER('query (2)'!G334)),Cleaning_Rules!$A$38:$A$46,0)),"UNKNOWN"))</f>
        <v>OTHER</v>
      </c>
      <c r="R334" s="24" t="str">
        <f>IF('query (2)'!H334="","",TRIM(UPPER('query (2)'!H334)))</f>
        <v>DIMENSION CHECKER MACHINE NO.6</v>
      </c>
      <c r="S334" s="25" t="str">
        <f>IF('query (2)'!H334="","",'query (2)'!H334)</f>
        <v>Dimension checker machine No.6</v>
      </c>
      <c r="T334" s="24" t="str">
        <f>IF('query (2)'!J334="","",TRIM(UPPER('query (2)'!J334)))</f>
        <v>OD.CHECK AUTO</v>
      </c>
      <c r="U334" s="24" t="str">
        <f t="shared" si="38"/>
        <v/>
      </c>
      <c r="V334" s="24" t="str">
        <f>IF('query (2)'!K334="","NOT_SPECIFIED",IFERROR(INDEX(Cleaning_Rules!$B$32:$B$34,MATCH(TRIM(UPPER('query (2)'!K334)),Cleaning_Rules!$A$32:$A$34,0)),"UNKNOWN"))</f>
        <v>NOT_SPECIFIED</v>
      </c>
      <c r="W334" s="24" t="str">
        <f t="shared" si="39"/>
        <v>CH-1012 | FACTORY2 | SB3 | SB | ASSEMBLY | 1210-SB3AI | OTHER | DIMENSION CHECKER MACHINE NO.6 | OD.CHECK AUTO | NOT_SPECIFIED</v>
      </c>
      <c r="X334" s="24" t="str">
        <f t="shared" si="40"/>
        <v/>
      </c>
      <c r="Y334" s="24" t="str">
        <f t="shared" si="41"/>
        <v>MISSING_STATUS; CATEGORY_NOT_USEFUL</v>
      </c>
    </row>
    <row r="335" spans="1:25" x14ac:dyDescent="0.3">
      <c r="A335" s="24" t="str">
        <f t="shared" si="35"/>
        <v>AR-980#0334</v>
      </c>
      <c r="B335" s="24" t="str">
        <f>IF('query (2)'!B335="","",TRIM(UPPER('query (2)'!B335)))</f>
        <v>AR-980</v>
      </c>
      <c r="C335" s="25" t="str">
        <f>IF('query (2)'!B335="","",'query (2)'!B335)</f>
        <v>AR-980</v>
      </c>
      <c r="D335" s="24" t="str">
        <f t="shared" si="36"/>
        <v>AR</v>
      </c>
      <c r="E335" s="24">
        <f t="shared" si="37"/>
        <v>1</v>
      </c>
      <c r="F335" s="24">
        <f>IF('query (2)'!A335="","",IFERROR(VALUE('query (2)'!A335),""))</f>
        <v>353</v>
      </c>
      <c r="G335" s="24" t="str">
        <f>IF('query (2)'!C335="","UNKNOWN",IFERROR(INDEX(Cleaning_Rules!$B$15:$B$20,MATCH(TRIM(UPPER('query (2)'!C335)),Cleaning_Rules!$A$15:$A$20,0)),"UNKNOWN"))</f>
        <v>FACTORY2</v>
      </c>
      <c r="H335" s="25" t="str">
        <f>IF('query (2)'!C335="","",'query (2)'!C335)</f>
        <v>FACTORY2</v>
      </c>
      <c r="I335" s="24" t="str" cm="1">
        <f t="array" ref="I335">_xlfn.IFS($G335="UNKNOWN","UNKNOWN",OR($G335="FACTORY1",$G335="FACTORY2",$G335="FACTORY3"),"PLANT",TRUE,"SHARED")</f>
        <v>PLANT</v>
      </c>
      <c r="J335" s="24" t="str">
        <f>IF('query (2)'!D335="","UNKNOWN",IF(COUNTIF(Cleaning_Rules!$A$6:$A$11,TRIM('query (2)'!D335))&gt;0,"UNKNOWN",IFERROR(INDEX(Cleaning_Rules!$B$24:$B$28,MATCH(TRIM(UPPER('query (2)'!D335)),Cleaning_Rules!$A$24:$A$28,0)),TRIM(UPPER('query (2)'!D335)))))</f>
        <v>SB3</v>
      </c>
      <c r="K335" s="25" t="str">
        <f>IF('query (2)'!D335="","",'query (2)'!D335)</f>
        <v>SB3</v>
      </c>
      <c r="L335" s="24" t="str">
        <f>IF($J335="UNKNOWN","",_xlfn.TEXTBEFORE($J335,{"0","1","2","3","4","5","6","7","8","9"," ","-","."},1,,,$J335))</f>
        <v>SB</v>
      </c>
      <c r="M335" s="24" t="str">
        <f>IF('query (2)'!I335&lt;&gt;"",TRIM(UPPER('query (2)'!I335)),IF($L335="","UNKNOWN",$L335))</f>
        <v>SB</v>
      </c>
      <c r="N335" s="24" t="str">
        <f>IF('query (2)'!I335&lt;&gt;"","SOURCE",IF($L335="","UNKNOWN","DERIVED"))</f>
        <v>SOURCE</v>
      </c>
      <c r="O335" s="24" t="str">
        <f>IF('query (2)'!E335="","NOT_SPECIFIED",TRIM(UPPER('query (2)'!E335)))</f>
        <v>ASSEMBLY</v>
      </c>
      <c r="P335" s="24" t="str">
        <f>IF('query (2)'!F335="","",TRIM(UPPER('query (2)'!F335)))</f>
        <v>1210-SB3AI</v>
      </c>
      <c r="Q335" s="24" t="str">
        <f>IF('query (2)'!G335="","UNKNOWN",IFERROR(INDEX(Cleaning_Rules!$B$38:$B$46,MATCH(TRIM(UPPER('query (2)'!G335)),Cleaning_Rules!$A$38:$A$46,0)),"UNKNOWN"))</f>
        <v>OTHER</v>
      </c>
      <c r="R335" s="24" t="str">
        <f>IF('query (2)'!H335="","",TRIM(UPPER('query (2)'!H335)))</f>
        <v>AUTO ANTRIUST M/C</v>
      </c>
      <c r="S335" s="25" t="str">
        <f>IF('query (2)'!H335="","",'query (2)'!H335)</f>
        <v>Auto  antriust  m/c</v>
      </c>
      <c r="T335" s="24" t="str">
        <f>IF('query (2)'!J335="","",TRIM(UPPER('query (2)'!J335)))</f>
        <v>ANTI RUST AUTO</v>
      </c>
      <c r="U335" s="24" t="str">
        <f t="shared" si="38"/>
        <v/>
      </c>
      <c r="V335" s="24" t="str">
        <f>IF('query (2)'!K335="","NOT_SPECIFIED",IFERROR(INDEX(Cleaning_Rules!$B$32:$B$34,MATCH(TRIM(UPPER('query (2)'!K335)),Cleaning_Rules!$A$32:$A$34,0)),"UNKNOWN"))</f>
        <v>NOT_SPECIFIED</v>
      </c>
      <c r="W335" s="24" t="str">
        <f t="shared" si="39"/>
        <v>AR-980 | FACTORY2 | SB3 | SB | ASSEMBLY | 1210-SB3AI | OTHER | AUTO ANTRIUST M/C | ANTI RUST AUTO | NOT_SPECIFIED</v>
      </c>
      <c r="X335" s="24" t="str">
        <f t="shared" si="40"/>
        <v/>
      </c>
      <c r="Y335" s="24" t="str">
        <f t="shared" si="41"/>
        <v>MISSING_STATUS; CATEGORY_NOT_USEFUL</v>
      </c>
    </row>
    <row r="336" spans="1:25" x14ac:dyDescent="0.3">
      <c r="A336" s="24" t="str">
        <f t="shared" si="35"/>
        <v>GR-310#0335</v>
      </c>
      <c r="B336" s="24" t="str">
        <f>IF('query (2)'!B336="","",TRIM(UPPER('query (2)'!B336)))</f>
        <v>GR-310</v>
      </c>
      <c r="C336" s="25" t="str">
        <f>IF('query (2)'!B336="","",'query (2)'!B336)</f>
        <v>GR-310</v>
      </c>
      <c r="D336" s="24" t="str">
        <f t="shared" si="36"/>
        <v>GR</v>
      </c>
      <c r="E336" s="24">
        <f t="shared" si="37"/>
        <v>1</v>
      </c>
      <c r="F336" s="24">
        <f>IF('query (2)'!A336="","",IFERROR(VALUE('query (2)'!A336),""))</f>
        <v>354</v>
      </c>
      <c r="G336" s="24" t="str">
        <f>IF('query (2)'!C336="","UNKNOWN",IFERROR(INDEX(Cleaning_Rules!$B$15:$B$20,MATCH(TRIM(UPPER('query (2)'!C336)),Cleaning_Rules!$A$15:$A$20,0)),"UNKNOWN"))</f>
        <v>FACTORY2</v>
      </c>
      <c r="H336" s="25" t="str">
        <f>IF('query (2)'!C336="","",'query (2)'!C336)</f>
        <v>FACTORY2</v>
      </c>
      <c r="I336" s="24" t="str" cm="1">
        <f t="array" ref="I336">_xlfn.IFS($G336="UNKNOWN","UNKNOWN",OR($G336="FACTORY1",$G336="FACTORY2",$G336="FACTORY3"),"PLANT",TRUE,"SHARED")</f>
        <v>PLANT</v>
      </c>
      <c r="J336" s="24" t="str">
        <f>IF('query (2)'!D336="","UNKNOWN",IF(COUNTIF(Cleaning_Rules!$A$6:$A$11,TRIM('query (2)'!D336))&gt;0,"UNKNOWN",IFERROR(INDEX(Cleaning_Rules!$B$24:$B$28,MATCH(TRIM(UPPER('query (2)'!D336)),Cleaning_Rules!$A$24:$A$28,0)),TRIM(UPPER('query (2)'!D336)))))</f>
        <v>SB4</v>
      </c>
      <c r="K336" s="25" t="str">
        <f>IF('query (2)'!D336="","",'query (2)'!D336)</f>
        <v>SB4</v>
      </c>
      <c r="L336" s="24" t="str">
        <f>IF($J336="UNKNOWN","",_xlfn.TEXTBEFORE($J336,{"0","1","2","3","4","5","6","7","8","9"," ","-","."},1,,,$J336))</f>
        <v>SB</v>
      </c>
      <c r="M336" s="24" t="str">
        <f>IF('query (2)'!I336&lt;&gt;"",TRIM(UPPER('query (2)'!I336)),IF($L336="","UNKNOWN",$L336))</f>
        <v>SB</v>
      </c>
      <c r="N336" s="24" t="str">
        <f>IF('query (2)'!I336&lt;&gt;"","SOURCE",IF($L336="","UNKNOWN","DERIVED"))</f>
        <v>SOURCE</v>
      </c>
      <c r="O336" s="24" t="str">
        <f>IF('query (2)'!E336="","NOT_SPECIFIED",TRIM(UPPER('query (2)'!E336)))</f>
        <v>GRINDING 2</v>
      </c>
      <c r="P336" s="24" t="str">
        <f>IF('query (2)'!F336="","",TRIM(UPPER('query (2)'!F336)))</f>
        <v>1212-SB4G</v>
      </c>
      <c r="Q336" s="24" t="str">
        <f>IF('query (2)'!G336="","UNKNOWN",IFERROR(INDEX(Cleaning_Rules!$B$38:$B$46,MATCH(TRIM(UPPER('query (2)'!G336)),Cleaning_Rules!$A$38:$A$46,0)),"UNKNOWN"))</f>
        <v>OTHER</v>
      </c>
      <c r="R336" s="24" t="str">
        <f>IF('query (2)'!H336="","",TRIM(UPPER('query (2)'!H336)))</f>
        <v>INNER RING RACEWAY GRINDING M/C</v>
      </c>
      <c r="S336" s="25" t="str">
        <f>IF('query (2)'!H336="","",'query (2)'!H336)</f>
        <v>Inner ring raceway grinding M/C</v>
      </c>
      <c r="T336" s="24" t="str">
        <f>IF('query (2)'!J336="","",TRIM(UPPER('query (2)'!J336)))</f>
        <v>B - RACEWAY GRINDING</v>
      </c>
      <c r="U336" s="24" t="str">
        <f t="shared" si="38"/>
        <v/>
      </c>
      <c r="V336" s="24" t="str">
        <f>IF('query (2)'!K336="","NOT_SPECIFIED",IFERROR(INDEX(Cleaning_Rules!$B$32:$B$34,MATCH(TRIM(UPPER('query (2)'!K336)),Cleaning_Rules!$A$32:$A$34,0)),"UNKNOWN"))</f>
        <v>NOT_SPECIFIED</v>
      </c>
      <c r="W336" s="24" t="str">
        <f t="shared" si="39"/>
        <v>GR-310 | FACTORY2 | SB4 | SB | GRINDING 2 | 1212-SB4G | OTHER | INNER RING RACEWAY GRINDING M/C | B - RACEWAY GRINDING | NOT_SPECIFIED</v>
      </c>
      <c r="X336" s="24" t="str">
        <f t="shared" si="40"/>
        <v/>
      </c>
      <c r="Y336" s="24" t="str">
        <f t="shared" si="41"/>
        <v>MISSING_STATUS; CATEGORY_NOT_USEFUL</v>
      </c>
    </row>
    <row r="337" spans="1:25" x14ac:dyDescent="0.3">
      <c r="A337" s="24" t="str">
        <f t="shared" si="35"/>
        <v>GR-312#0336</v>
      </c>
      <c r="B337" s="24" t="str">
        <f>IF('query (2)'!B337="","",TRIM(UPPER('query (2)'!B337)))</f>
        <v>GR-312</v>
      </c>
      <c r="C337" s="25" t="str">
        <f>IF('query (2)'!B337="","",'query (2)'!B337)</f>
        <v>GR-312</v>
      </c>
      <c r="D337" s="24" t="str">
        <f t="shared" si="36"/>
        <v>GR</v>
      </c>
      <c r="E337" s="24">
        <f t="shared" si="37"/>
        <v>1</v>
      </c>
      <c r="F337" s="24">
        <f>IF('query (2)'!A337="","",IFERROR(VALUE('query (2)'!A337),""))</f>
        <v>355</v>
      </c>
      <c r="G337" s="24" t="str">
        <f>IF('query (2)'!C337="","UNKNOWN",IFERROR(INDEX(Cleaning_Rules!$B$15:$B$20,MATCH(TRIM(UPPER('query (2)'!C337)),Cleaning_Rules!$A$15:$A$20,0)),"UNKNOWN"))</f>
        <v>FACTORY2</v>
      </c>
      <c r="H337" s="25" t="str">
        <f>IF('query (2)'!C337="","",'query (2)'!C337)</f>
        <v>FACTORY2</v>
      </c>
      <c r="I337" s="24" t="str" cm="1">
        <f t="array" ref="I337">_xlfn.IFS($G337="UNKNOWN","UNKNOWN",OR($G337="FACTORY1",$G337="FACTORY2",$G337="FACTORY3"),"PLANT",TRUE,"SHARED")</f>
        <v>PLANT</v>
      </c>
      <c r="J337" s="24" t="str">
        <f>IF('query (2)'!D337="","UNKNOWN",IF(COUNTIF(Cleaning_Rules!$A$6:$A$11,TRIM('query (2)'!D337))&gt;0,"UNKNOWN",IFERROR(INDEX(Cleaning_Rules!$B$24:$B$28,MATCH(TRIM(UPPER('query (2)'!D337)),Cleaning_Rules!$A$24:$A$28,0)),TRIM(UPPER('query (2)'!D337)))))</f>
        <v>SB4</v>
      </c>
      <c r="K337" s="25" t="str">
        <f>IF('query (2)'!D337="","",'query (2)'!D337)</f>
        <v>SB4</v>
      </c>
      <c r="L337" s="24" t="str">
        <f>IF($J337="UNKNOWN","",_xlfn.TEXTBEFORE($J337,{"0","1","2","3","4","5","6","7","8","9"," ","-","."},1,,,$J337))</f>
        <v>SB</v>
      </c>
      <c r="M337" s="24" t="str">
        <f>IF('query (2)'!I337&lt;&gt;"",TRIM(UPPER('query (2)'!I337)),IF($L337="","UNKNOWN",$L337))</f>
        <v>SB</v>
      </c>
      <c r="N337" s="24" t="str">
        <f>IF('query (2)'!I337&lt;&gt;"","SOURCE",IF($L337="","UNKNOWN","DERIVED"))</f>
        <v>SOURCE</v>
      </c>
      <c r="O337" s="24" t="str">
        <f>IF('query (2)'!E337="","NOT_SPECIFIED",TRIM(UPPER('query (2)'!E337)))</f>
        <v>GRINDING 2</v>
      </c>
      <c r="P337" s="24" t="str">
        <f>IF('query (2)'!F337="","",TRIM(UPPER('query (2)'!F337)))</f>
        <v>1212-SB4G</v>
      </c>
      <c r="Q337" s="24" t="str">
        <f>IF('query (2)'!G337="","UNKNOWN",IFERROR(INDEX(Cleaning_Rules!$B$38:$B$46,MATCH(TRIM(UPPER('query (2)'!G337)),Cleaning_Rules!$A$38:$A$46,0)),"UNKNOWN"))</f>
        <v>OTHER</v>
      </c>
      <c r="R337" s="24" t="str">
        <f>IF('query (2)'!H337="","",TRIM(UPPER('query (2)'!H337)))</f>
        <v>INNER RING BORE GRINDING M/C</v>
      </c>
      <c r="S337" s="25" t="str">
        <f>IF('query (2)'!H337="","",'query (2)'!H337)</f>
        <v>Inner ring bore grinding M/C</v>
      </c>
      <c r="T337" s="24" t="str">
        <f>IF('query (2)'!J337="","",TRIM(UPPER('query (2)'!J337)))</f>
        <v>B - BORE GRINDING</v>
      </c>
      <c r="U337" s="24" t="str">
        <f t="shared" si="38"/>
        <v/>
      </c>
      <c r="V337" s="24" t="str">
        <f>IF('query (2)'!K337="","NOT_SPECIFIED",IFERROR(INDEX(Cleaning_Rules!$B$32:$B$34,MATCH(TRIM(UPPER('query (2)'!K337)),Cleaning_Rules!$A$32:$A$34,0)),"UNKNOWN"))</f>
        <v>NOT_SPECIFIED</v>
      </c>
      <c r="W337" s="24" t="str">
        <f t="shared" si="39"/>
        <v>GR-312 | FACTORY2 | SB4 | SB | GRINDING 2 | 1212-SB4G | OTHER | INNER RING BORE GRINDING M/C | B - BORE GRINDING | NOT_SPECIFIED</v>
      </c>
      <c r="X337" s="24" t="str">
        <f t="shared" si="40"/>
        <v/>
      </c>
      <c r="Y337" s="24" t="str">
        <f t="shared" si="41"/>
        <v>MISSING_STATUS; CATEGORY_NOT_USEFUL</v>
      </c>
    </row>
    <row r="338" spans="1:25" x14ac:dyDescent="0.3">
      <c r="A338" s="24" t="str">
        <f t="shared" si="35"/>
        <v>DE-314#0337</v>
      </c>
      <c r="B338" s="24" t="str">
        <f>IF('query (2)'!B338="","",TRIM(UPPER('query (2)'!B338)))</f>
        <v>DE-314</v>
      </c>
      <c r="C338" s="25" t="str">
        <f>IF('query (2)'!B338="","",'query (2)'!B338)</f>
        <v>DE-314</v>
      </c>
      <c r="D338" s="24" t="str">
        <f t="shared" si="36"/>
        <v>DE</v>
      </c>
      <c r="E338" s="24">
        <f t="shared" si="37"/>
        <v>1</v>
      </c>
      <c r="F338" s="24">
        <f>IF('query (2)'!A338="","",IFERROR(VALUE('query (2)'!A338),""))</f>
        <v>356</v>
      </c>
      <c r="G338" s="24" t="str">
        <f>IF('query (2)'!C338="","UNKNOWN",IFERROR(INDEX(Cleaning_Rules!$B$15:$B$20,MATCH(TRIM(UPPER('query (2)'!C338)),Cleaning_Rules!$A$15:$A$20,0)),"UNKNOWN"))</f>
        <v>FACTORY2</v>
      </c>
      <c r="H338" s="25" t="str">
        <f>IF('query (2)'!C338="","",'query (2)'!C338)</f>
        <v>FACTORY2</v>
      </c>
      <c r="I338" s="24" t="str" cm="1">
        <f t="array" ref="I338">_xlfn.IFS($G338="UNKNOWN","UNKNOWN",OR($G338="FACTORY1",$G338="FACTORY2",$G338="FACTORY3"),"PLANT",TRUE,"SHARED")</f>
        <v>PLANT</v>
      </c>
      <c r="J338" s="24" t="str">
        <f>IF('query (2)'!D338="","UNKNOWN",IF(COUNTIF(Cleaning_Rules!$A$6:$A$11,TRIM('query (2)'!D338))&gt;0,"UNKNOWN",IFERROR(INDEX(Cleaning_Rules!$B$24:$B$28,MATCH(TRIM(UPPER('query (2)'!D338)),Cleaning_Rules!$A$24:$A$28,0)),TRIM(UPPER('query (2)'!D338)))))</f>
        <v>SB4</v>
      </c>
      <c r="K338" s="25" t="str">
        <f>IF('query (2)'!D338="","",'query (2)'!D338)</f>
        <v>SB4</v>
      </c>
      <c r="L338" s="24" t="str">
        <f>IF($J338="UNKNOWN","",_xlfn.TEXTBEFORE($J338,{"0","1","2","3","4","5","6","7","8","9"," ","-","."},1,,,$J338))</f>
        <v>SB</v>
      </c>
      <c r="M338" s="24" t="str">
        <f>IF('query (2)'!I338&lt;&gt;"",TRIM(UPPER('query (2)'!I338)),IF($L338="","UNKNOWN",$L338))</f>
        <v>SB</v>
      </c>
      <c r="N338" s="24" t="str">
        <f>IF('query (2)'!I338&lt;&gt;"","SOURCE",IF($L338="","UNKNOWN","DERIVED"))</f>
        <v>SOURCE</v>
      </c>
      <c r="O338" s="24" t="str">
        <f>IF('query (2)'!E338="","NOT_SPECIFIED",TRIM(UPPER('query (2)'!E338)))</f>
        <v>GRINDING 2</v>
      </c>
      <c r="P338" s="24" t="str">
        <f>IF('query (2)'!F338="","",TRIM(UPPER('query (2)'!F338)))</f>
        <v>1212-SB4G</v>
      </c>
      <c r="Q338" s="24" t="str">
        <f>IF('query (2)'!G338="","UNKNOWN",IFERROR(INDEX(Cleaning_Rules!$B$38:$B$46,MATCH(TRIM(UPPER('query (2)'!G338)),Cleaning_Rules!$A$38:$A$46,0)),"UNKNOWN"))</f>
        <v>OTHER</v>
      </c>
      <c r="R338" s="24" t="str">
        <f>IF('query (2)'!H338="","",TRIM(UPPER('query (2)'!H338)))</f>
        <v>DEMAGNETIZING FOR INNER RING M/C</v>
      </c>
      <c r="S338" s="25" t="str">
        <f>IF('query (2)'!H338="","",'query (2)'!H338)</f>
        <v>Demagnetizing for  inner  ring  M/C</v>
      </c>
      <c r="T338" s="24" t="str">
        <f>IF('query (2)'!J338="","",TRIM(UPPER('query (2)'!J338)))</f>
        <v>B - DEMAGNETIZING</v>
      </c>
      <c r="U338" s="24" t="str">
        <f t="shared" si="38"/>
        <v/>
      </c>
      <c r="V338" s="24" t="str">
        <f>IF('query (2)'!K338="","NOT_SPECIFIED",IFERROR(INDEX(Cleaning_Rules!$B$32:$B$34,MATCH(TRIM(UPPER('query (2)'!K338)),Cleaning_Rules!$A$32:$A$34,0)),"UNKNOWN"))</f>
        <v>NOT_SPECIFIED</v>
      </c>
      <c r="W338" s="24" t="str">
        <f t="shared" si="39"/>
        <v>DE-314 | FACTORY2 | SB4 | SB | GRINDING 2 | 1212-SB4G | OTHER | DEMAGNETIZING FOR INNER RING M/C | B - DEMAGNETIZING | NOT_SPECIFIED</v>
      </c>
      <c r="X338" s="24" t="str">
        <f t="shared" si="40"/>
        <v/>
      </c>
      <c r="Y338" s="24" t="str">
        <f t="shared" si="41"/>
        <v>MISSING_STATUS; CATEGORY_NOT_USEFUL</v>
      </c>
    </row>
    <row r="339" spans="1:25" x14ac:dyDescent="0.3">
      <c r="A339" s="24" t="str">
        <f t="shared" si="35"/>
        <v>GR-315#0338</v>
      </c>
      <c r="B339" s="24" t="str">
        <f>IF('query (2)'!B339="","",TRIM(UPPER('query (2)'!B339)))</f>
        <v>GR-315</v>
      </c>
      <c r="C339" s="25" t="str">
        <f>IF('query (2)'!B339="","",'query (2)'!B339)</f>
        <v>GR-315</v>
      </c>
      <c r="D339" s="24" t="str">
        <f t="shared" si="36"/>
        <v>GR</v>
      </c>
      <c r="E339" s="24">
        <f t="shared" si="37"/>
        <v>1</v>
      </c>
      <c r="F339" s="24">
        <f>IF('query (2)'!A339="","",IFERROR(VALUE('query (2)'!A339),""))</f>
        <v>357</v>
      </c>
      <c r="G339" s="24" t="str">
        <f>IF('query (2)'!C339="","UNKNOWN",IFERROR(INDEX(Cleaning_Rules!$B$15:$B$20,MATCH(TRIM(UPPER('query (2)'!C339)),Cleaning_Rules!$A$15:$A$20,0)),"UNKNOWN"))</f>
        <v>FACTORY2</v>
      </c>
      <c r="H339" s="25" t="str">
        <f>IF('query (2)'!C339="","",'query (2)'!C339)</f>
        <v>FACTORY2</v>
      </c>
      <c r="I339" s="24" t="str" cm="1">
        <f t="array" ref="I339">_xlfn.IFS($G339="UNKNOWN","UNKNOWN",OR($G339="FACTORY1",$G339="FACTORY2",$G339="FACTORY3"),"PLANT",TRUE,"SHARED")</f>
        <v>PLANT</v>
      </c>
      <c r="J339" s="24" t="str">
        <f>IF('query (2)'!D339="","UNKNOWN",IF(COUNTIF(Cleaning_Rules!$A$6:$A$11,TRIM('query (2)'!D339))&gt;0,"UNKNOWN",IFERROR(INDEX(Cleaning_Rules!$B$24:$B$28,MATCH(TRIM(UPPER('query (2)'!D339)),Cleaning_Rules!$A$24:$A$28,0)),TRIM(UPPER('query (2)'!D339)))))</f>
        <v>SB4</v>
      </c>
      <c r="K339" s="25" t="str">
        <f>IF('query (2)'!D339="","",'query (2)'!D339)</f>
        <v>SB4</v>
      </c>
      <c r="L339" s="24" t="str">
        <f>IF($J339="UNKNOWN","",_xlfn.TEXTBEFORE($J339,{"0","1","2","3","4","5","6","7","8","9"," ","-","."},1,,,$J339))</f>
        <v>SB</v>
      </c>
      <c r="M339" s="24" t="str">
        <f>IF('query (2)'!I339&lt;&gt;"",TRIM(UPPER('query (2)'!I339)),IF($L339="","UNKNOWN",$L339))</f>
        <v>SB</v>
      </c>
      <c r="N339" s="24" t="str">
        <f>IF('query (2)'!I339&lt;&gt;"","SOURCE",IF($L339="","UNKNOWN","DERIVED"))</f>
        <v>SOURCE</v>
      </c>
      <c r="O339" s="24" t="str">
        <f>IF('query (2)'!E339="","NOT_SPECIFIED",TRIM(UPPER('query (2)'!E339)))</f>
        <v>GRINDING 2</v>
      </c>
      <c r="P339" s="24" t="str">
        <f>IF('query (2)'!F339="","",TRIM(UPPER('query (2)'!F339)))</f>
        <v>1212-SB4G</v>
      </c>
      <c r="Q339" s="24" t="str">
        <f>IF('query (2)'!G339="","UNKNOWN",IFERROR(INDEX(Cleaning_Rules!$B$38:$B$46,MATCH(TRIM(UPPER('query (2)'!G339)),Cleaning_Rules!$A$38:$A$46,0)),"UNKNOWN"))</f>
        <v>OTHER</v>
      </c>
      <c r="R339" s="24" t="str">
        <f>IF('query (2)'!H339="","",TRIM(UPPER('query (2)'!H339)))</f>
        <v>INNER RING RACEWAY SUPER FINISH M/C</v>
      </c>
      <c r="S339" s="25" t="str">
        <f>IF('query (2)'!H339="","",'query (2)'!H339)</f>
        <v>Inner ring raceway super finish M/C</v>
      </c>
      <c r="T339" s="24" t="str">
        <f>IF('query (2)'!J339="","",TRIM(UPPER('query (2)'!J339)))</f>
        <v>B - RACEWAY SUPER FINISH</v>
      </c>
      <c r="U339" s="24" t="str">
        <f t="shared" si="38"/>
        <v/>
      </c>
      <c r="V339" s="24" t="str">
        <f>IF('query (2)'!K339="","NOT_SPECIFIED",IFERROR(INDEX(Cleaning_Rules!$B$32:$B$34,MATCH(TRIM(UPPER('query (2)'!K339)),Cleaning_Rules!$A$32:$A$34,0)),"UNKNOWN"))</f>
        <v>NOT_SPECIFIED</v>
      </c>
      <c r="W339" s="24" t="str">
        <f t="shared" si="39"/>
        <v>GR-315 | FACTORY2 | SB4 | SB | GRINDING 2 | 1212-SB4G | OTHER | INNER RING RACEWAY SUPER FINISH M/C | B - RACEWAY SUPER FINISH | NOT_SPECIFIED</v>
      </c>
      <c r="X339" s="24" t="str">
        <f t="shared" si="40"/>
        <v/>
      </c>
      <c r="Y339" s="24" t="str">
        <f t="shared" si="41"/>
        <v>MISSING_STATUS; CATEGORY_NOT_USEFUL</v>
      </c>
    </row>
    <row r="340" spans="1:25" x14ac:dyDescent="0.3">
      <c r="A340" s="24" t="str">
        <f t="shared" si="35"/>
        <v>GR-319#0339</v>
      </c>
      <c r="B340" s="24" t="str">
        <f>IF('query (2)'!B340="","",TRIM(UPPER('query (2)'!B340)))</f>
        <v>GR-319</v>
      </c>
      <c r="C340" s="25" t="str">
        <f>IF('query (2)'!B340="","",'query (2)'!B340)</f>
        <v>GR-319</v>
      </c>
      <c r="D340" s="24" t="str">
        <f t="shared" si="36"/>
        <v>GR</v>
      </c>
      <c r="E340" s="24">
        <f t="shared" si="37"/>
        <v>1</v>
      </c>
      <c r="F340" s="24">
        <f>IF('query (2)'!A340="","",IFERROR(VALUE('query (2)'!A340),""))</f>
        <v>358</v>
      </c>
      <c r="G340" s="24" t="str">
        <f>IF('query (2)'!C340="","UNKNOWN",IFERROR(INDEX(Cleaning_Rules!$B$15:$B$20,MATCH(TRIM(UPPER('query (2)'!C340)),Cleaning_Rules!$A$15:$A$20,0)),"UNKNOWN"))</f>
        <v>FACTORY2</v>
      </c>
      <c r="H340" s="25" t="str">
        <f>IF('query (2)'!C340="","",'query (2)'!C340)</f>
        <v>FACTORY2</v>
      </c>
      <c r="I340" s="24" t="str" cm="1">
        <f t="array" ref="I340">_xlfn.IFS($G340="UNKNOWN","UNKNOWN",OR($G340="FACTORY1",$G340="FACTORY2",$G340="FACTORY3"),"PLANT",TRUE,"SHARED")</f>
        <v>PLANT</v>
      </c>
      <c r="J340" s="24" t="str">
        <f>IF('query (2)'!D340="","UNKNOWN",IF(COUNTIF(Cleaning_Rules!$A$6:$A$11,TRIM('query (2)'!D340))&gt;0,"UNKNOWN",IFERROR(INDEX(Cleaning_Rules!$B$24:$B$28,MATCH(TRIM(UPPER('query (2)'!D340)),Cleaning_Rules!$A$24:$A$28,0)),TRIM(UPPER('query (2)'!D340)))))</f>
        <v>SB4</v>
      </c>
      <c r="K340" s="25" t="str">
        <f>IF('query (2)'!D340="","",'query (2)'!D340)</f>
        <v>SB4</v>
      </c>
      <c r="L340" s="24" t="str">
        <f>IF($J340="UNKNOWN","",_xlfn.TEXTBEFORE($J340,{"0","1","2","3","4","5","6","7","8","9"," ","-","."},1,,,$J340))</f>
        <v>SB</v>
      </c>
      <c r="M340" s="24" t="str">
        <f>IF('query (2)'!I340&lt;&gt;"",TRIM(UPPER('query (2)'!I340)),IF($L340="","UNKNOWN",$L340))</f>
        <v>SB</v>
      </c>
      <c r="N340" s="24" t="str">
        <f>IF('query (2)'!I340&lt;&gt;"","SOURCE",IF($L340="","UNKNOWN","DERIVED"))</f>
        <v>SOURCE</v>
      </c>
      <c r="O340" s="24" t="str">
        <f>IF('query (2)'!E340="","NOT_SPECIFIED",TRIM(UPPER('query (2)'!E340)))</f>
        <v>GRINDING 2</v>
      </c>
      <c r="P340" s="24" t="str">
        <f>IF('query (2)'!F340="","",TRIM(UPPER('query (2)'!F340)))</f>
        <v>1212-SB4G</v>
      </c>
      <c r="Q340" s="24" t="str">
        <f>IF('query (2)'!G340="","UNKNOWN",IFERROR(INDEX(Cleaning_Rules!$B$38:$B$46,MATCH(TRIM(UPPER('query (2)'!G340)),Cleaning_Rules!$A$38:$A$46,0)),"UNKNOWN"))</f>
        <v>OTHER</v>
      </c>
      <c r="R340" s="24" t="str">
        <f>IF('query (2)'!H340="","",TRIM(UPPER('query (2)'!H340)))</f>
        <v>OUTER RING RACEWAY GRINDING M/C</v>
      </c>
      <c r="S340" s="25" t="str">
        <f>IF('query (2)'!H340="","",'query (2)'!H340)</f>
        <v>Outer ring raceway grinding M/C</v>
      </c>
      <c r="T340" s="24" t="str">
        <f>IF('query (2)'!J340="","",TRIM(UPPER('query (2)'!J340)))</f>
        <v>A - RACEWAY GRINDING</v>
      </c>
      <c r="U340" s="24" t="str">
        <f t="shared" si="38"/>
        <v/>
      </c>
      <c r="V340" s="24" t="str">
        <f>IF('query (2)'!K340="","NOT_SPECIFIED",IFERROR(INDEX(Cleaning_Rules!$B$32:$B$34,MATCH(TRIM(UPPER('query (2)'!K340)),Cleaning_Rules!$A$32:$A$34,0)),"UNKNOWN"))</f>
        <v>NOT_SPECIFIED</v>
      </c>
      <c r="W340" s="24" t="str">
        <f t="shared" si="39"/>
        <v>GR-319 | FACTORY2 | SB4 | SB | GRINDING 2 | 1212-SB4G | OTHER | OUTER RING RACEWAY GRINDING M/C | A - RACEWAY GRINDING | NOT_SPECIFIED</v>
      </c>
      <c r="X340" s="24" t="str">
        <f t="shared" si="40"/>
        <v/>
      </c>
      <c r="Y340" s="24" t="str">
        <f t="shared" si="41"/>
        <v>MISSING_STATUS; CATEGORY_NOT_USEFUL</v>
      </c>
    </row>
    <row r="341" spans="1:25" x14ac:dyDescent="0.3">
      <c r="A341" s="24" t="str">
        <f t="shared" si="35"/>
        <v>DE-320#0340</v>
      </c>
      <c r="B341" s="24" t="str">
        <f>IF('query (2)'!B341="","",TRIM(UPPER('query (2)'!B341)))</f>
        <v>DE-320</v>
      </c>
      <c r="C341" s="25" t="str">
        <f>IF('query (2)'!B341="","",'query (2)'!B341)</f>
        <v>DE-320</v>
      </c>
      <c r="D341" s="24" t="str">
        <f t="shared" si="36"/>
        <v>DE</v>
      </c>
      <c r="E341" s="24">
        <f t="shared" si="37"/>
        <v>1</v>
      </c>
      <c r="F341" s="24">
        <f>IF('query (2)'!A341="","",IFERROR(VALUE('query (2)'!A341),""))</f>
        <v>359</v>
      </c>
      <c r="G341" s="24" t="str">
        <f>IF('query (2)'!C341="","UNKNOWN",IFERROR(INDEX(Cleaning_Rules!$B$15:$B$20,MATCH(TRIM(UPPER('query (2)'!C341)),Cleaning_Rules!$A$15:$A$20,0)),"UNKNOWN"))</f>
        <v>FACTORY2</v>
      </c>
      <c r="H341" s="25" t="str">
        <f>IF('query (2)'!C341="","",'query (2)'!C341)</f>
        <v>FACTORY2</v>
      </c>
      <c r="I341" s="24" t="str" cm="1">
        <f t="array" ref="I341">_xlfn.IFS($G341="UNKNOWN","UNKNOWN",OR($G341="FACTORY1",$G341="FACTORY2",$G341="FACTORY3"),"PLANT",TRUE,"SHARED")</f>
        <v>PLANT</v>
      </c>
      <c r="J341" s="24" t="str">
        <f>IF('query (2)'!D341="","UNKNOWN",IF(COUNTIF(Cleaning_Rules!$A$6:$A$11,TRIM('query (2)'!D341))&gt;0,"UNKNOWN",IFERROR(INDEX(Cleaning_Rules!$B$24:$B$28,MATCH(TRIM(UPPER('query (2)'!D341)),Cleaning_Rules!$A$24:$A$28,0)),TRIM(UPPER('query (2)'!D341)))))</f>
        <v>SB4</v>
      </c>
      <c r="K341" s="25" t="str">
        <f>IF('query (2)'!D341="","",'query (2)'!D341)</f>
        <v>SB4</v>
      </c>
      <c r="L341" s="24" t="str">
        <f>IF($J341="UNKNOWN","",_xlfn.TEXTBEFORE($J341,{"0","1","2","3","4","5","6","7","8","9"," ","-","."},1,,,$J341))</f>
        <v>SB</v>
      </c>
      <c r="M341" s="24" t="str">
        <f>IF('query (2)'!I341&lt;&gt;"",TRIM(UPPER('query (2)'!I341)),IF($L341="","UNKNOWN",$L341))</f>
        <v>SB</v>
      </c>
      <c r="N341" s="24" t="str">
        <f>IF('query (2)'!I341&lt;&gt;"","SOURCE",IF($L341="","UNKNOWN","DERIVED"))</f>
        <v>SOURCE</v>
      </c>
      <c r="O341" s="24" t="str">
        <f>IF('query (2)'!E341="","NOT_SPECIFIED",TRIM(UPPER('query (2)'!E341)))</f>
        <v>GRINDING 2</v>
      </c>
      <c r="P341" s="24" t="str">
        <f>IF('query (2)'!F341="","",TRIM(UPPER('query (2)'!F341)))</f>
        <v>1212-SB4G</v>
      </c>
      <c r="Q341" s="24" t="str">
        <f>IF('query (2)'!G341="","UNKNOWN",IFERROR(INDEX(Cleaning_Rules!$B$38:$B$46,MATCH(TRIM(UPPER('query (2)'!G341)),Cleaning_Rules!$A$38:$A$46,0)),"UNKNOWN"))</f>
        <v>OTHER</v>
      </c>
      <c r="R341" s="24" t="str">
        <f>IF('query (2)'!H341="","",TRIM(UPPER('query (2)'!H341)))</f>
        <v>DEMAGNETIZING FOR OUTER RING M/C</v>
      </c>
      <c r="S341" s="25" t="str">
        <f>IF('query (2)'!H341="","",'query (2)'!H341)</f>
        <v>Demagnetizing  for  outer  ring  M/C</v>
      </c>
      <c r="T341" s="24" t="str">
        <f>IF('query (2)'!J341="","",TRIM(UPPER('query (2)'!J341)))</f>
        <v>A - DEMAGNETIZING</v>
      </c>
      <c r="U341" s="24" t="str">
        <f t="shared" si="38"/>
        <v/>
      </c>
      <c r="V341" s="24" t="str">
        <f>IF('query (2)'!K341="","NOT_SPECIFIED",IFERROR(INDEX(Cleaning_Rules!$B$32:$B$34,MATCH(TRIM(UPPER('query (2)'!K341)),Cleaning_Rules!$A$32:$A$34,0)),"UNKNOWN"))</f>
        <v>NOT_SPECIFIED</v>
      </c>
      <c r="W341" s="24" t="str">
        <f t="shared" si="39"/>
        <v>DE-320 | FACTORY2 | SB4 | SB | GRINDING 2 | 1212-SB4G | OTHER | DEMAGNETIZING FOR OUTER RING M/C | A - DEMAGNETIZING | NOT_SPECIFIED</v>
      </c>
      <c r="X341" s="24" t="str">
        <f t="shared" si="40"/>
        <v/>
      </c>
      <c r="Y341" s="24" t="str">
        <f t="shared" si="41"/>
        <v>MISSING_STATUS; CATEGORY_NOT_USEFUL</v>
      </c>
    </row>
    <row r="342" spans="1:25" x14ac:dyDescent="0.3">
      <c r="A342" s="24" t="str">
        <f t="shared" si="35"/>
        <v>GR-321#0341</v>
      </c>
      <c r="B342" s="24" t="str">
        <f>IF('query (2)'!B342="","",TRIM(UPPER('query (2)'!B342)))</f>
        <v>GR-321</v>
      </c>
      <c r="C342" s="25" t="str">
        <f>IF('query (2)'!B342="","",'query (2)'!B342)</f>
        <v>GR-321</v>
      </c>
      <c r="D342" s="24" t="str">
        <f t="shared" si="36"/>
        <v>GR</v>
      </c>
      <c r="E342" s="24">
        <f t="shared" si="37"/>
        <v>1</v>
      </c>
      <c r="F342" s="24">
        <f>IF('query (2)'!A342="","",IFERROR(VALUE('query (2)'!A342),""))</f>
        <v>360</v>
      </c>
      <c r="G342" s="24" t="str">
        <f>IF('query (2)'!C342="","UNKNOWN",IFERROR(INDEX(Cleaning_Rules!$B$15:$B$20,MATCH(TRIM(UPPER('query (2)'!C342)),Cleaning_Rules!$A$15:$A$20,0)),"UNKNOWN"))</f>
        <v>FACTORY2</v>
      </c>
      <c r="H342" s="25" t="str">
        <f>IF('query (2)'!C342="","",'query (2)'!C342)</f>
        <v>FACTORY2</v>
      </c>
      <c r="I342" s="24" t="str" cm="1">
        <f t="array" ref="I342">_xlfn.IFS($G342="UNKNOWN","UNKNOWN",OR($G342="FACTORY1",$G342="FACTORY2",$G342="FACTORY3"),"PLANT",TRUE,"SHARED")</f>
        <v>PLANT</v>
      </c>
      <c r="J342" s="24" t="str">
        <f>IF('query (2)'!D342="","UNKNOWN",IF(COUNTIF(Cleaning_Rules!$A$6:$A$11,TRIM('query (2)'!D342))&gt;0,"UNKNOWN",IFERROR(INDEX(Cleaning_Rules!$B$24:$B$28,MATCH(TRIM(UPPER('query (2)'!D342)),Cleaning_Rules!$A$24:$A$28,0)),TRIM(UPPER('query (2)'!D342)))))</f>
        <v>SB4</v>
      </c>
      <c r="K342" s="25" t="str">
        <f>IF('query (2)'!D342="","",'query (2)'!D342)</f>
        <v>SB4</v>
      </c>
      <c r="L342" s="24" t="str">
        <f>IF($J342="UNKNOWN","",_xlfn.TEXTBEFORE($J342,{"0","1","2","3","4","5","6","7","8","9"," ","-","."},1,,,$J342))</f>
        <v>SB</v>
      </c>
      <c r="M342" s="24" t="str">
        <f>IF('query (2)'!I342&lt;&gt;"",TRIM(UPPER('query (2)'!I342)),IF($L342="","UNKNOWN",$L342))</f>
        <v>SB</v>
      </c>
      <c r="N342" s="24" t="str">
        <f>IF('query (2)'!I342&lt;&gt;"","SOURCE",IF($L342="","UNKNOWN","DERIVED"))</f>
        <v>SOURCE</v>
      </c>
      <c r="O342" s="24" t="str">
        <f>IF('query (2)'!E342="","NOT_SPECIFIED",TRIM(UPPER('query (2)'!E342)))</f>
        <v>GRINDING 2</v>
      </c>
      <c r="P342" s="24" t="str">
        <f>IF('query (2)'!F342="","",TRIM(UPPER('query (2)'!F342)))</f>
        <v>1212-SB4G</v>
      </c>
      <c r="Q342" s="24" t="str">
        <f>IF('query (2)'!G342="","UNKNOWN",IFERROR(INDEX(Cleaning_Rules!$B$38:$B$46,MATCH(TRIM(UPPER('query (2)'!G342)),Cleaning_Rules!$A$38:$A$46,0)),"UNKNOWN"))</f>
        <v>OTHER</v>
      </c>
      <c r="R342" s="24" t="str">
        <f>IF('query (2)'!H342="","",TRIM(UPPER('query (2)'!H342)))</f>
        <v>OUTER RING RACEWAY SUPER FINISH M/C</v>
      </c>
      <c r="S342" s="25" t="str">
        <f>IF('query (2)'!H342="","",'query (2)'!H342)</f>
        <v>Outer ring raceway super finish M/C</v>
      </c>
      <c r="T342" s="24" t="str">
        <f>IF('query (2)'!J342="","",TRIM(UPPER('query (2)'!J342)))</f>
        <v>A - RACEWAY SUPER FINISH</v>
      </c>
      <c r="U342" s="24" t="str">
        <f t="shared" si="38"/>
        <v/>
      </c>
      <c r="V342" s="24" t="str">
        <f>IF('query (2)'!K342="","NOT_SPECIFIED",IFERROR(INDEX(Cleaning_Rules!$B$32:$B$34,MATCH(TRIM(UPPER('query (2)'!K342)),Cleaning_Rules!$A$32:$A$34,0)),"UNKNOWN"))</f>
        <v>NOT_SPECIFIED</v>
      </c>
      <c r="W342" s="24" t="str">
        <f t="shared" si="39"/>
        <v>GR-321 | FACTORY2 | SB4 | SB | GRINDING 2 | 1212-SB4G | OTHER | OUTER RING RACEWAY SUPER FINISH M/C | A - RACEWAY SUPER FINISH | NOT_SPECIFIED</v>
      </c>
      <c r="X342" s="24" t="str">
        <f t="shared" si="40"/>
        <v/>
      </c>
      <c r="Y342" s="24" t="str">
        <f t="shared" si="41"/>
        <v>MISSING_STATUS; CATEGORY_NOT_USEFUL</v>
      </c>
    </row>
    <row r="343" spans="1:25" x14ac:dyDescent="0.3">
      <c r="A343" s="24" t="str">
        <f t="shared" si="35"/>
        <v>WA-322#0342</v>
      </c>
      <c r="B343" s="24" t="str">
        <f>IF('query (2)'!B343="","",TRIM(UPPER('query (2)'!B343)))</f>
        <v>WA-322</v>
      </c>
      <c r="C343" s="25" t="str">
        <f>IF('query (2)'!B343="","",'query (2)'!B343)</f>
        <v>WA-322</v>
      </c>
      <c r="D343" s="24" t="str">
        <f t="shared" si="36"/>
        <v>WA</v>
      </c>
      <c r="E343" s="24">
        <f t="shared" si="37"/>
        <v>1</v>
      </c>
      <c r="F343" s="24">
        <f>IF('query (2)'!A343="","",IFERROR(VALUE('query (2)'!A343),""))</f>
        <v>361</v>
      </c>
      <c r="G343" s="24" t="str">
        <f>IF('query (2)'!C343="","UNKNOWN",IFERROR(INDEX(Cleaning_Rules!$B$15:$B$20,MATCH(TRIM(UPPER('query (2)'!C343)),Cleaning_Rules!$A$15:$A$20,0)),"UNKNOWN"))</f>
        <v>FACTORY2</v>
      </c>
      <c r="H343" s="25" t="str">
        <f>IF('query (2)'!C343="","",'query (2)'!C343)</f>
        <v>FACTORY2</v>
      </c>
      <c r="I343" s="24" t="str" cm="1">
        <f t="array" ref="I343">_xlfn.IFS($G343="UNKNOWN","UNKNOWN",OR($G343="FACTORY1",$G343="FACTORY2",$G343="FACTORY3"),"PLANT",TRUE,"SHARED")</f>
        <v>PLANT</v>
      </c>
      <c r="J343" s="24" t="str">
        <f>IF('query (2)'!D343="","UNKNOWN",IF(COUNTIF(Cleaning_Rules!$A$6:$A$11,TRIM('query (2)'!D343))&gt;0,"UNKNOWN",IFERROR(INDEX(Cleaning_Rules!$B$24:$B$28,MATCH(TRIM(UPPER('query (2)'!D343)),Cleaning_Rules!$A$24:$A$28,0)),TRIM(UPPER('query (2)'!D343)))))</f>
        <v>SB4</v>
      </c>
      <c r="K343" s="25" t="str">
        <f>IF('query (2)'!D343="","",'query (2)'!D343)</f>
        <v>SB4</v>
      </c>
      <c r="L343" s="24" t="str">
        <f>IF($J343="UNKNOWN","",_xlfn.TEXTBEFORE($J343,{"0","1","2","3","4","5","6","7","8","9"," ","-","."},1,,,$J343))</f>
        <v>SB</v>
      </c>
      <c r="M343" s="24" t="str">
        <f>IF('query (2)'!I343&lt;&gt;"",TRIM(UPPER('query (2)'!I343)),IF($L343="","UNKNOWN",$L343))</f>
        <v>SB</v>
      </c>
      <c r="N343" s="24" t="str">
        <f>IF('query (2)'!I343&lt;&gt;"","SOURCE",IF($L343="","UNKNOWN","DERIVED"))</f>
        <v>SOURCE</v>
      </c>
      <c r="O343" s="24" t="str">
        <f>IF('query (2)'!E343="","NOT_SPECIFIED",TRIM(UPPER('query (2)'!E343)))</f>
        <v>GRINDING 2</v>
      </c>
      <c r="P343" s="24" t="str">
        <f>IF('query (2)'!F343="","",TRIM(UPPER('query (2)'!F343)))</f>
        <v>1212-SB4G</v>
      </c>
      <c r="Q343" s="24" t="str">
        <f>IF('query (2)'!G343="","UNKNOWN",IFERROR(INDEX(Cleaning_Rules!$B$38:$B$46,MATCH(TRIM(UPPER('query (2)'!G343)),Cleaning_Rules!$A$38:$A$46,0)),"UNKNOWN"))</f>
        <v>OTHER</v>
      </c>
      <c r="R343" s="24" t="str">
        <f>IF('query (2)'!H343="","",TRIM(UPPER('query (2)'!H343)))</f>
        <v>OUTER / INNER RING PART WASH EQUIPMENT M/C</v>
      </c>
      <c r="S343" s="25" t="str">
        <f>IF('query (2)'!H343="","",'query (2)'!H343)</f>
        <v>Outer / Inner  ring part wash equipment  M/C</v>
      </c>
      <c r="T343" s="24" t="str">
        <f>IF('query (2)'!J343="","",TRIM(UPPER('query (2)'!J343)))</f>
        <v>A &amp; B - PART WASH EQUIPMENT</v>
      </c>
      <c r="U343" s="24" t="str">
        <f t="shared" si="38"/>
        <v/>
      </c>
      <c r="V343" s="24" t="str">
        <f>IF('query (2)'!K343="","NOT_SPECIFIED",IFERROR(INDEX(Cleaning_Rules!$B$32:$B$34,MATCH(TRIM(UPPER('query (2)'!K343)),Cleaning_Rules!$A$32:$A$34,0)),"UNKNOWN"))</f>
        <v>NOT_SPECIFIED</v>
      </c>
      <c r="W343" s="24" t="str">
        <f t="shared" si="39"/>
        <v>WA-322 | FACTORY2 | SB4 | SB | GRINDING 2 | 1212-SB4G | OTHER | OUTER / INNER RING PART WASH EQUIPMENT M/C | A &amp; B - PART WASH EQUIPMENT | NOT_SPECIFIED</v>
      </c>
      <c r="X343" s="24" t="str">
        <f t="shared" si="40"/>
        <v/>
      </c>
      <c r="Y343" s="24" t="str">
        <f t="shared" si="41"/>
        <v>MISSING_STATUS; CATEGORY_NOT_USEFUL</v>
      </c>
    </row>
    <row r="344" spans="1:25" x14ac:dyDescent="0.3">
      <c r="A344" s="24" t="str">
        <f t="shared" si="35"/>
        <v>AS-327#0343</v>
      </c>
      <c r="B344" s="24" t="str">
        <f>IF('query (2)'!B344="","",TRIM(UPPER('query (2)'!B344)))</f>
        <v>AS-327</v>
      </c>
      <c r="C344" s="25" t="str">
        <f>IF('query (2)'!B344="","",'query (2)'!B344)</f>
        <v>AS-327</v>
      </c>
      <c r="D344" s="24" t="str">
        <f t="shared" si="36"/>
        <v>AS</v>
      </c>
      <c r="E344" s="24">
        <f t="shared" si="37"/>
        <v>1</v>
      </c>
      <c r="F344" s="24">
        <f>IF('query (2)'!A344="","",IFERROR(VALUE('query (2)'!A344),""))</f>
        <v>362</v>
      </c>
      <c r="G344" s="24" t="str">
        <f>IF('query (2)'!C344="","UNKNOWN",IFERROR(INDEX(Cleaning_Rules!$B$15:$B$20,MATCH(TRIM(UPPER('query (2)'!C344)),Cleaning_Rules!$A$15:$A$20,0)),"UNKNOWN"))</f>
        <v>FACTORY2</v>
      </c>
      <c r="H344" s="25" t="str">
        <f>IF('query (2)'!C344="","",'query (2)'!C344)</f>
        <v>FACTORY2</v>
      </c>
      <c r="I344" s="24" t="str" cm="1">
        <f t="array" ref="I344">_xlfn.IFS($G344="UNKNOWN","UNKNOWN",OR($G344="FACTORY1",$G344="FACTORY2",$G344="FACTORY3"),"PLANT",TRUE,"SHARED")</f>
        <v>PLANT</v>
      </c>
      <c r="J344" s="24" t="str">
        <f>IF('query (2)'!D344="","UNKNOWN",IF(COUNTIF(Cleaning_Rules!$A$6:$A$11,TRIM('query (2)'!D344))&gt;0,"UNKNOWN",IFERROR(INDEX(Cleaning_Rules!$B$24:$B$28,MATCH(TRIM(UPPER('query (2)'!D344)),Cleaning_Rules!$A$24:$A$28,0)),TRIM(UPPER('query (2)'!D344)))))</f>
        <v>SB4</v>
      </c>
      <c r="K344" s="25" t="str">
        <f>IF('query (2)'!D344="","",'query (2)'!D344)</f>
        <v>SB4</v>
      </c>
      <c r="L344" s="24" t="str">
        <f>IF($J344="UNKNOWN","",_xlfn.TEXTBEFORE($J344,{"0","1","2","3","4","5","6","7","8","9"," ","-","."},1,,,$J344))</f>
        <v>SB</v>
      </c>
      <c r="M344" s="24" t="str">
        <f>IF('query (2)'!I344&lt;&gt;"",TRIM(UPPER('query (2)'!I344)),IF($L344="","UNKNOWN",$L344))</f>
        <v>SB</v>
      </c>
      <c r="N344" s="24" t="str">
        <f>IF('query (2)'!I344&lt;&gt;"","SOURCE",IF($L344="","UNKNOWN","DERIVED"))</f>
        <v>SOURCE</v>
      </c>
      <c r="O344" s="24" t="str">
        <f>IF('query (2)'!E344="","NOT_SPECIFIED",TRIM(UPPER('query (2)'!E344)))</f>
        <v>ASSEMBLY</v>
      </c>
      <c r="P344" s="24" t="str">
        <f>IF('query (2)'!F344="","",TRIM(UPPER('query (2)'!F344)))</f>
        <v>1213-SB4AI</v>
      </c>
      <c r="Q344" s="24" t="str">
        <f>IF('query (2)'!G344="","UNKNOWN",IFERROR(INDEX(Cleaning_Rules!$B$38:$B$46,MATCH(TRIM(UPPER('query (2)'!G344)),Cleaning_Rules!$A$38:$A$46,0)),"UNKNOWN"))</f>
        <v>OTHER</v>
      </c>
      <c r="R344" s="24" t="str">
        <f>IF('query (2)'!H344="","",TRIM(UPPER('query (2)'!H344)))</f>
        <v>RIVET PRESSING M/C</v>
      </c>
      <c r="S344" s="25" t="str">
        <f>IF('query (2)'!H344="","",'query (2)'!H344)</f>
        <v>Rivet  pressing  M/C</v>
      </c>
      <c r="T344" s="24" t="str">
        <f>IF('query (2)'!J344="","",TRIM(UPPER('query (2)'!J344)))</f>
        <v>RIVET PRESSING</v>
      </c>
      <c r="U344" s="24" t="str">
        <f t="shared" si="38"/>
        <v/>
      </c>
      <c r="V344" s="24" t="str">
        <f>IF('query (2)'!K344="","NOT_SPECIFIED",IFERROR(INDEX(Cleaning_Rules!$B$32:$B$34,MATCH(TRIM(UPPER('query (2)'!K344)),Cleaning_Rules!$A$32:$A$34,0)),"UNKNOWN"))</f>
        <v>NOT_SPECIFIED</v>
      </c>
      <c r="W344" s="24" t="str">
        <f t="shared" si="39"/>
        <v>AS-327 | FACTORY2 | SB4 | SB | ASSEMBLY | 1213-SB4AI | OTHER | RIVET PRESSING M/C | RIVET PRESSING | NOT_SPECIFIED</v>
      </c>
      <c r="X344" s="24" t="str">
        <f t="shared" si="40"/>
        <v/>
      </c>
      <c r="Y344" s="24" t="str">
        <f t="shared" si="41"/>
        <v>MISSING_STATUS; CATEGORY_NOT_USEFUL</v>
      </c>
    </row>
    <row r="345" spans="1:25" x14ac:dyDescent="0.3">
      <c r="A345" s="24" t="str">
        <f t="shared" si="35"/>
        <v>WA-328#0344</v>
      </c>
      <c r="B345" s="24" t="str">
        <f>IF('query (2)'!B345="","",TRIM(UPPER('query (2)'!B345)))</f>
        <v>WA-328</v>
      </c>
      <c r="C345" s="25" t="str">
        <f>IF('query (2)'!B345="","",'query (2)'!B345)</f>
        <v>WA-328</v>
      </c>
      <c r="D345" s="24" t="str">
        <f t="shared" si="36"/>
        <v>WA</v>
      </c>
      <c r="E345" s="24">
        <f t="shared" si="37"/>
        <v>1</v>
      </c>
      <c r="F345" s="24">
        <f>IF('query (2)'!A345="","",IFERROR(VALUE('query (2)'!A345),""))</f>
        <v>363</v>
      </c>
      <c r="G345" s="24" t="str">
        <f>IF('query (2)'!C345="","UNKNOWN",IFERROR(INDEX(Cleaning_Rules!$B$15:$B$20,MATCH(TRIM(UPPER('query (2)'!C345)),Cleaning_Rules!$A$15:$A$20,0)),"UNKNOWN"))</f>
        <v>FACTORY2</v>
      </c>
      <c r="H345" s="25" t="str">
        <f>IF('query (2)'!C345="","",'query (2)'!C345)</f>
        <v>FACTORY2</v>
      </c>
      <c r="I345" s="24" t="str" cm="1">
        <f t="array" ref="I345">_xlfn.IFS($G345="UNKNOWN","UNKNOWN",OR($G345="FACTORY1",$G345="FACTORY2",$G345="FACTORY3"),"PLANT",TRUE,"SHARED")</f>
        <v>PLANT</v>
      </c>
      <c r="J345" s="24" t="str">
        <f>IF('query (2)'!D345="","UNKNOWN",IF(COUNTIF(Cleaning_Rules!$A$6:$A$11,TRIM('query (2)'!D345))&gt;0,"UNKNOWN",IFERROR(INDEX(Cleaning_Rules!$B$24:$B$28,MATCH(TRIM(UPPER('query (2)'!D345)),Cleaning_Rules!$A$24:$A$28,0)),TRIM(UPPER('query (2)'!D345)))))</f>
        <v>SB4</v>
      </c>
      <c r="K345" s="25" t="str">
        <f>IF('query (2)'!D345="","",'query (2)'!D345)</f>
        <v>SB4</v>
      </c>
      <c r="L345" s="24" t="str">
        <f>IF($J345="UNKNOWN","",_xlfn.TEXTBEFORE($J345,{"0","1","2","3","4","5","6","7","8","9"," ","-","."},1,,,$J345))</f>
        <v>SB</v>
      </c>
      <c r="M345" s="24" t="str">
        <f>IF('query (2)'!I345&lt;&gt;"",TRIM(UPPER('query (2)'!I345)),IF($L345="","UNKNOWN",$L345))</f>
        <v>SB</v>
      </c>
      <c r="N345" s="24" t="str">
        <f>IF('query (2)'!I345&lt;&gt;"","SOURCE",IF($L345="","UNKNOWN","DERIVED"))</f>
        <v>SOURCE</v>
      </c>
      <c r="O345" s="24" t="str">
        <f>IF('query (2)'!E345="","NOT_SPECIFIED",TRIM(UPPER('query (2)'!E345)))</f>
        <v>ASSEMBLY</v>
      </c>
      <c r="P345" s="24" t="str">
        <f>IF('query (2)'!F345="","",TRIM(UPPER('query (2)'!F345)))</f>
        <v>1213-SB4AI</v>
      </c>
      <c r="Q345" s="24" t="str">
        <f>IF('query (2)'!G345="","UNKNOWN",IFERROR(INDEX(Cleaning_Rules!$B$38:$B$46,MATCH(TRIM(UPPER('query (2)'!G345)),Cleaning_Rules!$A$38:$A$46,0)),"UNKNOWN"))</f>
        <v>OTHER</v>
      </c>
      <c r="R345" s="24" t="str">
        <f>IF('query (2)'!H345="","",TRIM(UPPER('query (2)'!H345)))</f>
        <v>FINISH WASH EQUIPMENT M/C</v>
      </c>
      <c r="S345" s="25" t="str">
        <f>IF('query (2)'!H345="","",'query (2)'!H345)</f>
        <v>Finish  wash  equipment  M/C</v>
      </c>
      <c r="T345" s="24" t="str">
        <f>IF('query (2)'!J345="","",TRIM(UPPER('query (2)'!J345)))</f>
        <v>WASHING FINISH</v>
      </c>
      <c r="U345" s="24" t="str">
        <f t="shared" si="38"/>
        <v/>
      </c>
      <c r="V345" s="24" t="str">
        <f>IF('query (2)'!K345="","NOT_SPECIFIED",IFERROR(INDEX(Cleaning_Rules!$B$32:$B$34,MATCH(TRIM(UPPER('query (2)'!K345)),Cleaning_Rules!$A$32:$A$34,0)),"UNKNOWN"))</f>
        <v>NOT_SPECIFIED</v>
      </c>
      <c r="W345" s="24" t="str">
        <f t="shared" si="39"/>
        <v>WA-328 | FACTORY2 | SB4 | SB | ASSEMBLY | 1213-SB4AI | OTHER | FINISH WASH EQUIPMENT M/C | WASHING FINISH | NOT_SPECIFIED</v>
      </c>
      <c r="X345" s="24" t="str">
        <f t="shared" si="40"/>
        <v/>
      </c>
      <c r="Y345" s="24" t="str">
        <f t="shared" si="41"/>
        <v>MISSING_STATUS; CATEGORY_NOT_USEFUL</v>
      </c>
    </row>
    <row r="346" spans="1:25" x14ac:dyDescent="0.3">
      <c r="A346" s="24" t="str">
        <f t="shared" si="35"/>
        <v>AS-329#0345</v>
      </c>
      <c r="B346" s="24" t="str">
        <f>IF('query (2)'!B346="","",TRIM(UPPER('query (2)'!B346)))</f>
        <v>AS-329</v>
      </c>
      <c r="C346" s="25" t="str">
        <f>IF('query (2)'!B346="","",'query (2)'!B346)</f>
        <v>AS-329</v>
      </c>
      <c r="D346" s="24" t="str">
        <f t="shared" si="36"/>
        <v>AS</v>
      </c>
      <c r="E346" s="24">
        <f t="shared" si="37"/>
        <v>1</v>
      </c>
      <c r="F346" s="24">
        <f>IF('query (2)'!A346="","",IFERROR(VALUE('query (2)'!A346),""))</f>
        <v>364</v>
      </c>
      <c r="G346" s="24" t="str">
        <f>IF('query (2)'!C346="","UNKNOWN",IFERROR(INDEX(Cleaning_Rules!$B$15:$B$20,MATCH(TRIM(UPPER('query (2)'!C346)),Cleaning_Rules!$A$15:$A$20,0)),"UNKNOWN"))</f>
        <v>FACTORY2</v>
      </c>
      <c r="H346" s="25" t="str">
        <f>IF('query (2)'!C346="","",'query (2)'!C346)</f>
        <v>FACTORY2</v>
      </c>
      <c r="I346" s="24" t="str" cm="1">
        <f t="array" ref="I346">_xlfn.IFS($G346="UNKNOWN","UNKNOWN",OR($G346="FACTORY1",$G346="FACTORY2",$G346="FACTORY3"),"PLANT",TRUE,"SHARED")</f>
        <v>PLANT</v>
      </c>
      <c r="J346" s="24" t="str">
        <f>IF('query (2)'!D346="","UNKNOWN",IF(COUNTIF(Cleaning_Rules!$A$6:$A$11,TRIM('query (2)'!D346))&gt;0,"UNKNOWN",IFERROR(INDEX(Cleaning_Rules!$B$24:$B$28,MATCH(TRIM(UPPER('query (2)'!D346)),Cleaning_Rules!$A$24:$A$28,0)),TRIM(UPPER('query (2)'!D346)))))</f>
        <v>SB4</v>
      </c>
      <c r="K346" s="25" t="str">
        <f>IF('query (2)'!D346="","",'query (2)'!D346)</f>
        <v>SB4</v>
      </c>
      <c r="L346" s="24" t="str">
        <f>IF($J346="UNKNOWN","",_xlfn.TEXTBEFORE($J346,{"0","1","2","3","4","5","6","7","8","9"," ","-","."},1,,,$J346))</f>
        <v>SB</v>
      </c>
      <c r="M346" s="24" t="str">
        <f>IF('query (2)'!I346&lt;&gt;"",TRIM(UPPER('query (2)'!I346)),IF($L346="","UNKNOWN",$L346))</f>
        <v>SB</v>
      </c>
      <c r="N346" s="24" t="str">
        <f>IF('query (2)'!I346&lt;&gt;"","SOURCE",IF($L346="","UNKNOWN","DERIVED"))</f>
        <v>SOURCE</v>
      </c>
      <c r="O346" s="24" t="str">
        <f>IF('query (2)'!E346="","NOT_SPECIFIED",TRIM(UPPER('query (2)'!E346)))</f>
        <v>ASSEMBLY</v>
      </c>
      <c r="P346" s="24" t="str">
        <f>IF('query (2)'!F346="","",TRIM(UPPER('query (2)'!F346)))</f>
        <v>1213-SB4AI</v>
      </c>
      <c r="Q346" s="24" t="str">
        <f>IF('query (2)'!G346="","UNKNOWN",IFERROR(INDEX(Cleaning_Rules!$B$38:$B$46,MATCH(TRIM(UPPER('query (2)'!G346)),Cleaning_Rules!$A$38:$A$46,0)),"UNKNOWN"))</f>
        <v>OTHER</v>
      </c>
      <c r="R346" s="24" t="str">
        <f>IF('query (2)'!H346="","",TRIM(UPPER('query (2)'!H346)))</f>
        <v>GREASE INJECTION M/C</v>
      </c>
      <c r="S346" s="25" t="str">
        <f>IF('query (2)'!H346="","",'query (2)'!H346)</f>
        <v>Grease  injection  M/C</v>
      </c>
      <c r="T346" s="24" t="str">
        <f>IF('query (2)'!J346="","",TRIM(UPPER('query (2)'!J346)))</f>
        <v>GREASE INJECTION</v>
      </c>
      <c r="U346" s="24" t="str">
        <f t="shared" si="38"/>
        <v/>
      </c>
      <c r="V346" s="24" t="str">
        <f>IF('query (2)'!K346="","NOT_SPECIFIED",IFERROR(INDEX(Cleaning_Rules!$B$32:$B$34,MATCH(TRIM(UPPER('query (2)'!K346)),Cleaning_Rules!$A$32:$A$34,0)),"UNKNOWN"))</f>
        <v>NOT_SPECIFIED</v>
      </c>
      <c r="W346" s="24" t="str">
        <f t="shared" si="39"/>
        <v>AS-329 | FACTORY2 | SB4 | SB | ASSEMBLY | 1213-SB4AI | OTHER | GREASE INJECTION M/C | GREASE INJECTION | NOT_SPECIFIED</v>
      </c>
      <c r="X346" s="24" t="str">
        <f t="shared" si="40"/>
        <v/>
      </c>
      <c r="Y346" s="24" t="str">
        <f t="shared" si="41"/>
        <v>MISSING_STATUS; CATEGORY_NOT_USEFUL</v>
      </c>
    </row>
    <row r="347" spans="1:25" x14ac:dyDescent="0.3">
      <c r="A347" s="24" t="str">
        <f t="shared" si="35"/>
        <v>CH-332#0346</v>
      </c>
      <c r="B347" s="24" t="str">
        <f>IF('query (2)'!B347="","",TRIM(UPPER('query (2)'!B347)))</f>
        <v>CH-332</v>
      </c>
      <c r="C347" s="25" t="str">
        <f>IF('query (2)'!B347="","",'query (2)'!B347)</f>
        <v>CH-332</v>
      </c>
      <c r="D347" s="24" t="str">
        <f t="shared" si="36"/>
        <v>CH</v>
      </c>
      <c r="E347" s="24">
        <f t="shared" si="37"/>
        <v>1</v>
      </c>
      <c r="F347" s="24">
        <f>IF('query (2)'!A347="","",IFERROR(VALUE('query (2)'!A347),""))</f>
        <v>365</v>
      </c>
      <c r="G347" s="24" t="str">
        <f>IF('query (2)'!C347="","UNKNOWN",IFERROR(INDEX(Cleaning_Rules!$B$15:$B$20,MATCH(TRIM(UPPER('query (2)'!C347)),Cleaning_Rules!$A$15:$A$20,0)),"UNKNOWN"))</f>
        <v>FACTORY2</v>
      </c>
      <c r="H347" s="25" t="str">
        <f>IF('query (2)'!C347="","",'query (2)'!C347)</f>
        <v>FACTORY2</v>
      </c>
      <c r="I347" s="24" t="str" cm="1">
        <f t="array" ref="I347">_xlfn.IFS($G347="UNKNOWN","UNKNOWN",OR($G347="FACTORY1",$G347="FACTORY2",$G347="FACTORY3"),"PLANT",TRUE,"SHARED")</f>
        <v>PLANT</v>
      </c>
      <c r="J347" s="24" t="str">
        <f>IF('query (2)'!D347="","UNKNOWN",IF(COUNTIF(Cleaning_Rules!$A$6:$A$11,TRIM('query (2)'!D347))&gt;0,"UNKNOWN",IFERROR(INDEX(Cleaning_Rules!$B$24:$B$28,MATCH(TRIM(UPPER('query (2)'!D347)),Cleaning_Rules!$A$24:$A$28,0)),TRIM(UPPER('query (2)'!D347)))))</f>
        <v>SB4</v>
      </c>
      <c r="K347" s="25" t="str">
        <f>IF('query (2)'!D347="","",'query (2)'!D347)</f>
        <v>SB4</v>
      </c>
      <c r="L347" s="24" t="str">
        <f>IF($J347="UNKNOWN","",_xlfn.TEXTBEFORE($J347,{"0","1","2","3","4","5","6","7","8","9"," ","-","."},1,,,$J347))</f>
        <v>SB</v>
      </c>
      <c r="M347" s="24" t="str">
        <f>IF('query (2)'!I347&lt;&gt;"",TRIM(UPPER('query (2)'!I347)),IF($L347="","UNKNOWN",$L347))</f>
        <v>SB</v>
      </c>
      <c r="N347" s="24" t="str">
        <f>IF('query (2)'!I347&lt;&gt;"","SOURCE",IF($L347="","UNKNOWN","DERIVED"))</f>
        <v>SOURCE</v>
      </c>
      <c r="O347" s="24" t="str">
        <f>IF('query (2)'!E347="","NOT_SPECIFIED",TRIM(UPPER('query (2)'!E347)))</f>
        <v>ASSEMBLY</v>
      </c>
      <c r="P347" s="24" t="str">
        <f>IF('query (2)'!F347="","",TRIM(UPPER('query (2)'!F347)))</f>
        <v>1213-SB4AI</v>
      </c>
      <c r="Q347" s="24" t="str">
        <f>IF('query (2)'!G347="","UNKNOWN",IFERROR(INDEX(Cleaning_Rules!$B$38:$B$46,MATCH(TRIM(UPPER('query (2)'!G347)),Cleaning_Rules!$A$38:$A$46,0)),"UNKNOWN"))</f>
        <v>OTHER</v>
      </c>
      <c r="R347" s="24" t="str">
        <f>IF('query (2)'!H347="","",TRIM(UPPER('query (2)'!H347)))</f>
        <v>SEAL CHECK M/C</v>
      </c>
      <c r="S347" s="25" t="str">
        <f>IF('query (2)'!H347="","",'query (2)'!H347)</f>
        <v>Seal  check  M/C</v>
      </c>
      <c r="T347" s="24" t="str">
        <f>IF('query (2)'!J347="","",TRIM(UPPER('query (2)'!J347)))</f>
        <v>SEAL HEIGHT CHECK</v>
      </c>
      <c r="U347" s="24" t="str">
        <f t="shared" si="38"/>
        <v/>
      </c>
      <c r="V347" s="24" t="str">
        <f>IF('query (2)'!K347="","NOT_SPECIFIED",IFERROR(INDEX(Cleaning_Rules!$B$32:$B$34,MATCH(TRIM(UPPER('query (2)'!K347)),Cleaning_Rules!$A$32:$A$34,0)),"UNKNOWN"))</f>
        <v>NOT_SPECIFIED</v>
      </c>
      <c r="W347" s="24" t="str">
        <f t="shared" si="39"/>
        <v>CH-332 | FACTORY2 | SB4 | SB | ASSEMBLY | 1213-SB4AI | OTHER | SEAL CHECK M/C | SEAL HEIGHT CHECK | NOT_SPECIFIED</v>
      </c>
      <c r="X347" s="24" t="str">
        <f t="shared" si="40"/>
        <v/>
      </c>
      <c r="Y347" s="24" t="str">
        <f t="shared" si="41"/>
        <v>MISSING_STATUS; CATEGORY_NOT_USEFUL</v>
      </c>
    </row>
    <row r="348" spans="1:25" x14ac:dyDescent="0.3">
      <c r="A348" s="24" t="str">
        <f t="shared" si="35"/>
        <v>CH-334#0347</v>
      </c>
      <c r="B348" s="24" t="str">
        <f>IF('query (2)'!B348="","",TRIM(UPPER('query (2)'!B348)))</f>
        <v>CH-334</v>
      </c>
      <c r="C348" s="25" t="str">
        <f>IF('query (2)'!B348="","",'query (2)'!B348)</f>
        <v>CH-334</v>
      </c>
      <c r="D348" s="24" t="str">
        <f t="shared" si="36"/>
        <v>CH</v>
      </c>
      <c r="E348" s="24">
        <f t="shared" si="37"/>
        <v>1</v>
      </c>
      <c r="F348" s="24">
        <f>IF('query (2)'!A348="","",IFERROR(VALUE('query (2)'!A348),""))</f>
        <v>366</v>
      </c>
      <c r="G348" s="24" t="str">
        <f>IF('query (2)'!C348="","UNKNOWN",IFERROR(INDEX(Cleaning_Rules!$B$15:$B$20,MATCH(TRIM(UPPER('query (2)'!C348)),Cleaning_Rules!$A$15:$A$20,0)),"UNKNOWN"))</f>
        <v>FACTORY2</v>
      </c>
      <c r="H348" s="25" t="str">
        <f>IF('query (2)'!C348="","",'query (2)'!C348)</f>
        <v>FACTORY2</v>
      </c>
      <c r="I348" s="24" t="str" cm="1">
        <f t="array" ref="I348">_xlfn.IFS($G348="UNKNOWN","UNKNOWN",OR($G348="FACTORY1",$G348="FACTORY2",$G348="FACTORY3"),"PLANT",TRUE,"SHARED")</f>
        <v>PLANT</v>
      </c>
      <c r="J348" s="24" t="str">
        <f>IF('query (2)'!D348="","UNKNOWN",IF(COUNTIF(Cleaning_Rules!$A$6:$A$11,TRIM('query (2)'!D348))&gt;0,"UNKNOWN",IFERROR(INDEX(Cleaning_Rules!$B$24:$B$28,MATCH(TRIM(UPPER('query (2)'!D348)),Cleaning_Rules!$A$24:$A$28,0)),TRIM(UPPER('query (2)'!D348)))))</f>
        <v>SB4</v>
      </c>
      <c r="K348" s="25" t="str">
        <f>IF('query (2)'!D348="","",'query (2)'!D348)</f>
        <v>SB4</v>
      </c>
      <c r="L348" s="24" t="str">
        <f>IF($J348="UNKNOWN","",_xlfn.TEXTBEFORE($J348,{"0","1","2","3","4","5","6","7","8","9"," ","-","."},1,,,$J348))</f>
        <v>SB</v>
      </c>
      <c r="M348" s="24" t="str">
        <f>IF('query (2)'!I348&lt;&gt;"",TRIM(UPPER('query (2)'!I348)),IF($L348="","UNKNOWN",$L348))</f>
        <v>SB</v>
      </c>
      <c r="N348" s="24" t="str">
        <f>IF('query (2)'!I348&lt;&gt;"","SOURCE",IF($L348="","UNKNOWN","DERIVED"))</f>
        <v>SOURCE</v>
      </c>
      <c r="O348" s="24" t="str">
        <f>IF('query (2)'!E348="","NOT_SPECIFIED",TRIM(UPPER('query (2)'!E348)))</f>
        <v>ASSEMBLY</v>
      </c>
      <c r="P348" s="24" t="str">
        <f>IF('query (2)'!F348="","",TRIM(UPPER('query (2)'!F348)))</f>
        <v>1213-SB4AI</v>
      </c>
      <c r="Q348" s="24" t="str">
        <f>IF('query (2)'!G348="","UNKNOWN",IFERROR(INDEX(Cleaning_Rules!$B$38:$B$46,MATCH(TRIM(UPPER('query (2)'!G348)),Cleaning_Rules!$A$38:$A$46,0)),"UNKNOWN"))</f>
        <v>OTHER</v>
      </c>
      <c r="R348" s="24" t="str">
        <f>IF('query (2)'!H348="","",TRIM(UPPER('query (2)'!H348)))</f>
        <v>WEIGHT CHECKER M/C</v>
      </c>
      <c r="S348" s="25" t="str">
        <f>IF('query (2)'!H348="","",'query (2)'!H348)</f>
        <v>Weight  checker  M/C</v>
      </c>
      <c r="T348" s="24" t="str">
        <f>IF('query (2)'!J348="","",TRIM(UPPER('query (2)'!J348)))</f>
        <v>WEIGHT CHECKER</v>
      </c>
      <c r="U348" s="24" t="str">
        <f t="shared" si="38"/>
        <v/>
      </c>
      <c r="V348" s="24" t="str">
        <f>IF('query (2)'!K348="","NOT_SPECIFIED",IFERROR(INDEX(Cleaning_Rules!$B$32:$B$34,MATCH(TRIM(UPPER('query (2)'!K348)),Cleaning_Rules!$A$32:$A$34,0)),"UNKNOWN"))</f>
        <v>NOT_SPECIFIED</v>
      </c>
      <c r="W348" s="24" t="str">
        <f t="shared" si="39"/>
        <v>CH-334 | FACTORY2 | SB4 | SB | ASSEMBLY | 1213-SB4AI | OTHER | WEIGHT CHECKER M/C | WEIGHT CHECKER | NOT_SPECIFIED</v>
      </c>
      <c r="X348" s="24" t="str">
        <f t="shared" si="40"/>
        <v/>
      </c>
      <c r="Y348" s="24" t="str">
        <f t="shared" si="41"/>
        <v>MISSING_STATUS; CATEGORY_NOT_USEFUL</v>
      </c>
    </row>
    <row r="349" spans="1:25" x14ac:dyDescent="0.3">
      <c r="A349" s="24" t="str">
        <f t="shared" si="35"/>
        <v>CH-524#0348</v>
      </c>
      <c r="B349" s="24" t="str">
        <f>IF('query (2)'!B349="","",TRIM(UPPER('query (2)'!B349)))</f>
        <v>CH-524</v>
      </c>
      <c r="C349" s="25" t="str">
        <f>IF('query (2)'!B349="","",'query (2)'!B349)</f>
        <v>CH-524</v>
      </c>
      <c r="D349" s="24" t="str">
        <f t="shared" si="36"/>
        <v>CH</v>
      </c>
      <c r="E349" s="24">
        <f t="shared" si="37"/>
        <v>1</v>
      </c>
      <c r="F349" s="24">
        <f>IF('query (2)'!A349="","",IFERROR(VALUE('query (2)'!A349),""))</f>
        <v>367</v>
      </c>
      <c r="G349" s="24" t="str">
        <f>IF('query (2)'!C349="","UNKNOWN",IFERROR(INDEX(Cleaning_Rules!$B$15:$B$20,MATCH(TRIM(UPPER('query (2)'!C349)),Cleaning_Rules!$A$15:$A$20,0)),"UNKNOWN"))</f>
        <v>FACTORY2</v>
      </c>
      <c r="H349" s="25" t="str">
        <f>IF('query (2)'!C349="","",'query (2)'!C349)</f>
        <v>FACTORY2</v>
      </c>
      <c r="I349" s="24" t="str" cm="1">
        <f t="array" ref="I349">_xlfn.IFS($G349="UNKNOWN","UNKNOWN",OR($G349="FACTORY1",$G349="FACTORY2",$G349="FACTORY3"),"PLANT",TRUE,"SHARED")</f>
        <v>PLANT</v>
      </c>
      <c r="J349" s="24" t="str">
        <f>IF('query (2)'!D349="","UNKNOWN",IF(COUNTIF(Cleaning_Rules!$A$6:$A$11,TRIM('query (2)'!D349))&gt;0,"UNKNOWN",IFERROR(INDEX(Cleaning_Rules!$B$24:$B$28,MATCH(TRIM(UPPER('query (2)'!D349)),Cleaning_Rules!$A$24:$A$28,0)),TRIM(UPPER('query (2)'!D349)))))</f>
        <v>SB4</v>
      </c>
      <c r="K349" s="25" t="str">
        <f>IF('query (2)'!D349="","",'query (2)'!D349)</f>
        <v>SB4</v>
      </c>
      <c r="L349" s="24" t="str">
        <f>IF($J349="UNKNOWN","",_xlfn.TEXTBEFORE($J349,{"0","1","2","3","4","5","6","7","8","9"," ","-","."},1,,,$J349))</f>
        <v>SB</v>
      </c>
      <c r="M349" s="24" t="str">
        <f>IF('query (2)'!I349&lt;&gt;"",TRIM(UPPER('query (2)'!I349)),IF($L349="","UNKNOWN",$L349))</f>
        <v>SB</v>
      </c>
      <c r="N349" s="24" t="str">
        <f>IF('query (2)'!I349&lt;&gt;"","SOURCE",IF($L349="","UNKNOWN","DERIVED"))</f>
        <v>SOURCE</v>
      </c>
      <c r="O349" s="24" t="str">
        <f>IF('query (2)'!E349="","NOT_SPECIFIED",TRIM(UPPER('query (2)'!E349)))</f>
        <v>ASSEMBLY</v>
      </c>
      <c r="P349" s="24" t="str">
        <f>IF('query (2)'!F349="","",TRIM(UPPER('query (2)'!F349)))</f>
        <v>1213-SB4AI</v>
      </c>
      <c r="Q349" s="24" t="str">
        <f>IF('query (2)'!G349="","UNKNOWN",IFERROR(INDEX(Cleaning_Rules!$B$38:$B$46,MATCH(TRIM(UPPER('query (2)'!G349)),Cleaning_Rules!$A$38:$A$46,0)),"UNKNOWN"))</f>
        <v>OTHER</v>
      </c>
      <c r="R349" s="24" t="str">
        <f>IF('query (2)'!H349="","",TRIM(UPPER('query (2)'!H349)))</f>
        <v>AIR LEAK TEST M/C</v>
      </c>
      <c r="S349" s="25" t="str">
        <f>IF('query (2)'!H349="","",'query (2)'!H349)</f>
        <v>Air leak test M/C</v>
      </c>
      <c r="T349" s="24" t="str">
        <f>IF('query (2)'!J349="","",TRIM(UPPER('query (2)'!J349)))</f>
        <v>AIR LEAK AUTO</v>
      </c>
      <c r="U349" s="24" t="str">
        <f t="shared" si="38"/>
        <v/>
      </c>
      <c r="V349" s="24" t="str">
        <f>IF('query (2)'!K349="","NOT_SPECIFIED",IFERROR(INDEX(Cleaning_Rules!$B$32:$B$34,MATCH(TRIM(UPPER('query (2)'!K349)),Cleaning_Rules!$A$32:$A$34,0)),"UNKNOWN"))</f>
        <v>NOT_SPECIFIED</v>
      </c>
      <c r="W349" s="24" t="str">
        <f t="shared" si="39"/>
        <v>CH-524 | FACTORY2 | SB4 | SB | ASSEMBLY | 1213-SB4AI | OTHER | AIR LEAK TEST M/C | AIR LEAK AUTO | NOT_SPECIFIED</v>
      </c>
      <c r="X349" s="24" t="str">
        <f t="shared" si="40"/>
        <v/>
      </c>
      <c r="Y349" s="24" t="str">
        <f t="shared" si="41"/>
        <v>MISSING_STATUS; CATEGORY_NOT_USEFUL</v>
      </c>
    </row>
    <row r="350" spans="1:25" x14ac:dyDescent="0.3">
      <c r="A350" s="24" t="str">
        <f t="shared" si="35"/>
        <v>CH-632#0349</v>
      </c>
      <c r="B350" s="24" t="str">
        <f>IF('query (2)'!B350="","",TRIM(UPPER('query (2)'!B350)))</f>
        <v>CH-632</v>
      </c>
      <c r="C350" s="25" t="str">
        <f>IF('query (2)'!B350="","",'query (2)'!B350)</f>
        <v>CH-632</v>
      </c>
      <c r="D350" s="24" t="str">
        <f t="shared" si="36"/>
        <v>CH</v>
      </c>
      <c r="E350" s="24">
        <f t="shared" si="37"/>
        <v>1</v>
      </c>
      <c r="F350" s="24">
        <f>IF('query (2)'!A350="","",IFERROR(VALUE('query (2)'!A350),""))</f>
        <v>368</v>
      </c>
      <c r="G350" s="24" t="str">
        <f>IF('query (2)'!C350="","UNKNOWN",IFERROR(INDEX(Cleaning_Rules!$B$15:$B$20,MATCH(TRIM(UPPER('query (2)'!C350)),Cleaning_Rules!$A$15:$A$20,0)),"UNKNOWN"))</f>
        <v>FACTORY2</v>
      </c>
      <c r="H350" s="25" t="str">
        <f>IF('query (2)'!C350="","",'query (2)'!C350)</f>
        <v>FACTORY2</v>
      </c>
      <c r="I350" s="24" t="str" cm="1">
        <f t="array" ref="I350">_xlfn.IFS($G350="UNKNOWN","UNKNOWN",OR($G350="FACTORY1",$G350="FACTORY2",$G350="FACTORY3"),"PLANT",TRUE,"SHARED")</f>
        <v>PLANT</v>
      </c>
      <c r="J350" s="24" t="str">
        <f>IF('query (2)'!D350="","UNKNOWN",IF(COUNTIF(Cleaning_Rules!$A$6:$A$11,TRIM('query (2)'!D350))&gt;0,"UNKNOWN",IFERROR(INDEX(Cleaning_Rules!$B$24:$B$28,MATCH(TRIM(UPPER('query (2)'!D350)),Cleaning_Rules!$A$24:$A$28,0)),TRIM(UPPER('query (2)'!D350)))))</f>
        <v>SB4</v>
      </c>
      <c r="K350" s="25" t="str">
        <f>IF('query (2)'!D350="","",'query (2)'!D350)</f>
        <v>SB4</v>
      </c>
      <c r="L350" s="24" t="str">
        <f>IF($J350="UNKNOWN","",_xlfn.TEXTBEFORE($J350,{"0","1","2","3","4","5","6","7","8","9"," ","-","."},1,,,$J350))</f>
        <v>SB</v>
      </c>
      <c r="M350" s="24" t="str">
        <f>IF('query (2)'!I350&lt;&gt;"",TRIM(UPPER('query (2)'!I350)),IF($L350="","UNKNOWN",$L350))</f>
        <v>SB</v>
      </c>
      <c r="N350" s="24" t="str">
        <f>IF('query (2)'!I350&lt;&gt;"","SOURCE",IF($L350="","UNKNOWN","DERIVED"))</f>
        <v>SOURCE</v>
      </c>
      <c r="O350" s="24" t="str">
        <f>IF('query (2)'!E350="","NOT_SPECIFIED",TRIM(UPPER('query (2)'!E350)))</f>
        <v>ASSEMBLY</v>
      </c>
      <c r="P350" s="24" t="str">
        <f>IF('query (2)'!F350="","",TRIM(UPPER('query (2)'!F350)))</f>
        <v>1213-SB4AI</v>
      </c>
      <c r="Q350" s="24" t="str">
        <f>IF('query (2)'!G350="","UNKNOWN",IFERROR(INDEX(Cleaning_Rules!$B$38:$B$46,MATCH(TRIM(UPPER('query (2)'!G350)),Cleaning_Rules!$A$38:$A$46,0)),"UNKNOWN"))</f>
        <v>OTHER</v>
      </c>
      <c r="R350" s="24" t="str">
        <f>IF('query (2)'!H350="","",TRIM(UPPER('query (2)'!H350)))</f>
        <v>AUTO RADIAL CLEARANCE M/C</v>
      </c>
      <c r="S350" s="25" t="str">
        <f>IF('query (2)'!H350="","",'query (2)'!H350)</f>
        <v>Auto radial clearance M/C</v>
      </c>
      <c r="T350" s="24" t="str">
        <f>IF('query (2)'!J350="","",TRIM(UPPER('query (2)'!J350)))</f>
        <v>R/C AUTO</v>
      </c>
      <c r="U350" s="24" t="str">
        <f t="shared" si="38"/>
        <v/>
      </c>
      <c r="V350" s="24" t="str">
        <f>IF('query (2)'!K350="","NOT_SPECIFIED",IFERROR(INDEX(Cleaning_Rules!$B$32:$B$34,MATCH(TRIM(UPPER('query (2)'!K350)),Cleaning_Rules!$A$32:$A$34,0)),"UNKNOWN"))</f>
        <v>NOT_SPECIFIED</v>
      </c>
      <c r="W350" s="24" t="str">
        <f t="shared" si="39"/>
        <v>CH-632 | FACTORY2 | SB4 | SB | ASSEMBLY | 1213-SB4AI | OTHER | AUTO RADIAL CLEARANCE M/C | R/C AUTO | NOT_SPECIFIED</v>
      </c>
      <c r="X350" s="24" t="str">
        <f t="shared" si="40"/>
        <v/>
      </c>
      <c r="Y350" s="24" t="str">
        <f t="shared" si="41"/>
        <v>MISSING_STATUS; CATEGORY_NOT_USEFUL</v>
      </c>
    </row>
    <row r="351" spans="1:25" x14ac:dyDescent="0.3">
      <c r="A351" s="24" t="str">
        <f t="shared" si="35"/>
        <v>CH-645#0350</v>
      </c>
      <c r="B351" s="24" t="str">
        <f>IF('query (2)'!B351="","",TRIM(UPPER('query (2)'!B351)))</f>
        <v>CH-645</v>
      </c>
      <c r="C351" s="25" t="str">
        <f>IF('query (2)'!B351="","",'query (2)'!B351)</f>
        <v>CH-645</v>
      </c>
      <c r="D351" s="24" t="str">
        <f t="shared" si="36"/>
        <v>CH</v>
      </c>
      <c r="E351" s="24">
        <f t="shared" si="37"/>
        <v>1</v>
      </c>
      <c r="F351" s="24">
        <f>IF('query (2)'!A351="","",IFERROR(VALUE('query (2)'!A351),""))</f>
        <v>369</v>
      </c>
      <c r="G351" s="24" t="str">
        <f>IF('query (2)'!C351="","UNKNOWN",IFERROR(INDEX(Cleaning_Rules!$B$15:$B$20,MATCH(TRIM(UPPER('query (2)'!C351)),Cleaning_Rules!$A$15:$A$20,0)),"UNKNOWN"))</f>
        <v>FACTORY2</v>
      </c>
      <c r="H351" s="25" t="str">
        <f>IF('query (2)'!C351="","",'query (2)'!C351)</f>
        <v>FACTORY2</v>
      </c>
      <c r="I351" s="24" t="str" cm="1">
        <f t="array" ref="I351">_xlfn.IFS($G351="UNKNOWN","UNKNOWN",OR($G351="FACTORY1",$G351="FACTORY2",$G351="FACTORY3"),"PLANT",TRUE,"SHARED")</f>
        <v>PLANT</v>
      </c>
      <c r="J351" s="24" t="str">
        <f>IF('query (2)'!D351="","UNKNOWN",IF(COUNTIF(Cleaning_Rules!$A$6:$A$11,TRIM('query (2)'!D351))&gt;0,"UNKNOWN",IFERROR(INDEX(Cleaning_Rules!$B$24:$B$28,MATCH(TRIM(UPPER('query (2)'!D351)),Cleaning_Rules!$A$24:$A$28,0)),TRIM(UPPER('query (2)'!D351)))))</f>
        <v>SB4</v>
      </c>
      <c r="K351" s="25" t="str">
        <f>IF('query (2)'!D351="","",'query (2)'!D351)</f>
        <v>SB4</v>
      </c>
      <c r="L351" s="24" t="str">
        <f>IF($J351="UNKNOWN","",_xlfn.TEXTBEFORE($J351,{"0","1","2","3","4","5","6","7","8","9"," ","-","."},1,,,$J351))</f>
        <v>SB</v>
      </c>
      <c r="M351" s="24" t="str">
        <f>IF('query (2)'!I351&lt;&gt;"",TRIM(UPPER('query (2)'!I351)),IF($L351="","UNKNOWN",$L351))</f>
        <v>SB</v>
      </c>
      <c r="N351" s="24" t="str">
        <f>IF('query (2)'!I351&lt;&gt;"","SOURCE",IF($L351="","UNKNOWN","DERIVED"))</f>
        <v>SOURCE</v>
      </c>
      <c r="O351" s="24" t="str">
        <f>IF('query (2)'!E351="","NOT_SPECIFIED",TRIM(UPPER('query (2)'!E351)))</f>
        <v>ASSEMBLY</v>
      </c>
      <c r="P351" s="24" t="str">
        <f>IF('query (2)'!F351="","",TRIM(UPPER('query (2)'!F351)))</f>
        <v>1213-SB4AI</v>
      </c>
      <c r="Q351" s="24" t="str">
        <f>IF('query (2)'!G351="","UNKNOWN",IFERROR(INDEX(Cleaning_Rules!$B$38:$B$46,MATCH(TRIM(UPPER('query (2)'!G351)),Cleaning_Rules!$A$38:$A$46,0)),"UNKNOWN"))</f>
        <v>OTHER</v>
      </c>
      <c r="R351" s="24" t="str">
        <f>IF('query (2)'!H351="","",TRIM(UPPER('query (2)'!H351)))</f>
        <v>NOISE MANUAL INSPECTION MACHINE</v>
      </c>
      <c r="S351" s="25" t="str">
        <f>IF('query (2)'!H351="","",'query (2)'!H351)</f>
        <v>Noise manual inspection machine</v>
      </c>
      <c r="T351" s="24" t="str">
        <f>IF('query (2)'!J351="","",TRIM(UPPER('query (2)'!J351)))</f>
        <v>NOISE INSPECTION</v>
      </c>
      <c r="U351" s="24" t="str">
        <f t="shared" si="38"/>
        <v/>
      </c>
      <c r="V351" s="24" t="str">
        <f>IF('query (2)'!K351="","NOT_SPECIFIED",IFERROR(INDEX(Cleaning_Rules!$B$32:$B$34,MATCH(TRIM(UPPER('query (2)'!K351)),Cleaning_Rules!$A$32:$A$34,0)),"UNKNOWN"))</f>
        <v>NOT_SPECIFIED</v>
      </c>
      <c r="W351" s="24" t="str">
        <f t="shared" si="39"/>
        <v>CH-645 | FACTORY2 | SB4 | SB | ASSEMBLY | 1213-SB4AI | OTHER | NOISE MANUAL INSPECTION MACHINE | NOISE INSPECTION | NOT_SPECIFIED</v>
      </c>
      <c r="X351" s="24" t="str">
        <f t="shared" si="40"/>
        <v/>
      </c>
      <c r="Y351" s="24" t="str">
        <f t="shared" si="41"/>
        <v>MISSING_STATUS; CATEGORY_NOT_USEFUL</v>
      </c>
    </row>
    <row r="352" spans="1:25" x14ac:dyDescent="0.3">
      <c r="A352" s="24" t="str">
        <f t="shared" si="35"/>
        <v>CH-683#0351</v>
      </c>
      <c r="B352" s="24" t="str">
        <f>IF('query (2)'!B352="","",TRIM(UPPER('query (2)'!B352)))</f>
        <v>CH-683</v>
      </c>
      <c r="C352" s="25" t="str">
        <f>IF('query (2)'!B352="","",'query (2)'!B352)</f>
        <v>CH-683</v>
      </c>
      <c r="D352" s="24" t="str">
        <f t="shared" si="36"/>
        <v>CH</v>
      </c>
      <c r="E352" s="24">
        <f t="shared" si="37"/>
        <v>1</v>
      </c>
      <c r="F352" s="24">
        <f>IF('query (2)'!A352="","",IFERROR(VALUE('query (2)'!A352),""))</f>
        <v>370</v>
      </c>
      <c r="G352" s="24" t="str">
        <f>IF('query (2)'!C352="","UNKNOWN",IFERROR(INDEX(Cleaning_Rules!$B$15:$B$20,MATCH(TRIM(UPPER('query (2)'!C352)),Cleaning_Rules!$A$15:$A$20,0)),"UNKNOWN"))</f>
        <v>FACTORY2</v>
      </c>
      <c r="H352" s="25" t="str">
        <f>IF('query (2)'!C352="","",'query (2)'!C352)</f>
        <v>FACTORY2</v>
      </c>
      <c r="I352" s="24" t="str" cm="1">
        <f t="array" ref="I352">_xlfn.IFS($G352="UNKNOWN","UNKNOWN",OR($G352="FACTORY1",$G352="FACTORY2",$G352="FACTORY3"),"PLANT",TRUE,"SHARED")</f>
        <v>PLANT</v>
      </c>
      <c r="J352" s="24" t="str">
        <f>IF('query (2)'!D352="","UNKNOWN",IF(COUNTIF(Cleaning_Rules!$A$6:$A$11,TRIM('query (2)'!D352))&gt;0,"UNKNOWN",IFERROR(INDEX(Cleaning_Rules!$B$24:$B$28,MATCH(TRIM(UPPER('query (2)'!D352)),Cleaning_Rules!$A$24:$A$28,0)),TRIM(UPPER('query (2)'!D352)))))</f>
        <v>SB4</v>
      </c>
      <c r="K352" s="25" t="str">
        <f>IF('query (2)'!D352="","",'query (2)'!D352)</f>
        <v>SB4</v>
      </c>
      <c r="L352" s="24" t="str">
        <f>IF($J352="UNKNOWN","",_xlfn.TEXTBEFORE($J352,{"0","1","2","3","4","5","6","7","8","9"," ","-","."},1,,,$J352))</f>
        <v>SB</v>
      </c>
      <c r="M352" s="24" t="str">
        <f>IF('query (2)'!I352&lt;&gt;"",TRIM(UPPER('query (2)'!I352)),IF($L352="","UNKNOWN",$L352))</f>
        <v>SB</v>
      </c>
      <c r="N352" s="24" t="str">
        <f>IF('query (2)'!I352&lt;&gt;"","SOURCE",IF($L352="","UNKNOWN","DERIVED"))</f>
        <v>SOURCE</v>
      </c>
      <c r="O352" s="24" t="str">
        <f>IF('query (2)'!E352="","NOT_SPECIFIED",TRIM(UPPER('query (2)'!E352)))</f>
        <v>ASSEMBLY</v>
      </c>
      <c r="P352" s="24" t="str">
        <f>IF('query (2)'!F352="","",TRIM(UPPER('query (2)'!F352)))</f>
        <v>1213-SB4AI</v>
      </c>
      <c r="Q352" s="24" t="str">
        <f>IF('query (2)'!G352="","UNKNOWN",IFERROR(INDEX(Cleaning_Rules!$B$38:$B$46,MATCH(TRIM(UPPER('query (2)'!G352)),Cleaning_Rules!$A$38:$A$46,0)),"UNKNOWN"))</f>
        <v>OTHER</v>
      </c>
      <c r="R352" s="24" t="str">
        <f>IF('query (2)'!H352="","",TRIM(UPPER('query (2)'!H352)))</f>
        <v>NOISE 2 SPINDLE MACHINE.</v>
      </c>
      <c r="S352" s="25" t="str">
        <f>IF('query (2)'!H352="","",'query (2)'!H352)</f>
        <v>Noise 2 Spindle Machine.</v>
      </c>
      <c r="T352" s="24" t="str">
        <f>IF('query (2)'!J352="","",TRIM(UPPER('query (2)'!J352)))</f>
        <v>NOISE INSPECTION</v>
      </c>
      <c r="U352" s="24" t="str">
        <f t="shared" si="38"/>
        <v/>
      </c>
      <c r="V352" s="24" t="str">
        <f>IF('query (2)'!K352="","NOT_SPECIFIED",IFERROR(INDEX(Cleaning_Rules!$B$32:$B$34,MATCH(TRIM(UPPER('query (2)'!K352)),Cleaning_Rules!$A$32:$A$34,0)),"UNKNOWN"))</f>
        <v>NOT_SPECIFIED</v>
      </c>
      <c r="W352" s="24" t="str">
        <f t="shared" si="39"/>
        <v>CH-683 | FACTORY2 | SB4 | SB | ASSEMBLY | 1213-SB4AI | OTHER | NOISE 2 SPINDLE MACHINE. | NOISE INSPECTION | NOT_SPECIFIED</v>
      </c>
      <c r="X352" s="24" t="str">
        <f t="shared" si="40"/>
        <v/>
      </c>
      <c r="Y352" s="24" t="str">
        <f t="shared" si="41"/>
        <v>MISSING_STATUS; CATEGORY_NOT_USEFUL</v>
      </c>
    </row>
    <row r="353" spans="1:25" x14ac:dyDescent="0.3">
      <c r="A353" s="24" t="str">
        <f t="shared" si="35"/>
        <v>MA-766#0352</v>
      </c>
      <c r="B353" s="24" t="str">
        <f>IF('query (2)'!B353="","",TRIM(UPPER('query (2)'!B353)))</f>
        <v>MA-766</v>
      </c>
      <c r="C353" s="25" t="str">
        <f>IF('query (2)'!B353="","",'query (2)'!B353)</f>
        <v>MA-766</v>
      </c>
      <c r="D353" s="24" t="str">
        <f t="shared" si="36"/>
        <v>MA</v>
      </c>
      <c r="E353" s="24">
        <f t="shared" si="37"/>
        <v>1</v>
      </c>
      <c r="F353" s="24">
        <f>IF('query (2)'!A353="","",IFERROR(VALUE('query (2)'!A353),""))</f>
        <v>371</v>
      </c>
      <c r="G353" s="24" t="str">
        <f>IF('query (2)'!C353="","UNKNOWN",IFERROR(INDEX(Cleaning_Rules!$B$15:$B$20,MATCH(TRIM(UPPER('query (2)'!C353)),Cleaning_Rules!$A$15:$A$20,0)),"UNKNOWN"))</f>
        <v>FACTORY2</v>
      </c>
      <c r="H353" s="25" t="str">
        <f>IF('query (2)'!C353="","",'query (2)'!C353)</f>
        <v>FACTORY2</v>
      </c>
      <c r="I353" s="24" t="str" cm="1">
        <f t="array" ref="I353">_xlfn.IFS($G353="UNKNOWN","UNKNOWN",OR($G353="FACTORY1",$G353="FACTORY2",$G353="FACTORY3"),"PLANT",TRUE,"SHARED")</f>
        <v>PLANT</v>
      </c>
      <c r="J353" s="24" t="str">
        <f>IF('query (2)'!D353="","UNKNOWN",IF(COUNTIF(Cleaning_Rules!$A$6:$A$11,TRIM('query (2)'!D353))&gt;0,"UNKNOWN",IFERROR(INDEX(Cleaning_Rules!$B$24:$B$28,MATCH(TRIM(UPPER('query (2)'!D353)),Cleaning_Rules!$A$24:$A$28,0)),TRIM(UPPER('query (2)'!D353)))))</f>
        <v>SB4</v>
      </c>
      <c r="K353" s="25" t="str">
        <f>IF('query (2)'!D353="","",'query (2)'!D353)</f>
        <v>SB4</v>
      </c>
      <c r="L353" s="24" t="str">
        <f>IF($J353="UNKNOWN","",_xlfn.TEXTBEFORE($J353,{"0","1","2","3","4","5","6","7","8","9"," ","-","."},1,,,$J353))</f>
        <v>SB</v>
      </c>
      <c r="M353" s="24" t="str">
        <f>IF('query (2)'!I353&lt;&gt;"",TRIM(UPPER('query (2)'!I353)),IF($L353="","UNKNOWN",$L353))</f>
        <v>SB</v>
      </c>
      <c r="N353" s="24" t="str">
        <f>IF('query (2)'!I353&lt;&gt;"","SOURCE",IF($L353="","UNKNOWN","DERIVED"))</f>
        <v>SOURCE</v>
      </c>
      <c r="O353" s="24" t="str">
        <f>IF('query (2)'!E353="","NOT_SPECIFIED",TRIM(UPPER('query (2)'!E353)))</f>
        <v>ASSEMBLY</v>
      </c>
      <c r="P353" s="24" t="str">
        <f>IF('query (2)'!F353="","",TRIM(UPPER('query (2)'!F353)))</f>
        <v>1213-SB4AI</v>
      </c>
      <c r="Q353" s="24" t="str">
        <f>IF('query (2)'!G353="","UNKNOWN",IFERROR(INDEX(Cleaning_Rules!$B$38:$B$46,MATCH(TRIM(UPPER('query (2)'!G353)),Cleaning_Rules!$A$38:$A$46,0)),"UNKNOWN"))</f>
        <v>OTHER</v>
      </c>
      <c r="R353" s="24" t="str">
        <f>IF('query (2)'!H353="","",TRIM(UPPER('query (2)'!H353)))</f>
        <v>LASER MARKER MACHINE</v>
      </c>
      <c r="S353" s="25" t="str">
        <f>IF('query (2)'!H353="","",'query (2)'!H353)</f>
        <v>Laser marker machine</v>
      </c>
      <c r="T353" s="24" t="str">
        <f>IF('query (2)'!J353="","",TRIM(UPPER('query (2)'!J353)))</f>
        <v>LASER MARKING</v>
      </c>
      <c r="U353" s="24" t="str">
        <f t="shared" si="38"/>
        <v/>
      </c>
      <c r="V353" s="24" t="str">
        <f>IF('query (2)'!K353="","NOT_SPECIFIED",IFERROR(INDEX(Cleaning_Rules!$B$32:$B$34,MATCH(TRIM(UPPER('query (2)'!K353)),Cleaning_Rules!$A$32:$A$34,0)),"UNKNOWN"))</f>
        <v>NOT_SPECIFIED</v>
      </c>
      <c r="W353" s="24" t="str">
        <f t="shared" si="39"/>
        <v>MA-766 | FACTORY2 | SB4 | SB | ASSEMBLY | 1213-SB4AI | OTHER | LASER MARKER MACHINE | LASER MARKING | NOT_SPECIFIED</v>
      </c>
      <c r="X353" s="24" t="str">
        <f t="shared" si="40"/>
        <v/>
      </c>
      <c r="Y353" s="24" t="str">
        <f t="shared" si="41"/>
        <v>MISSING_STATUS; CATEGORY_NOT_USEFUL</v>
      </c>
    </row>
    <row r="354" spans="1:25" x14ac:dyDescent="0.3">
      <c r="A354" s="24" t="str">
        <f t="shared" si="35"/>
        <v>AS-908#0353</v>
      </c>
      <c r="B354" s="24" t="str">
        <f>IF('query (2)'!B354="","",TRIM(UPPER('query (2)'!B354)))</f>
        <v>AS-908</v>
      </c>
      <c r="C354" s="25" t="str">
        <f>IF('query (2)'!B354="","",'query (2)'!B354)</f>
        <v>AS-908</v>
      </c>
      <c r="D354" s="24" t="str">
        <f t="shared" si="36"/>
        <v>AS</v>
      </c>
      <c r="E354" s="24">
        <f t="shared" si="37"/>
        <v>1</v>
      </c>
      <c r="F354" s="24">
        <f>IF('query (2)'!A354="","",IFERROR(VALUE('query (2)'!A354),""))</f>
        <v>372</v>
      </c>
      <c r="G354" s="24" t="str">
        <f>IF('query (2)'!C354="","UNKNOWN",IFERROR(INDEX(Cleaning_Rules!$B$15:$B$20,MATCH(TRIM(UPPER('query (2)'!C354)),Cleaning_Rules!$A$15:$A$20,0)),"UNKNOWN"))</f>
        <v>FACTORY2</v>
      </c>
      <c r="H354" s="25" t="str">
        <f>IF('query (2)'!C354="","",'query (2)'!C354)</f>
        <v>FACTORY2</v>
      </c>
      <c r="I354" s="24" t="str" cm="1">
        <f t="array" ref="I354">_xlfn.IFS($G354="UNKNOWN","UNKNOWN",OR($G354="FACTORY1",$G354="FACTORY2",$G354="FACTORY3"),"PLANT",TRUE,"SHARED")</f>
        <v>PLANT</v>
      </c>
      <c r="J354" s="24" t="str">
        <f>IF('query (2)'!D354="","UNKNOWN",IF(COUNTIF(Cleaning_Rules!$A$6:$A$11,TRIM('query (2)'!D354))&gt;0,"UNKNOWN",IFERROR(INDEX(Cleaning_Rules!$B$24:$B$28,MATCH(TRIM(UPPER('query (2)'!D354)),Cleaning_Rules!$A$24:$A$28,0)),TRIM(UPPER('query (2)'!D354)))))</f>
        <v>SB4</v>
      </c>
      <c r="K354" s="25" t="str">
        <f>IF('query (2)'!D354="","",'query (2)'!D354)</f>
        <v>SB4</v>
      </c>
      <c r="L354" s="24" t="str">
        <f>IF($J354="UNKNOWN","",_xlfn.TEXTBEFORE($J354,{"0","1","2","3","4","5","6","7","8","9"," ","-","."},1,,,$J354))</f>
        <v>SB</v>
      </c>
      <c r="M354" s="24" t="str">
        <f>IF('query (2)'!I354&lt;&gt;"",TRIM(UPPER('query (2)'!I354)),IF($L354="","UNKNOWN",$L354))</f>
        <v>SB</v>
      </c>
      <c r="N354" s="24" t="str">
        <f>IF('query (2)'!I354&lt;&gt;"","SOURCE",IF($L354="","UNKNOWN","DERIVED"))</f>
        <v>SOURCE</v>
      </c>
      <c r="O354" s="24" t="str">
        <f>IF('query (2)'!E354="","NOT_SPECIFIED",TRIM(UPPER('query (2)'!E354)))</f>
        <v>ASSEMBLY</v>
      </c>
      <c r="P354" s="24" t="str">
        <f>IF('query (2)'!F354="","",TRIM(UPPER('query (2)'!F354)))</f>
        <v>1213-SB4AI</v>
      </c>
      <c r="Q354" s="24" t="str">
        <f>IF('query (2)'!G354="","UNKNOWN",IFERROR(INDEX(Cleaning_Rules!$B$38:$B$46,MATCH(TRIM(UPPER('query (2)'!G354)),Cleaning_Rules!$A$38:$A$46,0)),"UNKNOWN"))</f>
        <v>OTHER</v>
      </c>
      <c r="R354" s="24" t="str">
        <f>IF('query (2)'!H354="","",TRIM(UPPER('query (2)'!H354)))</f>
        <v>SEAL PRESS MACHINE (2 HEAD )</v>
      </c>
      <c r="S354" s="25" t="str">
        <f>IF('query (2)'!H354="","",'query (2)'!H354)</f>
        <v>Seal press machine  (2 head )</v>
      </c>
      <c r="T354" s="24" t="str">
        <f>IF('query (2)'!J354="","",TRIM(UPPER('query (2)'!J354)))</f>
        <v>SEAL PRESSING</v>
      </c>
      <c r="U354" s="24" t="str">
        <f t="shared" si="38"/>
        <v/>
      </c>
      <c r="V354" s="24" t="str">
        <f>IF('query (2)'!K354="","NOT_SPECIFIED",IFERROR(INDEX(Cleaning_Rules!$B$32:$B$34,MATCH(TRIM(UPPER('query (2)'!K354)),Cleaning_Rules!$A$32:$A$34,0)),"UNKNOWN"))</f>
        <v>NOT_SPECIFIED</v>
      </c>
      <c r="W354" s="24" t="str">
        <f t="shared" si="39"/>
        <v>AS-908 | FACTORY2 | SB4 | SB | ASSEMBLY | 1213-SB4AI | OTHER | SEAL PRESS MACHINE (2 HEAD ) | SEAL PRESSING | NOT_SPECIFIED</v>
      </c>
      <c r="X354" s="24" t="str">
        <f t="shared" si="40"/>
        <v/>
      </c>
      <c r="Y354" s="24" t="str">
        <f t="shared" si="41"/>
        <v>MISSING_STATUS; CATEGORY_NOT_USEFUL</v>
      </c>
    </row>
    <row r="355" spans="1:25" x14ac:dyDescent="0.3">
      <c r="A355" s="24" t="str">
        <f t="shared" si="35"/>
        <v>CH-966#0354</v>
      </c>
      <c r="B355" s="24" t="str">
        <f>IF('query (2)'!B355="","",TRIM(UPPER('query (2)'!B355)))</f>
        <v>CH-966</v>
      </c>
      <c r="C355" s="25" t="str">
        <f>IF('query (2)'!B355="","",'query (2)'!B355)</f>
        <v>CH-966</v>
      </c>
      <c r="D355" s="24" t="str">
        <f t="shared" si="36"/>
        <v>CH</v>
      </c>
      <c r="E355" s="24">
        <f t="shared" si="37"/>
        <v>1</v>
      </c>
      <c r="F355" s="24">
        <f>IF('query (2)'!A355="","",IFERROR(VALUE('query (2)'!A355),""))</f>
        <v>373</v>
      </c>
      <c r="G355" s="24" t="str">
        <f>IF('query (2)'!C355="","UNKNOWN",IFERROR(INDEX(Cleaning_Rules!$B$15:$B$20,MATCH(TRIM(UPPER('query (2)'!C355)),Cleaning_Rules!$A$15:$A$20,0)),"UNKNOWN"))</f>
        <v>FACTORY2</v>
      </c>
      <c r="H355" s="25" t="str">
        <f>IF('query (2)'!C355="","",'query (2)'!C355)</f>
        <v>FACTORY2</v>
      </c>
      <c r="I355" s="24" t="str" cm="1">
        <f t="array" ref="I355">_xlfn.IFS($G355="UNKNOWN","UNKNOWN",OR($G355="FACTORY1",$G355="FACTORY2",$G355="FACTORY3"),"PLANT",TRUE,"SHARED")</f>
        <v>PLANT</v>
      </c>
      <c r="J355" s="24" t="str">
        <f>IF('query (2)'!D355="","UNKNOWN",IF(COUNTIF(Cleaning_Rules!$A$6:$A$11,TRIM('query (2)'!D355))&gt;0,"UNKNOWN",IFERROR(INDEX(Cleaning_Rules!$B$24:$B$28,MATCH(TRIM(UPPER('query (2)'!D355)),Cleaning_Rules!$A$24:$A$28,0)),TRIM(UPPER('query (2)'!D355)))))</f>
        <v>SB4</v>
      </c>
      <c r="K355" s="25" t="str">
        <f>IF('query (2)'!D355="","",'query (2)'!D355)</f>
        <v>SB4</v>
      </c>
      <c r="L355" s="24" t="str">
        <f>IF($J355="UNKNOWN","",_xlfn.TEXTBEFORE($J355,{"0","1","2","3","4","5","6","7","8","9"," ","-","."},1,,,$J355))</f>
        <v>SB</v>
      </c>
      <c r="M355" s="24" t="str">
        <f>IF('query (2)'!I355&lt;&gt;"",TRIM(UPPER('query (2)'!I355)),IF($L355="","UNKNOWN",$L355))</f>
        <v>SB</v>
      </c>
      <c r="N355" s="24" t="str">
        <f>IF('query (2)'!I355&lt;&gt;"","SOURCE",IF($L355="","UNKNOWN","DERIVED"))</f>
        <v>SOURCE</v>
      </c>
      <c r="O355" s="24" t="str">
        <f>IF('query (2)'!E355="","NOT_SPECIFIED",TRIM(UPPER('query (2)'!E355)))</f>
        <v>ASSEMBLY</v>
      </c>
      <c r="P355" s="24" t="str">
        <f>IF('query (2)'!F355="","",TRIM(UPPER('query (2)'!F355)))</f>
        <v>1213-SB4AI</v>
      </c>
      <c r="Q355" s="24" t="str">
        <f>IF('query (2)'!G355="","UNKNOWN",IFERROR(INDEX(Cleaning_Rules!$B$38:$B$46,MATCH(TRIM(UPPER('query (2)'!G355)),Cleaning_Rules!$A$38:$A$46,0)),"UNKNOWN"))</f>
        <v>OTHER</v>
      </c>
      <c r="R355" s="24" t="str">
        <f>IF('query (2)'!H355="","",TRIM(UPPER('query (2)'!H355)))</f>
        <v>OUTER / INNER EDDY CURRENT TESTER M/C</v>
      </c>
      <c r="S355" s="25" t="str">
        <f>IF('query (2)'!H355="","",'query (2)'!H355)</f>
        <v>Outer / Inner  Eddy current tester m/c</v>
      </c>
      <c r="T355" s="24" t="str">
        <f>IF('query (2)'!J355="","",TRIM(UPPER('query (2)'!J355)))</f>
        <v>A &amp; B - E.C.T.</v>
      </c>
      <c r="U355" s="24" t="str">
        <f t="shared" si="38"/>
        <v/>
      </c>
      <c r="V355" s="24" t="str">
        <f>IF('query (2)'!K355="","NOT_SPECIFIED",IFERROR(INDEX(Cleaning_Rules!$B$32:$B$34,MATCH(TRIM(UPPER('query (2)'!K355)),Cleaning_Rules!$A$32:$A$34,0)),"UNKNOWN"))</f>
        <v>NOT_SPECIFIED</v>
      </c>
      <c r="W355" s="24" t="str">
        <f t="shared" si="39"/>
        <v>CH-966 | FACTORY2 | SB4 | SB | ASSEMBLY | 1213-SB4AI | OTHER | OUTER / INNER EDDY CURRENT TESTER M/C | A &amp; B - E.C.T. | NOT_SPECIFIED</v>
      </c>
      <c r="X355" s="24" t="str">
        <f t="shared" si="40"/>
        <v/>
      </c>
      <c r="Y355" s="24" t="str">
        <f t="shared" si="41"/>
        <v>MISSING_STATUS; CATEGORY_NOT_USEFUL</v>
      </c>
    </row>
    <row r="356" spans="1:25" x14ac:dyDescent="0.3">
      <c r="A356" s="24" t="str">
        <f t="shared" si="35"/>
        <v>CH-975#0355</v>
      </c>
      <c r="B356" s="24" t="str">
        <f>IF('query (2)'!B356="","",TRIM(UPPER('query (2)'!B356)))</f>
        <v>CH-975</v>
      </c>
      <c r="C356" s="25" t="str">
        <f>IF('query (2)'!B356="","",'query (2)'!B356)</f>
        <v>CH-975</v>
      </c>
      <c r="D356" s="24" t="str">
        <f t="shared" si="36"/>
        <v>CH</v>
      </c>
      <c r="E356" s="24">
        <f t="shared" si="37"/>
        <v>1</v>
      </c>
      <c r="F356" s="24">
        <f>IF('query (2)'!A356="","",IFERROR(VALUE('query (2)'!A356),""))</f>
        <v>374</v>
      </c>
      <c r="G356" s="24" t="str">
        <f>IF('query (2)'!C356="","UNKNOWN",IFERROR(INDEX(Cleaning_Rules!$B$15:$B$20,MATCH(TRIM(UPPER('query (2)'!C356)),Cleaning_Rules!$A$15:$A$20,0)),"UNKNOWN"))</f>
        <v>FACTORY2</v>
      </c>
      <c r="H356" s="25" t="str">
        <f>IF('query (2)'!C356="","",'query (2)'!C356)</f>
        <v>FACTORY2</v>
      </c>
      <c r="I356" s="24" t="str" cm="1">
        <f t="array" ref="I356">_xlfn.IFS($G356="UNKNOWN","UNKNOWN",OR($G356="FACTORY1",$G356="FACTORY2",$G356="FACTORY3"),"PLANT",TRUE,"SHARED")</f>
        <v>PLANT</v>
      </c>
      <c r="J356" s="24" t="str">
        <f>IF('query (2)'!D356="","UNKNOWN",IF(COUNTIF(Cleaning_Rules!$A$6:$A$11,TRIM('query (2)'!D356))&gt;0,"UNKNOWN",IFERROR(INDEX(Cleaning_Rules!$B$24:$B$28,MATCH(TRIM(UPPER('query (2)'!D356)),Cleaning_Rules!$A$24:$A$28,0)),TRIM(UPPER('query (2)'!D356)))))</f>
        <v>SB4</v>
      </c>
      <c r="K356" s="25" t="str">
        <f>IF('query (2)'!D356="","",'query (2)'!D356)</f>
        <v>SB4</v>
      </c>
      <c r="L356" s="24" t="str">
        <f>IF($J356="UNKNOWN","",_xlfn.TEXTBEFORE($J356,{"0","1","2","3","4","5","6","7","8","9"," ","-","."},1,,,$J356))</f>
        <v>SB</v>
      </c>
      <c r="M356" s="24" t="str">
        <f>IF('query (2)'!I356&lt;&gt;"",TRIM(UPPER('query (2)'!I356)),IF($L356="","UNKNOWN",$L356))</f>
        <v>SB</v>
      </c>
      <c r="N356" s="24" t="str">
        <f>IF('query (2)'!I356&lt;&gt;"","SOURCE",IF($L356="","UNKNOWN","DERIVED"))</f>
        <v>SOURCE</v>
      </c>
      <c r="O356" s="24" t="str">
        <f>IF('query (2)'!E356="","NOT_SPECIFIED",TRIM(UPPER('query (2)'!E356)))</f>
        <v>ASSEMBLY</v>
      </c>
      <c r="P356" s="24" t="str">
        <f>IF('query (2)'!F356="","",TRIM(UPPER('query (2)'!F356)))</f>
        <v>1213-SB4AI</v>
      </c>
      <c r="Q356" s="24" t="str">
        <f>IF('query (2)'!G356="","UNKNOWN",IFERROR(INDEX(Cleaning_Rules!$B$38:$B$46,MATCH(TRIM(UPPER('query (2)'!G356)),Cleaning_Rules!$A$38:$A$46,0)),"UNKNOWN"))</f>
        <v>OTHER</v>
      </c>
      <c r="R356" s="24" t="str">
        <f>IF('query (2)'!H356="","",TRIM(UPPER('query (2)'!H356)))</f>
        <v>TORQUE CHECK M/C</v>
      </c>
      <c r="S356" s="25" t="str">
        <f>IF('query (2)'!H356="","",'query (2)'!H356)</f>
        <v>Torque check  M/C</v>
      </c>
      <c r="T356" s="24" t="str">
        <f>IF('query (2)'!J356="","",TRIM(UPPER('query (2)'!J356)))</f>
        <v/>
      </c>
      <c r="U356" s="24" t="str">
        <f t="shared" si="38"/>
        <v/>
      </c>
      <c r="V356" s="24" t="str">
        <f>IF('query (2)'!K356="","NOT_SPECIFIED",IFERROR(INDEX(Cleaning_Rules!$B$32:$B$34,MATCH(TRIM(UPPER('query (2)'!K356)),Cleaning_Rules!$A$32:$A$34,0)),"UNKNOWN"))</f>
        <v>NOT_SPECIFIED</v>
      </c>
      <c r="W356" s="24" t="str">
        <f t="shared" si="39"/>
        <v>CH-975 | FACTORY2 | SB4 | SB | ASSEMBLY | 1213-SB4AI | OTHER | TORQUE CHECK M/C | NOT_SPECIFIED</v>
      </c>
      <c r="X356" s="24" t="str">
        <f t="shared" si="40"/>
        <v/>
      </c>
      <c r="Y356" s="24" t="str">
        <f t="shared" si="41"/>
        <v>MISSING_STATUS; CATEGORY_NOT_USEFUL; MISSING_PRODUCTION_NAME</v>
      </c>
    </row>
    <row r="357" spans="1:25" x14ac:dyDescent="0.3">
      <c r="A357" s="24" t="str">
        <f t="shared" si="35"/>
        <v>AS-985#0356</v>
      </c>
      <c r="B357" s="24" t="str">
        <f>IF('query (2)'!B357="","",TRIM(UPPER('query (2)'!B357)))</f>
        <v>AS-985</v>
      </c>
      <c r="C357" s="25" t="str">
        <f>IF('query (2)'!B357="","",'query (2)'!B357)</f>
        <v>AS-985</v>
      </c>
      <c r="D357" s="24" t="str">
        <f t="shared" si="36"/>
        <v>AS</v>
      </c>
      <c r="E357" s="24">
        <f t="shared" si="37"/>
        <v>1</v>
      </c>
      <c r="F357" s="24">
        <f>IF('query (2)'!A357="","",IFERROR(VALUE('query (2)'!A357),""))</f>
        <v>375</v>
      </c>
      <c r="G357" s="24" t="str">
        <f>IF('query (2)'!C357="","UNKNOWN",IFERROR(INDEX(Cleaning_Rules!$B$15:$B$20,MATCH(TRIM(UPPER('query (2)'!C357)),Cleaning_Rules!$A$15:$A$20,0)),"UNKNOWN"))</f>
        <v>FACTORY2</v>
      </c>
      <c r="H357" s="25" t="str">
        <f>IF('query (2)'!C357="","",'query (2)'!C357)</f>
        <v>FACTORY2</v>
      </c>
      <c r="I357" s="24" t="str" cm="1">
        <f t="array" ref="I357">_xlfn.IFS($G357="UNKNOWN","UNKNOWN",OR($G357="FACTORY1",$G357="FACTORY2",$G357="FACTORY3"),"PLANT",TRUE,"SHARED")</f>
        <v>PLANT</v>
      </c>
      <c r="J357" s="24" t="str">
        <f>IF('query (2)'!D357="","UNKNOWN",IF(COUNTIF(Cleaning_Rules!$A$6:$A$11,TRIM('query (2)'!D357))&gt;0,"UNKNOWN",IFERROR(INDEX(Cleaning_Rules!$B$24:$B$28,MATCH(TRIM(UPPER('query (2)'!D357)),Cleaning_Rules!$A$24:$A$28,0)),TRIM(UPPER('query (2)'!D357)))))</f>
        <v>SB4</v>
      </c>
      <c r="K357" s="25" t="str">
        <f>IF('query (2)'!D357="","",'query (2)'!D357)</f>
        <v>SB4</v>
      </c>
      <c r="L357" s="24" t="str">
        <f>IF($J357="UNKNOWN","",_xlfn.TEXTBEFORE($J357,{"0","1","2","3","4","5","6","7","8","9"," ","-","."},1,,,$J357))</f>
        <v>SB</v>
      </c>
      <c r="M357" s="24" t="str">
        <f>IF('query (2)'!I357&lt;&gt;"",TRIM(UPPER('query (2)'!I357)),IF($L357="","UNKNOWN",$L357))</f>
        <v>SB</v>
      </c>
      <c r="N357" s="24" t="str">
        <f>IF('query (2)'!I357&lt;&gt;"","SOURCE",IF($L357="","UNKNOWN","DERIVED"))</f>
        <v>SOURCE</v>
      </c>
      <c r="O357" s="24" t="str">
        <f>IF('query (2)'!E357="","NOT_SPECIFIED",TRIM(UPPER('query (2)'!E357)))</f>
        <v>ASSEMBLY</v>
      </c>
      <c r="P357" s="24" t="str">
        <f>IF('query (2)'!F357="","",TRIM(UPPER('query (2)'!F357)))</f>
        <v>1213-SB4AI</v>
      </c>
      <c r="Q357" s="24" t="str">
        <f>IF('query (2)'!G357="","UNKNOWN",IFERROR(INDEX(Cleaning_Rules!$B$38:$B$46,MATCH(TRIM(UPPER('query (2)'!G357)),Cleaning_Rules!$A$38:$A$46,0)),"UNKNOWN"))</f>
        <v>OTHER</v>
      </c>
      <c r="R357" s="24" t="str">
        <f>IF('query (2)'!H357="","",TRIM(UPPER('query (2)'!H357)))</f>
        <v>MATCHING &amp; BALL FILLING M/C</v>
      </c>
      <c r="S357" s="25" t="str">
        <f>IF('query (2)'!H357="","",'query (2)'!H357)</f>
        <v>Matching &amp; Ball filling M/C</v>
      </c>
      <c r="T357" s="24" t="str">
        <f>IF('query (2)'!J357="","",TRIM(UPPER('query (2)'!J357)))</f>
        <v>MATCHING &amp; BALL FILLING</v>
      </c>
      <c r="U357" s="24" t="str">
        <f t="shared" si="38"/>
        <v/>
      </c>
      <c r="V357" s="24" t="str">
        <f>IF('query (2)'!K357="","NOT_SPECIFIED",IFERROR(INDEX(Cleaning_Rules!$B$32:$B$34,MATCH(TRIM(UPPER('query (2)'!K357)),Cleaning_Rules!$A$32:$A$34,0)),"UNKNOWN"))</f>
        <v>NOT_SPECIFIED</v>
      </c>
      <c r="W357" s="24" t="str">
        <f t="shared" si="39"/>
        <v>AS-985 | FACTORY2 | SB4 | SB | ASSEMBLY | 1213-SB4AI | OTHER | MATCHING &amp; BALL FILLING M/C | MATCHING &amp; BALL FILLING | NOT_SPECIFIED</v>
      </c>
      <c r="X357" s="24" t="str">
        <f t="shared" si="40"/>
        <v/>
      </c>
      <c r="Y357" s="24" t="str">
        <f t="shared" si="41"/>
        <v>MISSING_STATUS; CATEGORY_NOT_USEFUL</v>
      </c>
    </row>
    <row r="358" spans="1:25" x14ac:dyDescent="0.3">
      <c r="A358" s="24" t="str">
        <f t="shared" si="35"/>
        <v>CH-1017#0357</v>
      </c>
      <c r="B358" s="24" t="str">
        <f>IF('query (2)'!B358="","",TRIM(UPPER('query (2)'!B358)))</f>
        <v>CH-1017</v>
      </c>
      <c r="C358" s="25" t="str">
        <f>IF('query (2)'!B358="","",'query (2)'!B358)</f>
        <v>CH-1017</v>
      </c>
      <c r="D358" s="24" t="str">
        <f t="shared" si="36"/>
        <v>CH</v>
      </c>
      <c r="E358" s="24">
        <f t="shared" si="37"/>
        <v>1</v>
      </c>
      <c r="F358" s="24">
        <f>IF('query (2)'!A358="","",IFERROR(VALUE('query (2)'!A358),""))</f>
        <v>376</v>
      </c>
      <c r="G358" s="24" t="str">
        <f>IF('query (2)'!C358="","UNKNOWN",IFERROR(INDEX(Cleaning_Rules!$B$15:$B$20,MATCH(TRIM(UPPER('query (2)'!C358)),Cleaning_Rules!$A$15:$A$20,0)),"UNKNOWN"))</f>
        <v>FACTORY2</v>
      </c>
      <c r="H358" s="25" t="str">
        <f>IF('query (2)'!C358="","",'query (2)'!C358)</f>
        <v>FACTORY2</v>
      </c>
      <c r="I358" s="24" t="str" cm="1">
        <f t="array" ref="I358">_xlfn.IFS($G358="UNKNOWN","UNKNOWN",OR($G358="FACTORY1",$G358="FACTORY2",$G358="FACTORY3"),"PLANT",TRUE,"SHARED")</f>
        <v>PLANT</v>
      </c>
      <c r="J358" s="24" t="str">
        <f>IF('query (2)'!D358="","UNKNOWN",IF(COUNTIF(Cleaning_Rules!$A$6:$A$11,TRIM('query (2)'!D358))&gt;0,"UNKNOWN",IFERROR(INDEX(Cleaning_Rules!$B$24:$B$28,MATCH(TRIM(UPPER('query (2)'!D358)),Cleaning_Rules!$A$24:$A$28,0)),TRIM(UPPER('query (2)'!D358)))))</f>
        <v>SB4</v>
      </c>
      <c r="K358" s="25" t="str">
        <f>IF('query (2)'!D358="","",'query (2)'!D358)</f>
        <v>SB4</v>
      </c>
      <c r="L358" s="24" t="str">
        <f>IF($J358="UNKNOWN","",_xlfn.TEXTBEFORE($J358,{"0","1","2","3","4","5","6","7","8","9"," ","-","."},1,,,$J358))</f>
        <v>SB</v>
      </c>
      <c r="M358" s="24" t="str">
        <f>IF('query (2)'!I358&lt;&gt;"",TRIM(UPPER('query (2)'!I358)),IF($L358="","UNKNOWN",$L358))</f>
        <v>SB</v>
      </c>
      <c r="N358" s="24" t="str">
        <f>IF('query (2)'!I358&lt;&gt;"","SOURCE",IF($L358="","UNKNOWN","DERIVED"))</f>
        <v>SOURCE</v>
      </c>
      <c r="O358" s="24" t="str">
        <f>IF('query (2)'!E358="","NOT_SPECIFIED",TRIM(UPPER('query (2)'!E358)))</f>
        <v>ASSEMBLY</v>
      </c>
      <c r="P358" s="24" t="str">
        <f>IF('query (2)'!F358="","",TRIM(UPPER('query (2)'!F358)))</f>
        <v>1213-SB4AI</v>
      </c>
      <c r="Q358" s="24" t="str">
        <f>IF('query (2)'!G358="","UNKNOWN",IFERROR(INDEX(Cleaning_Rules!$B$38:$B$46,MATCH(TRIM(UPPER('query (2)'!G358)),Cleaning_Rules!$A$38:$A$46,0)),"UNKNOWN"))</f>
        <v>OTHER</v>
      </c>
      <c r="R358" s="24" t="str">
        <f>IF('query (2)'!H358="","",TRIM(UPPER('query (2)'!H358)))</f>
        <v>DIMENSION CHECKER MACHINE NO.8</v>
      </c>
      <c r="S358" s="25" t="str">
        <f>IF('query (2)'!H358="","",'query (2)'!H358)</f>
        <v>Dimension checker machine No.8</v>
      </c>
      <c r="T358" s="24" t="str">
        <f>IF('query (2)'!J358="","",TRIM(UPPER('query (2)'!J358)))</f>
        <v>OD.CHECK AUTO</v>
      </c>
      <c r="U358" s="24" t="str">
        <f t="shared" si="38"/>
        <v/>
      </c>
      <c r="V358" s="24" t="str">
        <f>IF('query (2)'!K358="","NOT_SPECIFIED",IFERROR(INDEX(Cleaning_Rules!$B$32:$B$34,MATCH(TRIM(UPPER('query (2)'!K358)),Cleaning_Rules!$A$32:$A$34,0)),"UNKNOWN"))</f>
        <v>NOT_SPECIFIED</v>
      </c>
      <c r="W358" s="24" t="str">
        <f t="shared" si="39"/>
        <v>CH-1017 | FACTORY2 | SB4 | SB | ASSEMBLY | 1213-SB4AI | OTHER | DIMENSION CHECKER MACHINE NO.8 | OD.CHECK AUTO | NOT_SPECIFIED</v>
      </c>
      <c r="X358" s="24" t="str">
        <f t="shared" si="40"/>
        <v/>
      </c>
      <c r="Y358" s="24" t="str">
        <f t="shared" si="41"/>
        <v>MISSING_STATUS; CATEGORY_NOT_USEFUL</v>
      </c>
    </row>
    <row r="359" spans="1:25" x14ac:dyDescent="0.3">
      <c r="A359" s="24" t="str">
        <f t="shared" si="35"/>
        <v>GR-527#0358</v>
      </c>
      <c r="B359" s="24" t="str">
        <f>IF('query (2)'!B359="","",TRIM(UPPER('query (2)'!B359)))</f>
        <v>GR-527</v>
      </c>
      <c r="C359" s="25" t="str">
        <f>IF('query (2)'!B359="","",'query (2)'!B359)</f>
        <v>GR-527</v>
      </c>
      <c r="D359" s="24" t="str">
        <f t="shared" si="36"/>
        <v>GR</v>
      </c>
      <c r="E359" s="24">
        <f t="shared" si="37"/>
        <v>1</v>
      </c>
      <c r="F359" s="24">
        <f>IF('query (2)'!A359="","",IFERROR(VALUE('query (2)'!A359),""))</f>
        <v>377</v>
      </c>
      <c r="G359" s="24" t="str">
        <f>IF('query (2)'!C359="","UNKNOWN",IFERROR(INDEX(Cleaning_Rules!$B$15:$B$20,MATCH(TRIM(UPPER('query (2)'!C359)),Cleaning_Rules!$A$15:$A$20,0)),"UNKNOWN"))</f>
        <v>FACTORY2</v>
      </c>
      <c r="H359" s="25" t="str">
        <f>IF('query (2)'!C359="","",'query (2)'!C359)</f>
        <v>FACTORY2</v>
      </c>
      <c r="I359" s="24" t="str" cm="1">
        <f t="array" ref="I359">_xlfn.IFS($G359="UNKNOWN","UNKNOWN",OR($G359="FACTORY1",$G359="FACTORY2",$G359="FACTORY3"),"PLANT",TRUE,"SHARED")</f>
        <v>PLANT</v>
      </c>
      <c r="J359" s="24" t="str">
        <f>IF('query (2)'!D359="","UNKNOWN",IF(COUNTIF(Cleaning_Rules!$A$6:$A$11,TRIM('query (2)'!D359))&gt;0,"UNKNOWN",IFERROR(INDEX(Cleaning_Rules!$B$24:$B$28,MATCH(TRIM(UPPER('query (2)'!D359)),Cleaning_Rules!$A$24:$A$28,0)),TRIM(UPPER('query (2)'!D359)))))</f>
        <v>SB5</v>
      </c>
      <c r="K359" s="25" t="str">
        <f>IF('query (2)'!D359="","",'query (2)'!D359)</f>
        <v>SB5</v>
      </c>
      <c r="L359" s="24" t="str">
        <f>IF($J359="UNKNOWN","",_xlfn.TEXTBEFORE($J359,{"0","1","2","3","4","5","6","7","8","9"," ","-","."},1,,,$J359))</f>
        <v>SB</v>
      </c>
      <c r="M359" s="24" t="str">
        <f>IF('query (2)'!I359&lt;&gt;"",TRIM(UPPER('query (2)'!I359)),IF($L359="","UNKNOWN",$L359))</f>
        <v>SB</v>
      </c>
      <c r="N359" s="24" t="str">
        <f>IF('query (2)'!I359&lt;&gt;"","SOURCE",IF($L359="","UNKNOWN","DERIVED"))</f>
        <v>SOURCE</v>
      </c>
      <c r="O359" s="24" t="str">
        <f>IF('query (2)'!E359="","NOT_SPECIFIED",TRIM(UPPER('query (2)'!E359)))</f>
        <v>GRINDING 2</v>
      </c>
      <c r="P359" s="24" t="str">
        <f>IF('query (2)'!F359="","",TRIM(UPPER('query (2)'!F359)))</f>
        <v>1215-SB5G</v>
      </c>
      <c r="Q359" s="24" t="str">
        <f>IF('query (2)'!G359="","UNKNOWN",IFERROR(INDEX(Cleaning_Rules!$B$38:$B$46,MATCH(TRIM(UPPER('query (2)'!G359)),Cleaning_Rules!$A$38:$A$46,0)),"UNKNOWN"))</f>
        <v>OTHER</v>
      </c>
      <c r="R359" s="24" t="str">
        <f>IF('query (2)'!H359="","",TRIM(UPPER('query (2)'!H359)))</f>
        <v>INNER RING RACEWAY GRINDING M/C</v>
      </c>
      <c r="S359" s="25" t="str">
        <f>IF('query (2)'!H359="","",'query (2)'!H359)</f>
        <v>Inner ring raceway grinding M/C</v>
      </c>
      <c r="T359" s="24" t="str">
        <f>IF('query (2)'!J359="","",TRIM(UPPER('query (2)'!J359)))</f>
        <v>B - RACEWAY GRINDING</v>
      </c>
      <c r="U359" s="24" t="str">
        <f t="shared" si="38"/>
        <v/>
      </c>
      <c r="V359" s="24" t="str">
        <f>IF('query (2)'!K359="","NOT_SPECIFIED",IFERROR(INDEX(Cleaning_Rules!$B$32:$B$34,MATCH(TRIM(UPPER('query (2)'!K359)),Cleaning_Rules!$A$32:$A$34,0)),"UNKNOWN"))</f>
        <v>NOT_SPECIFIED</v>
      </c>
      <c r="W359" s="24" t="str">
        <f t="shared" si="39"/>
        <v>GR-527 | FACTORY2 | SB5 | SB | GRINDING 2 | 1215-SB5G | OTHER | INNER RING RACEWAY GRINDING M/C | B - RACEWAY GRINDING | NOT_SPECIFIED</v>
      </c>
      <c r="X359" s="24" t="str">
        <f t="shared" si="40"/>
        <v/>
      </c>
      <c r="Y359" s="24" t="str">
        <f t="shared" si="41"/>
        <v>MISSING_STATUS; CATEGORY_NOT_USEFUL</v>
      </c>
    </row>
    <row r="360" spans="1:25" x14ac:dyDescent="0.3">
      <c r="A360" s="24" t="str">
        <f t="shared" si="35"/>
        <v>GR-528#0359</v>
      </c>
      <c r="B360" s="24" t="str">
        <f>IF('query (2)'!B360="","",TRIM(UPPER('query (2)'!B360)))</f>
        <v>GR-528</v>
      </c>
      <c r="C360" s="25" t="str">
        <f>IF('query (2)'!B360="","",'query (2)'!B360)</f>
        <v>GR-528</v>
      </c>
      <c r="D360" s="24" t="str">
        <f t="shared" si="36"/>
        <v>GR</v>
      </c>
      <c r="E360" s="24">
        <f t="shared" si="37"/>
        <v>1</v>
      </c>
      <c r="F360" s="24">
        <f>IF('query (2)'!A360="","",IFERROR(VALUE('query (2)'!A360),""))</f>
        <v>378</v>
      </c>
      <c r="G360" s="24" t="str">
        <f>IF('query (2)'!C360="","UNKNOWN",IFERROR(INDEX(Cleaning_Rules!$B$15:$B$20,MATCH(TRIM(UPPER('query (2)'!C360)),Cleaning_Rules!$A$15:$A$20,0)),"UNKNOWN"))</f>
        <v>FACTORY2</v>
      </c>
      <c r="H360" s="25" t="str">
        <f>IF('query (2)'!C360="","",'query (2)'!C360)</f>
        <v>FACTORY2</v>
      </c>
      <c r="I360" s="24" t="str" cm="1">
        <f t="array" ref="I360">_xlfn.IFS($G360="UNKNOWN","UNKNOWN",OR($G360="FACTORY1",$G360="FACTORY2",$G360="FACTORY3"),"PLANT",TRUE,"SHARED")</f>
        <v>PLANT</v>
      </c>
      <c r="J360" s="24" t="str">
        <f>IF('query (2)'!D360="","UNKNOWN",IF(COUNTIF(Cleaning_Rules!$A$6:$A$11,TRIM('query (2)'!D360))&gt;0,"UNKNOWN",IFERROR(INDEX(Cleaning_Rules!$B$24:$B$28,MATCH(TRIM(UPPER('query (2)'!D360)),Cleaning_Rules!$A$24:$A$28,0)),TRIM(UPPER('query (2)'!D360)))))</f>
        <v>SB5</v>
      </c>
      <c r="K360" s="25" t="str">
        <f>IF('query (2)'!D360="","",'query (2)'!D360)</f>
        <v>SB5</v>
      </c>
      <c r="L360" s="24" t="str">
        <f>IF($J360="UNKNOWN","",_xlfn.TEXTBEFORE($J360,{"0","1","2","3","4","5","6","7","8","9"," ","-","."},1,,,$J360))</f>
        <v>SB</v>
      </c>
      <c r="M360" s="24" t="str">
        <f>IF('query (2)'!I360&lt;&gt;"",TRIM(UPPER('query (2)'!I360)),IF($L360="","UNKNOWN",$L360))</f>
        <v>SB</v>
      </c>
      <c r="N360" s="24" t="str">
        <f>IF('query (2)'!I360&lt;&gt;"","SOURCE",IF($L360="","UNKNOWN","DERIVED"))</f>
        <v>SOURCE</v>
      </c>
      <c r="O360" s="24" t="str">
        <f>IF('query (2)'!E360="","NOT_SPECIFIED",TRIM(UPPER('query (2)'!E360)))</f>
        <v>GRINDING 2</v>
      </c>
      <c r="P360" s="24" t="str">
        <f>IF('query (2)'!F360="","",TRIM(UPPER('query (2)'!F360)))</f>
        <v>1215-SB5G</v>
      </c>
      <c r="Q360" s="24" t="str">
        <f>IF('query (2)'!G360="","UNKNOWN",IFERROR(INDEX(Cleaning_Rules!$B$38:$B$46,MATCH(TRIM(UPPER('query (2)'!G360)),Cleaning_Rules!$A$38:$A$46,0)),"UNKNOWN"))</f>
        <v>OTHER</v>
      </c>
      <c r="R360" s="24" t="str">
        <f>IF('query (2)'!H360="","",TRIM(UPPER('query (2)'!H360)))</f>
        <v>INNER RING BORE GRINDING M/C</v>
      </c>
      <c r="S360" s="25" t="str">
        <f>IF('query (2)'!H360="","",'query (2)'!H360)</f>
        <v>Inner ring bore grinding M/C</v>
      </c>
      <c r="T360" s="24" t="str">
        <f>IF('query (2)'!J360="","",TRIM(UPPER('query (2)'!J360)))</f>
        <v>B - BORE GRINDING</v>
      </c>
      <c r="U360" s="24" t="str">
        <f t="shared" si="38"/>
        <v/>
      </c>
      <c r="V360" s="24" t="str">
        <f>IF('query (2)'!K360="","NOT_SPECIFIED",IFERROR(INDEX(Cleaning_Rules!$B$32:$B$34,MATCH(TRIM(UPPER('query (2)'!K360)),Cleaning_Rules!$A$32:$A$34,0)),"UNKNOWN"))</f>
        <v>NOT_SPECIFIED</v>
      </c>
      <c r="W360" s="24" t="str">
        <f t="shared" si="39"/>
        <v>GR-528 | FACTORY2 | SB5 | SB | GRINDING 2 | 1215-SB5G | OTHER | INNER RING BORE GRINDING M/C | B - BORE GRINDING | NOT_SPECIFIED</v>
      </c>
      <c r="X360" s="24" t="str">
        <f t="shared" si="40"/>
        <v/>
      </c>
      <c r="Y360" s="24" t="str">
        <f t="shared" si="41"/>
        <v>MISSING_STATUS; CATEGORY_NOT_USEFUL</v>
      </c>
    </row>
    <row r="361" spans="1:25" x14ac:dyDescent="0.3">
      <c r="A361" s="24" t="str">
        <f t="shared" si="35"/>
        <v>DE-529#0360</v>
      </c>
      <c r="B361" s="24" t="str">
        <f>IF('query (2)'!B361="","",TRIM(UPPER('query (2)'!B361)))</f>
        <v>DE-529</v>
      </c>
      <c r="C361" s="25" t="str">
        <f>IF('query (2)'!B361="","",'query (2)'!B361)</f>
        <v>DE-529</v>
      </c>
      <c r="D361" s="24" t="str">
        <f t="shared" si="36"/>
        <v>DE</v>
      </c>
      <c r="E361" s="24">
        <f t="shared" si="37"/>
        <v>1</v>
      </c>
      <c r="F361" s="24">
        <f>IF('query (2)'!A361="","",IFERROR(VALUE('query (2)'!A361),""))</f>
        <v>379</v>
      </c>
      <c r="G361" s="24" t="str">
        <f>IF('query (2)'!C361="","UNKNOWN",IFERROR(INDEX(Cleaning_Rules!$B$15:$B$20,MATCH(TRIM(UPPER('query (2)'!C361)),Cleaning_Rules!$A$15:$A$20,0)),"UNKNOWN"))</f>
        <v>FACTORY2</v>
      </c>
      <c r="H361" s="25" t="str">
        <f>IF('query (2)'!C361="","",'query (2)'!C361)</f>
        <v>FACTORY2</v>
      </c>
      <c r="I361" s="24" t="str" cm="1">
        <f t="array" ref="I361">_xlfn.IFS($G361="UNKNOWN","UNKNOWN",OR($G361="FACTORY1",$G361="FACTORY2",$G361="FACTORY3"),"PLANT",TRUE,"SHARED")</f>
        <v>PLANT</v>
      </c>
      <c r="J361" s="24" t="str">
        <f>IF('query (2)'!D361="","UNKNOWN",IF(COUNTIF(Cleaning_Rules!$A$6:$A$11,TRIM('query (2)'!D361))&gt;0,"UNKNOWN",IFERROR(INDEX(Cleaning_Rules!$B$24:$B$28,MATCH(TRIM(UPPER('query (2)'!D361)),Cleaning_Rules!$A$24:$A$28,0)),TRIM(UPPER('query (2)'!D361)))))</f>
        <v>SB5</v>
      </c>
      <c r="K361" s="25" t="str">
        <f>IF('query (2)'!D361="","",'query (2)'!D361)</f>
        <v>SB5</v>
      </c>
      <c r="L361" s="24" t="str">
        <f>IF($J361="UNKNOWN","",_xlfn.TEXTBEFORE($J361,{"0","1","2","3","4","5","6","7","8","9"," ","-","."},1,,,$J361))</f>
        <v>SB</v>
      </c>
      <c r="M361" s="24" t="str">
        <f>IF('query (2)'!I361&lt;&gt;"",TRIM(UPPER('query (2)'!I361)),IF($L361="","UNKNOWN",$L361))</f>
        <v>SB</v>
      </c>
      <c r="N361" s="24" t="str">
        <f>IF('query (2)'!I361&lt;&gt;"","SOURCE",IF($L361="","UNKNOWN","DERIVED"))</f>
        <v>SOURCE</v>
      </c>
      <c r="O361" s="24" t="str">
        <f>IF('query (2)'!E361="","NOT_SPECIFIED",TRIM(UPPER('query (2)'!E361)))</f>
        <v>GRINDING 2</v>
      </c>
      <c r="P361" s="24" t="str">
        <f>IF('query (2)'!F361="","",TRIM(UPPER('query (2)'!F361)))</f>
        <v>1215-SB5G</v>
      </c>
      <c r="Q361" s="24" t="str">
        <f>IF('query (2)'!G361="","UNKNOWN",IFERROR(INDEX(Cleaning_Rules!$B$38:$B$46,MATCH(TRIM(UPPER('query (2)'!G361)),Cleaning_Rules!$A$38:$A$46,0)),"UNKNOWN"))</f>
        <v>OTHER</v>
      </c>
      <c r="R361" s="24" t="str">
        <f>IF('query (2)'!H361="","",TRIM(UPPER('query (2)'!H361)))</f>
        <v>DEMAGNETIZING FOR INNER RING M/C</v>
      </c>
      <c r="S361" s="25" t="str">
        <f>IF('query (2)'!H361="","",'query (2)'!H361)</f>
        <v>Demagnetizing for  inner  ring  M/C</v>
      </c>
      <c r="T361" s="24" t="str">
        <f>IF('query (2)'!J361="","",TRIM(UPPER('query (2)'!J361)))</f>
        <v>B - DEMAGNETIZING</v>
      </c>
      <c r="U361" s="24" t="str">
        <f t="shared" si="38"/>
        <v/>
      </c>
      <c r="V361" s="24" t="str">
        <f>IF('query (2)'!K361="","NOT_SPECIFIED",IFERROR(INDEX(Cleaning_Rules!$B$32:$B$34,MATCH(TRIM(UPPER('query (2)'!K361)),Cleaning_Rules!$A$32:$A$34,0)),"UNKNOWN"))</f>
        <v>NOT_SPECIFIED</v>
      </c>
      <c r="W361" s="24" t="str">
        <f t="shared" si="39"/>
        <v>DE-529 | FACTORY2 | SB5 | SB | GRINDING 2 | 1215-SB5G | OTHER | DEMAGNETIZING FOR INNER RING M/C | B - DEMAGNETIZING | NOT_SPECIFIED</v>
      </c>
      <c r="X361" s="24" t="str">
        <f t="shared" si="40"/>
        <v/>
      </c>
      <c r="Y361" s="24" t="str">
        <f t="shared" si="41"/>
        <v>MISSING_STATUS; CATEGORY_NOT_USEFUL</v>
      </c>
    </row>
    <row r="362" spans="1:25" x14ac:dyDescent="0.3">
      <c r="A362" s="24" t="str">
        <f t="shared" si="35"/>
        <v>GR-530#0361</v>
      </c>
      <c r="B362" s="24" t="str">
        <f>IF('query (2)'!B362="","",TRIM(UPPER('query (2)'!B362)))</f>
        <v>GR-530</v>
      </c>
      <c r="C362" s="25" t="str">
        <f>IF('query (2)'!B362="","",'query (2)'!B362)</f>
        <v>GR-530</v>
      </c>
      <c r="D362" s="24" t="str">
        <f t="shared" si="36"/>
        <v>GR</v>
      </c>
      <c r="E362" s="24">
        <f t="shared" si="37"/>
        <v>1</v>
      </c>
      <c r="F362" s="24">
        <f>IF('query (2)'!A362="","",IFERROR(VALUE('query (2)'!A362),""))</f>
        <v>380</v>
      </c>
      <c r="G362" s="24" t="str">
        <f>IF('query (2)'!C362="","UNKNOWN",IFERROR(INDEX(Cleaning_Rules!$B$15:$B$20,MATCH(TRIM(UPPER('query (2)'!C362)),Cleaning_Rules!$A$15:$A$20,0)),"UNKNOWN"))</f>
        <v>FACTORY2</v>
      </c>
      <c r="H362" s="25" t="str">
        <f>IF('query (2)'!C362="","",'query (2)'!C362)</f>
        <v>FACTORY2</v>
      </c>
      <c r="I362" s="24" t="str" cm="1">
        <f t="array" ref="I362">_xlfn.IFS($G362="UNKNOWN","UNKNOWN",OR($G362="FACTORY1",$G362="FACTORY2",$G362="FACTORY3"),"PLANT",TRUE,"SHARED")</f>
        <v>PLANT</v>
      </c>
      <c r="J362" s="24" t="str">
        <f>IF('query (2)'!D362="","UNKNOWN",IF(COUNTIF(Cleaning_Rules!$A$6:$A$11,TRIM('query (2)'!D362))&gt;0,"UNKNOWN",IFERROR(INDEX(Cleaning_Rules!$B$24:$B$28,MATCH(TRIM(UPPER('query (2)'!D362)),Cleaning_Rules!$A$24:$A$28,0)),TRIM(UPPER('query (2)'!D362)))))</f>
        <v>SB5</v>
      </c>
      <c r="K362" s="25" t="str">
        <f>IF('query (2)'!D362="","",'query (2)'!D362)</f>
        <v>SB5</v>
      </c>
      <c r="L362" s="24" t="str">
        <f>IF($J362="UNKNOWN","",_xlfn.TEXTBEFORE($J362,{"0","1","2","3","4","5","6","7","8","9"," ","-","."},1,,,$J362))</f>
        <v>SB</v>
      </c>
      <c r="M362" s="24" t="str">
        <f>IF('query (2)'!I362&lt;&gt;"",TRIM(UPPER('query (2)'!I362)),IF($L362="","UNKNOWN",$L362))</f>
        <v>SB</v>
      </c>
      <c r="N362" s="24" t="str">
        <f>IF('query (2)'!I362&lt;&gt;"","SOURCE",IF($L362="","UNKNOWN","DERIVED"))</f>
        <v>SOURCE</v>
      </c>
      <c r="O362" s="24" t="str">
        <f>IF('query (2)'!E362="","NOT_SPECIFIED",TRIM(UPPER('query (2)'!E362)))</f>
        <v>GRINDING 2</v>
      </c>
      <c r="P362" s="24" t="str">
        <f>IF('query (2)'!F362="","",TRIM(UPPER('query (2)'!F362)))</f>
        <v>1215-SB5G</v>
      </c>
      <c r="Q362" s="24" t="str">
        <f>IF('query (2)'!G362="","UNKNOWN",IFERROR(INDEX(Cleaning_Rules!$B$38:$B$46,MATCH(TRIM(UPPER('query (2)'!G362)),Cleaning_Rules!$A$38:$A$46,0)),"UNKNOWN"))</f>
        <v>OTHER</v>
      </c>
      <c r="R362" s="24" t="str">
        <f>IF('query (2)'!H362="","",TRIM(UPPER('query (2)'!H362)))</f>
        <v>INNER RING RACEWAY SUPER FINISH M/C</v>
      </c>
      <c r="S362" s="25" t="str">
        <f>IF('query (2)'!H362="","",'query (2)'!H362)</f>
        <v>Inner ring raceway super finish M/C</v>
      </c>
      <c r="T362" s="24" t="str">
        <f>IF('query (2)'!J362="","",TRIM(UPPER('query (2)'!J362)))</f>
        <v>B - RACEWAY SUPER FINISH</v>
      </c>
      <c r="U362" s="24" t="str">
        <f t="shared" si="38"/>
        <v/>
      </c>
      <c r="V362" s="24" t="str">
        <f>IF('query (2)'!K362="","NOT_SPECIFIED",IFERROR(INDEX(Cleaning_Rules!$B$32:$B$34,MATCH(TRIM(UPPER('query (2)'!K362)),Cleaning_Rules!$A$32:$A$34,0)),"UNKNOWN"))</f>
        <v>NOT_SPECIFIED</v>
      </c>
      <c r="W362" s="24" t="str">
        <f t="shared" si="39"/>
        <v>GR-530 | FACTORY2 | SB5 | SB | GRINDING 2 | 1215-SB5G | OTHER | INNER RING RACEWAY SUPER FINISH M/C | B - RACEWAY SUPER FINISH | NOT_SPECIFIED</v>
      </c>
      <c r="X362" s="24" t="str">
        <f t="shared" si="40"/>
        <v/>
      </c>
      <c r="Y362" s="24" t="str">
        <f t="shared" si="41"/>
        <v>MISSING_STATUS; CATEGORY_NOT_USEFUL</v>
      </c>
    </row>
    <row r="363" spans="1:25" x14ac:dyDescent="0.3">
      <c r="A363" s="24" t="str">
        <f t="shared" si="35"/>
        <v>GR-533#0362</v>
      </c>
      <c r="B363" s="24" t="str">
        <f>IF('query (2)'!B363="","",TRIM(UPPER('query (2)'!B363)))</f>
        <v>GR-533</v>
      </c>
      <c r="C363" s="25" t="str">
        <f>IF('query (2)'!B363="","",'query (2)'!B363)</f>
        <v>GR-533</v>
      </c>
      <c r="D363" s="24" t="str">
        <f t="shared" si="36"/>
        <v>GR</v>
      </c>
      <c r="E363" s="24">
        <f t="shared" si="37"/>
        <v>1</v>
      </c>
      <c r="F363" s="24">
        <f>IF('query (2)'!A363="","",IFERROR(VALUE('query (2)'!A363),""))</f>
        <v>381</v>
      </c>
      <c r="G363" s="24" t="str">
        <f>IF('query (2)'!C363="","UNKNOWN",IFERROR(INDEX(Cleaning_Rules!$B$15:$B$20,MATCH(TRIM(UPPER('query (2)'!C363)),Cleaning_Rules!$A$15:$A$20,0)),"UNKNOWN"))</f>
        <v>FACTORY2</v>
      </c>
      <c r="H363" s="25" t="str">
        <f>IF('query (2)'!C363="","",'query (2)'!C363)</f>
        <v>FACTORY2</v>
      </c>
      <c r="I363" s="24" t="str" cm="1">
        <f t="array" ref="I363">_xlfn.IFS($G363="UNKNOWN","UNKNOWN",OR($G363="FACTORY1",$G363="FACTORY2",$G363="FACTORY3"),"PLANT",TRUE,"SHARED")</f>
        <v>PLANT</v>
      </c>
      <c r="J363" s="24" t="str">
        <f>IF('query (2)'!D363="","UNKNOWN",IF(COUNTIF(Cleaning_Rules!$A$6:$A$11,TRIM('query (2)'!D363))&gt;0,"UNKNOWN",IFERROR(INDEX(Cleaning_Rules!$B$24:$B$28,MATCH(TRIM(UPPER('query (2)'!D363)),Cleaning_Rules!$A$24:$A$28,0)),TRIM(UPPER('query (2)'!D363)))))</f>
        <v>SB5</v>
      </c>
      <c r="K363" s="25" t="str">
        <f>IF('query (2)'!D363="","",'query (2)'!D363)</f>
        <v>SB5</v>
      </c>
      <c r="L363" s="24" t="str">
        <f>IF($J363="UNKNOWN","",_xlfn.TEXTBEFORE($J363,{"0","1","2","3","4","5","6","7","8","9"," ","-","."},1,,,$J363))</f>
        <v>SB</v>
      </c>
      <c r="M363" s="24" t="str">
        <f>IF('query (2)'!I363&lt;&gt;"",TRIM(UPPER('query (2)'!I363)),IF($L363="","UNKNOWN",$L363))</f>
        <v>SB</v>
      </c>
      <c r="N363" s="24" t="str">
        <f>IF('query (2)'!I363&lt;&gt;"","SOURCE",IF($L363="","UNKNOWN","DERIVED"))</f>
        <v>SOURCE</v>
      </c>
      <c r="O363" s="24" t="str">
        <f>IF('query (2)'!E363="","NOT_SPECIFIED",TRIM(UPPER('query (2)'!E363)))</f>
        <v>GRINDING 2</v>
      </c>
      <c r="P363" s="24" t="str">
        <f>IF('query (2)'!F363="","",TRIM(UPPER('query (2)'!F363)))</f>
        <v>1215-SB5G</v>
      </c>
      <c r="Q363" s="24" t="str">
        <f>IF('query (2)'!G363="","UNKNOWN",IFERROR(INDEX(Cleaning_Rules!$B$38:$B$46,MATCH(TRIM(UPPER('query (2)'!G363)),Cleaning_Rules!$A$38:$A$46,0)),"UNKNOWN"))</f>
        <v>OTHER</v>
      </c>
      <c r="R363" s="24" t="str">
        <f>IF('query (2)'!H363="","",TRIM(UPPER('query (2)'!H363)))</f>
        <v>OUTER RING RACEWAY GRINDING M/C</v>
      </c>
      <c r="S363" s="25" t="str">
        <f>IF('query (2)'!H363="","",'query (2)'!H363)</f>
        <v>Outer ring raceway grinding M/C</v>
      </c>
      <c r="T363" s="24" t="str">
        <f>IF('query (2)'!J363="","",TRIM(UPPER('query (2)'!J363)))</f>
        <v>A - RACEWAY GRINDING</v>
      </c>
      <c r="U363" s="24" t="str">
        <f t="shared" si="38"/>
        <v/>
      </c>
      <c r="V363" s="24" t="str">
        <f>IF('query (2)'!K363="","NOT_SPECIFIED",IFERROR(INDEX(Cleaning_Rules!$B$32:$B$34,MATCH(TRIM(UPPER('query (2)'!K363)),Cleaning_Rules!$A$32:$A$34,0)),"UNKNOWN"))</f>
        <v>NOT_SPECIFIED</v>
      </c>
      <c r="W363" s="24" t="str">
        <f t="shared" si="39"/>
        <v>GR-533 | FACTORY2 | SB5 | SB | GRINDING 2 | 1215-SB5G | OTHER | OUTER RING RACEWAY GRINDING M/C | A - RACEWAY GRINDING | NOT_SPECIFIED</v>
      </c>
      <c r="X363" s="24" t="str">
        <f t="shared" si="40"/>
        <v/>
      </c>
      <c r="Y363" s="24" t="str">
        <f t="shared" si="41"/>
        <v>MISSING_STATUS; CATEGORY_NOT_USEFUL</v>
      </c>
    </row>
    <row r="364" spans="1:25" x14ac:dyDescent="0.3">
      <c r="A364" s="24" t="str">
        <f t="shared" si="35"/>
        <v>DE-534#0363</v>
      </c>
      <c r="B364" s="24" t="str">
        <f>IF('query (2)'!B364="","",TRIM(UPPER('query (2)'!B364)))</f>
        <v>DE-534</v>
      </c>
      <c r="C364" s="25" t="str">
        <f>IF('query (2)'!B364="","",'query (2)'!B364)</f>
        <v>DE-534</v>
      </c>
      <c r="D364" s="24" t="str">
        <f t="shared" si="36"/>
        <v>DE</v>
      </c>
      <c r="E364" s="24">
        <f t="shared" si="37"/>
        <v>1</v>
      </c>
      <c r="F364" s="24">
        <f>IF('query (2)'!A364="","",IFERROR(VALUE('query (2)'!A364),""))</f>
        <v>382</v>
      </c>
      <c r="G364" s="24" t="str">
        <f>IF('query (2)'!C364="","UNKNOWN",IFERROR(INDEX(Cleaning_Rules!$B$15:$B$20,MATCH(TRIM(UPPER('query (2)'!C364)),Cleaning_Rules!$A$15:$A$20,0)),"UNKNOWN"))</f>
        <v>FACTORY2</v>
      </c>
      <c r="H364" s="25" t="str">
        <f>IF('query (2)'!C364="","",'query (2)'!C364)</f>
        <v>FACTORY2</v>
      </c>
      <c r="I364" s="24" t="str" cm="1">
        <f t="array" ref="I364">_xlfn.IFS($G364="UNKNOWN","UNKNOWN",OR($G364="FACTORY1",$G364="FACTORY2",$G364="FACTORY3"),"PLANT",TRUE,"SHARED")</f>
        <v>PLANT</v>
      </c>
      <c r="J364" s="24" t="str">
        <f>IF('query (2)'!D364="","UNKNOWN",IF(COUNTIF(Cleaning_Rules!$A$6:$A$11,TRIM('query (2)'!D364))&gt;0,"UNKNOWN",IFERROR(INDEX(Cleaning_Rules!$B$24:$B$28,MATCH(TRIM(UPPER('query (2)'!D364)),Cleaning_Rules!$A$24:$A$28,0)),TRIM(UPPER('query (2)'!D364)))))</f>
        <v>SB5</v>
      </c>
      <c r="K364" s="25" t="str">
        <f>IF('query (2)'!D364="","",'query (2)'!D364)</f>
        <v>SB5</v>
      </c>
      <c r="L364" s="24" t="str">
        <f>IF($J364="UNKNOWN","",_xlfn.TEXTBEFORE($J364,{"0","1","2","3","4","5","6","7","8","9"," ","-","."},1,,,$J364))</f>
        <v>SB</v>
      </c>
      <c r="M364" s="24" t="str">
        <f>IF('query (2)'!I364&lt;&gt;"",TRIM(UPPER('query (2)'!I364)),IF($L364="","UNKNOWN",$L364))</f>
        <v>SB</v>
      </c>
      <c r="N364" s="24" t="str">
        <f>IF('query (2)'!I364&lt;&gt;"","SOURCE",IF($L364="","UNKNOWN","DERIVED"))</f>
        <v>SOURCE</v>
      </c>
      <c r="O364" s="24" t="str">
        <f>IF('query (2)'!E364="","NOT_SPECIFIED",TRIM(UPPER('query (2)'!E364)))</f>
        <v>GRINDING 2</v>
      </c>
      <c r="P364" s="24" t="str">
        <f>IF('query (2)'!F364="","",TRIM(UPPER('query (2)'!F364)))</f>
        <v>1215-SB5G</v>
      </c>
      <c r="Q364" s="24" t="str">
        <f>IF('query (2)'!G364="","UNKNOWN",IFERROR(INDEX(Cleaning_Rules!$B$38:$B$46,MATCH(TRIM(UPPER('query (2)'!G364)),Cleaning_Rules!$A$38:$A$46,0)),"UNKNOWN"))</f>
        <v>OTHER</v>
      </c>
      <c r="R364" s="24" t="str">
        <f>IF('query (2)'!H364="","",TRIM(UPPER('query (2)'!H364)))</f>
        <v>DEMAGNETIZING FOR OUTER RING M/C</v>
      </c>
      <c r="S364" s="25" t="str">
        <f>IF('query (2)'!H364="","",'query (2)'!H364)</f>
        <v>Demagnetizing  for  outer  ring  M/C</v>
      </c>
      <c r="T364" s="24" t="str">
        <f>IF('query (2)'!J364="","",TRIM(UPPER('query (2)'!J364)))</f>
        <v>A - DEMAGNETIZING</v>
      </c>
      <c r="U364" s="24" t="str">
        <f t="shared" si="38"/>
        <v/>
      </c>
      <c r="V364" s="24" t="str">
        <f>IF('query (2)'!K364="","NOT_SPECIFIED",IFERROR(INDEX(Cleaning_Rules!$B$32:$B$34,MATCH(TRIM(UPPER('query (2)'!K364)),Cleaning_Rules!$A$32:$A$34,0)),"UNKNOWN"))</f>
        <v>NOT_SPECIFIED</v>
      </c>
      <c r="W364" s="24" t="str">
        <f t="shared" si="39"/>
        <v>DE-534 | FACTORY2 | SB5 | SB | GRINDING 2 | 1215-SB5G | OTHER | DEMAGNETIZING FOR OUTER RING M/C | A - DEMAGNETIZING | NOT_SPECIFIED</v>
      </c>
      <c r="X364" s="24" t="str">
        <f t="shared" si="40"/>
        <v/>
      </c>
      <c r="Y364" s="24" t="str">
        <f t="shared" si="41"/>
        <v>MISSING_STATUS; CATEGORY_NOT_USEFUL</v>
      </c>
    </row>
    <row r="365" spans="1:25" x14ac:dyDescent="0.3">
      <c r="A365" s="24" t="str">
        <f t="shared" si="35"/>
        <v>GR-535#0364</v>
      </c>
      <c r="B365" s="24" t="str">
        <f>IF('query (2)'!B365="","",TRIM(UPPER('query (2)'!B365)))</f>
        <v>GR-535</v>
      </c>
      <c r="C365" s="25" t="str">
        <f>IF('query (2)'!B365="","",'query (2)'!B365)</f>
        <v>GR-535</v>
      </c>
      <c r="D365" s="24" t="str">
        <f t="shared" si="36"/>
        <v>GR</v>
      </c>
      <c r="E365" s="24">
        <f t="shared" si="37"/>
        <v>1</v>
      </c>
      <c r="F365" s="24">
        <f>IF('query (2)'!A365="","",IFERROR(VALUE('query (2)'!A365),""))</f>
        <v>383</v>
      </c>
      <c r="G365" s="24" t="str">
        <f>IF('query (2)'!C365="","UNKNOWN",IFERROR(INDEX(Cleaning_Rules!$B$15:$B$20,MATCH(TRIM(UPPER('query (2)'!C365)),Cleaning_Rules!$A$15:$A$20,0)),"UNKNOWN"))</f>
        <v>FACTORY2</v>
      </c>
      <c r="H365" s="25" t="str">
        <f>IF('query (2)'!C365="","",'query (2)'!C365)</f>
        <v>FACTORY2</v>
      </c>
      <c r="I365" s="24" t="str" cm="1">
        <f t="array" ref="I365">_xlfn.IFS($G365="UNKNOWN","UNKNOWN",OR($G365="FACTORY1",$G365="FACTORY2",$G365="FACTORY3"),"PLANT",TRUE,"SHARED")</f>
        <v>PLANT</v>
      </c>
      <c r="J365" s="24" t="str">
        <f>IF('query (2)'!D365="","UNKNOWN",IF(COUNTIF(Cleaning_Rules!$A$6:$A$11,TRIM('query (2)'!D365))&gt;0,"UNKNOWN",IFERROR(INDEX(Cleaning_Rules!$B$24:$B$28,MATCH(TRIM(UPPER('query (2)'!D365)),Cleaning_Rules!$A$24:$A$28,0)),TRIM(UPPER('query (2)'!D365)))))</f>
        <v>SB5</v>
      </c>
      <c r="K365" s="25" t="str">
        <f>IF('query (2)'!D365="","",'query (2)'!D365)</f>
        <v>SB5</v>
      </c>
      <c r="L365" s="24" t="str">
        <f>IF($J365="UNKNOWN","",_xlfn.TEXTBEFORE($J365,{"0","1","2","3","4","5","6","7","8","9"," ","-","."},1,,,$J365))</f>
        <v>SB</v>
      </c>
      <c r="M365" s="24" t="str">
        <f>IF('query (2)'!I365&lt;&gt;"",TRIM(UPPER('query (2)'!I365)),IF($L365="","UNKNOWN",$L365))</f>
        <v>SB</v>
      </c>
      <c r="N365" s="24" t="str">
        <f>IF('query (2)'!I365&lt;&gt;"","SOURCE",IF($L365="","UNKNOWN","DERIVED"))</f>
        <v>SOURCE</v>
      </c>
      <c r="O365" s="24" t="str">
        <f>IF('query (2)'!E365="","NOT_SPECIFIED",TRIM(UPPER('query (2)'!E365)))</f>
        <v>GRINDING 2</v>
      </c>
      <c r="P365" s="24" t="str">
        <f>IF('query (2)'!F365="","",TRIM(UPPER('query (2)'!F365)))</f>
        <v>1215-SB5G</v>
      </c>
      <c r="Q365" s="24" t="str">
        <f>IF('query (2)'!G365="","UNKNOWN",IFERROR(INDEX(Cleaning_Rules!$B$38:$B$46,MATCH(TRIM(UPPER('query (2)'!G365)),Cleaning_Rules!$A$38:$A$46,0)),"UNKNOWN"))</f>
        <v>OTHER</v>
      </c>
      <c r="R365" s="24" t="str">
        <f>IF('query (2)'!H365="","",TRIM(UPPER('query (2)'!H365)))</f>
        <v>OUTER RING RACEWAY SUPER FINISH M/C</v>
      </c>
      <c r="S365" s="25" t="str">
        <f>IF('query (2)'!H365="","",'query (2)'!H365)</f>
        <v>Outer ring raceway super finish M/C</v>
      </c>
      <c r="T365" s="24" t="str">
        <f>IF('query (2)'!J365="","",TRIM(UPPER('query (2)'!J365)))</f>
        <v>A - RACEWAY SUPER FINISH</v>
      </c>
      <c r="U365" s="24" t="str">
        <f t="shared" si="38"/>
        <v/>
      </c>
      <c r="V365" s="24" t="str">
        <f>IF('query (2)'!K365="","NOT_SPECIFIED",IFERROR(INDEX(Cleaning_Rules!$B$32:$B$34,MATCH(TRIM(UPPER('query (2)'!K365)),Cleaning_Rules!$A$32:$A$34,0)),"UNKNOWN"))</f>
        <v>NOT_SPECIFIED</v>
      </c>
      <c r="W365" s="24" t="str">
        <f t="shared" si="39"/>
        <v>GR-535 | FACTORY2 | SB5 | SB | GRINDING 2 | 1215-SB5G | OTHER | OUTER RING RACEWAY SUPER FINISH M/C | A - RACEWAY SUPER FINISH | NOT_SPECIFIED</v>
      </c>
      <c r="X365" s="24" t="str">
        <f t="shared" si="40"/>
        <v/>
      </c>
      <c r="Y365" s="24" t="str">
        <f t="shared" si="41"/>
        <v>MISSING_STATUS; CATEGORY_NOT_USEFUL</v>
      </c>
    </row>
    <row r="366" spans="1:25" x14ac:dyDescent="0.3">
      <c r="A366" s="24" t="str">
        <f t="shared" si="35"/>
        <v>WA-536#0365</v>
      </c>
      <c r="B366" s="24" t="str">
        <f>IF('query (2)'!B366="","",TRIM(UPPER('query (2)'!B366)))</f>
        <v>WA-536</v>
      </c>
      <c r="C366" s="25" t="str">
        <f>IF('query (2)'!B366="","",'query (2)'!B366)</f>
        <v>WA-536</v>
      </c>
      <c r="D366" s="24" t="str">
        <f t="shared" si="36"/>
        <v>WA</v>
      </c>
      <c r="E366" s="24">
        <f t="shared" si="37"/>
        <v>1</v>
      </c>
      <c r="F366" s="24">
        <f>IF('query (2)'!A366="","",IFERROR(VALUE('query (2)'!A366),""))</f>
        <v>384</v>
      </c>
      <c r="G366" s="24" t="str">
        <f>IF('query (2)'!C366="","UNKNOWN",IFERROR(INDEX(Cleaning_Rules!$B$15:$B$20,MATCH(TRIM(UPPER('query (2)'!C366)),Cleaning_Rules!$A$15:$A$20,0)),"UNKNOWN"))</f>
        <v>FACTORY2</v>
      </c>
      <c r="H366" s="25" t="str">
        <f>IF('query (2)'!C366="","",'query (2)'!C366)</f>
        <v>FACTORY2</v>
      </c>
      <c r="I366" s="24" t="str" cm="1">
        <f t="array" ref="I366">_xlfn.IFS($G366="UNKNOWN","UNKNOWN",OR($G366="FACTORY1",$G366="FACTORY2",$G366="FACTORY3"),"PLANT",TRUE,"SHARED")</f>
        <v>PLANT</v>
      </c>
      <c r="J366" s="24" t="str">
        <f>IF('query (2)'!D366="","UNKNOWN",IF(COUNTIF(Cleaning_Rules!$A$6:$A$11,TRIM('query (2)'!D366))&gt;0,"UNKNOWN",IFERROR(INDEX(Cleaning_Rules!$B$24:$B$28,MATCH(TRIM(UPPER('query (2)'!D366)),Cleaning_Rules!$A$24:$A$28,0)),TRIM(UPPER('query (2)'!D366)))))</f>
        <v>SB5</v>
      </c>
      <c r="K366" s="25" t="str">
        <f>IF('query (2)'!D366="","",'query (2)'!D366)</f>
        <v>SB5</v>
      </c>
      <c r="L366" s="24" t="str">
        <f>IF($J366="UNKNOWN","",_xlfn.TEXTBEFORE($J366,{"0","1","2","3","4","5","6","7","8","9"," ","-","."},1,,,$J366))</f>
        <v>SB</v>
      </c>
      <c r="M366" s="24" t="str">
        <f>IF('query (2)'!I366&lt;&gt;"",TRIM(UPPER('query (2)'!I366)),IF($L366="","UNKNOWN",$L366))</f>
        <v>SB</v>
      </c>
      <c r="N366" s="24" t="str">
        <f>IF('query (2)'!I366&lt;&gt;"","SOURCE",IF($L366="","UNKNOWN","DERIVED"))</f>
        <v>SOURCE</v>
      </c>
      <c r="O366" s="24" t="str">
        <f>IF('query (2)'!E366="","NOT_SPECIFIED",TRIM(UPPER('query (2)'!E366)))</f>
        <v>GRINDING 2</v>
      </c>
      <c r="P366" s="24" t="str">
        <f>IF('query (2)'!F366="","",TRIM(UPPER('query (2)'!F366)))</f>
        <v>1215-SB5G</v>
      </c>
      <c r="Q366" s="24" t="str">
        <f>IF('query (2)'!G366="","UNKNOWN",IFERROR(INDEX(Cleaning_Rules!$B$38:$B$46,MATCH(TRIM(UPPER('query (2)'!G366)),Cleaning_Rules!$A$38:$A$46,0)),"UNKNOWN"))</f>
        <v>OTHER</v>
      </c>
      <c r="R366" s="24" t="str">
        <f>IF('query (2)'!H366="","",TRIM(UPPER('query (2)'!H366)))</f>
        <v>OUTER &amp; INNER RING PART WASH EQUIPMENT M/C</v>
      </c>
      <c r="S366" s="25" t="str">
        <f>IF('query (2)'!H366="","",'query (2)'!H366)</f>
        <v>Outer &amp; Inner  ring part wash equipment  M/C</v>
      </c>
      <c r="T366" s="24" t="str">
        <f>IF('query (2)'!J366="","",TRIM(UPPER('query (2)'!J366)))</f>
        <v>A &amp; B - PART WASH EQUIPMENT</v>
      </c>
      <c r="U366" s="24" t="str">
        <f t="shared" si="38"/>
        <v/>
      </c>
      <c r="V366" s="24" t="str">
        <f>IF('query (2)'!K366="","NOT_SPECIFIED",IFERROR(INDEX(Cleaning_Rules!$B$32:$B$34,MATCH(TRIM(UPPER('query (2)'!K366)),Cleaning_Rules!$A$32:$A$34,0)),"UNKNOWN"))</f>
        <v>NOT_SPECIFIED</v>
      </c>
      <c r="W366" s="24" t="str">
        <f t="shared" si="39"/>
        <v>WA-536 | FACTORY2 | SB5 | SB | GRINDING 2 | 1215-SB5G | OTHER | OUTER &amp; INNER RING PART WASH EQUIPMENT M/C | A &amp; B - PART WASH EQUIPMENT | NOT_SPECIFIED</v>
      </c>
      <c r="X366" s="24" t="str">
        <f t="shared" si="40"/>
        <v/>
      </c>
      <c r="Y366" s="24" t="str">
        <f t="shared" si="41"/>
        <v>MISSING_STATUS; CATEGORY_NOT_USEFUL</v>
      </c>
    </row>
    <row r="367" spans="1:25" x14ac:dyDescent="0.3">
      <c r="A367" s="24" t="str">
        <f t="shared" si="35"/>
        <v>AS-539#0366</v>
      </c>
      <c r="B367" s="24" t="str">
        <f>IF('query (2)'!B367="","",TRIM(UPPER('query (2)'!B367)))</f>
        <v>AS-539</v>
      </c>
      <c r="C367" s="25" t="str">
        <f>IF('query (2)'!B367="","",'query (2)'!B367)</f>
        <v>AS-539</v>
      </c>
      <c r="D367" s="24" t="str">
        <f t="shared" si="36"/>
        <v>AS</v>
      </c>
      <c r="E367" s="24">
        <f t="shared" si="37"/>
        <v>1</v>
      </c>
      <c r="F367" s="24">
        <f>IF('query (2)'!A367="","",IFERROR(VALUE('query (2)'!A367),""))</f>
        <v>385</v>
      </c>
      <c r="G367" s="24" t="str">
        <f>IF('query (2)'!C367="","UNKNOWN",IFERROR(INDEX(Cleaning_Rules!$B$15:$B$20,MATCH(TRIM(UPPER('query (2)'!C367)),Cleaning_Rules!$A$15:$A$20,0)),"UNKNOWN"))</f>
        <v>FACTORY2</v>
      </c>
      <c r="H367" s="25" t="str">
        <f>IF('query (2)'!C367="","",'query (2)'!C367)</f>
        <v>FACTORY2</v>
      </c>
      <c r="I367" s="24" t="str" cm="1">
        <f t="array" ref="I367">_xlfn.IFS($G367="UNKNOWN","UNKNOWN",OR($G367="FACTORY1",$G367="FACTORY2",$G367="FACTORY3"),"PLANT",TRUE,"SHARED")</f>
        <v>PLANT</v>
      </c>
      <c r="J367" s="24" t="str">
        <f>IF('query (2)'!D367="","UNKNOWN",IF(COUNTIF(Cleaning_Rules!$A$6:$A$11,TRIM('query (2)'!D367))&gt;0,"UNKNOWN",IFERROR(INDEX(Cleaning_Rules!$B$24:$B$28,MATCH(TRIM(UPPER('query (2)'!D367)),Cleaning_Rules!$A$24:$A$28,0)),TRIM(UPPER('query (2)'!D367)))))</f>
        <v>SB5</v>
      </c>
      <c r="K367" s="25" t="str">
        <f>IF('query (2)'!D367="","",'query (2)'!D367)</f>
        <v>SB5</v>
      </c>
      <c r="L367" s="24" t="str">
        <f>IF($J367="UNKNOWN","",_xlfn.TEXTBEFORE($J367,{"0","1","2","3","4","5","6","7","8","9"," ","-","."},1,,,$J367))</f>
        <v>SB</v>
      </c>
      <c r="M367" s="24" t="str">
        <f>IF('query (2)'!I367&lt;&gt;"",TRIM(UPPER('query (2)'!I367)),IF($L367="","UNKNOWN",$L367))</f>
        <v>SB</v>
      </c>
      <c r="N367" s="24" t="str">
        <f>IF('query (2)'!I367&lt;&gt;"","SOURCE",IF($L367="","UNKNOWN","DERIVED"))</f>
        <v>SOURCE</v>
      </c>
      <c r="O367" s="24" t="str">
        <f>IF('query (2)'!E367="","NOT_SPECIFIED",TRIM(UPPER('query (2)'!E367)))</f>
        <v>ASSEMBLY</v>
      </c>
      <c r="P367" s="24" t="str">
        <f>IF('query (2)'!F367="","",TRIM(UPPER('query (2)'!F367)))</f>
        <v>1216-SB5AI</v>
      </c>
      <c r="Q367" s="24" t="str">
        <f>IF('query (2)'!G367="","UNKNOWN",IFERROR(INDEX(Cleaning_Rules!$B$38:$B$46,MATCH(TRIM(UPPER('query (2)'!G367)),Cleaning_Rules!$A$38:$A$46,0)),"UNKNOWN"))</f>
        <v>OTHER</v>
      </c>
      <c r="R367" s="24" t="str">
        <f>IF('query (2)'!H367="","",TRIM(UPPER('query (2)'!H367)))</f>
        <v>RIVET PRESSING M/C</v>
      </c>
      <c r="S367" s="25" t="str">
        <f>IF('query (2)'!H367="","",'query (2)'!H367)</f>
        <v>Rivet  pressing  M/C</v>
      </c>
      <c r="T367" s="24" t="str">
        <f>IF('query (2)'!J367="","",TRIM(UPPER('query (2)'!J367)))</f>
        <v>RIVET PRESSING</v>
      </c>
      <c r="U367" s="24" t="str">
        <f t="shared" si="38"/>
        <v/>
      </c>
      <c r="V367" s="24" t="str">
        <f>IF('query (2)'!K367="","NOT_SPECIFIED",IFERROR(INDEX(Cleaning_Rules!$B$32:$B$34,MATCH(TRIM(UPPER('query (2)'!K367)),Cleaning_Rules!$A$32:$A$34,0)),"UNKNOWN"))</f>
        <v>NOT_SPECIFIED</v>
      </c>
      <c r="W367" s="24" t="str">
        <f t="shared" si="39"/>
        <v>AS-539 | FACTORY2 | SB5 | SB | ASSEMBLY | 1216-SB5AI | OTHER | RIVET PRESSING M/C | RIVET PRESSING | NOT_SPECIFIED</v>
      </c>
      <c r="X367" s="24" t="str">
        <f t="shared" si="40"/>
        <v/>
      </c>
      <c r="Y367" s="24" t="str">
        <f t="shared" si="41"/>
        <v>MISSING_STATUS; CATEGORY_NOT_USEFUL</v>
      </c>
    </row>
    <row r="368" spans="1:25" x14ac:dyDescent="0.3">
      <c r="A368" s="24" t="str">
        <f t="shared" si="35"/>
        <v>WA-540#0367</v>
      </c>
      <c r="B368" s="24" t="str">
        <f>IF('query (2)'!B368="","",TRIM(UPPER('query (2)'!B368)))</f>
        <v>WA-540</v>
      </c>
      <c r="C368" s="25" t="str">
        <f>IF('query (2)'!B368="","",'query (2)'!B368)</f>
        <v>WA-540</v>
      </c>
      <c r="D368" s="24" t="str">
        <f t="shared" si="36"/>
        <v>WA</v>
      </c>
      <c r="E368" s="24">
        <f t="shared" si="37"/>
        <v>1</v>
      </c>
      <c r="F368" s="24">
        <f>IF('query (2)'!A368="","",IFERROR(VALUE('query (2)'!A368),""))</f>
        <v>386</v>
      </c>
      <c r="G368" s="24" t="str">
        <f>IF('query (2)'!C368="","UNKNOWN",IFERROR(INDEX(Cleaning_Rules!$B$15:$B$20,MATCH(TRIM(UPPER('query (2)'!C368)),Cleaning_Rules!$A$15:$A$20,0)),"UNKNOWN"))</f>
        <v>FACTORY2</v>
      </c>
      <c r="H368" s="25" t="str">
        <f>IF('query (2)'!C368="","",'query (2)'!C368)</f>
        <v>FACTORY2</v>
      </c>
      <c r="I368" s="24" t="str" cm="1">
        <f t="array" ref="I368">_xlfn.IFS($G368="UNKNOWN","UNKNOWN",OR($G368="FACTORY1",$G368="FACTORY2",$G368="FACTORY3"),"PLANT",TRUE,"SHARED")</f>
        <v>PLANT</v>
      </c>
      <c r="J368" s="24" t="str">
        <f>IF('query (2)'!D368="","UNKNOWN",IF(COUNTIF(Cleaning_Rules!$A$6:$A$11,TRIM('query (2)'!D368))&gt;0,"UNKNOWN",IFERROR(INDEX(Cleaning_Rules!$B$24:$B$28,MATCH(TRIM(UPPER('query (2)'!D368)),Cleaning_Rules!$A$24:$A$28,0)),TRIM(UPPER('query (2)'!D368)))))</f>
        <v>SB5</v>
      </c>
      <c r="K368" s="25" t="str">
        <f>IF('query (2)'!D368="","",'query (2)'!D368)</f>
        <v>SB5</v>
      </c>
      <c r="L368" s="24" t="str">
        <f>IF($J368="UNKNOWN","",_xlfn.TEXTBEFORE($J368,{"0","1","2","3","4","5","6","7","8","9"," ","-","."},1,,,$J368))</f>
        <v>SB</v>
      </c>
      <c r="M368" s="24" t="str">
        <f>IF('query (2)'!I368&lt;&gt;"",TRIM(UPPER('query (2)'!I368)),IF($L368="","UNKNOWN",$L368))</f>
        <v>SB</v>
      </c>
      <c r="N368" s="24" t="str">
        <f>IF('query (2)'!I368&lt;&gt;"","SOURCE",IF($L368="","UNKNOWN","DERIVED"))</f>
        <v>SOURCE</v>
      </c>
      <c r="O368" s="24" t="str">
        <f>IF('query (2)'!E368="","NOT_SPECIFIED",TRIM(UPPER('query (2)'!E368)))</f>
        <v>ASSEMBLY</v>
      </c>
      <c r="P368" s="24" t="str">
        <f>IF('query (2)'!F368="","",TRIM(UPPER('query (2)'!F368)))</f>
        <v>1216-SB5AI</v>
      </c>
      <c r="Q368" s="24" t="str">
        <f>IF('query (2)'!G368="","UNKNOWN",IFERROR(INDEX(Cleaning_Rules!$B$38:$B$46,MATCH(TRIM(UPPER('query (2)'!G368)),Cleaning_Rules!$A$38:$A$46,0)),"UNKNOWN"))</f>
        <v>OTHER</v>
      </c>
      <c r="R368" s="24" t="str">
        <f>IF('query (2)'!H368="","",TRIM(UPPER('query (2)'!H368)))</f>
        <v>FINISH WASH EQUIPMENT M/C</v>
      </c>
      <c r="S368" s="25" t="str">
        <f>IF('query (2)'!H368="","",'query (2)'!H368)</f>
        <v>Finish  wash  equipment  M/C</v>
      </c>
      <c r="T368" s="24" t="str">
        <f>IF('query (2)'!J368="","",TRIM(UPPER('query (2)'!J368)))</f>
        <v>WASHING FINISH</v>
      </c>
      <c r="U368" s="24" t="str">
        <f t="shared" si="38"/>
        <v/>
      </c>
      <c r="V368" s="24" t="str">
        <f>IF('query (2)'!K368="","NOT_SPECIFIED",IFERROR(INDEX(Cleaning_Rules!$B$32:$B$34,MATCH(TRIM(UPPER('query (2)'!K368)),Cleaning_Rules!$A$32:$A$34,0)),"UNKNOWN"))</f>
        <v>NOT_SPECIFIED</v>
      </c>
      <c r="W368" s="24" t="str">
        <f t="shared" si="39"/>
        <v>WA-540 | FACTORY2 | SB5 | SB | ASSEMBLY | 1216-SB5AI | OTHER | FINISH WASH EQUIPMENT M/C | WASHING FINISH | NOT_SPECIFIED</v>
      </c>
      <c r="X368" s="24" t="str">
        <f t="shared" si="40"/>
        <v/>
      </c>
      <c r="Y368" s="24" t="str">
        <f t="shared" si="41"/>
        <v>MISSING_STATUS; CATEGORY_NOT_USEFUL</v>
      </c>
    </row>
    <row r="369" spans="1:25" x14ac:dyDescent="0.3">
      <c r="A369" s="24" t="str">
        <f t="shared" si="35"/>
        <v>AS-541#0368</v>
      </c>
      <c r="B369" s="24" t="str">
        <f>IF('query (2)'!B369="","",TRIM(UPPER('query (2)'!B369)))</f>
        <v>AS-541</v>
      </c>
      <c r="C369" s="25" t="str">
        <f>IF('query (2)'!B369="","",'query (2)'!B369)</f>
        <v>AS-541</v>
      </c>
      <c r="D369" s="24" t="str">
        <f t="shared" si="36"/>
        <v>AS</v>
      </c>
      <c r="E369" s="24">
        <f t="shared" si="37"/>
        <v>1</v>
      </c>
      <c r="F369" s="24">
        <f>IF('query (2)'!A369="","",IFERROR(VALUE('query (2)'!A369),""))</f>
        <v>387</v>
      </c>
      <c r="G369" s="24" t="str">
        <f>IF('query (2)'!C369="","UNKNOWN",IFERROR(INDEX(Cleaning_Rules!$B$15:$B$20,MATCH(TRIM(UPPER('query (2)'!C369)),Cleaning_Rules!$A$15:$A$20,0)),"UNKNOWN"))</f>
        <v>FACTORY2</v>
      </c>
      <c r="H369" s="25" t="str">
        <f>IF('query (2)'!C369="","",'query (2)'!C369)</f>
        <v>FACTORY2</v>
      </c>
      <c r="I369" s="24" t="str" cm="1">
        <f t="array" ref="I369">_xlfn.IFS($G369="UNKNOWN","UNKNOWN",OR($G369="FACTORY1",$G369="FACTORY2",$G369="FACTORY3"),"PLANT",TRUE,"SHARED")</f>
        <v>PLANT</v>
      </c>
      <c r="J369" s="24" t="str">
        <f>IF('query (2)'!D369="","UNKNOWN",IF(COUNTIF(Cleaning_Rules!$A$6:$A$11,TRIM('query (2)'!D369))&gt;0,"UNKNOWN",IFERROR(INDEX(Cleaning_Rules!$B$24:$B$28,MATCH(TRIM(UPPER('query (2)'!D369)),Cleaning_Rules!$A$24:$A$28,0)),TRIM(UPPER('query (2)'!D369)))))</f>
        <v>SB5</v>
      </c>
      <c r="K369" s="25" t="str">
        <f>IF('query (2)'!D369="","",'query (2)'!D369)</f>
        <v>SB5</v>
      </c>
      <c r="L369" s="24" t="str">
        <f>IF($J369="UNKNOWN","",_xlfn.TEXTBEFORE($J369,{"0","1","2","3","4","5","6","7","8","9"," ","-","."},1,,,$J369))</f>
        <v>SB</v>
      </c>
      <c r="M369" s="24" t="str">
        <f>IF('query (2)'!I369&lt;&gt;"",TRIM(UPPER('query (2)'!I369)),IF($L369="","UNKNOWN",$L369))</f>
        <v>SB</v>
      </c>
      <c r="N369" s="24" t="str">
        <f>IF('query (2)'!I369&lt;&gt;"","SOURCE",IF($L369="","UNKNOWN","DERIVED"))</f>
        <v>SOURCE</v>
      </c>
      <c r="O369" s="24" t="str">
        <f>IF('query (2)'!E369="","NOT_SPECIFIED",TRIM(UPPER('query (2)'!E369)))</f>
        <v>ASSEMBLY</v>
      </c>
      <c r="P369" s="24" t="str">
        <f>IF('query (2)'!F369="","",TRIM(UPPER('query (2)'!F369)))</f>
        <v>1216-SB5AI</v>
      </c>
      <c r="Q369" s="24" t="str">
        <f>IF('query (2)'!G369="","UNKNOWN",IFERROR(INDEX(Cleaning_Rules!$B$38:$B$46,MATCH(TRIM(UPPER('query (2)'!G369)),Cleaning_Rules!$A$38:$A$46,0)),"UNKNOWN"))</f>
        <v>OTHER</v>
      </c>
      <c r="R369" s="24" t="str">
        <f>IF('query (2)'!H369="","",TRIM(UPPER('query (2)'!H369)))</f>
        <v>GREASE INJECTION M/C</v>
      </c>
      <c r="S369" s="25" t="str">
        <f>IF('query (2)'!H369="","",'query (2)'!H369)</f>
        <v>Grease  injection  M/C</v>
      </c>
      <c r="T369" s="24" t="str">
        <f>IF('query (2)'!J369="","",TRIM(UPPER('query (2)'!J369)))</f>
        <v>GREASE INJECTION</v>
      </c>
      <c r="U369" s="24" t="str">
        <f t="shared" si="38"/>
        <v/>
      </c>
      <c r="V369" s="24" t="str">
        <f>IF('query (2)'!K369="","NOT_SPECIFIED",IFERROR(INDEX(Cleaning_Rules!$B$32:$B$34,MATCH(TRIM(UPPER('query (2)'!K369)),Cleaning_Rules!$A$32:$A$34,0)),"UNKNOWN"))</f>
        <v>NOT_SPECIFIED</v>
      </c>
      <c r="W369" s="24" t="str">
        <f t="shared" si="39"/>
        <v>AS-541 | FACTORY2 | SB5 | SB | ASSEMBLY | 1216-SB5AI | OTHER | GREASE INJECTION M/C | GREASE INJECTION | NOT_SPECIFIED</v>
      </c>
      <c r="X369" s="24" t="str">
        <f t="shared" si="40"/>
        <v/>
      </c>
      <c r="Y369" s="24" t="str">
        <f t="shared" si="41"/>
        <v>MISSING_STATUS; CATEGORY_NOT_USEFUL</v>
      </c>
    </row>
    <row r="370" spans="1:25" x14ac:dyDescent="0.3">
      <c r="A370" s="24" t="str">
        <f t="shared" si="35"/>
        <v>AS-542#0369</v>
      </c>
      <c r="B370" s="24" t="str">
        <f>IF('query (2)'!B370="","",TRIM(UPPER('query (2)'!B370)))</f>
        <v>AS-542</v>
      </c>
      <c r="C370" s="25" t="str">
        <f>IF('query (2)'!B370="","",'query (2)'!B370)</f>
        <v>AS-542</v>
      </c>
      <c r="D370" s="24" t="str">
        <f t="shared" si="36"/>
        <v>AS</v>
      </c>
      <c r="E370" s="24">
        <f t="shared" si="37"/>
        <v>1</v>
      </c>
      <c r="F370" s="24">
        <f>IF('query (2)'!A370="","",IFERROR(VALUE('query (2)'!A370),""))</f>
        <v>388</v>
      </c>
      <c r="G370" s="24" t="str">
        <f>IF('query (2)'!C370="","UNKNOWN",IFERROR(INDEX(Cleaning_Rules!$B$15:$B$20,MATCH(TRIM(UPPER('query (2)'!C370)),Cleaning_Rules!$A$15:$A$20,0)),"UNKNOWN"))</f>
        <v>FACTORY2</v>
      </c>
      <c r="H370" s="25" t="str">
        <f>IF('query (2)'!C370="","",'query (2)'!C370)</f>
        <v>FACTORY2</v>
      </c>
      <c r="I370" s="24" t="str" cm="1">
        <f t="array" ref="I370">_xlfn.IFS($G370="UNKNOWN","UNKNOWN",OR($G370="FACTORY1",$G370="FACTORY2",$G370="FACTORY3"),"PLANT",TRUE,"SHARED")</f>
        <v>PLANT</v>
      </c>
      <c r="J370" s="24" t="str">
        <f>IF('query (2)'!D370="","UNKNOWN",IF(COUNTIF(Cleaning_Rules!$A$6:$A$11,TRIM('query (2)'!D370))&gt;0,"UNKNOWN",IFERROR(INDEX(Cleaning_Rules!$B$24:$B$28,MATCH(TRIM(UPPER('query (2)'!D370)),Cleaning_Rules!$A$24:$A$28,0)),TRIM(UPPER('query (2)'!D370)))))</f>
        <v>SB5</v>
      </c>
      <c r="K370" s="25" t="str">
        <f>IF('query (2)'!D370="","",'query (2)'!D370)</f>
        <v>SB5</v>
      </c>
      <c r="L370" s="24" t="str">
        <f>IF($J370="UNKNOWN","",_xlfn.TEXTBEFORE($J370,{"0","1","2","3","4","5","6","7","8","9"," ","-","."},1,,,$J370))</f>
        <v>SB</v>
      </c>
      <c r="M370" s="24" t="str">
        <f>IF('query (2)'!I370&lt;&gt;"",TRIM(UPPER('query (2)'!I370)),IF($L370="","UNKNOWN",$L370))</f>
        <v>SB</v>
      </c>
      <c r="N370" s="24" t="str">
        <f>IF('query (2)'!I370&lt;&gt;"","SOURCE",IF($L370="","UNKNOWN","DERIVED"))</f>
        <v>SOURCE</v>
      </c>
      <c r="O370" s="24" t="str">
        <f>IF('query (2)'!E370="","NOT_SPECIFIED",TRIM(UPPER('query (2)'!E370)))</f>
        <v>ASSEMBLY</v>
      </c>
      <c r="P370" s="24" t="str">
        <f>IF('query (2)'!F370="","",TRIM(UPPER('query (2)'!F370)))</f>
        <v>1216-SB5AI</v>
      </c>
      <c r="Q370" s="24" t="str">
        <f>IF('query (2)'!G370="","UNKNOWN",IFERROR(INDEX(Cleaning_Rules!$B$38:$B$46,MATCH(TRIM(UPPER('query (2)'!G370)),Cleaning_Rules!$A$38:$A$46,0)),"UNKNOWN"))</f>
        <v>OTHER</v>
      </c>
      <c r="R370" s="24" t="str">
        <f>IF('query (2)'!H370="","",TRIM(UPPER('query (2)'!H370)))</f>
        <v>SEAL PRESS NO.1 M/C</v>
      </c>
      <c r="S370" s="25" t="str">
        <f>IF('query (2)'!H370="","",'query (2)'!H370)</f>
        <v>Seal  press  no.1  M/C</v>
      </c>
      <c r="T370" s="24" t="str">
        <f>IF('query (2)'!J370="","",TRIM(UPPER('query (2)'!J370)))</f>
        <v>SEAL PRESSING NO.1</v>
      </c>
      <c r="U370" s="24" t="str">
        <f t="shared" si="38"/>
        <v/>
      </c>
      <c r="V370" s="24" t="str">
        <f>IF('query (2)'!K370="","NOT_SPECIFIED",IFERROR(INDEX(Cleaning_Rules!$B$32:$B$34,MATCH(TRIM(UPPER('query (2)'!K370)),Cleaning_Rules!$A$32:$A$34,0)),"UNKNOWN"))</f>
        <v>NOT_SPECIFIED</v>
      </c>
      <c r="W370" s="24" t="str">
        <f t="shared" si="39"/>
        <v>AS-542 | FACTORY2 | SB5 | SB | ASSEMBLY | 1216-SB5AI | OTHER | SEAL PRESS NO.1 M/C | SEAL PRESSING NO.1 | NOT_SPECIFIED</v>
      </c>
      <c r="X370" s="24" t="str">
        <f t="shared" si="40"/>
        <v/>
      </c>
      <c r="Y370" s="24" t="str">
        <f t="shared" si="41"/>
        <v>MISSING_STATUS; CATEGORY_NOT_USEFUL</v>
      </c>
    </row>
    <row r="371" spans="1:25" x14ac:dyDescent="0.3">
      <c r="A371" s="24" t="str">
        <f t="shared" si="35"/>
        <v>AS-543#0370</v>
      </c>
      <c r="B371" s="24" t="str">
        <f>IF('query (2)'!B371="","",TRIM(UPPER('query (2)'!B371)))</f>
        <v>AS-543</v>
      </c>
      <c r="C371" s="25" t="str">
        <f>IF('query (2)'!B371="","",'query (2)'!B371)</f>
        <v>AS-543</v>
      </c>
      <c r="D371" s="24" t="str">
        <f t="shared" si="36"/>
        <v>AS</v>
      </c>
      <c r="E371" s="24">
        <f t="shared" si="37"/>
        <v>1</v>
      </c>
      <c r="F371" s="24">
        <f>IF('query (2)'!A371="","",IFERROR(VALUE('query (2)'!A371),""))</f>
        <v>389</v>
      </c>
      <c r="G371" s="24" t="str">
        <f>IF('query (2)'!C371="","UNKNOWN",IFERROR(INDEX(Cleaning_Rules!$B$15:$B$20,MATCH(TRIM(UPPER('query (2)'!C371)),Cleaning_Rules!$A$15:$A$20,0)),"UNKNOWN"))</f>
        <v>FACTORY2</v>
      </c>
      <c r="H371" s="25" t="str">
        <f>IF('query (2)'!C371="","",'query (2)'!C371)</f>
        <v>FACTORY2</v>
      </c>
      <c r="I371" s="24" t="str" cm="1">
        <f t="array" ref="I371">_xlfn.IFS($G371="UNKNOWN","UNKNOWN",OR($G371="FACTORY1",$G371="FACTORY2",$G371="FACTORY3"),"PLANT",TRUE,"SHARED")</f>
        <v>PLANT</v>
      </c>
      <c r="J371" s="24" t="str">
        <f>IF('query (2)'!D371="","UNKNOWN",IF(COUNTIF(Cleaning_Rules!$A$6:$A$11,TRIM('query (2)'!D371))&gt;0,"UNKNOWN",IFERROR(INDEX(Cleaning_Rules!$B$24:$B$28,MATCH(TRIM(UPPER('query (2)'!D371)),Cleaning_Rules!$A$24:$A$28,0)),TRIM(UPPER('query (2)'!D371)))))</f>
        <v>SB5</v>
      </c>
      <c r="K371" s="25" t="str">
        <f>IF('query (2)'!D371="","",'query (2)'!D371)</f>
        <v>SB5</v>
      </c>
      <c r="L371" s="24" t="str">
        <f>IF($J371="UNKNOWN","",_xlfn.TEXTBEFORE($J371,{"0","1","2","3","4","5","6","7","8","9"," ","-","."},1,,,$J371))</f>
        <v>SB</v>
      </c>
      <c r="M371" s="24" t="str">
        <f>IF('query (2)'!I371&lt;&gt;"",TRIM(UPPER('query (2)'!I371)),IF($L371="","UNKNOWN",$L371))</f>
        <v>SB</v>
      </c>
      <c r="N371" s="24" t="str">
        <f>IF('query (2)'!I371&lt;&gt;"","SOURCE",IF($L371="","UNKNOWN","DERIVED"))</f>
        <v>SOURCE</v>
      </c>
      <c r="O371" s="24" t="str">
        <f>IF('query (2)'!E371="","NOT_SPECIFIED",TRIM(UPPER('query (2)'!E371)))</f>
        <v>ASSEMBLY</v>
      </c>
      <c r="P371" s="24" t="str">
        <f>IF('query (2)'!F371="","",TRIM(UPPER('query (2)'!F371)))</f>
        <v>1216-SB5AI</v>
      </c>
      <c r="Q371" s="24" t="str">
        <f>IF('query (2)'!G371="","UNKNOWN",IFERROR(INDEX(Cleaning_Rules!$B$38:$B$46,MATCH(TRIM(UPPER('query (2)'!G371)),Cleaning_Rules!$A$38:$A$46,0)),"UNKNOWN"))</f>
        <v>OTHER</v>
      </c>
      <c r="R371" s="24" t="str">
        <f>IF('query (2)'!H371="","",TRIM(UPPER('query (2)'!H371)))</f>
        <v>SEAL PRESS NO.2 M/C</v>
      </c>
      <c r="S371" s="25" t="str">
        <f>IF('query (2)'!H371="","",'query (2)'!H371)</f>
        <v>Seal  press  no.2  M/C</v>
      </c>
      <c r="T371" s="24" t="str">
        <f>IF('query (2)'!J371="","",TRIM(UPPER('query (2)'!J371)))</f>
        <v>SEAL PRESSING NO.2</v>
      </c>
      <c r="U371" s="24" t="str">
        <f t="shared" si="38"/>
        <v/>
      </c>
      <c r="V371" s="24" t="str">
        <f>IF('query (2)'!K371="","NOT_SPECIFIED",IFERROR(INDEX(Cleaning_Rules!$B$32:$B$34,MATCH(TRIM(UPPER('query (2)'!K371)),Cleaning_Rules!$A$32:$A$34,0)),"UNKNOWN"))</f>
        <v>NOT_SPECIFIED</v>
      </c>
      <c r="W371" s="24" t="str">
        <f t="shared" si="39"/>
        <v>AS-543 | FACTORY2 | SB5 | SB | ASSEMBLY | 1216-SB5AI | OTHER | SEAL PRESS NO.2 M/C | SEAL PRESSING NO.2 | NOT_SPECIFIED</v>
      </c>
      <c r="X371" s="24" t="str">
        <f t="shared" si="40"/>
        <v/>
      </c>
      <c r="Y371" s="24" t="str">
        <f t="shared" si="41"/>
        <v>MISSING_STATUS; CATEGORY_NOT_USEFUL</v>
      </c>
    </row>
    <row r="372" spans="1:25" x14ac:dyDescent="0.3">
      <c r="A372" s="24" t="str">
        <f t="shared" si="35"/>
        <v>CH-544#0371</v>
      </c>
      <c r="B372" s="24" t="str">
        <f>IF('query (2)'!B372="","",TRIM(UPPER('query (2)'!B372)))</f>
        <v>CH-544</v>
      </c>
      <c r="C372" s="25" t="str">
        <f>IF('query (2)'!B372="","",'query (2)'!B372)</f>
        <v>CH-544</v>
      </c>
      <c r="D372" s="24" t="str">
        <f t="shared" si="36"/>
        <v>CH</v>
      </c>
      <c r="E372" s="24">
        <f t="shared" si="37"/>
        <v>1</v>
      </c>
      <c r="F372" s="24">
        <f>IF('query (2)'!A372="","",IFERROR(VALUE('query (2)'!A372),""))</f>
        <v>390</v>
      </c>
      <c r="G372" s="24" t="str">
        <f>IF('query (2)'!C372="","UNKNOWN",IFERROR(INDEX(Cleaning_Rules!$B$15:$B$20,MATCH(TRIM(UPPER('query (2)'!C372)),Cleaning_Rules!$A$15:$A$20,0)),"UNKNOWN"))</f>
        <v>FACTORY2</v>
      </c>
      <c r="H372" s="25" t="str">
        <f>IF('query (2)'!C372="","",'query (2)'!C372)</f>
        <v>FACTORY2</v>
      </c>
      <c r="I372" s="24" t="str" cm="1">
        <f t="array" ref="I372">_xlfn.IFS($G372="UNKNOWN","UNKNOWN",OR($G372="FACTORY1",$G372="FACTORY2",$G372="FACTORY3"),"PLANT",TRUE,"SHARED")</f>
        <v>PLANT</v>
      </c>
      <c r="J372" s="24" t="str">
        <f>IF('query (2)'!D372="","UNKNOWN",IF(COUNTIF(Cleaning_Rules!$A$6:$A$11,TRIM('query (2)'!D372))&gt;0,"UNKNOWN",IFERROR(INDEX(Cleaning_Rules!$B$24:$B$28,MATCH(TRIM(UPPER('query (2)'!D372)),Cleaning_Rules!$A$24:$A$28,0)),TRIM(UPPER('query (2)'!D372)))))</f>
        <v>SB5</v>
      </c>
      <c r="K372" s="25" t="str">
        <f>IF('query (2)'!D372="","",'query (2)'!D372)</f>
        <v>SB5</v>
      </c>
      <c r="L372" s="24" t="str">
        <f>IF($J372="UNKNOWN","",_xlfn.TEXTBEFORE($J372,{"0","1","2","3","4","5","6","7","8","9"," ","-","."},1,,,$J372))</f>
        <v>SB</v>
      </c>
      <c r="M372" s="24" t="str">
        <f>IF('query (2)'!I372&lt;&gt;"",TRIM(UPPER('query (2)'!I372)),IF($L372="","UNKNOWN",$L372))</f>
        <v>SB</v>
      </c>
      <c r="N372" s="24" t="str">
        <f>IF('query (2)'!I372&lt;&gt;"","SOURCE",IF($L372="","UNKNOWN","DERIVED"))</f>
        <v>SOURCE</v>
      </c>
      <c r="O372" s="24" t="str">
        <f>IF('query (2)'!E372="","NOT_SPECIFIED",TRIM(UPPER('query (2)'!E372)))</f>
        <v>ASSEMBLY</v>
      </c>
      <c r="P372" s="24" t="str">
        <f>IF('query (2)'!F372="","",TRIM(UPPER('query (2)'!F372)))</f>
        <v>1216-SB5AI</v>
      </c>
      <c r="Q372" s="24" t="str">
        <f>IF('query (2)'!G372="","UNKNOWN",IFERROR(INDEX(Cleaning_Rules!$B$38:$B$46,MATCH(TRIM(UPPER('query (2)'!G372)),Cleaning_Rules!$A$38:$A$46,0)),"UNKNOWN"))</f>
        <v>OTHER</v>
      </c>
      <c r="R372" s="24" t="str">
        <f>IF('query (2)'!H372="","",TRIM(UPPER('query (2)'!H372)))</f>
        <v>SEAL CHECK M/C</v>
      </c>
      <c r="S372" s="25" t="str">
        <f>IF('query (2)'!H372="","",'query (2)'!H372)</f>
        <v>Seal  check  M/C</v>
      </c>
      <c r="T372" s="24" t="str">
        <f>IF('query (2)'!J372="","",TRIM(UPPER('query (2)'!J372)))</f>
        <v>SEAL HEIGHT CHECK</v>
      </c>
      <c r="U372" s="24" t="str">
        <f t="shared" si="38"/>
        <v/>
      </c>
      <c r="V372" s="24" t="str">
        <f>IF('query (2)'!K372="","NOT_SPECIFIED",IFERROR(INDEX(Cleaning_Rules!$B$32:$B$34,MATCH(TRIM(UPPER('query (2)'!K372)),Cleaning_Rules!$A$32:$A$34,0)),"UNKNOWN"))</f>
        <v>NOT_SPECIFIED</v>
      </c>
      <c r="W372" s="24" t="str">
        <f t="shared" si="39"/>
        <v>CH-544 | FACTORY2 | SB5 | SB | ASSEMBLY | 1216-SB5AI | OTHER | SEAL CHECK M/C | SEAL HEIGHT CHECK | NOT_SPECIFIED</v>
      </c>
      <c r="X372" s="24" t="str">
        <f t="shared" si="40"/>
        <v/>
      </c>
      <c r="Y372" s="24" t="str">
        <f t="shared" si="41"/>
        <v>MISSING_STATUS; CATEGORY_NOT_USEFUL</v>
      </c>
    </row>
    <row r="373" spans="1:25" x14ac:dyDescent="0.3">
      <c r="A373" s="24" t="str">
        <f t="shared" si="35"/>
        <v>CH-545#0372</v>
      </c>
      <c r="B373" s="24" t="str">
        <f>IF('query (2)'!B373="","",TRIM(UPPER('query (2)'!B373)))</f>
        <v>CH-545</v>
      </c>
      <c r="C373" s="25" t="str">
        <f>IF('query (2)'!B373="","",'query (2)'!B373)</f>
        <v>CH-545</v>
      </c>
      <c r="D373" s="24" t="str">
        <f t="shared" si="36"/>
        <v>CH</v>
      </c>
      <c r="E373" s="24">
        <f t="shared" si="37"/>
        <v>1</v>
      </c>
      <c r="F373" s="24">
        <f>IF('query (2)'!A373="","",IFERROR(VALUE('query (2)'!A373),""))</f>
        <v>391</v>
      </c>
      <c r="G373" s="24" t="str">
        <f>IF('query (2)'!C373="","UNKNOWN",IFERROR(INDEX(Cleaning_Rules!$B$15:$B$20,MATCH(TRIM(UPPER('query (2)'!C373)),Cleaning_Rules!$A$15:$A$20,0)),"UNKNOWN"))</f>
        <v>FACTORY2</v>
      </c>
      <c r="H373" s="25" t="str">
        <f>IF('query (2)'!C373="","",'query (2)'!C373)</f>
        <v>FACTORY2</v>
      </c>
      <c r="I373" s="24" t="str" cm="1">
        <f t="array" ref="I373">_xlfn.IFS($G373="UNKNOWN","UNKNOWN",OR($G373="FACTORY1",$G373="FACTORY2",$G373="FACTORY3"),"PLANT",TRUE,"SHARED")</f>
        <v>PLANT</v>
      </c>
      <c r="J373" s="24" t="str">
        <f>IF('query (2)'!D373="","UNKNOWN",IF(COUNTIF(Cleaning_Rules!$A$6:$A$11,TRIM('query (2)'!D373))&gt;0,"UNKNOWN",IFERROR(INDEX(Cleaning_Rules!$B$24:$B$28,MATCH(TRIM(UPPER('query (2)'!D373)),Cleaning_Rules!$A$24:$A$28,0)),TRIM(UPPER('query (2)'!D373)))))</f>
        <v>SB5</v>
      </c>
      <c r="K373" s="25" t="str">
        <f>IF('query (2)'!D373="","",'query (2)'!D373)</f>
        <v>SB5</v>
      </c>
      <c r="L373" s="24" t="str">
        <f>IF($J373="UNKNOWN","",_xlfn.TEXTBEFORE($J373,{"0","1","2","3","4","5","6","7","8","9"," ","-","."},1,,,$J373))</f>
        <v>SB</v>
      </c>
      <c r="M373" s="24" t="str">
        <f>IF('query (2)'!I373&lt;&gt;"",TRIM(UPPER('query (2)'!I373)),IF($L373="","UNKNOWN",$L373))</f>
        <v>SB</v>
      </c>
      <c r="N373" s="24" t="str">
        <f>IF('query (2)'!I373&lt;&gt;"","SOURCE",IF($L373="","UNKNOWN","DERIVED"))</f>
        <v>SOURCE</v>
      </c>
      <c r="O373" s="24" t="str">
        <f>IF('query (2)'!E373="","NOT_SPECIFIED",TRIM(UPPER('query (2)'!E373)))</f>
        <v>ASSEMBLY</v>
      </c>
      <c r="P373" s="24" t="str">
        <f>IF('query (2)'!F373="","",TRIM(UPPER('query (2)'!F373)))</f>
        <v>1216-SB5AI</v>
      </c>
      <c r="Q373" s="24" t="str">
        <f>IF('query (2)'!G373="","UNKNOWN",IFERROR(INDEX(Cleaning_Rules!$B$38:$B$46,MATCH(TRIM(UPPER('query (2)'!G373)),Cleaning_Rules!$A$38:$A$46,0)),"UNKNOWN"))</f>
        <v>OTHER</v>
      </c>
      <c r="R373" s="24" t="str">
        <f>IF('query (2)'!H373="","",TRIM(UPPER('query (2)'!H373)))</f>
        <v>AUTOMATIC VIBRATION TESTING M/C.</v>
      </c>
      <c r="S373" s="25" t="str">
        <f>IF('query (2)'!H373="","",'query (2)'!H373)</f>
        <v>Automatic Vibration testing M/C.</v>
      </c>
      <c r="T373" s="24" t="str">
        <f>IF('query (2)'!J373="","",TRIM(UPPER('query (2)'!J373)))</f>
        <v>VIBRATION CHECK MC</v>
      </c>
      <c r="U373" s="24" t="str">
        <f t="shared" si="38"/>
        <v/>
      </c>
      <c r="V373" s="24" t="str">
        <f>IF('query (2)'!K373="","NOT_SPECIFIED",IFERROR(INDEX(Cleaning_Rules!$B$32:$B$34,MATCH(TRIM(UPPER('query (2)'!K373)),Cleaning_Rules!$A$32:$A$34,0)),"UNKNOWN"))</f>
        <v>NOT_SPECIFIED</v>
      </c>
      <c r="W373" s="24" t="str">
        <f t="shared" si="39"/>
        <v>CH-545 | FACTORY2 | SB5 | SB | ASSEMBLY | 1216-SB5AI | OTHER | AUTOMATIC VIBRATION TESTING M/C. | VIBRATION CHECK MC | NOT_SPECIFIED</v>
      </c>
      <c r="X373" s="24" t="str">
        <f t="shared" si="40"/>
        <v/>
      </c>
      <c r="Y373" s="24" t="str">
        <f t="shared" si="41"/>
        <v>MISSING_STATUS; CATEGORY_NOT_USEFUL</v>
      </c>
    </row>
    <row r="374" spans="1:25" x14ac:dyDescent="0.3">
      <c r="A374" s="24" t="str">
        <f t="shared" si="35"/>
        <v>CH-546#0373</v>
      </c>
      <c r="B374" s="24" t="str">
        <f>IF('query (2)'!B374="","",TRIM(UPPER('query (2)'!B374)))</f>
        <v>CH-546</v>
      </c>
      <c r="C374" s="25" t="str">
        <f>IF('query (2)'!B374="","",'query (2)'!B374)</f>
        <v>CH-546</v>
      </c>
      <c r="D374" s="24" t="str">
        <f t="shared" si="36"/>
        <v>CH</v>
      </c>
      <c r="E374" s="24">
        <f t="shared" si="37"/>
        <v>1</v>
      </c>
      <c r="F374" s="24">
        <f>IF('query (2)'!A374="","",IFERROR(VALUE('query (2)'!A374),""))</f>
        <v>392</v>
      </c>
      <c r="G374" s="24" t="str">
        <f>IF('query (2)'!C374="","UNKNOWN",IFERROR(INDEX(Cleaning_Rules!$B$15:$B$20,MATCH(TRIM(UPPER('query (2)'!C374)),Cleaning_Rules!$A$15:$A$20,0)),"UNKNOWN"))</f>
        <v>FACTORY2</v>
      </c>
      <c r="H374" s="25" t="str">
        <f>IF('query (2)'!C374="","",'query (2)'!C374)</f>
        <v>FACTORY2</v>
      </c>
      <c r="I374" s="24" t="str" cm="1">
        <f t="array" ref="I374">_xlfn.IFS($G374="UNKNOWN","UNKNOWN",OR($G374="FACTORY1",$G374="FACTORY2",$G374="FACTORY3"),"PLANT",TRUE,"SHARED")</f>
        <v>PLANT</v>
      </c>
      <c r="J374" s="24" t="str">
        <f>IF('query (2)'!D374="","UNKNOWN",IF(COUNTIF(Cleaning_Rules!$A$6:$A$11,TRIM('query (2)'!D374))&gt;0,"UNKNOWN",IFERROR(INDEX(Cleaning_Rules!$B$24:$B$28,MATCH(TRIM(UPPER('query (2)'!D374)),Cleaning_Rules!$A$24:$A$28,0)),TRIM(UPPER('query (2)'!D374)))))</f>
        <v>SB5</v>
      </c>
      <c r="K374" s="25" t="str">
        <f>IF('query (2)'!D374="","",'query (2)'!D374)</f>
        <v>SB5</v>
      </c>
      <c r="L374" s="24" t="str">
        <f>IF($J374="UNKNOWN","",_xlfn.TEXTBEFORE($J374,{"0","1","2","3","4","5","6","7","8","9"," ","-","."},1,,,$J374))</f>
        <v>SB</v>
      </c>
      <c r="M374" s="24" t="str">
        <f>IF('query (2)'!I374&lt;&gt;"",TRIM(UPPER('query (2)'!I374)),IF($L374="","UNKNOWN",$L374))</f>
        <v>SB</v>
      </c>
      <c r="N374" s="24" t="str">
        <f>IF('query (2)'!I374&lt;&gt;"","SOURCE",IF($L374="","UNKNOWN","DERIVED"))</f>
        <v>SOURCE</v>
      </c>
      <c r="O374" s="24" t="str">
        <f>IF('query (2)'!E374="","NOT_SPECIFIED",TRIM(UPPER('query (2)'!E374)))</f>
        <v>ASSEMBLY</v>
      </c>
      <c r="P374" s="24" t="str">
        <f>IF('query (2)'!F374="","",TRIM(UPPER('query (2)'!F374)))</f>
        <v>1216-SB5AI</v>
      </c>
      <c r="Q374" s="24" t="str">
        <f>IF('query (2)'!G374="","UNKNOWN",IFERROR(INDEX(Cleaning_Rules!$B$38:$B$46,MATCH(TRIM(UPPER('query (2)'!G374)),Cleaning_Rules!$A$38:$A$46,0)),"UNKNOWN"))</f>
        <v>OTHER</v>
      </c>
      <c r="R374" s="24" t="str">
        <f>IF('query (2)'!H374="","",TRIM(UPPER('query (2)'!H374)))</f>
        <v>WEIGHT CHECKER M/C</v>
      </c>
      <c r="S374" s="25" t="str">
        <f>IF('query (2)'!H374="","",'query (2)'!H374)</f>
        <v>Weight  checker  M/C</v>
      </c>
      <c r="T374" s="24" t="str">
        <f>IF('query (2)'!J374="","",TRIM(UPPER('query (2)'!J374)))</f>
        <v>WEIGHT CHECKER</v>
      </c>
      <c r="U374" s="24" t="str">
        <f t="shared" si="38"/>
        <v/>
      </c>
      <c r="V374" s="24" t="str">
        <f>IF('query (2)'!K374="","NOT_SPECIFIED",IFERROR(INDEX(Cleaning_Rules!$B$32:$B$34,MATCH(TRIM(UPPER('query (2)'!K374)),Cleaning_Rules!$A$32:$A$34,0)),"UNKNOWN"))</f>
        <v>NOT_SPECIFIED</v>
      </c>
      <c r="W374" s="24" t="str">
        <f t="shared" si="39"/>
        <v>CH-546 | FACTORY2 | SB5 | SB | ASSEMBLY | 1216-SB5AI | OTHER | WEIGHT CHECKER M/C | WEIGHT CHECKER | NOT_SPECIFIED</v>
      </c>
      <c r="X374" s="24" t="str">
        <f t="shared" si="40"/>
        <v/>
      </c>
      <c r="Y374" s="24" t="str">
        <f t="shared" si="41"/>
        <v>MISSING_STATUS; CATEGORY_NOT_USEFUL</v>
      </c>
    </row>
    <row r="375" spans="1:25" x14ac:dyDescent="0.3">
      <c r="A375" s="24" t="str">
        <f t="shared" si="35"/>
        <v>CH-646#0374</v>
      </c>
      <c r="B375" s="24" t="str">
        <f>IF('query (2)'!B375="","",TRIM(UPPER('query (2)'!B375)))</f>
        <v>CH-646</v>
      </c>
      <c r="C375" s="25" t="str">
        <f>IF('query (2)'!B375="","",'query (2)'!B375)</f>
        <v>CH-646</v>
      </c>
      <c r="D375" s="24" t="str">
        <f t="shared" si="36"/>
        <v>CH</v>
      </c>
      <c r="E375" s="24">
        <f t="shared" si="37"/>
        <v>1</v>
      </c>
      <c r="F375" s="24">
        <f>IF('query (2)'!A375="","",IFERROR(VALUE('query (2)'!A375),""))</f>
        <v>393</v>
      </c>
      <c r="G375" s="24" t="str">
        <f>IF('query (2)'!C375="","UNKNOWN",IFERROR(INDEX(Cleaning_Rules!$B$15:$B$20,MATCH(TRIM(UPPER('query (2)'!C375)),Cleaning_Rules!$A$15:$A$20,0)),"UNKNOWN"))</f>
        <v>FACTORY2</v>
      </c>
      <c r="H375" s="25" t="str">
        <f>IF('query (2)'!C375="","",'query (2)'!C375)</f>
        <v>FACTORY2</v>
      </c>
      <c r="I375" s="24" t="str" cm="1">
        <f t="array" ref="I375">_xlfn.IFS($G375="UNKNOWN","UNKNOWN",OR($G375="FACTORY1",$G375="FACTORY2",$G375="FACTORY3"),"PLANT",TRUE,"SHARED")</f>
        <v>PLANT</v>
      </c>
      <c r="J375" s="24" t="str">
        <f>IF('query (2)'!D375="","UNKNOWN",IF(COUNTIF(Cleaning_Rules!$A$6:$A$11,TRIM('query (2)'!D375))&gt;0,"UNKNOWN",IFERROR(INDEX(Cleaning_Rules!$B$24:$B$28,MATCH(TRIM(UPPER('query (2)'!D375)),Cleaning_Rules!$A$24:$A$28,0)),TRIM(UPPER('query (2)'!D375)))))</f>
        <v>SB5</v>
      </c>
      <c r="K375" s="25" t="str">
        <f>IF('query (2)'!D375="","",'query (2)'!D375)</f>
        <v>SB5</v>
      </c>
      <c r="L375" s="24" t="str">
        <f>IF($J375="UNKNOWN","",_xlfn.TEXTBEFORE($J375,{"0","1","2","3","4","5","6","7","8","9"," ","-","."},1,,,$J375))</f>
        <v>SB</v>
      </c>
      <c r="M375" s="24" t="str">
        <f>IF('query (2)'!I375&lt;&gt;"",TRIM(UPPER('query (2)'!I375)),IF($L375="","UNKNOWN",$L375))</f>
        <v>SB</v>
      </c>
      <c r="N375" s="24" t="str">
        <f>IF('query (2)'!I375&lt;&gt;"","SOURCE",IF($L375="","UNKNOWN","DERIVED"))</f>
        <v>SOURCE</v>
      </c>
      <c r="O375" s="24" t="str">
        <f>IF('query (2)'!E375="","NOT_SPECIFIED",TRIM(UPPER('query (2)'!E375)))</f>
        <v>ASSEMBLY</v>
      </c>
      <c r="P375" s="24" t="str">
        <f>IF('query (2)'!F375="","",TRIM(UPPER('query (2)'!F375)))</f>
        <v>1216-SB5AI</v>
      </c>
      <c r="Q375" s="24" t="str">
        <f>IF('query (2)'!G375="","UNKNOWN",IFERROR(INDEX(Cleaning_Rules!$B$38:$B$46,MATCH(TRIM(UPPER('query (2)'!G375)),Cleaning_Rules!$A$38:$A$46,0)),"UNKNOWN"))</f>
        <v>OTHER</v>
      </c>
      <c r="R375" s="24" t="str">
        <f>IF('query (2)'!H375="","",TRIM(UPPER('query (2)'!H375)))</f>
        <v>NOISE MANUAL INSPECTION M/C.</v>
      </c>
      <c r="S375" s="25" t="str">
        <f>IF('query (2)'!H375="","",'query (2)'!H375)</f>
        <v>Noise manual inspection m/c.</v>
      </c>
      <c r="T375" s="24" t="str">
        <f>IF('query (2)'!J375="","",TRIM(UPPER('query (2)'!J375)))</f>
        <v>NOISE INSPECTION</v>
      </c>
      <c r="U375" s="24" t="str">
        <f t="shared" si="38"/>
        <v/>
      </c>
      <c r="V375" s="24" t="str">
        <f>IF('query (2)'!K375="","NOT_SPECIFIED",IFERROR(INDEX(Cleaning_Rules!$B$32:$B$34,MATCH(TRIM(UPPER('query (2)'!K375)),Cleaning_Rules!$A$32:$A$34,0)),"UNKNOWN"))</f>
        <v>NOT_SPECIFIED</v>
      </c>
      <c r="W375" s="24" t="str">
        <f t="shared" si="39"/>
        <v>CH-646 | FACTORY2 | SB5 | SB | ASSEMBLY | 1216-SB5AI | OTHER | NOISE MANUAL INSPECTION M/C. | NOISE INSPECTION | NOT_SPECIFIED</v>
      </c>
      <c r="X375" s="24" t="str">
        <f t="shared" si="40"/>
        <v/>
      </c>
      <c r="Y375" s="24" t="str">
        <f t="shared" si="41"/>
        <v>MISSING_STATUS; CATEGORY_NOT_USEFUL</v>
      </c>
    </row>
    <row r="376" spans="1:25" x14ac:dyDescent="0.3">
      <c r="A376" s="24" t="str">
        <f t="shared" si="35"/>
        <v>CH-636#0375</v>
      </c>
      <c r="B376" s="24" t="str">
        <f>IF('query (2)'!B376="","",TRIM(UPPER('query (2)'!B376)))</f>
        <v>CH-636</v>
      </c>
      <c r="C376" s="25" t="str">
        <f>IF('query (2)'!B376="","",'query (2)'!B376)</f>
        <v>CH-636</v>
      </c>
      <c r="D376" s="24" t="str">
        <f t="shared" si="36"/>
        <v>CH</v>
      </c>
      <c r="E376" s="24">
        <f t="shared" si="37"/>
        <v>1</v>
      </c>
      <c r="F376" s="24">
        <f>IF('query (2)'!A376="","",IFERROR(VALUE('query (2)'!A376),""))</f>
        <v>394</v>
      </c>
      <c r="G376" s="24" t="str">
        <f>IF('query (2)'!C376="","UNKNOWN",IFERROR(INDEX(Cleaning_Rules!$B$15:$B$20,MATCH(TRIM(UPPER('query (2)'!C376)),Cleaning_Rules!$A$15:$A$20,0)),"UNKNOWN"))</f>
        <v>FACTORY2</v>
      </c>
      <c r="H376" s="25" t="str">
        <f>IF('query (2)'!C376="","",'query (2)'!C376)</f>
        <v>FACTORY2</v>
      </c>
      <c r="I376" s="24" t="str" cm="1">
        <f t="array" ref="I376">_xlfn.IFS($G376="UNKNOWN","UNKNOWN",OR($G376="FACTORY1",$G376="FACTORY2",$G376="FACTORY3"),"PLANT",TRUE,"SHARED")</f>
        <v>PLANT</v>
      </c>
      <c r="J376" s="24" t="str">
        <f>IF('query (2)'!D376="","UNKNOWN",IF(COUNTIF(Cleaning_Rules!$A$6:$A$11,TRIM('query (2)'!D376))&gt;0,"UNKNOWN",IFERROR(INDEX(Cleaning_Rules!$B$24:$B$28,MATCH(TRIM(UPPER('query (2)'!D376)),Cleaning_Rules!$A$24:$A$28,0)),TRIM(UPPER('query (2)'!D376)))))</f>
        <v>SB5</v>
      </c>
      <c r="K376" s="25" t="str">
        <f>IF('query (2)'!D376="","",'query (2)'!D376)</f>
        <v>SB5</v>
      </c>
      <c r="L376" s="24" t="str">
        <f>IF($J376="UNKNOWN","",_xlfn.TEXTBEFORE($J376,{"0","1","2","3","4","5","6","7","8","9"," ","-","."},1,,,$J376))</f>
        <v>SB</v>
      </c>
      <c r="M376" s="24" t="str">
        <f>IF('query (2)'!I376&lt;&gt;"",TRIM(UPPER('query (2)'!I376)),IF($L376="","UNKNOWN",$L376))</f>
        <v>SB</v>
      </c>
      <c r="N376" s="24" t="str">
        <f>IF('query (2)'!I376&lt;&gt;"","SOURCE",IF($L376="","UNKNOWN","DERIVED"))</f>
        <v>SOURCE</v>
      </c>
      <c r="O376" s="24" t="str">
        <f>IF('query (2)'!E376="","NOT_SPECIFIED",TRIM(UPPER('query (2)'!E376)))</f>
        <v>ASSEMBLY</v>
      </c>
      <c r="P376" s="24" t="str">
        <f>IF('query (2)'!F376="","",TRIM(UPPER('query (2)'!F376)))</f>
        <v>1216-SB5AI</v>
      </c>
      <c r="Q376" s="24" t="str">
        <f>IF('query (2)'!G376="","UNKNOWN",IFERROR(INDEX(Cleaning_Rules!$B$38:$B$46,MATCH(TRIM(UPPER('query (2)'!G376)),Cleaning_Rules!$A$38:$A$46,0)),"UNKNOWN"))</f>
        <v>OTHER</v>
      </c>
      <c r="R376" s="24" t="str">
        <f>IF('query (2)'!H376="","",TRIM(UPPER('query (2)'!H376)))</f>
        <v>AUTO RADIAL CLEARANCE M/C</v>
      </c>
      <c r="S376" s="25" t="str">
        <f>IF('query (2)'!H376="","",'query (2)'!H376)</f>
        <v>Auto radial clearance M/C</v>
      </c>
      <c r="T376" s="24" t="str">
        <f>IF('query (2)'!J376="","",TRIM(UPPER('query (2)'!J376)))</f>
        <v>R/C AUTO</v>
      </c>
      <c r="U376" s="24" t="str">
        <f t="shared" si="38"/>
        <v/>
      </c>
      <c r="V376" s="24" t="str">
        <f>IF('query (2)'!K376="","NOT_SPECIFIED",IFERROR(INDEX(Cleaning_Rules!$B$32:$B$34,MATCH(TRIM(UPPER('query (2)'!K376)),Cleaning_Rules!$A$32:$A$34,0)),"UNKNOWN"))</f>
        <v>NOT_SPECIFIED</v>
      </c>
      <c r="W376" s="24" t="str">
        <f t="shared" si="39"/>
        <v>CH-636 | FACTORY2 | SB5 | SB | ASSEMBLY | 1216-SB5AI | OTHER | AUTO RADIAL CLEARANCE M/C | R/C AUTO | NOT_SPECIFIED</v>
      </c>
      <c r="X376" s="24" t="str">
        <f t="shared" si="40"/>
        <v/>
      </c>
      <c r="Y376" s="24" t="str">
        <f t="shared" si="41"/>
        <v>MISSING_STATUS; CATEGORY_NOT_USEFUL</v>
      </c>
    </row>
    <row r="377" spans="1:25" x14ac:dyDescent="0.3">
      <c r="A377" s="24" t="str">
        <f t="shared" si="35"/>
        <v>MA-907#0376</v>
      </c>
      <c r="B377" s="24" t="str">
        <f>IF('query (2)'!B377="","",TRIM(UPPER('query (2)'!B377)))</f>
        <v>MA-907</v>
      </c>
      <c r="C377" s="25" t="str">
        <f>IF('query (2)'!B377="","",'query (2)'!B377)</f>
        <v>MA-907</v>
      </c>
      <c r="D377" s="24" t="str">
        <f t="shared" si="36"/>
        <v>MA</v>
      </c>
      <c r="E377" s="24">
        <f t="shared" si="37"/>
        <v>1</v>
      </c>
      <c r="F377" s="24">
        <f>IF('query (2)'!A377="","",IFERROR(VALUE('query (2)'!A377),""))</f>
        <v>395</v>
      </c>
      <c r="G377" s="24" t="str">
        <f>IF('query (2)'!C377="","UNKNOWN",IFERROR(INDEX(Cleaning_Rules!$B$15:$B$20,MATCH(TRIM(UPPER('query (2)'!C377)),Cleaning_Rules!$A$15:$A$20,0)),"UNKNOWN"))</f>
        <v>FACTORY2</v>
      </c>
      <c r="H377" s="25" t="str">
        <f>IF('query (2)'!C377="","",'query (2)'!C377)</f>
        <v>FACTORY2</v>
      </c>
      <c r="I377" s="24" t="str" cm="1">
        <f t="array" ref="I377">_xlfn.IFS($G377="UNKNOWN","UNKNOWN",OR($G377="FACTORY1",$G377="FACTORY2",$G377="FACTORY3"),"PLANT",TRUE,"SHARED")</f>
        <v>PLANT</v>
      </c>
      <c r="J377" s="24" t="str">
        <f>IF('query (2)'!D377="","UNKNOWN",IF(COUNTIF(Cleaning_Rules!$A$6:$A$11,TRIM('query (2)'!D377))&gt;0,"UNKNOWN",IFERROR(INDEX(Cleaning_Rules!$B$24:$B$28,MATCH(TRIM(UPPER('query (2)'!D377)),Cleaning_Rules!$A$24:$A$28,0)),TRIM(UPPER('query (2)'!D377)))))</f>
        <v>SB5</v>
      </c>
      <c r="K377" s="25" t="str">
        <f>IF('query (2)'!D377="","",'query (2)'!D377)</f>
        <v>SB5</v>
      </c>
      <c r="L377" s="24" t="str">
        <f>IF($J377="UNKNOWN","",_xlfn.TEXTBEFORE($J377,{"0","1","2","3","4","5","6","7","8","9"," ","-","."},1,,,$J377))</f>
        <v>SB</v>
      </c>
      <c r="M377" s="24" t="str">
        <f>IF('query (2)'!I377&lt;&gt;"",TRIM(UPPER('query (2)'!I377)),IF($L377="","UNKNOWN",$L377))</f>
        <v>SB</v>
      </c>
      <c r="N377" s="24" t="str">
        <f>IF('query (2)'!I377&lt;&gt;"","SOURCE",IF($L377="","UNKNOWN","DERIVED"))</f>
        <v>SOURCE</v>
      </c>
      <c r="O377" s="24" t="str">
        <f>IF('query (2)'!E377="","NOT_SPECIFIED",TRIM(UPPER('query (2)'!E377)))</f>
        <v>ASSEMBLY</v>
      </c>
      <c r="P377" s="24" t="str">
        <f>IF('query (2)'!F377="","",TRIM(UPPER('query (2)'!F377)))</f>
        <v>1216-SB5AI</v>
      </c>
      <c r="Q377" s="24" t="str">
        <f>IF('query (2)'!G377="","UNKNOWN",IFERROR(INDEX(Cleaning_Rules!$B$38:$B$46,MATCH(TRIM(UPPER('query (2)'!G377)),Cleaning_Rules!$A$38:$A$46,0)),"UNKNOWN"))</f>
        <v>OTHER</v>
      </c>
      <c r="R377" s="24" t="str">
        <f>IF('query (2)'!H377="","",TRIM(UPPER('query (2)'!H377)))</f>
        <v>LASER MARKER</v>
      </c>
      <c r="S377" s="25" t="str">
        <f>IF('query (2)'!H377="","",'query (2)'!H377)</f>
        <v>Laser marker</v>
      </c>
      <c r="T377" s="24" t="str">
        <f>IF('query (2)'!J377="","",TRIM(UPPER('query (2)'!J377)))</f>
        <v>LASER MARKING</v>
      </c>
      <c r="U377" s="24" t="str">
        <f t="shared" si="38"/>
        <v/>
      </c>
      <c r="V377" s="24" t="str">
        <f>IF('query (2)'!K377="","NOT_SPECIFIED",IFERROR(INDEX(Cleaning_Rules!$B$32:$B$34,MATCH(TRIM(UPPER('query (2)'!K377)),Cleaning_Rules!$A$32:$A$34,0)),"UNKNOWN"))</f>
        <v>NOT_SPECIFIED</v>
      </c>
      <c r="W377" s="24" t="str">
        <f t="shared" si="39"/>
        <v>MA-907 | FACTORY2 | SB5 | SB | ASSEMBLY | 1216-SB5AI | OTHER | LASER MARKER | LASER MARKING | NOT_SPECIFIED</v>
      </c>
      <c r="X377" s="24" t="str">
        <f t="shared" si="40"/>
        <v/>
      </c>
      <c r="Y377" s="24" t="str">
        <f t="shared" si="41"/>
        <v>MISSING_STATUS; CATEGORY_NOT_USEFUL</v>
      </c>
    </row>
    <row r="378" spans="1:25" x14ac:dyDescent="0.3">
      <c r="A378" s="24" t="str">
        <f t="shared" si="35"/>
        <v>CH-964#0377</v>
      </c>
      <c r="B378" s="24" t="str">
        <f>IF('query (2)'!B378="","",TRIM(UPPER('query (2)'!B378)))</f>
        <v>CH-964</v>
      </c>
      <c r="C378" s="25" t="str">
        <f>IF('query (2)'!B378="","",'query (2)'!B378)</f>
        <v>CH-964</v>
      </c>
      <c r="D378" s="24" t="str">
        <f t="shared" si="36"/>
        <v>CH</v>
      </c>
      <c r="E378" s="24">
        <f t="shared" si="37"/>
        <v>1</v>
      </c>
      <c r="F378" s="24">
        <f>IF('query (2)'!A378="","",IFERROR(VALUE('query (2)'!A378),""))</f>
        <v>396</v>
      </c>
      <c r="G378" s="24" t="str">
        <f>IF('query (2)'!C378="","UNKNOWN",IFERROR(INDEX(Cleaning_Rules!$B$15:$B$20,MATCH(TRIM(UPPER('query (2)'!C378)),Cleaning_Rules!$A$15:$A$20,0)),"UNKNOWN"))</f>
        <v>FACTORY2</v>
      </c>
      <c r="H378" s="25" t="str">
        <f>IF('query (2)'!C378="","",'query (2)'!C378)</f>
        <v>FACTORY2</v>
      </c>
      <c r="I378" s="24" t="str" cm="1">
        <f t="array" ref="I378">_xlfn.IFS($G378="UNKNOWN","UNKNOWN",OR($G378="FACTORY1",$G378="FACTORY2",$G378="FACTORY3"),"PLANT",TRUE,"SHARED")</f>
        <v>PLANT</v>
      </c>
      <c r="J378" s="24" t="str">
        <f>IF('query (2)'!D378="","UNKNOWN",IF(COUNTIF(Cleaning_Rules!$A$6:$A$11,TRIM('query (2)'!D378))&gt;0,"UNKNOWN",IFERROR(INDEX(Cleaning_Rules!$B$24:$B$28,MATCH(TRIM(UPPER('query (2)'!D378)),Cleaning_Rules!$A$24:$A$28,0)),TRIM(UPPER('query (2)'!D378)))))</f>
        <v>SB5</v>
      </c>
      <c r="K378" s="25" t="str">
        <f>IF('query (2)'!D378="","",'query (2)'!D378)</f>
        <v>SB5</v>
      </c>
      <c r="L378" s="24" t="str">
        <f>IF($J378="UNKNOWN","",_xlfn.TEXTBEFORE($J378,{"0","1","2","3","4","5","6","7","8","9"," ","-","."},1,,,$J378))</f>
        <v>SB</v>
      </c>
      <c r="M378" s="24" t="str">
        <f>IF('query (2)'!I378&lt;&gt;"",TRIM(UPPER('query (2)'!I378)),IF($L378="","UNKNOWN",$L378))</f>
        <v>SB</v>
      </c>
      <c r="N378" s="24" t="str">
        <f>IF('query (2)'!I378&lt;&gt;"","SOURCE",IF($L378="","UNKNOWN","DERIVED"))</f>
        <v>SOURCE</v>
      </c>
      <c r="O378" s="24" t="str">
        <f>IF('query (2)'!E378="","NOT_SPECIFIED",TRIM(UPPER('query (2)'!E378)))</f>
        <v>ASSEMBLY</v>
      </c>
      <c r="P378" s="24" t="str">
        <f>IF('query (2)'!F378="","",TRIM(UPPER('query (2)'!F378)))</f>
        <v>1216-SB5AI</v>
      </c>
      <c r="Q378" s="24" t="str">
        <f>IF('query (2)'!G378="","UNKNOWN",IFERROR(INDEX(Cleaning_Rules!$B$38:$B$46,MATCH(TRIM(UPPER('query (2)'!G378)),Cleaning_Rules!$A$38:$A$46,0)),"UNKNOWN"))</f>
        <v>OTHER</v>
      </c>
      <c r="R378" s="24" t="str">
        <f>IF('query (2)'!H378="","",TRIM(UPPER('query (2)'!H378)))</f>
        <v>OUTER &amp; INNER EDDY CURRENT TESTER M/C</v>
      </c>
      <c r="S378" s="25" t="str">
        <f>IF('query (2)'!H378="","",'query (2)'!H378)</f>
        <v>Outer &amp; Inner  Eddy current tester M/C</v>
      </c>
      <c r="T378" s="24" t="str">
        <f>IF('query (2)'!J378="","",TRIM(UPPER('query (2)'!J378)))</f>
        <v>A &amp; B - E.C.T.</v>
      </c>
      <c r="U378" s="24" t="str">
        <f t="shared" si="38"/>
        <v/>
      </c>
      <c r="V378" s="24" t="str">
        <f>IF('query (2)'!K378="","NOT_SPECIFIED",IFERROR(INDEX(Cleaning_Rules!$B$32:$B$34,MATCH(TRIM(UPPER('query (2)'!K378)),Cleaning_Rules!$A$32:$A$34,0)),"UNKNOWN"))</f>
        <v>NOT_SPECIFIED</v>
      </c>
      <c r="W378" s="24" t="str">
        <f t="shared" si="39"/>
        <v>CH-964 | FACTORY2 | SB5 | SB | ASSEMBLY | 1216-SB5AI | OTHER | OUTER &amp; INNER EDDY CURRENT TESTER M/C | A &amp; B - E.C.T. | NOT_SPECIFIED</v>
      </c>
      <c r="X378" s="24" t="str">
        <f t="shared" si="40"/>
        <v/>
      </c>
      <c r="Y378" s="24" t="str">
        <f t="shared" si="41"/>
        <v>MISSING_STATUS; CATEGORY_NOT_USEFUL</v>
      </c>
    </row>
    <row r="379" spans="1:25" x14ac:dyDescent="0.3">
      <c r="A379" s="24" t="str">
        <f t="shared" si="35"/>
        <v>CH-981#0378</v>
      </c>
      <c r="B379" s="24" t="str">
        <f>IF('query (2)'!B379="","",TRIM(UPPER('query (2)'!B379)))</f>
        <v>CH-981</v>
      </c>
      <c r="C379" s="25" t="str">
        <f>IF('query (2)'!B379="","",'query (2)'!B379)</f>
        <v>CH-981</v>
      </c>
      <c r="D379" s="24" t="str">
        <f t="shared" si="36"/>
        <v>CH</v>
      </c>
      <c r="E379" s="24">
        <f t="shared" si="37"/>
        <v>1</v>
      </c>
      <c r="F379" s="24">
        <f>IF('query (2)'!A379="","",IFERROR(VALUE('query (2)'!A379),""))</f>
        <v>397</v>
      </c>
      <c r="G379" s="24" t="str">
        <f>IF('query (2)'!C379="","UNKNOWN",IFERROR(INDEX(Cleaning_Rules!$B$15:$B$20,MATCH(TRIM(UPPER('query (2)'!C379)),Cleaning_Rules!$A$15:$A$20,0)),"UNKNOWN"))</f>
        <v>FACTORY2</v>
      </c>
      <c r="H379" s="25" t="str">
        <f>IF('query (2)'!C379="","",'query (2)'!C379)</f>
        <v>FACTORY2</v>
      </c>
      <c r="I379" s="24" t="str" cm="1">
        <f t="array" ref="I379">_xlfn.IFS($G379="UNKNOWN","UNKNOWN",OR($G379="FACTORY1",$G379="FACTORY2",$G379="FACTORY3"),"PLANT",TRUE,"SHARED")</f>
        <v>PLANT</v>
      </c>
      <c r="J379" s="24" t="str">
        <f>IF('query (2)'!D379="","UNKNOWN",IF(COUNTIF(Cleaning_Rules!$A$6:$A$11,TRIM('query (2)'!D379))&gt;0,"UNKNOWN",IFERROR(INDEX(Cleaning_Rules!$B$24:$B$28,MATCH(TRIM(UPPER('query (2)'!D379)),Cleaning_Rules!$A$24:$A$28,0)),TRIM(UPPER('query (2)'!D379)))))</f>
        <v>SB5</v>
      </c>
      <c r="K379" s="25" t="str">
        <f>IF('query (2)'!D379="","",'query (2)'!D379)</f>
        <v>SB5</v>
      </c>
      <c r="L379" s="24" t="str">
        <f>IF($J379="UNKNOWN","",_xlfn.TEXTBEFORE($J379,{"0","1","2","3","4","5","6","7","8","9"," ","-","."},1,,,$J379))</f>
        <v>SB</v>
      </c>
      <c r="M379" s="24" t="str">
        <f>IF('query (2)'!I379&lt;&gt;"",TRIM(UPPER('query (2)'!I379)),IF($L379="","UNKNOWN",$L379))</f>
        <v>SB</v>
      </c>
      <c r="N379" s="24" t="str">
        <f>IF('query (2)'!I379&lt;&gt;"","SOURCE",IF($L379="","UNKNOWN","DERIVED"))</f>
        <v>SOURCE</v>
      </c>
      <c r="O379" s="24" t="str">
        <f>IF('query (2)'!E379="","NOT_SPECIFIED",TRIM(UPPER('query (2)'!E379)))</f>
        <v>ASSEMBLY</v>
      </c>
      <c r="P379" s="24" t="str">
        <f>IF('query (2)'!F379="","",TRIM(UPPER('query (2)'!F379)))</f>
        <v>1216-SB5AI</v>
      </c>
      <c r="Q379" s="24" t="str">
        <f>IF('query (2)'!G379="","UNKNOWN",IFERROR(INDEX(Cleaning_Rules!$B$38:$B$46,MATCH(TRIM(UPPER('query (2)'!G379)),Cleaning_Rules!$A$38:$A$46,0)),"UNKNOWN"))</f>
        <v>OTHER</v>
      </c>
      <c r="R379" s="24" t="str">
        <f>IF('query (2)'!H379="","",TRIM(UPPER('query (2)'!H379)))</f>
        <v>DIMENSION &amp; ROTARY M/C</v>
      </c>
      <c r="S379" s="25" t="str">
        <f>IF('query (2)'!H379="","",'query (2)'!H379)</f>
        <v>Dimension &amp; Rotary M/C</v>
      </c>
      <c r="T379" s="24" t="str">
        <f>IF('query (2)'!J379="","",TRIM(UPPER('query (2)'!J379)))</f>
        <v>OD.CHECK AUTO</v>
      </c>
      <c r="U379" s="24" t="str">
        <f t="shared" si="38"/>
        <v/>
      </c>
      <c r="V379" s="24" t="str">
        <f>IF('query (2)'!K379="","NOT_SPECIFIED",IFERROR(INDEX(Cleaning_Rules!$B$32:$B$34,MATCH(TRIM(UPPER('query (2)'!K379)),Cleaning_Rules!$A$32:$A$34,0)),"UNKNOWN"))</f>
        <v>NOT_SPECIFIED</v>
      </c>
      <c r="W379" s="24" t="str">
        <f t="shared" si="39"/>
        <v>CH-981 | FACTORY2 | SB5 | SB | ASSEMBLY | 1216-SB5AI | OTHER | DIMENSION &amp; ROTARY M/C | OD.CHECK AUTO | NOT_SPECIFIED</v>
      </c>
      <c r="X379" s="24" t="str">
        <f t="shared" si="40"/>
        <v/>
      </c>
      <c r="Y379" s="24" t="str">
        <f t="shared" si="41"/>
        <v>MISSING_STATUS; CATEGORY_NOT_USEFUL</v>
      </c>
    </row>
    <row r="380" spans="1:25" x14ac:dyDescent="0.3">
      <c r="A380" s="24" t="str">
        <f t="shared" si="35"/>
        <v>WA-982#0379</v>
      </c>
      <c r="B380" s="24" t="str">
        <f>IF('query (2)'!B380="","",TRIM(UPPER('query (2)'!B380)))</f>
        <v>WA-982</v>
      </c>
      <c r="C380" s="25" t="str">
        <f>IF('query (2)'!B380="","",'query (2)'!B380)</f>
        <v>WA-982</v>
      </c>
      <c r="D380" s="24" t="str">
        <f t="shared" si="36"/>
        <v>WA</v>
      </c>
      <c r="E380" s="24">
        <f t="shared" si="37"/>
        <v>1</v>
      </c>
      <c r="F380" s="24">
        <f>IF('query (2)'!A380="","",IFERROR(VALUE('query (2)'!A380),""))</f>
        <v>398</v>
      </c>
      <c r="G380" s="24" t="str">
        <f>IF('query (2)'!C380="","UNKNOWN",IFERROR(INDEX(Cleaning_Rules!$B$15:$B$20,MATCH(TRIM(UPPER('query (2)'!C380)),Cleaning_Rules!$A$15:$A$20,0)),"UNKNOWN"))</f>
        <v>FACTORY2</v>
      </c>
      <c r="H380" s="25" t="str">
        <f>IF('query (2)'!C380="","",'query (2)'!C380)</f>
        <v>FACTORY2</v>
      </c>
      <c r="I380" s="24" t="str" cm="1">
        <f t="array" ref="I380">_xlfn.IFS($G380="UNKNOWN","UNKNOWN",OR($G380="FACTORY1",$G380="FACTORY2",$G380="FACTORY3"),"PLANT",TRUE,"SHARED")</f>
        <v>PLANT</v>
      </c>
      <c r="J380" s="24" t="str">
        <f>IF('query (2)'!D380="","UNKNOWN",IF(COUNTIF(Cleaning_Rules!$A$6:$A$11,TRIM('query (2)'!D380))&gt;0,"UNKNOWN",IFERROR(INDEX(Cleaning_Rules!$B$24:$B$28,MATCH(TRIM(UPPER('query (2)'!D380)),Cleaning_Rules!$A$24:$A$28,0)),TRIM(UPPER('query (2)'!D380)))))</f>
        <v>SB5</v>
      </c>
      <c r="K380" s="25" t="str">
        <f>IF('query (2)'!D380="","",'query (2)'!D380)</f>
        <v>SB5</v>
      </c>
      <c r="L380" s="24" t="str">
        <f>IF($J380="UNKNOWN","",_xlfn.TEXTBEFORE($J380,{"0","1","2","3","4","5","6","7","8","9"," ","-","."},1,,,$J380))</f>
        <v>SB</v>
      </c>
      <c r="M380" s="24" t="str">
        <f>IF('query (2)'!I380&lt;&gt;"",TRIM(UPPER('query (2)'!I380)),IF($L380="","UNKNOWN",$L380))</f>
        <v>SB</v>
      </c>
      <c r="N380" s="24" t="str">
        <f>IF('query (2)'!I380&lt;&gt;"","SOURCE",IF($L380="","UNKNOWN","DERIVED"))</f>
        <v>SOURCE</v>
      </c>
      <c r="O380" s="24" t="str">
        <f>IF('query (2)'!E380="","NOT_SPECIFIED",TRIM(UPPER('query (2)'!E380)))</f>
        <v>ASSEMBLY</v>
      </c>
      <c r="P380" s="24" t="str">
        <f>IF('query (2)'!F380="","",TRIM(UPPER('query (2)'!F380)))</f>
        <v>1216-SB5AI</v>
      </c>
      <c r="Q380" s="24" t="str">
        <f>IF('query (2)'!G380="","UNKNOWN",IFERROR(INDEX(Cleaning_Rules!$B$38:$B$46,MATCH(TRIM(UPPER('query (2)'!G380)),Cleaning_Rules!$A$38:$A$46,0)),"UNKNOWN"))</f>
        <v>OTHER</v>
      </c>
      <c r="R380" s="24" t="str">
        <f>IF('query (2)'!H380="","",TRIM(UPPER('query (2)'!H380)))</f>
        <v>FINISH WASHING M/C</v>
      </c>
      <c r="S380" s="25" t="str">
        <f>IF('query (2)'!H380="","",'query (2)'!H380)</f>
        <v>Finish washing m/c</v>
      </c>
      <c r="T380" s="24" t="str">
        <f>IF('query (2)'!J380="","",TRIM(UPPER('query (2)'!J380)))</f>
        <v>WASHING FINISH</v>
      </c>
      <c r="U380" s="24" t="str">
        <f t="shared" si="38"/>
        <v/>
      </c>
      <c r="V380" s="24" t="str">
        <f>IF('query (2)'!K380="","NOT_SPECIFIED",IFERROR(INDEX(Cleaning_Rules!$B$32:$B$34,MATCH(TRIM(UPPER('query (2)'!K380)),Cleaning_Rules!$A$32:$A$34,0)),"UNKNOWN"))</f>
        <v>NOT_SPECIFIED</v>
      </c>
      <c r="W380" s="24" t="str">
        <f t="shared" si="39"/>
        <v>WA-982 | FACTORY2 | SB5 | SB | ASSEMBLY | 1216-SB5AI | OTHER | FINISH WASHING M/C | WASHING FINISH | NOT_SPECIFIED</v>
      </c>
      <c r="X380" s="24" t="str">
        <f t="shared" si="40"/>
        <v/>
      </c>
      <c r="Y380" s="24" t="str">
        <f t="shared" si="41"/>
        <v>MISSING_STATUS; CATEGORY_NOT_USEFUL</v>
      </c>
    </row>
    <row r="381" spans="1:25" x14ac:dyDescent="0.3">
      <c r="A381" s="24" t="str">
        <f t="shared" si="35"/>
        <v>AS-987#0380</v>
      </c>
      <c r="B381" s="24" t="str">
        <f>IF('query (2)'!B381="","",TRIM(UPPER('query (2)'!B381)))</f>
        <v>AS-987</v>
      </c>
      <c r="C381" s="25" t="str">
        <f>IF('query (2)'!B381="","",'query (2)'!B381)</f>
        <v>AS-987</v>
      </c>
      <c r="D381" s="24" t="str">
        <f t="shared" si="36"/>
        <v>AS</v>
      </c>
      <c r="E381" s="24">
        <f t="shared" si="37"/>
        <v>1</v>
      </c>
      <c r="F381" s="24">
        <f>IF('query (2)'!A381="","",IFERROR(VALUE('query (2)'!A381),""))</f>
        <v>399</v>
      </c>
      <c r="G381" s="24" t="str">
        <f>IF('query (2)'!C381="","UNKNOWN",IFERROR(INDEX(Cleaning_Rules!$B$15:$B$20,MATCH(TRIM(UPPER('query (2)'!C381)),Cleaning_Rules!$A$15:$A$20,0)),"UNKNOWN"))</f>
        <v>FACTORY2</v>
      </c>
      <c r="H381" s="25" t="str">
        <f>IF('query (2)'!C381="","",'query (2)'!C381)</f>
        <v>FACTORY2</v>
      </c>
      <c r="I381" s="24" t="str" cm="1">
        <f t="array" ref="I381">_xlfn.IFS($G381="UNKNOWN","UNKNOWN",OR($G381="FACTORY1",$G381="FACTORY2",$G381="FACTORY3"),"PLANT",TRUE,"SHARED")</f>
        <v>PLANT</v>
      </c>
      <c r="J381" s="24" t="str">
        <f>IF('query (2)'!D381="","UNKNOWN",IF(COUNTIF(Cleaning_Rules!$A$6:$A$11,TRIM('query (2)'!D381))&gt;0,"UNKNOWN",IFERROR(INDEX(Cleaning_Rules!$B$24:$B$28,MATCH(TRIM(UPPER('query (2)'!D381)),Cleaning_Rules!$A$24:$A$28,0)),TRIM(UPPER('query (2)'!D381)))))</f>
        <v>SB5</v>
      </c>
      <c r="K381" s="25" t="str">
        <f>IF('query (2)'!D381="","",'query (2)'!D381)</f>
        <v>SB5</v>
      </c>
      <c r="L381" s="24" t="str">
        <f>IF($J381="UNKNOWN","",_xlfn.TEXTBEFORE($J381,{"0","1","2","3","4","5","6","7","8","9"," ","-","."},1,,,$J381))</f>
        <v>SB</v>
      </c>
      <c r="M381" s="24" t="str">
        <f>IF('query (2)'!I381&lt;&gt;"",TRIM(UPPER('query (2)'!I381)),IF($L381="","UNKNOWN",$L381))</f>
        <v>SB</v>
      </c>
      <c r="N381" s="24" t="str">
        <f>IF('query (2)'!I381&lt;&gt;"","SOURCE",IF($L381="","UNKNOWN","DERIVED"))</f>
        <v>SOURCE</v>
      </c>
      <c r="O381" s="24" t="str">
        <f>IF('query (2)'!E381="","NOT_SPECIFIED",TRIM(UPPER('query (2)'!E381)))</f>
        <v>ASSEMBLY</v>
      </c>
      <c r="P381" s="24" t="str">
        <f>IF('query (2)'!F381="","",TRIM(UPPER('query (2)'!F381)))</f>
        <v>1216-SB5AI</v>
      </c>
      <c r="Q381" s="24" t="str">
        <f>IF('query (2)'!G381="","UNKNOWN",IFERROR(INDEX(Cleaning_Rules!$B$38:$B$46,MATCH(TRIM(UPPER('query (2)'!G381)),Cleaning_Rules!$A$38:$A$46,0)),"UNKNOWN"))</f>
        <v>OTHER</v>
      </c>
      <c r="R381" s="24" t="str">
        <f>IF('query (2)'!H381="","",TRIM(UPPER('query (2)'!H381)))</f>
        <v>MATCHING &amp; BALL FILLING M/C</v>
      </c>
      <c r="S381" s="25" t="str">
        <f>IF('query (2)'!H381="","",'query (2)'!H381)</f>
        <v>Matching &amp; Ball Filling m/c</v>
      </c>
      <c r="T381" s="24" t="str">
        <f>IF('query (2)'!J381="","",TRIM(UPPER('query (2)'!J381)))</f>
        <v>MATCHING &amp; BALL FILLING</v>
      </c>
      <c r="U381" s="24" t="str">
        <f t="shared" si="38"/>
        <v/>
      </c>
      <c r="V381" s="24" t="str">
        <f>IF('query (2)'!K381="","NOT_SPECIFIED",IFERROR(INDEX(Cleaning_Rules!$B$32:$B$34,MATCH(TRIM(UPPER('query (2)'!K381)),Cleaning_Rules!$A$32:$A$34,0)),"UNKNOWN"))</f>
        <v>NOT_SPECIFIED</v>
      </c>
      <c r="W381" s="24" t="str">
        <f t="shared" si="39"/>
        <v>AS-987 | FACTORY2 | SB5 | SB | ASSEMBLY | 1216-SB5AI | OTHER | MATCHING &amp; BALL FILLING M/C | MATCHING &amp; BALL FILLING | NOT_SPECIFIED</v>
      </c>
      <c r="X381" s="24" t="str">
        <f t="shared" si="40"/>
        <v/>
      </c>
      <c r="Y381" s="24" t="str">
        <f t="shared" si="41"/>
        <v>MISSING_STATUS; CATEGORY_NOT_USEFUL</v>
      </c>
    </row>
    <row r="382" spans="1:25" x14ac:dyDescent="0.3">
      <c r="A382" s="24" t="str">
        <f t="shared" si="35"/>
        <v>GR-777#0381</v>
      </c>
      <c r="B382" s="24" t="str">
        <f>IF('query (2)'!B382="","",TRIM(UPPER('query (2)'!B382)))</f>
        <v>GR-777</v>
      </c>
      <c r="C382" s="25" t="str">
        <f>IF('query (2)'!B382="","",'query (2)'!B382)</f>
        <v>GR-777</v>
      </c>
      <c r="D382" s="24" t="str">
        <f t="shared" si="36"/>
        <v>GR</v>
      </c>
      <c r="E382" s="24">
        <f t="shared" si="37"/>
        <v>1</v>
      </c>
      <c r="F382" s="24">
        <f>IF('query (2)'!A382="","",IFERROR(VALUE('query (2)'!A382),""))</f>
        <v>400</v>
      </c>
      <c r="G382" s="24" t="str">
        <f>IF('query (2)'!C382="","UNKNOWN",IFERROR(INDEX(Cleaning_Rules!$B$15:$B$20,MATCH(TRIM(UPPER('query (2)'!C382)),Cleaning_Rules!$A$15:$A$20,0)),"UNKNOWN"))</f>
        <v>FACTORY2</v>
      </c>
      <c r="H382" s="25" t="str">
        <f>IF('query (2)'!C382="","",'query (2)'!C382)</f>
        <v>FACTORY2</v>
      </c>
      <c r="I382" s="24" t="str" cm="1">
        <f t="array" ref="I382">_xlfn.IFS($G382="UNKNOWN","UNKNOWN",OR($G382="FACTORY1",$G382="FACTORY2",$G382="FACTORY3"),"PLANT",TRUE,"SHARED")</f>
        <v>PLANT</v>
      </c>
      <c r="J382" s="24" t="str">
        <f>IF('query (2)'!D382="","UNKNOWN",IF(COUNTIF(Cleaning_Rules!$A$6:$A$11,TRIM('query (2)'!D382))&gt;0,"UNKNOWN",IFERROR(INDEX(Cleaning_Rules!$B$24:$B$28,MATCH(TRIM(UPPER('query (2)'!D382)),Cleaning_Rules!$A$24:$A$28,0)),TRIM(UPPER('query (2)'!D382)))))</f>
        <v>SB6</v>
      </c>
      <c r="K382" s="25" t="str">
        <f>IF('query (2)'!D382="","",'query (2)'!D382)</f>
        <v>SB6</v>
      </c>
      <c r="L382" s="24" t="str">
        <f>IF($J382="UNKNOWN","",_xlfn.TEXTBEFORE($J382,{"0","1","2","3","4","5","6","7","8","9"," ","-","."},1,,,$J382))</f>
        <v>SB</v>
      </c>
      <c r="M382" s="24" t="str">
        <f>IF('query (2)'!I382&lt;&gt;"",TRIM(UPPER('query (2)'!I382)),IF($L382="","UNKNOWN",$L382))</f>
        <v>SB</v>
      </c>
      <c r="N382" s="24" t="str">
        <f>IF('query (2)'!I382&lt;&gt;"","SOURCE",IF($L382="","UNKNOWN","DERIVED"))</f>
        <v>SOURCE</v>
      </c>
      <c r="O382" s="24" t="str">
        <f>IF('query (2)'!E382="","NOT_SPECIFIED",TRIM(UPPER('query (2)'!E382)))</f>
        <v>GRINDING 2</v>
      </c>
      <c r="P382" s="24" t="str">
        <f>IF('query (2)'!F382="","",TRIM(UPPER('query (2)'!F382)))</f>
        <v>1220-SB6G</v>
      </c>
      <c r="Q382" s="24" t="str">
        <f>IF('query (2)'!G382="","UNKNOWN",IFERROR(INDEX(Cleaning_Rules!$B$38:$B$46,MATCH(TRIM(UPPER('query (2)'!G382)),Cleaning_Rules!$A$38:$A$46,0)),"UNKNOWN"))</f>
        <v>OTHER</v>
      </c>
      <c r="R382" s="24" t="str">
        <f>IF('query (2)'!H382="","",TRIM(UPPER('query (2)'!H382)))</f>
        <v>INNER RING RACEWAY GRINDING M/C</v>
      </c>
      <c r="S382" s="25" t="str">
        <f>IF('query (2)'!H382="","",'query (2)'!H382)</f>
        <v>Inner ring raceway grinding M/C</v>
      </c>
      <c r="T382" s="24" t="str">
        <f>IF('query (2)'!J382="","",TRIM(UPPER('query (2)'!J382)))</f>
        <v>B - RACEWAY GRINDING</v>
      </c>
      <c r="U382" s="24" t="str">
        <f t="shared" si="38"/>
        <v/>
      </c>
      <c r="V382" s="24" t="str">
        <f>IF('query (2)'!K382="","NOT_SPECIFIED",IFERROR(INDEX(Cleaning_Rules!$B$32:$B$34,MATCH(TRIM(UPPER('query (2)'!K382)),Cleaning_Rules!$A$32:$A$34,0)),"UNKNOWN"))</f>
        <v>NOT_SPECIFIED</v>
      </c>
      <c r="W382" s="24" t="str">
        <f t="shared" si="39"/>
        <v>GR-777 | FACTORY2 | SB6 | SB | GRINDING 2 | 1220-SB6G | OTHER | INNER RING RACEWAY GRINDING M/C | B - RACEWAY GRINDING | NOT_SPECIFIED</v>
      </c>
      <c r="X382" s="24" t="str">
        <f t="shared" si="40"/>
        <v/>
      </c>
      <c r="Y382" s="24" t="str">
        <f t="shared" si="41"/>
        <v>MISSING_STATUS; CATEGORY_NOT_USEFUL</v>
      </c>
    </row>
    <row r="383" spans="1:25" x14ac:dyDescent="0.3">
      <c r="A383" s="24" t="str">
        <f t="shared" si="35"/>
        <v>GR-778#0382</v>
      </c>
      <c r="B383" s="24" t="str">
        <f>IF('query (2)'!B383="","",TRIM(UPPER('query (2)'!B383)))</f>
        <v>GR-778</v>
      </c>
      <c r="C383" s="25" t="str">
        <f>IF('query (2)'!B383="","",'query (2)'!B383)</f>
        <v>GR-778</v>
      </c>
      <c r="D383" s="24" t="str">
        <f t="shared" si="36"/>
        <v>GR</v>
      </c>
      <c r="E383" s="24">
        <f t="shared" si="37"/>
        <v>1</v>
      </c>
      <c r="F383" s="24">
        <f>IF('query (2)'!A383="","",IFERROR(VALUE('query (2)'!A383),""))</f>
        <v>401</v>
      </c>
      <c r="G383" s="24" t="str">
        <f>IF('query (2)'!C383="","UNKNOWN",IFERROR(INDEX(Cleaning_Rules!$B$15:$B$20,MATCH(TRIM(UPPER('query (2)'!C383)),Cleaning_Rules!$A$15:$A$20,0)),"UNKNOWN"))</f>
        <v>FACTORY2</v>
      </c>
      <c r="H383" s="25" t="str">
        <f>IF('query (2)'!C383="","",'query (2)'!C383)</f>
        <v>FACTORY2</v>
      </c>
      <c r="I383" s="24" t="str" cm="1">
        <f t="array" ref="I383">_xlfn.IFS($G383="UNKNOWN","UNKNOWN",OR($G383="FACTORY1",$G383="FACTORY2",$G383="FACTORY3"),"PLANT",TRUE,"SHARED")</f>
        <v>PLANT</v>
      </c>
      <c r="J383" s="24" t="str">
        <f>IF('query (2)'!D383="","UNKNOWN",IF(COUNTIF(Cleaning_Rules!$A$6:$A$11,TRIM('query (2)'!D383))&gt;0,"UNKNOWN",IFERROR(INDEX(Cleaning_Rules!$B$24:$B$28,MATCH(TRIM(UPPER('query (2)'!D383)),Cleaning_Rules!$A$24:$A$28,0)),TRIM(UPPER('query (2)'!D383)))))</f>
        <v>SB6</v>
      </c>
      <c r="K383" s="25" t="str">
        <f>IF('query (2)'!D383="","",'query (2)'!D383)</f>
        <v>SB6</v>
      </c>
      <c r="L383" s="24" t="str">
        <f>IF($J383="UNKNOWN","",_xlfn.TEXTBEFORE($J383,{"0","1","2","3","4","5","6","7","8","9"," ","-","."},1,,,$J383))</f>
        <v>SB</v>
      </c>
      <c r="M383" s="24" t="str">
        <f>IF('query (2)'!I383&lt;&gt;"",TRIM(UPPER('query (2)'!I383)),IF($L383="","UNKNOWN",$L383))</f>
        <v>SB</v>
      </c>
      <c r="N383" s="24" t="str">
        <f>IF('query (2)'!I383&lt;&gt;"","SOURCE",IF($L383="","UNKNOWN","DERIVED"))</f>
        <v>SOURCE</v>
      </c>
      <c r="O383" s="24" t="str">
        <f>IF('query (2)'!E383="","NOT_SPECIFIED",TRIM(UPPER('query (2)'!E383)))</f>
        <v>GRINDING 2</v>
      </c>
      <c r="P383" s="24" t="str">
        <f>IF('query (2)'!F383="","",TRIM(UPPER('query (2)'!F383)))</f>
        <v>1220-SB6G</v>
      </c>
      <c r="Q383" s="24" t="str">
        <f>IF('query (2)'!G383="","UNKNOWN",IFERROR(INDEX(Cleaning_Rules!$B$38:$B$46,MATCH(TRIM(UPPER('query (2)'!G383)),Cleaning_Rules!$A$38:$A$46,0)),"UNKNOWN"))</f>
        <v>OTHER</v>
      </c>
      <c r="R383" s="24" t="str">
        <f>IF('query (2)'!H383="","",TRIM(UPPER('query (2)'!H383)))</f>
        <v>INNER RING BORE GRINDING M/C</v>
      </c>
      <c r="S383" s="25" t="str">
        <f>IF('query (2)'!H383="","",'query (2)'!H383)</f>
        <v>Inner ring bore grinding M/C</v>
      </c>
      <c r="T383" s="24" t="str">
        <f>IF('query (2)'!J383="","",TRIM(UPPER('query (2)'!J383)))</f>
        <v>B - BORE GRINDING</v>
      </c>
      <c r="U383" s="24" t="str">
        <f t="shared" si="38"/>
        <v/>
      </c>
      <c r="V383" s="24" t="str">
        <f>IF('query (2)'!K383="","NOT_SPECIFIED",IFERROR(INDEX(Cleaning_Rules!$B$32:$B$34,MATCH(TRIM(UPPER('query (2)'!K383)),Cleaning_Rules!$A$32:$A$34,0)),"UNKNOWN"))</f>
        <v>NOT_SPECIFIED</v>
      </c>
      <c r="W383" s="24" t="str">
        <f t="shared" si="39"/>
        <v>GR-778 | FACTORY2 | SB6 | SB | GRINDING 2 | 1220-SB6G | OTHER | INNER RING BORE GRINDING M/C | B - BORE GRINDING | NOT_SPECIFIED</v>
      </c>
      <c r="X383" s="24" t="str">
        <f t="shared" si="40"/>
        <v/>
      </c>
      <c r="Y383" s="24" t="str">
        <f t="shared" si="41"/>
        <v>MISSING_STATUS; CATEGORY_NOT_USEFUL</v>
      </c>
    </row>
    <row r="384" spans="1:25" x14ac:dyDescent="0.3">
      <c r="A384" s="24" t="str">
        <f t="shared" si="35"/>
        <v>DE-779#0383</v>
      </c>
      <c r="B384" s="24" t="str">
        <f>IF('query (2)'!B384="","",TRIM(UPPER('query (2)'!B384)))</f>
        <v>DE-779</v>
      </c>
      <c r="C384" s="25" t="str">
        <f>IF('query (2)'!B384="","",'query (2)'!B384)</f>
        <v>DE-779</v>
      </c>
      <c r="D384" s="24" t="str">
        <f t="shared" si="36"/>
        <v>DE</v>
      </c>
      <c r="E384" s="24">
        <f t="shared" si="37"/>
        <v>1</v>
      </c>
      <c r="F384" s="24">
        <f>IF('query (2)'!A384="","",IFERROR(VALUE('query (2)'!A384),""))</f>
        <v>402</v>
      </c>
      <c r="G384" s="24" t="str">
        <f>IF('query (2)'!C384="","UNKNOWN",IFERROR(INDEX(Cleaning_Rules!$B$15:$B$20,MATCH(TRIM(UPPER('query (2)'!C384)),Cleaning_Rules!$A$15:$A$20,0)),"UNKNOWN"))</f>
        <v>FACTORY2</v>
      </c>
      <c r="H384" s="25" t="str">
        <f>IF('query (2)'!C384="","",'query (2)'!C384)</f>
        <v>FACTORY2</v>
      </c>
      <c r="I384" s="24" t="str" cm="1">
        <f t="array" ref="I384">_xlfn.IFS($G384="UNKNOWN","UNKNOWN",OR($G384="FACTORY1",$G384="FACTORY2",$G384="FACTORY3"),"PLANT",TRUE,"SHARED")</f>
        <v>PLANT</v>
      </c>
      <c r="J384" s="24" t="str">
        <f>IF('query (2)'!D384="","UNKNOWN",IF(COUNTIF(Cleaning_Rules!$A$6:$A$11,TRIM('query (2)'!D384))&gt;0,"UNKNOWN",IFERROR(INDEX(Cleaning_Rules!$B$24:$B$28,MATCH(TRIM(UPPER('query (2)'!D384)),Cleaning_Rules!$A$24:$A$28,0)),TRIM(UPPER('query (2)'!D384)))))</f>
        <v>SB6</v>
      </c>
      <c r="K384" s="25" t="str">
        <f>IF('query (2)'!D384="","",'query (2)'!D384)</f>
        <v>SB6</v>
      </c>
      <c r="L384" s="24" t="str">
        <f>IF($J384="UNKNOWN","",_xlfn.TEXTBEFORE($J384,{"0","1","2","3","4","5","6","7","8","9"," ","-","."},1,,,$J384))</f>
        <v>SB</v>
      </c>
      <c r="M384" s="24" t="str">
        <f>IF('query (2)'!I384&lt;&gt;"",TRIM(UPPER('query (2)'!I384)),IF($L384="","UNKNOWN",$L384))</f>
        <v>SB</v>
      </c>
      <c r="N384" s="24" t="str">
        <f>IF('query (2)'!I384&lt;&gt;"","SOURCE",IF($L384="","UNKNOWN","DERIVED"))</f>
        <v>SOURCE</v>
      </c>
      <c r="O384" s="24" t="str">
        <f>IF('query (2)'!E384="","NOT_SPECIFIED",TRIM(UPPER('query (2)'!E384)))</f>
        <v>GRINDING 2</v>
      </c>
      <c r="P384" s="24" t="str">
        <f>IF('query (2)'!F384="","",TRIM(UPPER('query (2)'!F384)))</f>
        <v>1220-SB6G</v>
      </c>
      <c r="Q384" s="24" t="str">
        <f>IF('query (2)'!G384="","UNKNOWN",IFERROR(INDEX(Cleaning_Rules!$B$38:$B$46,MATCH(TRIM(UPPER('query (2)'!G384)),Cleaning_Rules!$A$38:$A$46,0)),"UNKNOWN"))</f>
        <v>OTHER</v>
      </c>
      <c r="R384" s="24" t="str">
        <f>IF('query (2)'!H384="","",TRIM(UPPER('query (2)'!H384)))</f>
        <v>DEMAGNETIZING FOR INNER RING M/C</v>
      </c>
      <c r="S384" s="25" t="str">
        <f>IF('query (2)'!H384="","",'query (2)'!H384)</f>
        <v>Demagnetizing for  inner  ring  M/C</v>
      </c>
      <c r="T384" s="24" t="str">
        <f>IF('query (2)'!J384="","",TRIM(UPPER('query (2)'!J384)))</f>
        <v>B - DEMAGNETIZING</v>
      </c>
      <c r="U384" s="24" t="str">
        <f t="shared" si="38"/>
        <v/>
      </c>
      <c r="V384" s="24" t="str">
        <f>IF('query (2)'!K384="","NOT_SPECIFIED",IFERROR(INDEX(Cleaning_Rules!$B$32:$B$34,MATCH(TRIM(UPPER('query (2)'!K384)),Cleaning_Rules!$A$32:$A$34,0)),"UNKNOWN"))</f>
        <v>NOT_SPECIFIED</v>
      </c>
      <c r="W384" s="24" t="str">
        <f t="shared" si="39"/>
        <v>DE-779 | FACTORY2 | SB6 | SB | GRINDING 2 | 1220-SB6G | OTHER | DEMAGNETIZING FOR INNER RING M/C | B - DEMAGNETIZING | NOT_SPECIFIED</v>
      </c>
      <c r="X384" s="24" t="str">
        <f t="shared" si="40"/>
        <v/>
      </c>
      <c r="Y384" s="24" t="str">
        <f t="shared" si="41"/>
        <v>MISSING_STATUS; CATEGORY_NOT_USEFUL</v>
      </c>
    </row>
    <row r="385" spans="1:25" x14ac:dyDescent="0.3">
      <c r="A385" s="24" t="str">
        <f t="shared" si="35"/>
        <v>GR-780#0384</v>
      </c>
      <c r="B385" s="24" t="str">
        <f>IF('query (2)'!B385="","",TRIM(UPPER('query (2)'!B385)))</f>
        <v>GR-780</v>
      </c>
      <c r="C385" s="25" t="str">
        <f>IF('query (2)'!B385="","",'query (2)'!B385)</f>
        <v>GR-780</v>
      </c>
      <c r="D385" s="24" t="str">
        <f t="shared" si="36"/>
        <v>GR</v>
      </c>
      <c r="E385" s="24">
        <f t="shared" si="37"/>
        <v>1</v>
      </c>
      <c r="F385" s="24">
        <f>IF('query (2)'!A385="","",IFERROR(VALUE('query (2)'!A385),""))</f>
        <v>403</v>
      </c>
      <c r="G385" s="24" t="str">
        <f>IF('query (2)'!C385="","UNKNOWN",IFERROR(INDEX(Cleaning_Rules!$B$15:$B$20,MATCH(TRIM(UPPER('query (2)'!C385)),Cleaning_Rules!$A$15:$A$20,0)),"UNKNOWN"))</f>
        <v>FACTORY2</v>
      </c>
      <c r="H385" s="25" t="str">
        <f>IF('query (2)'!C385="","",'query (2)'!C385)</f>
        <v>FACTORY2</v>
      </c>
      <c r="I385" s="24" t="str" cm="1">
        <f t="array" ref="I385">_xlfn.IFS($G385="UNKNOWN","UNKNOWN",OR($G385="FACTORY1",$G385="FACTORY2",$G385="FACTORY3"),"PLANT",TRUE,"SHARED")</f>
        <v>PLANT</v>
      </c>
      <c r="J385" s="24" t="str">
        <f>IF('query (2)'!D385="","UNKNOWN",IF(COUNTIF(Cleaning_Rules!$A$6:$A$11,TRIM('query (2)'!D385))&gt;0,"UNKNOWN",IFERROR(INDEX(Cleaning_Rules!$B$24:$B$28,MATCH(TRIM(UPPER('query (2)'!D385)),Cleaning_Rules!$A$24:$A$28,0)),TRIM(UPPER('query (2)'!D385)))))</f>
        <v>SB6</v>
      </c>
      <c r="K385" s="25" t="str">
        <f>IF('query (2)'!D385="","",'query (2)'!D385)</f>
        <v>SB6</v>
      </c>
      <c r="L385" s="24" t="str">
        <f>IF($J385="UNKNOWN","",_xlfn.TEXTBEFORE($J385,{"0","1","2","3","4","5","6","7","8","9"," ","-","."},1,,,$J385))</f>
        <v>SB</v>
      </c>
      <c r="M385" s="24" t="str">
        <f>IF('query (2)'!I385&lt;&gt;"",TRIM(UPPER('query (2)'!I385)),IF($L385="","UNKNOWN",$L385))</f>
        <v>SB</v>
      </c>
      <c r="N385" s="24" t="str">
        <f>IF('query (2)'!I385&lt;&gt;"","SOURCE",IF($L385="","UNKNOWN","DERIVED"))</f>
        <v>SOURCE</v>
      </c>
      <c r="O385" s="24" t="str">
        <f>IF('query (2)'!E385="","NOT_SPECIFIED",TRIM(UPPER('query (2)'!E385)))</f>
        <v>GRINDING 2</v>
      </c>
      <c r="P385" s="24" t="str">
        <f>IF('query (2)'!F385="","",TRIM(UPPER('query (2)'!F385)))</f>
        <v>1220-SB6G</v>
      </c>
      <c r="Q385" s="24" t="str">
        <f>IF('query (2)'!G385="","UNKNOWN",IFERROR(INDEX(Cleaning_Rules!$B$38:$B$46,MATCH(TRIM(UPPER('query (2)'!G385)),Cleaning_Rules!$A$38:$A$46,0)),"UNKNOWN"))</f>
        <v>OTHER</v>
      </c>
      <c r="R385" s="24" t="str">
        <f>IF('query (2)'!H385="","",TRIM(UPPER('query (2)'!H385)))</f>
        <v>INNER RING RACEWAY SUPER FINISH M/C</v>
      </c>
      <c r="S385" s="25" t="str">
        <f>IF('query (2)'!H385="","",'query (2)'!H385)</f>
        <v>Inner ring raceway super finish M/C</v>
      </c>
      <c r="T385" s="24" t="str">
        <f>IF('query (2)'!J385="","",TRIM(UPPER('query (2)'!J385)))</f>
        <v>B - RACEWAY SUPER FINISH</v>
      </c>
      <c r="U385" s="24" t="str">
        <f t="shared" si="38"/>
        <v/>
      </c>
      <c r="V385" s="24" t="str">
        <f>IF('query (2)'!K385="","NOT_SPECIFIED",IFERROR(INDEX(Cleaning_Rules!$B$32:$B$34,MATCH(TRIM(UPPER('query (2)'!K385)),Cleaning_Rules!$A$32:$A$34,0)),"UNKNOWN"))</f>
        <v>NOT_SPECIFIED</v>
      </c>
      <c r="W385" s="24" t="str">
        <f t="shared" si="39"/>
        <v>GR-780 | FACTORY2 | SB6 | SB | GRINDING 2 | 1220-SB6G | OTHER | INNER RING RACEWAY SUPER FINISH M/C | B - RACEWAY SUPER FINISH | NOT_SPECIFIED</v>
      </c>
      <c r="X385" s="24" t="str">
        <f t="shared" si="40"/>
        <v/>
      </c>
      <c r="Y385" s="24" t="str">
        <f t="shared" si="41"/>
        <v>MISSING_STATUS; CATEGORY_NOT_USEFUL</v>
      </c>
    </row>
    <row r="386" spans="1:25" x14ac:dyDescent="0.3">
      <c r="A386" s="24" t="str">
        <f t="shared" si="35"/>
        <v>GR-783#0385</v>
      </c>
      <c r="B386" s="24" t="str">
        <f>IF('query (2)'!B386="","",TRIM(UPPER('query (2)'!B386)))</f>
        <v>GR-783</v>
      </c>
      <c r="C386" s="25" t="str">
        <f>IF('query (2)'!B386="","",'query (2)'!B386)</f>
        <v>GR-783</v>
      </c>
      <c r="D386" s="24" t="str">
        <f t="shared" si="36"/>
        <v>GR</v>
      </c>
      <c r="E386" s="24">
        <f t="shared" si="37"/>
        <v>1</v>
      </c>
      <c r="F386" s="24">
        <f>IF('query (2)'!A386="","",IFERROR(VALUE('query (2)'!A386),""))</f>
        <v>404</v>
      </c>
      <c r="G386" s="24" t="str">
        <f>IF('query (2)'!C386="","UNKNOWN",IFERROR(INDEX(Cleaning_Rules!$B$15:$B$20,MATCH(TRIM(UPPER('query (2)'!C386)),Cleaning_Rules!$A$15:$A$20,0)),"UNKNOWN"))</f>
        <v>FACTORY2</v>
      </c>
      <c r="H386" s="25" t="str">
        <f>IF('query (2)'!C386="","",'query (2)'!C386)</f>
        <v>FACTORY2</v>
      </c>
      <c r="I386" s="24" t="str" cm="1">
        <f t="array" ref="I386">_xlfn.IFS($G386="UNKNOWN","UNKNOWN",OR($G386="FACTORY1",$G386="FACTORY2",$G386="FACTORY3"),"PLANT",TRUE,"SHARED")</f>
        <v>PLANT</v>
      </c>
      <c r="J386" s="24" t="str">
        <f>IF('query (2)'!D386="","UNKNOWN",IF(COUNTIF(Cleaning_Rules!$A$6:$A$11,TRIM('query (2)'!D386))&gt;0,"UNKNOWN",IFERROR(INDEX(Cleaning_Rules!$B$24:$B$28,MATCH(TRIM(UPPER('query (2)'!D386)),Cleaning_Rules!$A$24:$A$28,0)),TRIM(UPPER('query (2)'!D386)))))</f>
        <v>SB6</v>
      </c>
      <c r="K386" s="25" t="str">
        <f>IF('query (2)'!D386="","",'query (2)'!D386)</f>
        <v>SB6</v>
      </c>
      <c r="L386" s="24" t="str">
        <f>IF($J386="UNKNOWN","",_xlfn.TEXTBEFORE($J386,{"0","1","2","3","4","5","6","7","8","9"," ","-","."},1,,,$J386))</f>
        <v>SB</v>
      </c>
      <c r="M386" s="24" t="str">
        <f>IF('query (2)'!I386&lt;&gt;"",TRIM(UPPER('query (2)'!I386)),IF($L386="","UNKNOWN",$L386))</f>
        <v>SB</v>
      </c>
      <c r="N386" s="24" t="str">
        <f>IF('query (2)'!I386&lt;&gt;"","SOURCE",IF($L386="","UNKNOWN","DERIVED"))</f>
        <v>SOURCE</v>
      </c>
      <c r="O386" s="24" t="str">
        <f>IF('query (2)'!E386="","NOT_SPECIFIED",TRIM(UPPER('query (2)'!E386)))</f>
        <v>GRINDING 2</v>
      </c>
      <c r="P386" s="24" t="str">
        <f>IF('query (2)'!F386="","",TRIM(UPPER('query (2)'!F386)))</f>
        <v>1220-SB6G</v>
      </c>
      <c r="Q386" s="24" t="str">
        <f>IF('query (2)'!G386="","UNKNOWN",IFERROR(INDEX(Cleaning_Rules!$B$38:$B$46,MATCH(TRIM(UPPER('query (2)'!G386)),Cleaning_Rules!$A$38:$A$46,0)),"UNKNOWN"))</f>
        <v>OTHER</v>
      </c>
      <c r="R386" s="24" t="str">
        <f>IF('query (2)'!H386="","",TRIM(UPPER('query (2)'!H386)))</f>
        <v>OUTER RING RACEWAY GRINDING M/C</v>
      </c>
      <c r="S386" s="25" t="str">
        <f>IF('query (2)'!H386="","",'query (2)'!H386)</f>
        <v>Outer ring raceway grinding M/C</v>
      </c>
      <c r="T386" s="24" t="str">
        <f>IF('query (2)'!J386="","",TRIM(UPPER('query (2)'!J386)))</f>
        <v>A - RACEWAY GRINDING</v>
      </c>
      <c r="U386" s="24" t="str">
        <f t="shared" si="38"/>
        <v/>
      </c>
      <c r="V386" s="24" t="str">
        <f>IF('query (2)'!K386="","NOT_SPECIFIED",IFERROR(INDEX(Cleaning_Rules!$B$32:$B$34,MATCH(TRIM(UPPER('query (2)'!K386)),Cleaning_Rules!$A$32:$A$34,0)),"UNKNOWN"))</f>
        <v>NOT_SPECIFIED</v>
      </c>
      <c r="W386" s="24" t="str">
        <f t="shared" si="39"/>
        <v>GR-783 | FACTORY2 | SB6 | SB | GRINDING 2 | 1220-SB6G | OTHER | OUTER RING RACEWAY GRINDING M/C | A - RACEWAY GRINDING | NOT_SPECIFIED</v>
      </c>
      <c r="X386" s="24" t="str">
        <f t="shared" si="40"/>
        <v/>
      </c>
      <c r="Y386" s="24" t="str">
        <f t="shared" si="41"/>
        <v>MISSING_STATUS; CATEGORY_NOT_USEFUL</v>
      </c>
    </row>
    <row r="387" spans="1:25" x14ac:dyDescent="0.3">
      <c r="A387" s="24" t="str">
        <f t="shared" ref="A387:A450" si="42">IF($B387="","NO_QR#"&amp;TEXT(ROW()-1,"0000"),$B387&amp;"#"&amp;TEXT(ROW()-1,"0000"))</f>
        <v>DE-784#0386</v>
      </c>
      <c r="B387" s="24" t="str">
        <f>IF('query (2)'!B387="","",TRIM(UPPER('query (2)'!B387)))</f>
        <v>DE-784</v>
      </c>
      <c r="C387" s="25" t="str">
        <f>IF('query (2)'!B387="","",'query (2)'!B387)</f>
        <v>DE-784</v>
      </c>
      <c r="D387" s="24" t="str">
        <f t="shared" ref="D387:D450" si="43">IF($B387="","",IFERROR(_xlfn.TEXTBEFORE($B387,"-"),"NO_PREFIX"))</f>
        <v>DE</v>
      </c>
      <c r="E387" s="24">
        <f t="shared" ref="E387:E450" si="44">IF($B387="","",COUNTIF($B$2:$B$974,$B387))</f>
        <v>1</v>
      </c>
      <c r="F387" s="24">
        <f>IF('query (2)'!A387="","",IFERROR(VALUE('query (2)'!A387),""))</f>
        <v>405</v>
      </c>
      <c r="G387" s="24" t="str">
        <f>IF('query (2)'!C387="","UNKNOWN",IFERROR(INDEX(Cleaning_Rules!$B$15:$B$20,MATCH(TRIM(UPPER('query (2)'!C387)),Cleaning_Rules!$A$15:$A$20,0)),"UNKNOWN"))</f>
        <v>FACTORY2</v>
      </c>
      <c r="H387" s="25" t="str">
        <f>IF('query (2)'!C387="","",'query (2)'!C387)</f>
        <v>FACTORY2</v>
      </c>
      <c r="I387" s="24" t="str" cm="1">
        <f t="array" ref="I387">_xlfn.IFS($G387="UNKNOWN","UNKNOWN",OR($G387="FACTORY1",$G387="FACTORY2",$G387="FACTORY3"),"PLANT",TRUE,"SHARED")</f>
        <v>PLANT</v>
      </c>
      <c r="J387" s="24" t="str">
        <f>IF('query (2)'!D387="","UNKNOWN",IF(COUNTIF(Cleaning_Rules!$A$6:$A$11,TRIM('query (2)'!D387))&gt;0,"UNKNOWN",IFERROR(INDEX(Cleaning_Rules!$B$24:$B$28,MATCH(TRIM(UPPER('query (2)'!D387)),Cleaning_Rules!$A$24:$A$28,0)),TRIM(UPPER('query (2)'!D387)))))</f>
        <v>SB6</v>
      </c>
      <c r="K387" s="25" t="str">
        <f>IF('query (2)'!D387="","",'query (2)'!D387)</f>
        <v>SB6</v>
      </c>
      <c r="L387" s="24" t="str">
        <f>IF($J387="UNKNOWN","",_xlfn.TEXTBEFORE($J387,{"0","1","2","3","4","5","6","7","8","9"," ","-","."},1,,,$J387))</f>
        <v>SB</v>
      </c>
      <c r="M387" s="24" t="str">
        <f>IF('query (2)'!I387&lt;&gt;"",TRIM(UPPER('query (2)'!I387)),IF($L387="","UNKNOWN",$L387))</f>
        <v>SB</v>
      </c>
      <c r="N387" s="24" t="str">
        <f>IF('query (2)'!I387&lt;&gt;"","SOURCE",IF($L387="","UNKNOWN","DERIVED"))</f>
        <v>SOURCE</v>
      </c>
      <c r="O387" s="24" t="str">
        <f>IF('query (2)'!E387="","NOT_SPECIFIED",TRIM(UPPER('query (2)'!E387)))</f>
        <v>GRINDING 2</v>
      </c>
      <c r="P387" s="24" t="str">
        <f>IF('query (2)'!F387="","",TRIM(UPPER('query (2)'!F387)))</f>
        <v>1220-SB6G</v>
      </c>
      <c r="Q387" s="24" t="str">
        <f>IF('query (2)'!G387="","UNKNOWN",IFERROR(INDEX(Cleaning_Rules!$B$38:$B$46,MATCH(TRIM(UPPER('query (2)'!G387)),Cleaning_Rules!$A$38:$A$46,0)),"UNKNOWN"))</f>
        <v>OTHER</v>
      </c>
      <c r="R387" s="24" t="str">
        <f>IF('query (2)'!H387="","",TRIM(UPPER('query (2)'!H387)))</f>
        <v>DEMAGNETIZING FOR OUTER RING M/C</v>
      </c>
      <c r="S387" s="25" t="str">
        <f>IF('query (2)'!H387="","",'query (2)'!H387)</f>
        <v>Demagnetizing  for  outer  ring  M/C</v>
      </c>
      <c r="T387" s="24" t="str">
        <f>IF('query (2)'!J387="","",TRIM(UPPER('query (2)'!J387)))</f>
        <v>A - DEMAGNETIZING</v>
      </c>
      <c r="U387" s="24" t="str">
        <f t="shared" ref="U387:U450" si="45">IFERROR(IF(ISNUMBER(VALUE(MID($R387,SEARCH("(??-???)",$R387)+4,3))),MID($R387,SEARCH("(??-???)",$R387)+1,6),""),"")</f>
        <v/>
      </c>
      <c r="V387" s="24" t="str">
        <f>IF('query (2)'!K387="","NOT_SPECIFIED",IFERROR(INDEX(Cleaning_Rules!$B$32:$B$34,MATCH(TRIM(UPPER('query (2)'!K387)),Cleaning_Rules!$A$32:$A$34,0)),"UNKNOWN"))</f>
        <v>NOT_SPECIFIED</v>
      </c>
      <c r="W387" s="24" t="str">
        <f t="shared" ref="W387:W450" si="46">_xlfn.TEXTJOIN(" | ",TRUE,$B387,$G387,$J387,$M387,$O387,$P387,$Q387,$R387,$T387,$V387)</f>
        <v>DE-784 | FACTORY2 | SB6 | SB | GRINDING 2 | 1220-SB6G | OTHER | DEMAGNETIZING FOR OUTER RING M/C | A - DEMAGNETIZING | NOT_SPECIFIED</v>
      </c>
      <c r="X387" s="24" t="str">
        <f t="shared" ref="X387:X450" si="47">_xlfn.TEXTJOIN("; ",TRUE,IF($B387="","MISSING_QR",""),IF(N($E387)&gt;1,"DUPLICATE_QR",""),IF($F387="","MISSING_NO",""),IF($G387="UNKNOWN","MISSING_LOCATION",""),IF($J387="UNKNOWN","MISSING_DEPARTMENT",""),IF($N387="UNKNOWN","MISSING_SECTION",""),IF($O387="NOT_SPECIFIED","MISSING_RESPONSIBLE",""),IF($P387="","MISSING_COST_CENTER",""),IF($Q387="UNKNOWN","MISSING_CATEGORY",""),IF($R387="","MISSING_DESCRIPTION",""))</f>
        <v/>
      </c>
      <c r="Y387" s="24" t="str">
        <f t="shared" ref="Y387:Y450" si="48">_xlfn.TEXTJOIN("; ",TRUE,IF($V387="NOT_SPECIFIED","MISSING_STATUS",""),IF($Q387="OTHER","CATEGORY_NOT_USEFUL",""),IF($T387="","MISSING_PRODUCTION_NAME",""),IF($N387="DERIVED","SECTION_DERIVED",""))</f>
        <v>MISSING_STATUS; CATEGORY_NOT_USEFUL</v>
      </c>
    </row>
    <row r="388" spans="1:25" x14ac:dyDescent="0.3">
      <c r="A388" s="24" t="str">
        <f t="shared" si="42"/>
        <v>GR-785#0387</v>
      </c>
      <c r="B388" s="24" t="str">
        <f>IF('query (2)'!B388="","",TRIM(UPPER('query (2)'!B388)))</f>
        <v>GR-785</v>
      </c>
      <c r="C388" s="25" t="str">
        <f>IF('query (2)'!B388="","",'query (2)'!B388)</f>
        <v>GR-785</v>
      </c>
      <c r="D388" s="24" t="str">
        <f t="shared" si="43"/>
        <v>GR</v>
      </c>
      <c r="E388" s="24">
        <f t="shared" si="44"/>
        <v>1</v>
      </c>
      <c r="F388" s="24">
        <f>IF('query (2)'!A388="","",IFERROR(VALUE('query (2)'!A388),""))</f>
        <v>406</v>
      </c>
      <c r="G388" s="24" t="str">
        <f>IF('query (2)'!C388="","UNKNOWN",IFERROR(INDEX(Cleaning_Rules!$B$15:$B$20,MATCH(TRIM(UPPER('query (2)'!C388)),Cleaning_Rules!$A$15:$A$20,0)),"UNKNOWN"))</f>
        <v>FACTORY2</v>
      </c>
      <c r="H388" s="25" t="str">
        <f>IF('query (2)'!C388="","",'query (2)'!C388)</f>
        <v>FACTORY2</v>
      </c>
      <c r="I388" s="24" t="str" cm="1">
        <f t="array" ref="I388">_xlfn.IFS($G388="UNKNOWN","UNKNOWN",OR($G388="FACTORY1",$G388="FACTORY2",$G388="FACTORY3"),"PLANT",TRUE,"SHARED")</f>
        <v>PLANT</v>
      </c>
      <c r="J388" s="24" t="str">
        <f>IF('query (2)'!D388="","UNKNOWN",IF(COUNTIF(Cleaning_Rules!$A$6:$A$11,TRIM('query (2)'!D388))&gt;0,"UNKNOWN",IFERROR(INDEX(Cleaning_Rules!$B$24:$B$28,MATCH(TRIM(UPPER('query (2)'!D388)),Cleaning_Rules!$A$24:$A$28,0)),TRIM(UPPER('query (2)'!D388)))))</f>
        <v>SB6</v>
      </c>
      <c r="K388" s="25" t="str">
        <f>IF('query (2)'!D388="","",'query (2)'!D388)</f>
        <v>SB6</v>
      </c>
      <c r="L388" s="24" t="str">
        <f>IF($J388="UNKNOWN","",_xlfn.TEXTBEFORE($J388,{"0","1","2","3","4","5","6","7","8","9"," ","-","."},1,,,$J388))</f>
        <v>SB</v>
      </c>
      <c r="M388" s="24" t="str">
        <f>IF('query (2)'!I388&lt;&gt;"",TRIM(UPPER('query (2)'!I388)),IF($L388="","UNKNOWN",$L388))</f>
        <v>SB</v>
      </c>
      <c r="N388" s="24" t="str">
        <f>IF('query (2)'!I388&lt;&gt;"","SOURCE",IF($L388="","UNKNOWN","DERIVED"))</f>
        <v>SOURCE</v>
      </c>
      <c r="O388" s="24" t="str">
        <f>IF('query (2)'!E388="","NOT_SPECIFIED",TRIM(UPPER('query (2)'!E388)))</f>
        <v>GRINDING 2</v>
      </c>
      <c r="P388" s="24" t="str">
        <f>IF('query (2)'!F388="","",TRIM(UPPER('query (2)'!F388)))</f>
        <v>1220-SB6G</v>
      </c>
      <c r="Q388" s="24" t="str">
        <f>IF('query (2)'!G388="","UNKNOWN",IFERROR(INDEX(Cleaning_Rules!$B$38:$B$46,MATCH(TRIM(UPPER('query (2)'!G388)),Cleaning_Rules!$A$38:$A$46,0)),"UNKNOWN"))</f>
        <v>OTHER</v>
      </c>
      <c r="R388" s="24" t="str">
        <f>IF('query (2)'!H388="","",TRIM(UPPER('query (2)'!H388)))</f>
        <v>OUTER RING RACEWAY SUPER FINISH M/C</v>
      </c>
      <c r="S388" s="25" t="str">
        <f>IF('query (2)'!H388="","",'query (2)'!H388)</f>
        <v>Outer ring raceway super finish M/C</v>
      </c>
      <c r="T388" s="24" t="str">
        <f>IF('query (2)'!J388="","",TRIM(UPPER('query (2)'!J388)))</f>
        <v>A - RACEWAY SUPER FINISH</v>
      </c>
      <c r="U388" s="24" t="str">
        <f t="shared" si="45"/>
        <v/>
      </c>
      <c r="V388" s="24" t="str">
        <f>IF('query (2)'!K388="","NOT_SPECIFIED",IFERROR(INDEX(Cleaning_Rules!$B$32:$B$34,MATCH(TRIM(UPPER('query (2)'!K388)),Cleaning_Rules!$A$32:$A$34,0)),"UNKNOWN"))</f>
        <v>NOT_SPECIFIED</v>
      </c>
      <c r="W388" s="24" t="str">
        <f t="shared" si="46"/>
        <v>GR-785 | FACTORY2 | SB6 | SB | GRINDING 2 | 1220-SB6G | OTHER | OUTER RING RACEWAY SUPER FINISH M/C | A - RACEWAY SUPER FINISH | NOT_SPECIFIED</v>
      </c>
      <c r="X388" s="24" t="str">
        <f t="shared" si="47"/>
        <v/>
      </c>
      <c r="Y388" s="24" t="str">
        <f t="shared" si="48"/>
        <v>MISSING_STATUS; CATEGORY_NOT_USEFUL</v>
      </c>
    </row>
    <row r="389" spans="1:25" x14ac:dyDescent="0.3">
      <c r="A389" s="24" t="str">
        <f t="shared" si="42"/>
        <v>WA-786#0388</v>
      </c>
      <c r="B389" s="24" t="str">
        <f>IF('query (2)'!B389="","",TRIM(UPPER('query (2)'!B389)))</f>
        <v>WA-786</v>
      </c>
      <c r="C389" s="25" t="str">
        <f>IF('query (2)'!B389="","",'query (2)'!B389)</f>
        <v>WA-786</v>
      </c>
      <c r="D389" s="24" t="str">
        <f t="shared" si="43"/>
        <v>WA</v>
      </c>
      <c r="E389" s="24">
        <f t="shared" si="44"/>
        <v>1</v>
      </c>
      <c r="F389" s="24">
        <f>IF('query (2)'!A389="","",IFERROR(VALUE('query (2)'!A389),""))</f>
        <v>407</v>
      </c>
      <c r="G389" s="24" t="str">
        <f>IF('query (2)'!C389="","UNKNOWN",IFERROR(INDEX(Cleaning_Rules!$B$15:$B$20,MATCH(TRIM(UPPER('query (2)'!C389)),Cleaning_Rules!$A$15:$A$20,0)),"UNKNOWN"))</f>
        <v>FACTORY2</v>
      </c>
      <c r="H389" s="25" t="str">
        <f>IF('query (2)'!C389="","",'query (2)'!C389)</f>
        <v>FACTORY2</v>
      </c>
      <c r="I389" s="24" t="str" cm="1">
        <f t="array" ref="I389">_xlfn.IFS($G389="UNKNOWN","UNKNOWN",OR($G389="FACTORY1",$G389="FACTORY2",$G389="FACTORY3"),"PLANT",TRUE,"SHARED")</f>
        <v>PLANT</v>
      </c>
      <c r="J389" s="24" t="str">
        <f>IF('query (2)'!D389="","UNKNOWN",IF(COUNTIF(Cleaning_Rules!$A$6:$A$11,TRIM('query (2)'!D389))&gt;0,"UNKNOWN",IFERROR(INDEX(Cleaning_Rules!$B$24:$B$28,MATCH(TRIM(UPPER('query (2)'!D389)),Cleaning_Rules!$A$24:$A$28,0)),TRIM(UPPER('query (2)'!D389)))))</f>
        <v>SB6</v>
      </c>
      <c r="K389" s="25" t="str">
        <f>IF('query (2)'!D389="","",'query (2)'!D389)</f>
        <v>SB6</v>
      </c>
      <c r="L389" s="24" t="str">
        <f>IF($J389="UNKNOWN","",_xlfn.TEXTBEFORE($J389,{"0","1","2","3","4","5","6","7","8","9"," ","-","."},1,,,$J389))</f>
        <v>SB</v>
      </c>
      <c r="M389" s="24" t="str">
        <f>IF('query (2)'!I389&lt;&gt;"",TRIM(UPPER('query (2)'!I389)),IF($L389="","UNKNOWN",$L389))</f>
        <v>SB</v>
      </c>
      <c r="N389" s="24" t="str">
        <f>IF('query (2)'!I389&lt;&gt;"","SOURCE",IF($L389="","UNKNOWN","DERIVED"))</f>
        <v>SOURCE</v>
      </c>
      <c r="O389" s="24" t="str">
        <f>IF('query (2)'!E389="","NOT_SPECIFIED",TRIM(UPPER('query (2)'!E389)))</f>
        <v>GRINDING 2</v>
      </c>
      <c r="P389" s="24" t="str">
        <f>IF('query (2)'!F389="","",TRIM(UPPER('query (2)'!F389)))</f>
        <v>1220-SB6G</v>
      </c>
      <c r="Q389" s="24" t="str">
        <f>IF('query (2)'!G389="","UNKNOWN",IFERROR(INDEX(Cleaning_Rules!$B$38:$B$46,MATCH(TRIM(UPPER('query (2)'!G389)),Cleaning_Rules!$A$38:$A$46,0)),"UNKNOWN"))</f>
        <v>OTHER</v>
      </c>
      <c r="R389" s="24" t="str">
        <f>IF('query (2)'!H389="","",TRIM(UPPER('query (2)'!H389)))</f>
        <v>OUTER / INNER RING PART WASH EQUIPMENT M/C</v>
      </c>
      <c r="S389" s="25" t="str">
        <f>IF('query (2)'!H389="","",'query (2)'!H389)</f>
        <v>Outer / Inner  ring part wash equipment  M/C</v>
      </c>
      <c r="T389" s="24" t="str">
        <f>IF('query (2)'!J389="","",TRIM(UPPER('query (2)'!J389)))</f>
        <v>A &amp; B - PART WASH EQUIPMENT</v>
      </c>
      <c r="U389" s="24" t="str">
        <f t="shared" si="45"/>
        <v/>
      </c>
      <c r="V389" s="24" t="str">
        <f>IF('query (2)'!K389="","NOT_SPECIFIED",IFERROR(INDEX(Cleaning_Rules!$B$32:$B$34,MATCH(TRIM(UPPER('query (2)'!K389)),Cleaning_Rules!$A$32:$A$34,0)),"UNKNOWN"))</f>
        <v>NOT_SPECIFIED</v>
      </c>
      <c r="W389" s="24" t="str">
        <f t="shared" si="46"/>
        <v>WA-786 | FACTORY2 | SB6 | SB | GRINDING 2 | 1220-SB6G | OTHER | OUTER / INNER RING PART WASH EQUIPMENT M/C | A &amp; B - PART WASH EQUIPMENT | NOT_SPECIFIED</v>
      </c>
      <c r="X389" s="24" t="str">
        <f t="shared" si="47"/>
        <v/>
      </c>
      <c r="Y389" s="24" t="str">
        <f t="shared" si="48"/>
        <v>MISSING_STATUS; CATEGORY_NOT_USEFUL</v>
      </c>
    </row>
    <row r="390" spans="1:25" x14ac:dyDescent="0.3">
      <c r="A390" s="24" t="str">
        <f t="shared" si="42"/>
        <v>AS-788#0389</v>
      </c>
      <c r="B390" s="24" t="str">
        <f>IF('query (2)'!B390="","",TRIM(UPPER('query (2)'!B390)))</f>
        <v>AS-788</v>
      </c>
      <c r="C390" s="25" t="str">
        <f>IF('query (2)'!B390="","",'query (2)'!B390)</f>
        <v>AS-788</v>
      </c>
      <c r="D390" s="24" t="str">
        <f t="shared" si="43"/>
        <v>AS</v>
      </c>
      <c r="E390" s="24">
        <f t="shared" si="44"/>
        <v>1</v>
      </c>
      <c r="F390" s="24">
        <f>IF('query (2)'!A390="","",IFERROR(VALUE('query (2)'!A390),""))</f>
        <v>408</v>
      </c>
      <c r="G390" s="24" t="str">
        <f>IF('query (2)'!C390="","UNKNOWN",IFERROR(INDEX(Cleaning_Rules!$B$15:$B$20,MATCH(TRIM(UPPER('query (2)'!C390)),Cleaning_Rules!$A$15:$A$20,0)),"UNKNOWN"))</f>
        <v>FACTORY2</v>
      </c>
      <c r="H390" s="25" t="str">
        <f>IF('query (2)'!C390="","",'query (2)'!C390)</f>
        <v>FACTORY2</v>
      </c>
      <c r="I390" s="24" t="str" cm="1">
        <f t="array" ref="I390">_xlfn.IFS($G390="UNKNOWN","UNKNOWN",OR($G390="FACTORY1",$G390="FACTORY2",$G390="FACTORY3"),"PLANT",TRUE,"SHARED")</f>
        <v>PLANT</v>
      </c>
      <c r="J390" s="24" t="str">
        <f>IF('query (2)'!D390="","UNKNOWN",IF(COUNTIF(Cleaning_Rules!$A$6:$A$11,TRIM('query (2)'!D390))&gt;0,"UNKNOWN",IFERROR(INDEX(Cleaning_Rules!$B$24:$B$28,MATCH(TRIM(UPPER('query (2)'!D390)),Cleaning_Rules!$A$24:$A$28,0)),TRIM(UPPER('query (2)'!D390)))))</f>
        <v>SB6</v>
      </c>
      <c r="K390" s="25" t="str">
        <f>IF('query (2)'!D390="","",'query (2)'!D390)</f>
        <v>SB6</v>
      </c>
      <c r="L390" s="24" t="str">
        <f>IF($J390="UNKNOWN","",_xlfn.TEXTBEFORE($J390,{"0","1","2","3","4","5","6","7","8","9"," ","-","."},1,,,$J390))</f>
        <v>SB</v>
      </c>
      <c r="M390" s="24" t="str">
        <f>IF('query (2)'!I390&lt;&gt;"",TRIM(UPPER('query (2)'!I390)),IF($L390="","UNKNOWN",$L390))</f>
        <v>SB</v>
      </c>
      <c r="N390" s="24" t="str">
        <f>IF('query (2)'!I390&lt;&gt;"","SOURCE",IF($L390="","UNKNOWN","DERIVED"))</f>
        <v>SOURCE</v>
      </c>
      <c r="O390" s="24" t="str">
        <f>IF('query (2)'!E390="","NOT_SPECIFIED",TRIM(UPPER('query (2)'!E390)))</f>
        <v>ASSEMBLY</v>
      </c>
      <c r="P390" s="24" t="str">
        <f>IF('query (2)'!F390="","",TRIM(UPPER('query (2)'!F390)))</f>
        <v>1221-SB6AI</v>
      </c>
      <c r="Q390" s="24" t="str">
        <f>IF('query (2)'!G390="","UNKNOWN",IFERROR(INDEX(Cleaning_Rules!$B$38:$B$46,MATCH(TRIM(UPPER('query (2)'!G390)),Cleaning_Rules!$A$38:$A$46,0)),"UNKNOWN"))</f>
        <v>OTHER</v>
      </c>
      <c r="R390" s="24" t="str">
        <f>IF('query (2)'!H390="","",TRIM(UPPER('query (2)'!H390)))</f>
        <v>MATCHING &amp; BALL FILLING M/C</v>
      </c>
      <c r="S390" s="25" t="str">
        <f>IF('query (2)'!H390="","",'query (2)'!H390)</f>
        <v>Matching &amp; Ball filling  M/C</v>
      </c>
      <c r="T390" s="24" t="str">
        <f>IF('query (2)'!J390="","",TRIM(UPPER('query (2)'!J390)))</f>
        <v>MATCHING &amp; BALL FILLING</v>
      </c>
      <c r="U390" s="24" t="str">
        <f t="shared" si="45"/>
        <v/>
      </c>
      <c r="V390" s="24" t="str">
        <f>IF('query (2)'!K390="","NOT_SPECIFIED",IFERROR(INDEX(Cleaning_Rules!$B$32:$B$34,MATCH(TRIM(UPPER('query (2)'!K390)),Cleaning_Rules!$A$32:$A$34,0)),"UNKNOWN"))</f>
        <v>NOT_SPECIFIED</v>
      </c>
      <c r="W390" s="24" t="str">
        <f t="shared" si="46"/>
        <v>AS-788 | FACTORY2 | SB6 | SB | ASSEMBLY | 1221-SB6AI | OTHER | MATCHING &amp; BALL FILLING M/C | MATCHING &amp; BALL FILLING | NOT_SPECIFIED</v>
      </c>
      <c r="X390" s="24" t="str">
        <f t="shared" si="47"/>
        <v/>
      </c>
      <c r="Y390" s="24" t="str">
        <f t="shared" si="48"/>
        <v>MISSING_STATUS; CATEGORY_NOT_USEFUL</v>
      </c>
    </row>
    <row r="391" spans="1:25" x14ac:dyDescent="0.3">
      <c r="A391" s="24" t="str">
        <f t="shared" si="42"/>
        <v>AS-789#0390</v>
      </c>
      <c r="B391" s="24" t="str">
        <f>IF('query (2)'!B391="","",TRIM(UPPER('query (2)'!B391)))</f>
        <v>AS-789</v>
      </c>
      <c r="C391" s="25" t="str">
        <f>IF('query (2)'!B391="","",'query (2)'!B391)</f>
        <v>AS-789</v>
      </c>
      <c r="D391" s="24" t="str">
        <f t="shared" si="43"/>
        <v>AS</v>
      </c>
      <c r="E391" s="24">
        <f t="shared" si="44"/>
        <v>1</v>
      </c>
      <c r="F391" s="24">
        <f>IF('query (2)'!A391="","",IFERROR(VALUE('query (2)'!A391),""))</f>
        <v>409</v>
      </c>
      <c r="G391" s="24" t="str">
        <f>IF('query (2)'!C391="","UNKNOWN",IFERROR(INDEX(Cleaning_Rules!$B$15:$B$20,MATCH(TRIM(UPPER('query (2)'!C391)),Cleaning_Rules!$A$15:$A$20,0)),"UNKNOWN"))</f>
        <v>FACTORY2</v>
      </c>
      <c r="H391" s="25" t="str">
        <f>IF('query (2)'!C391="","",'query (2)'!C391)</f>
        <v>FACTORY2</v>
      </c>
      <c r="I391" s="24" t="str" cm="1">
        <f t="array" ref="I391">_xlfn.IFS($G391="UNKNOWN","UNKNOWN",OR($G391="FACTORY1",$G391="FACTORY2",$G391="FACTORY3"),"PLANT",TRUE,"SHARED")</f>
        <v>PLANT</v>
      </c>
      <c r="J391" s="24" t="str">
        <f>IF('query (2)'!D391="","UNKNOWN",IF(COUNTIF(Cleaning_Rules!$A$6:$A$11,TRIM('query (2)'!D391))&gt;0,"UNKNOWN",IFERROR(INDEX(Cleaning_Rules!$B$24:$B$28,MATCH(TRIM(UPPER('query (2)'!D391)),Cleaning_Rules!$A$24:$A$28,0)),TRIM(UPPER('query (2)'!D391)))))</f>
        <v>SB6</v>
      </c>
      <c r="K391" s="25" t="str">
        <f>IF('query (2)'!D391="","",'query (2)'!D391)</f>
        <v>SB6</v>
      </c>
      <c r="L391" s="24" t="str">
        <f>IF($J391="UNKNOWN","",_xlfn.TEXTBEFORE($J391,{"0","1","2","3","4","5","6","7","8","9"," ","-","."},1,,,$J391))</f>
        <v>SB</v>
      </c>
      <c r="M391" s="24" t="str">
        <f>IF('query (2)'!I391&lt;&gt;"",TRIM(UPPER('query (2)'!I391)),IF($L391="","UNKNOWN",$L391))</f>
        <v>SB</v>
      </c>
      <c r="N391" s="24" t="str">
        <f>IF('query (2)'!I391&lt;&gt;"","SOURCE",IF($L391="","UNKNOWN","DERIVED"))</f>
        <v>SOURCE</v>
      </c>
      <c r="O391" s="24" t="str">
        <f>IF('query (2)'!E391="","NOT_SPECIFIED",TRIM(UPPER('query (2)'!E391)))</f>
        <v>ASSEMBLY</v>
      </c>
      <c r="P391" s="24" t="str">
        <f>IF('query (2)'!F391="","",TRIM(UPPER('query (2)'!F391)))</f>
        <v>1221-SB6AI</v>
      </c>
      <c r="Q391" s="24" t="str">
        <f>IF('query (2)'!G391="","UNKNOWN",IFERROR(INDEX(Cleaning_Rules!$B$38:$B$46,MATCH(TRIM(UPPER('query (2)'!G391)),Cleaning_Rules!$A$38:$A$46,0)),"UNKNOWN"))</f>
        <v>OTHER</v>
      </c>
      <c r="R391" s="24" t="str">
        <f>IF('query (2)'!H391="","",TRIM(UPPER('query (2)'!H391)))</f>
        <v>RIVET PRESSING M/C</v>
      </c>
      <c r="S391" s="25" t="str">
        <f>IF('query (2)'!H391="","",'query (2)'!H391)</f>
        <v>Rivet  pressing  M/C</v>
      </c>
      <c r="T391" s="24" t="str">
        <f>IF('query (2)'!J391="","",TRIM(UPPER('query (2)'!J391)))</f>
        <v>RIVET PRESSING</v>
      </c>
      <c r="U391" s="24" t="str">
        <f t="shared" si="45"/>
        <v/>
      </c>
      <c r="V391" s="24" t="str">
        <f>IF('query (2)'!K391="","NOT_SPECIFIED",IFERROR(INDEX(Cleaning_Rules!$B$32:$B$34,MATCH(TRIM(UPPER('query (2)'!K391)),Cleaning_Rules!$A$32:$A$34,0)),"UNKNOWN"))</f>
        <v>NOT_SPECIFIED</v>
      </c>
      <c r="W391" s="24" t="str">
        <f t="shared" si="46"/>
        <v>AS-789 | FACTORY2 | SB6 | SB | ASSEMBLY | 1221-SB6AI | OTHER | RIVET PRESSING M/C | RIVET PRESSING | NOT_SPECIFIED</v>
      </c>
      <c r="X391" s="24" t="str">
        <f t="shared" si="47"/>
        <v/>
      </c>
      <c r="Y391" s="24" t="str">
        <f t="shared" si="48"/>
        <v>MISSING_STATUS; CATEGORY_NOT_USEFUL</v>
      </c>
    </row>
    <row r="392" spans="1:25" x14ac:dyDescent="0.3">
      <c r="A392" s="24" t="str">
        <f t="shared" si="42"/>
        <v>WA-790#0391</v>
      </c>
      <c r="B392" s="24" t="str">
        <f>IF('query (2)'!B392="","",TRIM(UPPER('query (2)'!B392)))</f>
        <v>WA-790</v>
      </c>
      <c r="C392" s="25" t="str">
        <f>IF('query (2)'!B392="","",'query (2)'!B392)</f>
        <v>WA-790</v>
      </c>
      <c r="D392" s="24" t="str">
        <f t="shared" si="43"/>
        <v>WA</v>
      </c>
      <c r="E392" s="24">
        <f t="shared" si="44"/>
        <v>1</v>
      </c>
      <c r="F392" s="24">
        <f>IF('query (2)'!A392="","",IFERROR(VALUE('query (2)'!A392),""))</f>
        <v>410</v>
      </c>
      <c r="G392" s="24" t="str">
        <f>IF('query (2)'!C392="","UNKNOWN",IFERROR(INDEX(Cleaning_Rules!$B$15:$B$20,MATCH(TRIM(UPPER('query (2)'!C392)),Cleaning_Rules!$A$15:$A$20,0)),"UNKNOWN"))</f>
        <v>FACTORY2</v>
      </c>
      <c r="H392" s="25" t="str">
        <f>IF('query (2)'!C392="","",'query (2)'!C392)</f>
        <v>FACTORY2</v>
      </c>
      <c r="I392" s="24" t="str" cm="1">
        <f t="array" ref="I392">_xlfn.IFS($G392="UNKNOWN","UNKNOWN",OR($G392="FACTORY1",$G392="FACTORY2",$G392="FACTORY3"),"PLANT",TRUE,"SHARED")</f>
        <v>PLANT</v>
      </c>
      <c r="J392" s="24" t="str">
        <f>IF('query (2)'!D392="","UNKNOWN",IF(COUNTIF(Cleaning_Rules!$A$6:$A$11,TRIM('query (2)'!D392))&gt;0,"UNKNOWN",IFERROR(INDEX(Cleaning_Rules!$B$24:$B$28,MATCH(TRIM(UPPER('query (2)'!D392)),Cleaning_Rules!$A$24:$A$28,0)),TRIM(UPPER('query (2)'!D392)))))</f>
        <v>SB6</v>
      </c>
      <c r="K392" s="25" t="str">
        <f>IF('query (2)'!D392="","",'query (2)'!D392)</f>
        <v>SB6</v>
      </c>
      <c r="L392" s="24" t="str">
        <f>IF($J392="UNKNOWN","",_xlfn.TEXTBEFORE($J392,{"0","1","2","3","4","5","6","7","8","9"," ","-","."},1,,,$J392))</f>
        <v>SB</v>
      </c>
      <c r="M392" s="24" t="str">
        <f>IF('query (2)'!I392&lt;&gt;"",TRIM(UPPER('query (2)'!I392)),IF($L392="","UNKNOWN",$L392))</f>
        <v>SB</v>
      </c>
      <c r="N392" s="24" t="str">
        <f>IF('query (2)'!I392&lt;&gt;"","SOURCE",IF($L392="","UNKNOWN","DERIVED"))</f>
        <v>SOURCE</v>
      </c>
      <c r="O392" s="24" t="str">
        <f>IF('query (2)'!E392="","NOT_SPECIFIED",TRIM(UPPER('query (2)'!E392)))</f>
        <v>ASSEMBLY</v>
      </c>
      <c r="P392" s="24" t="str">
        <f>IF('query (2)'!F392="","",TRIM(UPPER('query (2)'!F392)))</f>
        <v>1221-SB6AI</v>
      </c>
      <c r="Q392" s="24" t="str">
        <f>IF('query (2)'!G392="","UNKNOWN",IFERROR(INDEX(Cleaning_Rules!$B$38:$B$46,MATCH(TRIM(UPPER('query (2)'!G392)),Cleaning_Rules!$A$38:$A$46,0)),"UNKNOWN"))</f>
        <v>OTHER</v>
      </c>
      <c r="R392" s="24" t="str">
        <f>IF('query (2)'!H392="","",TRIM(UPPER('query (2)'!H392)))</f>
        <v>ROUGH WASH EQUIPMENT M/C</v>
      </c>
      <c r="S392" s="25" t="str">
        <f>IF('query (2)'!H392="","",'query (2)'!H392)</f>
        <v>Rough wash equipment  M/C</v>
      </c>
      <c r="T392" s="24" t="str">
        <f>IF('query (2)'!J392="","",TRIM(UPPER('query (2)'!J392)))</f>
        <v/>
      </c>
      <c r="U392" s="24" t="str">
        <f t="shared" si="45"/>
        <v/>
      </c>
      <c r="V392" s="24" t="str">
        <f>IF('query (2)'!K392="","NOT_SPECIFIED",IFERROR(INDEX(Cleaning_Rules!$B$32:$B$34,MATCH(TRIM(UPPER('query (2)'!K392)),Cleaning_Rules!$A$32:$A$34,0)),"UNKNOWN"))</f>
        <v>NOT_SPECIFIED</v>
      </c>
      <c r="W392" s="24" t="str">
        <f t="shared" si="46"/>
        <v>WA-790 | FACTORY2 | SB6 | SB | ASSEMBLY | 1221-SB6AI | OTHER | ROUGH WASH EQUIPMENT M/C | NOT_SPECIFIED</v>
      </c>
      <c r="X392" s="24" t="str">
        <f t="shared" si="47"/>
        <v/>
      </c>
      <c r="Y392" s="24" t="str">
        <f t="shared" si="48"/>
        <v>MISSING_STATUS; CATEGORY_NOT_USEFUL; MISSING_PRODUCTION_NAME</v>
      </c>
    </row>
    <row r="393" spans="1:25" x14ac:dyDescent="0.3">
      <c r="A393" s="24" t="str">
        <f t="shared" si="42"/>
        <v>CH-791#0392</v>
      </c>
      <c r="B393" s="24" t="str">
        <f>IF('query (2)'!B393="","",TRIM(UPPER('query (2)'!B393)))</f>
        <v>CH-791</v>
      </c>
      <c r="C393" s="25" t="str">
        <f>IF('query (2)'!B393="","",'query (2)'!B393)</f>
        <v>CH-791</v>
      </c>
      <c r="D393" s="24" t="str">
        <f t="shared" si="43"/>
        <v>CH</v>
      </c>
      <c r="E393" s="24">
        <f t="shared" si="44"/>
        <v>1</v>
      </c>
      <c r="F393" s="24">
        <f>IF('query (2)'!A393="","",IFERROR(VALUE('query (2)'!A393),""))</f>
        <v>411</v>
      </c>
      <c r="G393" s="24" t="str">
        <f>IF('query (2)'!C393="","UNKNOWN",IFERROR(INDEX(Cleaning_Rules!$B$15:$B$20,MATCH(TRIM(UPPER('query (2)'!C393)),Cleaning_Rules!$A$15:$A$20,0)),"UNKNOWN"))</f>
        <v>FACTORY2</v>
      </c>
      <c r="H393" s="25" t="str">
        <f>IF('query (2)'!C393="","",'query (2)'!C393)</f>
        <v>FACTORY2</v>
      </c>
      <c r="I393" s="24" t="str" cm="1">
        <f t="array" ref="I393">_xlfn.IFS($G393="UNKNOWN","UNKNOWN",OR($G393="FACTORY1",$G393="FACTORY2",$G393="FACTORY3"),"PLANT",TRUE,"SHARED")</f>
        <v>PLANT</v>
      </c>
      <c r="J393" s="24" t="str">
        <f>IF('query (2)'!D393="","UNKNOWN",IF(COUNTIF(Cleaning_Rules!$A$6:$A$11,TRIM('query (2)'!D393))&gt;0,"UNKNOWN",IFERROR(INDEX(Cleaning_Rules!$B$24:$B$28,MATCH(TRIM(UPPER('query (2)'!D393)),Cleaning_Rules!$A$24:$A$28,0)),TRIM(UPPER('query (2)'!D393)))))</f>
        <v>SB6</v>
      </c>
      <c r="K393" s="25" t="str">
        <f>IF('query (2)'!D393="","",'query (2)'!D393)</f>
        <v>SB6</v>
      </c>
      <c r="L393" s="24" t="str">
        <f>IF($J393="UNKNOWN","",_xlfn.TEXTBEFORE($J393,{"0","1","2","3","4","5","6","7","8","9"," ","-","."},1,,,$J393))</f>
        <v>SB</v>
      </c>
      <c r="M393" s="24" t="str">
        <f>IF('query (2)'!I393&lt;&gt;"",TRIM(UPPER('query (2)'!I393)),IF($L393="","UNKNOWN",$L393))</f>
        <v>SB</v>
      </c>
      <c r="N393" s="24" t="str">
        <f>IF('query (2)'!I393&lt;&gt;"","SOURCE",IF($L393="","UNKNOWN","DERIVED"))</f>
        <v>SOURCE</v>
      </c>
      <c r="O393" s="24" t="str">
        <f>IF('query (2)'!E393="","NOT_SPECIFIED",TRIM(UPPER('query (2)'!E393)))</f>
        <v>ASSEMBLY</v>
      </c>
      <c r="P393" s="24" t="str">
        <f>IF('query (2)'!F393="","",TRIM(UPPER('query (2)'!F393)))</f>
        <v>1221-SB6AI</v>
      </c>
      <c r="Q393" s="24" t="str">
        <f>IF('query (2)'!G393="","UNKNOWN",IFERROR(INDEX(Cleaning_Rules!$B$38:$B$46,MATCH(TRIM(UPPER('query (2)'!G393)),Cleaning_Rules!$A$38:$A$46,0)),"UNKNOWN"))</f>
        <v>OTHER</v>
      </c>
      <c r="R393" s="24" t="str">
        <f>IF('query (2)'!H393="","",TRIM(UPPER('query (2)'!H393)))</f>
        <v>AUTO RADIAL CLEARANCE M/C</v>
      </c>
      <c r="S393" s="25" t="str">
        <f>IF('query (2)'!H393="","",'query (2)'!H393)</f>
        <v>Auto radial clearance M/C</v>
      </c>
      <c r="T393" s="24" t="str">
        <f>IF('query (2)'!J393="","",TRIM(UPPER('query (2)'!J393)))</f>
        <v>R/C AUTO</v>
      </c>
      <c r="U393" s="24" t="str">
        <f t="shared" si="45"/>
        <v/>
      </c>
      <c r="V393" s="24" t="str">
        <f>IF('query (2)'!K393="","NOT_SPECIFIED",IFERROR(INDEX(Cleaning_Rules!$B$32:$B$34,MATCH(TRIM(UPPER('query (2)'!K393)),Cleaning_Rules!$A$32:$A$34,0)),"UNKNOWN"))</f>
        <v>NOT_SPECIFIED</v>
      </c>
      <c r="W393" s="24" t="str">
        <f t="shared" si="46"/>
        <v>CH-791 | FACTORY2 | SB6 | SB | ASSEMBLY | 1221-SB6AI | OTHER | AUTO RADIAL CLEARANCE M/C | R/C AUTO | NOT_SPECIFIED</v>
      </c>
      <c r="X393" s="24" t="str">
        <f t="shared" si="47"/>
        <v/>
      </c>
      <c r="Y393" s="24" t="str">
        <f t="shared" si="48"/>
        <v>MISSING_STATUS; CATEGORY_NOT_USEFUL</v>
      </c>
    </row>
    <row r="394" spans="1:25" x14ac:dyDescent="0.3">
      <c r="A394" s="24" t="str">
        <f t="shared" si="42"/>
        <v>WA-792#0393</v>
      </c>
      <c r="B394" s="24" t="str">
        <f>IF('query (2)'!B394="","",TRIM(UPPER('query (2)'!B394)))</f>
        <v>WA-792</v>
      </c>
      <c r="C394" s="25" t="str">
        <f>IF('query (2)'!B394="","",'query (2)'!B394)</f>
        <v>WA-792</v>
      </c>
      <c r="D394" s="24" t="str">
        <f t="shared" si="43"/>
        <v>WA</v>
      </c>
      <c r="E394" s="24">
        <f t="shared" si="44"/>
        <v>1</v>
      </c>
      <c r="F394" s="24">
        <f>IF('query (2)'!A394="","",IFERROR(VALUE('query (2)'!A394),""))</f>
        <v>412</v>
      </c>
      <c r="G394" s="24" t="str">
        <f>IF('query (2)'!C394="","UNKNOWN",IFERROR(INDEX(Cleaning_Rules!$B$15:$B$20,MATCH(TRIM(UPPER('query (2)'!C394)),Cleaning_Rules!$A$15:$A$20,0)),"UNKNOWN"))</f>
        <v>FACTORY2</v>
      </c>
      <c r="H394" s="25" t="str">
        <f>IF('query (2)'!C394="","",'query (2)'!C394)</f>
        <v>FACTORY2</v>
      </c>
      <c r="I394" s="24" t="str" cm="1">
        <f t="array" ref="I394">_xlfn.IFS($G394="UNKNOWN","UNKNOWN",OR($G394="FACTORY1",$G394="FACTORY2",$G394="FACTORY3"),"PLANT",TRUE,"SHARED")</f>
        <v>PLANT</v>
      </c>
      <c r="J394" s="24" t="str">
        <f>IF('query (2)'!D394="","UNKNOWN",IF(COUNTIF(Cleaning_Rules!$A$6:$A$11,TRIM('query (2)'!D394))&gt;0,"UNKNOWN",IFERROR(INDEX(Cleaning_Rules!$B$24:$B$28,MATCH(TRIM(UPPER('query (2)'!D394)),Cleaning_Rules!$A$24:$A$28,0)),TRIM(UPPER('query (2)'!D394)))))</f>
        <v>SB6</v>
      </c>
      <c r="K394" s="25" t="str">
        <f>IF('query (2)'!D394="","",'query (2)'!D394)</f>
        <v>SB6</v>
      </c>
      <c r="L394" s="24" t="str">
        <f>IF($J394="UNKNOWN","",_xlfn.TEXTBEFORE($J394,{"0","1","2","3","4","5","6","7","8","9"," ","-","."},1,,,$J394))</f>
        <v>SB</v>
      </c>
      <c r="M394" s="24" t="str">
        <f>IF('query (2)'!I394&lt;&gt;"",TRIM(UPPER('query (2)'!I394)),IF($L394="","UNKNOWN",$L394))</f>
        <v>SB</v>
      </c>
      <c r="N394" s="24" t="str">
        <f>IF('query (2)'!I394&lt;&gt;"","SOURCE",IF($L394="","UNKNOWN","DERIVED"))</f>
        <v>SOURCE</v>
      </c>
      <c r="O394" s="24" t="str">
        <f>IF('query (2)'!E394="","NOT_SPECIFIED",TRIM(UPPER('query (2)'!E394)))</f>
        <v>GRINDING 2</v>
      </c>
      <c r="P394" s="24" t="str">
        <f>IF('query (2)'!F394="","",TRIM(UPPER('query (2)'!F394)))</f>
        <v>1220-SB6G</v>
      </c>
      <c r="Q394" s="24" t="str">
        <f>IF('query (2)'!G394="","UNKNOWN",IFERROR(INDEX(Cleaning_Rules!$B$38:$B$46,MATCH(TRIM(UPPER('query (2)'!G394)),Cleaning_Rules!$A$38:$A$46,0)),"UNKNOWN"))</f>
        <v>OTHER</v>
      </c>
      <c r="R394" s="24" t="str">
        <f>IF('query (2)'!H394="","",TRIM(UPPER('query (2)'!H394)))</f>
        <v>FINISH WASH EQUIPMENT M/C</v>
      </c>
      <c r="S394" s="25" t="str">
        <f>IF('query (2)'!H394="","",'query (2)'!H394)</f>
        <v>Finish  wash  equipment  M/C</v>
      </c>
      <c r="T394" s="24" t="str">
        <f>IF('query (2)'!J394="","",TRIM(UPPER('query (2)'!J394)))</f>
        <v>WASHING FINISH</v>
      </c>
      <c r="U394" s="24" t="str">
        <f t="shared" si="45"/>
        <v/>
      </c>
      <c r="V394" s="24" t="str">
        <f>IF('query (2)'!K394="","NOT_SPECIFIED",IFERROR(INDEX(Cleaning_Rules!$B$32:$B$34,MATCH(TRIM(UPPER('query (2)'!K394)),Cleaning_Rules!$A$32:$A$34,0)),"UNKNOWN"))</f>
        <v>NOT_SPECIFIED</v>
      </c>
      <c r="W394" s="24" t="str">
        <f t="shared" si="46"/>
        <v>WA-792 | FACTORY2 | SB6 | SB | GRINDING 2 | 1220-SB6G | OTHER | FINISH WASH EQUIPMENT M/C | WASHING FINISH | NOT_SPECIFIED</v>
      </c>
      <c r="X394" s="24" t="str">
        <f t="shared" si="47"/>
        <v/>
      </c>
      <c r="Y394" s="24" t="str">
        <f t="shared" si="48"/>
        <v>MISSING_STATUS; CATEGORY_NOT_USEFUL</v>
      </c>
    </row>
    <row r="395" spans="1:25" x14ac:dyDescent="0.3">
      <c r="A395" s="24" t="str">
        <f t="shared" si="42"/>
        <v>AS-793#0394</v>
      </c>
      <c r="B395" s="24" t="str">
        <f>IF('query (2)'!B395="","",TRIM(UPPER('query (2)'!B395)))</f>
        <v>AS-793</v>
      </c>
      <c r="C395" s="25" t="str">
        <f>IF('query (2)'!B395="","",'query (2)'!B395)</f>
        <v>AS-793</v>
      </c>
      <c r="D395" s="24" t="str">
        <f t="shared" si="43"/>
        <v>AS</v>
      </c>
      <c r="E395" s="24">
        <f t="shared" si="44"/>
        <v>1</v>
      </c>
      <c r="F395" s="24">
        <f>IF('query (2)'!A395="","",IFERROR(VALUE('query (2)'!A395),""))</f>
        <v>413</v>
      </c>
      <c r="G395" s="24" t="str">
        <f>IF('query (2)'!C395="","UNKNOWN",IFERROR(INDEX(Cleaning_Rules!$B$15:$B$20,MATCH(TRIM(UPPER('query (2)'!C395)),Cleaning_Rules!$A$15:$A$20,0)),"UNKNOWN"))</f>
        <v>FACTORY2</v>
      </c>
      <c r="H395" s="25" t="str">
        <f>IF('query (2)'!C395="","",'query (2)'!C395)</f>
        <v>FACTORY2</v>
      </c>
      <c r="I395" s="24" t="str" cm="1">
        <f t="array" ref="I395">_xlfn.IFS($G395="UNKNOWN","UNKNOWN",OR($G395="FACTORY1",$G395="FACTORY2",$G395="FACTORY3"),"PLANT",TRUE,"SHARED")</f>
        <v>PLANT</v>
      </c>
      <c r="J395" s="24" t="str">
        <f>IF('query (2)'!D395="","UNKNOWN",IF(COUNTIF(Cleaning_Rules!$A$6:$A$11,TRIM('query (2)'!D395))&gt;0,"UNKNOWN",IFERROR(INDEX(Cleaning_Rules!$B$24:$B$28,MATCH(TRIM(UPPER('query (2)'!D395)),Cleaning_Rules!$A$24:$A$28,0)),TRIM(UPPER('query (2)'!D395)))))</f>
        <v>SB6</v>
      </c>
      <c r="K395" s="25" t="str">
        <f>IF('query (2)'!D395="","",'query (2)'!D395)</f>
        <v>SB6</v>
      </c>
      <c r="L395" s="24" t="str">
        <f>IF($J395="UNKNOWN","",_xlfn.TEXTBEFORE($J395,{"0","1","2","3","4","5","6","7","8","9"," ","-","."},1,,,$J395))</f>
        <v>SB</v>
      </c>
      <c r="M395" s="24" t="str">
        <f>IF('query (2)'!I395&lt;&gt;"",TRIM(UPPER('query (2)'!I395)),IF($L395="","UNKNOWN",$L395))</f>
        <v>SB</v>
      </c>
      <c r="N395" s="24" t="str">
        <f>IF('query (2)'!I395&lt;&gt;"","SOURCE",IF($L395="","UNKNOWN","DERIVED"))</f>
        <v>SOURCE</v>
      </c>
      <c r="O395" s="24" t="str">
        <f>IF('query (2)'!E395="","NOT_SPECIFIED",TRIM(UPPER('query (2)'!E395)))</f>
        <v>ASSEMBLY</v>
      </c>
      <c r="P395" s="24" t="str">
        <f>IF('query (2)'!F395="","",TRIM(UPPER('query (2)'!F395)))</f>
        <v>1221-SB6AI</v>
      </c>
      <c r="Q395" s="24" t="str">
        <f>IF('query (2)'!G395="","UNKNOWN",IFERROR(INDEX(Cleaning_Rules!$B$38:$B$46,MATCH(TRIM(UPPER('query (2)'!G395)),Cleaning_Rules!$A$38:$A$46,0)),"UNKNOWN"))</f>
        <v>OTHER</v>
      </c>
      <c r="R395" s="24" t="str">
        <f>IF('query (2)'!H395="","",TRIM(UPPER('query (2)'!H395)))</f>
        <v>GREASE INJECTION M/C</v>
      </c>
      <c r="S395" s="25" t="str">
        <f>IF('query (2)'!H395="","",'query (2)'!H395)</f>
        <v>Grease  injection  M/C</v>
      </c>
      <c r="T395" s="24" t="str">
        <f>IF('query (2)'!J395="","",TRIM(UPPER('query (2)'!J395)))</f>
        <v>GREASE INJECTION</v>
      </c>
      <c r="U395" s="24" t="str">
        <f t="shared" si="45"/>
        <v/>
      </c>
      <c r="V395" s="24" t="str">
        <f>IF('query (2)'!K395="","NOT_SPECIFIED",IFERROR(INDEX(Cleaning_Rules!$B$32:$B$34,MATCH(TRIM(UPPER('query (2)'!K395)),Cleaning_Rules!$A$32:$A$34,0)),"UNKNOWN"))</f>
        <v>NOT_SPECIFIED</v>
      </c>
      <c r="W395" s="24" t="str">
        <f t="shared" si="46"/>
        <v>AS-793 | FACTORY2 | SB6 | SB | ASSEMBLY | 1221-SB6AI | OTHER | GREASE INJECTION M/C | GREASE INJECTION | NOT_SPECIFIED</v>
      </c>
      <c r="X395" s="24" t="str">
        <f t="shared" si="47"/>
        <v/>
      </c>
      <c r="Y395" s="24" t="str">
        <f t="shared" si="48"/>
        <v>MISSING_STATUS; CATEGORY_NOT_USEFUL</v>
      </c>
    </row>
    <row r="396" spans="1:25" x14ac:dyDescent="0.3">
      <c r="A396" s="24" t="str">
        <f t="shared" si="42"/>
        <v>AS-794#0395</v>
      </c>
      <c r="B396" s="24" t="str">
        <f>IF('query (2)'!B396="","",TRIM(UPPER('query (2)'!B396)))</f>
        <v>AS-794</v>
      </c>
      <c r="C396" s="25" t="str">
        <f>IF('query (2)'!B396="","",'query (2)'!B396)</f>
        <v>AS-794</v>
      </c>
      <c r="D396" s="24" t="str">
        <f t="shared" si="43"/>
        <v>AS</v>
      </c>
      <c r="E396" s="24">
        <f t="shared" si="44"/>
        <v>1</v>
      </c>
      <c r="F396" s="24">
        <f>IF('query (2)'!A396="","",IFERROR(VALUE('query (2)'!A396),""))</f>
        <v>414</v>
      </c>
      <c r="G396" s="24" t="str">
        <f>IF('query (2)'!C396="","UNKNOWN",IFERROR(INDEX(Cleaning_Rules!$B$15:$B$20,MATCH(TRIM(UPPER('query (2)'!C396)),Cleaning_Rules!$A$15:$A$20,0)),"UNKNOWN"))</f>
        <v>FACTORY2</v>
      </c>
      <c r="H396" s="25" t="str">
        <f>IF('query (2)'!C396="","",'query (2)'!C396)</f>
        <v>FACTORY2</v>
      </c>
      <c r="I396" s="24" t="str" cm="1">
        <f t="array" ref="I396">_xlfn.IFS($G396="UNKNOWN","UNKNOWN",OR($G396="FACTORY1",$G396="FACTORY2",$G396="FACTORY3"),"PLANT",TRUE,"SHARED")</f>
        <v>PLANT</v>
      </c>
      <c r="J396" s="24" t="str">
        <f>IF('query (2)'!D396="","UNKNOWN",IF(COUNTIF(Cleaning_Rules!$A$6:$A$11,TRIM('query (2)'!D396))&gt;0,"UNKNOWN",IFERROR(INDEX(Cleaning_Rules!$B$24:$B$28,MATCH(TRIM(UPPER('query (2)'!D396)),Cleaning_Rules!$A$24:$A$28,0)),TRIM(UPPER('query (2)'!D396)))))</f>
        <v>SB6</v>
      </c>
      <c r="K396" s="25" t="str">
        <f>IF('query (2)'!D396="","",'query (2)'!D396)</f>
        <v>SB6</v>
      </c>
      <c r="L396" s="24" t="str">
        <f>IF($J396="UNKNOWN","",_xlfn.TEXTBEFORE($J396,{"0","1","2","3","4","5","6","7","8","9"," ","-","."},1,,,$J396))</f>
        <v>SB</v>
      </c>
      <c r="M396" s="24" t="str">
        <f>IF('query (2)'!I396&lt;&gt;"",TRIM(UPPER('query (2)'!I396)),IF($L396="","UNKNOWN",$L396))</f>
        <v>SB</v>
      </c>
      <c r="N396" s="24" t="str">
        <f>IF('query (2)'!I396&lt;&gt;"","SOURCE",IF($L396="","UNKNOWN","DERIVED"))</f>
        <v>SOURCE</v>
      </c>
      <c r="O396" s="24" t="str">
        <f>IF('query (2)'!E396="","NOT_SPECIFIED",TRIM(UPPER('query (2)'!E396)))</f>
        <v>ASSEMBLY</v>
      </c>
      <c r="P396" s="24" t="str">
        <f>IF('query (2)'!F396="","",TRIM(UPPER('query (2)'!F396)))</f>
        <v>1221-SB6AI</v>
      </c>
      <c r="Q396" s="24" t="str">
        <f>IF('query (2)'!G396="","UNKNOWN",IFERROR(INDEX(Cleaning_Rules!$B$38:$B$46,MATCH(TRIM(UPPER('query (2)'!G396)),Cleaning_Rules!$A$38:$A$46,0)),"UNKNOWN"))</f>
        <v>OTHER</v>
      </c>
      <c r="R396" s="24" t="str">
        <f>IF('query (2)'!H396="","",TRIM(UPPER('query (2)'!H396)))</f>
        <v>SEAL PRESS M/C ( 2 HEAD )</v>
      </c>
      <c r="S396" s="25" t="str">
        <f>IF('query (2)'!H396="","",'query (2)'!H396)</f>
        <v>Seal  press  M/C  ( 2 Head )</v>
      </c>
      <c r="T396" s="24" t="str">
        <f>IF('query (2)'!J396="","",TRIM(UPPER('query (2)'!J396)))</f>
        <v>SEAL PRESSING</v>
      </c>
      <c r="U396" s="24" t="str">
        <f t="shared" si="45"/>
        <v/>
      </c>
      <c r="V396" s="24" t="str">
        <f>IF('query (2)'!K396="","NOT_SPECIFIED",IFERROR(INDEX(Cleaning_Rules!$B$32:$B$34,MATCH(TRIM(UPPER('query (2)'!K396)),Cleaning_Rules!$A$32:$A$34,0)),"UNKNOWN"))</f>
        <v>NOT_SPECIFIED</v>
      </c>
      <c r="W396" s="24" t="str">
        <f t="shared" si="46"/>
        <v>AS-794 | FACTORY2 | SB6 | SB | ASSEMBLY | 1221-SB6AI | OTHER | SEAL PRESS M/C ( 2 HEAD ) | SEAL PRESSING | NOT_SPECIFIED</v>
      </c>
      <c r="X396" s="24" t="str">
        <f t="shared" si="47"/>
        <v/>
      </c>
      <c r="Y396" s="24" t="str">
        <f t="shared" si="48"/>
        <v>MISSING_STATUS; CATEGORY_NOT_USEFUL</v>
      </c>
    </row>
    <row r="397" spans="1:25" x14ac:dyDescent="0.3">
      <c r="A397" s="24" t="str">
        <f t="shared" si="42"/>
        <v>CH-795#0396</v>
      </c>
      <c r="B397" s="24" t="str">
        <f>IF('query (2)'!B397="","",TRIM(UPPER('query (2)'!B397)))</f>
        <v>CH-795</v>
      </c>
      <c r="C397" s="25" t="str">
        <f>IF('query (2)'!B397="","",'query (2)'!B397)</f>
        <v>CH-795</v>
      </c>
      <c r="D397" s="24" t="str">
        <f t="shared" si="43"/>
        <v>CH</v>
      </c>
      <c r="E397" s="24">
        <f t="shared" si="44"/>
        <v>1</v>
      </c>
      <c r="F397" s="24">
        <f>IF('query (2)'!A397="","",IFERROR(VALUE('query (2)'!A397),""))</f>
        <v>415</v>
      </c>
      <c r="G397" s="24" t="str">
        <f>IF('query (2)'!C397="","UNKNOWN",IFERROR(INDEX(Cleaning_Rules!$B$15:$B$20,MATCH(TRIM(UPPER('query (2)'!C397)),Cleaning_Rules!$A$15:$A$20,0)),"UNKNOWN"))</f>
        <v>FACTORY2</v>
      </c>
      <c r="H397" s="25" t="str">
        <f>IF('query (2)'!C397="","",'query (2)'!C397)</f>
        <v>FACTORY2</v>
      </c>
      <c r="I397" s="24" t="str" cm="1">
        <f t="array" ref="I397">_xlfn.IFS($G397="UNKNOWN","UNKNOWN",OR($G397="FACTORY1",$G397="FACTORY2",$G397="FACTORY3"),"PLANT",TRUE,"SHARED")</f>
        <v>PLANT</v>
      </c>
      <c r="J397" s="24" t="str">
        <f>IF('query (2)'!D397="","UNKNOWN",IF(COUNTIF(Cleaning_Rules!$A$6:$A$11,TRIM('query (2)'!D397))&gt;0,"UNKNOWN",IFERROR(INDEX(Cleaning_Rules!$B$24:$B$28,MATCH(TRIM(UPPER('query (2)'!D397)),Cleaning_Rules!$A$24:$A$28,0)),TRIM(UPPER('query (2)'!D397)))))</f>
        <v>SB6</v>
      </c>
      <c r="K397" s="25" t="str">
        <f>IF('query (2)'!D397="","",'query (2)'!D397)</f>
        <v>SB6</v>
      </c>
      <c r="L397" s="24" t="str">
        <f>IF($J397="UNKNOWN","",_xlfn.TEXTBEFORE($J397,{"0","1","2","3","4","5","6","7","8","9"," ","-","."},1,,,$J397))</f>
        <v>SB</v>
      </c>
      <c r="M397" s="24" t="str">
        <f>IF('query (2)'!I397&lt;&gt;"",TRIM(UPPER('query (2)'!I397)),IF($L397="","UNKNOWN",$L397))</f>
        <v>SB</v>
      </c>
      <c r="N397" s="24" t="str">
        <f>IF('query (2)'!I397&lt;&gt;"","SOURCE",IF($L397="","UNKNOWN","DERIVED"))</f>
        <v>SOURCE</v>
      </c>
      <c r="O397" s="24" t="str">
        <f>IF('query (2)'!E397="","NOT_SPECIFIED",TRIM(UPPER('query (2)'!E397)))</f>
        <v>ASSEMBLY</v>
      </c>
      <c r="P397" s="24" t="str">
        <f>IF('query (2)'!F397="","",TRIM(UPPER('query (2)'!F397)))</f>
        <v>1221-SB6AI</v>
      </c>
      <c r="Q397" s="24" t="str">
        <f>IF('query (2)'!G397="","UNKNOWN",IFERROR(INDEX(Cleaning_Rules!$B$38:$B$46,MATCH(TRIM(UPPER('query (2)'!G397)),Cleaning_Rules!$A$38:$A$46,0)),"UNKNOWN"))</f>
        <v>OTHER</v>
      </c>
      <c r="R397" s="24" t="str">
        <f>IF('query (2)'!H397="","",TRIM(UPPER('query (2)'!H397)))</f>
        <v>SEAL CHECK M/C</v>
      </c>
      <c r="S397" s="25" t="str">
        <f>IF('query (2)'!H397="","",'query (2)'!H397)</f>
        <v>Seal  check  M/C</v>
      </c>
      <c r="T397" s="24" t="str">
        <f>IF('query (2)'!J397="","",TRIM(UPPER('query (2)'!J397)))</f>
        <v>SEAL HEIGHT CHECK</v>
      </c>
      <c r="U397" s="24" t="str">
        <f t="shared" si="45"/>
        <v/>
      </c>
      <c r="V397" s="24" t="str">
        <f>IF('query (2)'!K397="","NOT_SPECIFIED",IFERROR(INDEX(Cleaning_Rules!$B$32:$B$34,MATCH(TRIM(UPPER('query (2)'!K397)),Cleaning_Rules!$A$32:$A$34,0)),"UNKNOWN"))</f>
        <v>NOT_SPECIFIED</v>
      </c>
      <c r="W397" s="24" t="str">
        <f t="shared" si="46"/>
        <v>CH-795 | FACTORY2 | SB6 | SB | ASSEMBLY | 1221-SB6AI | OTHER | SEAL CHECK M/C | SEAL HEIGHT CHECK | NOT_SPECIFIED</v>
      </c>
      <c r="X397" s="24" t="str">
        <f t="shared" si="47"/>
        <v/>
      </c>
      <c r="Y397" s="24" t="str">
        <f t="shared" si="48"/>
        <v>MISSING_STATUS; CATEGORY_NOT_USEFUL</v>
      </c>
    </row>
    <row r="398" spans="1:25" x14ac:dyDescent="0.3">
      <c r="A398" s="24" t="str">
        <f t="shared" si="42"/>
        <v>CH-796#0397</v>
      </c>
      <c r="B398" s="24" t="str">
        <f>IF('query (2)'!B398="","",TRIM(UPPER('query (2)'!B398)))</f>
        <v>CH-796</v>
      </c>
      <c r="C398" s="25" t="str">
        <f>IF('query (2)'!B398="","",'query (2)'!B398)</f>
        <v>CH-796</v>
      </c>
      <c r="D398" s="24" t="str">
        <f t="shared" si="43"/>
        <v>CH</v>
      </c>
      <c r="E398" s="24">
        <f t="shared" si="44"/>
        <v>1</v>
      </c>
      <c r="F398" s="24">
        <f>IF('query (2)'!A398="","",IFERROR(VALUE('query (2)'!A398),""))</f>
        <v>416</v>
      </c>
      <c r="G398" s="24" t="str">
        <f>IF('query (2)'!C398="","UNKNOWN",IFERROR(INDEX(Cleaning_Rules!$B$15:$B$20,MATCH(TRIM(UPPER('query (2)'!C398)),Cleaning_Rules!$A$15:$A$20,0)),"UNKNOWN"))</f>
        <v>FACTORY2</v>
      </c>
      <c r="H398" s="25" t="str">
        <f>IF('query (2)'!C398="","",'query (2)'!C398)</f>
        <v>FACTORY2</v>
      </c>
      <c r="I398" s="24" t="str" cm="1">
        <f t="array" ref="I398">_xlfn.IFS($G398="UNKNOWN","UNKNOWN",OR($G398="FACTORY1",$G398="FACTORY2",$G398="FACTORY3"),"PLANT",TRUE,"SHARED")</f>
        <v>PLANT</v>
      </c>
      <c r="J398" s="24" t="str">
        <f>IF('query (2)'!D398="","UNKNOWN",IF(COUNTIF(Cleaning_Rules!$A$6:$A$11,TRIM('query (2)'!D398))&gt;0,"UNKNOWN",IFERROR(INDEX(Cleaning_Rules!$B$24:$B$28,MATCH(TRIM(UPPER('query (2)'!D398)),Cleaning_Rules!$A$24:$A$28,0)),TRIM(UPPER('query (2)'!D398)))))</f>
        <v>SB6</v>
      </c>
      <c r="K398" s="25" t="str">
        <f>IF('query (2)'!D398="","",'query (2)'!D398)</f>
        <v>SB6</v>
      </c>
      <c r="L398" s="24" t="str">
        <f>IF($J398="UNKNOWN","",_xlfn.TEXTBEFORE($J398,{"0","1","2","3","4","5","6","7","8","9"," ","-","."},1,,,$J398))</f>
        <v>SB</v>
      </c>
      <c r="M398" s="24" t="str">
        <f>IF('query (2)'!I398&lt;&gt;"",TRIM(UPPER('query (2)'!I398)),IF($L398="","UNKNOWN",$L398))</f>
        <v>SB</v>
      </c>
      <c r="N398" s="24" t="str">
        <f>IF('query (2)'!I398&lt;&gt;"","SOURCE",IF($L398="","UNKNOWN","DERIVED"))</f>
        <v>SOURCE</v>
      </c>
      <c r="O398" s="24" t="str">
        <f>IF('query (2)'!E398="","NOT_SPECIFIED",TRIM(UPPER('query (2)'!E398)))</f>
        <v>ASSEMBLY</v>
      </c>
      <c r="P398" s="24" t="str">
        <f>IF('query (2)'!F398="","",TRIM(UPPER('query (2)'!F398)))</f>
        <v>1221-SB6AI</v>
      </c>
      <c r="Q398" s="24" t="str">
        <f>IF('query (2)'!G398="","UNKNOWN",IFERROR(INDEX(Cleaning_Rules!$B$38:$B$46,MATCH(TRIM(UPPER('query (2)'!G398)),Cleaning_Rules!$A$38:$A$46,0)),"UNKNOWN"))</f>
        <v>OTHER</v>
      </c>
      <c r="R398" s="24" t="str">
        <f>IF('query (2)'!H398="","",TRIM(UPPER('query (2)'!H398)))</f>
        <v>AUTOMATIC VIBRATION TESTING M/C.</v>
      </c>
      <c r="S398" s="25" t="str">
        <f>IF('query (2)'!H398="","",'query (2)'!H398)</f>
        <v>Automatic Vibration testing M/C.</v>
      </c>
      <c r="T398" s="24" t="str">
        <f>IF('query (2)'!J398="","",TRIM(UPPER('query (2)'!J398)))</f>
        <v>VIBRATION CHECK MC</v>
      </c>
      <c r="U398" s="24" t="str">
        <f t="shared" si="45"/>
        <v/>
      </c>
      <c r="V398" s="24" t="str">
        <f>IF('query (2)'!K398="","NOT_SPECIFIED",IFERROR(INDEX(Cleaning_Rules!$B$32:$B$34,MATCH(TRIM(UPPER('query (2)'!K398)),Cleaning_Rules!$A$32:$A$34,0)),"UNKNOWN"))</f>
        <v>NOT_SPECIFIED</v>
      </c>
      <c r="W398" s="24" t="str">
        <f t="shared" si="46"/>
        <v>CH-796 | FACTORY2 | SB6 | SB | ASSEMBLY | 1221-SB6AI | OTHER | AUTOMATIC VIBRATION TESTING M/C. | VIBRATION CHECK MC | NOT_SPECIFIED</v>
      </c>
      <c r="X398" s="24" t="str">
        <f t="shared" si="47"/>
        <v/>
      </c>
      <c r="Y398" s="24" t="str">
        <f t="shared" si="48"/>
        <v>MISSING_STATUS; CATEGORY_NOT_USEFUL</v>
      </c>
    </row>
    <row r="399" spans="1:25" x14ac:dyDescent="0.3">
      <c r="A399" s="24" t="str">
        <f t="shared" si="42"/>
        <v>CH-797#0398</v>
      </c>
      <c r="B399" s="24" t="str">
        <f>IF('query (2)'!B399="","",TRIM(UPPER('query (2)'!B399)))</f>
        <v>CH-797</v>
      </c>
      <c r="C399" s="25" t="str">
        <f>IF('query (2)'!B399="","",'query (2)'!B399)</f>
        <v>CH-797</v>
      </c>
      <c r="D399" s="24" t="str">
        <f t="shared" si="43"/>
        <v>CH</v>
      </c>
      <c r="E399" s="24">
        <f t="shared" si="44"/>
        <v>1</v>
      </c>
      <c r="F399" s="24">
        <f>IF('query (2)'!A399="","",IFERROR(VALUE('query (2)'!A399),""))</f>
        <v>417</v>
      </c>
      <c r="G399" s="24" t="str">
        <f>IF('query (2)'!C399="","UNKNOWN",IFERROR(INDEX(Cleaning_Rules!$B$15:$B$20,MATCH(TRIM(UPPER('query (2)'!C399)),Cleaning_Rules!$A$15:$A$20,0)),"UNKNOWN"))</f>
        <v>FACTORY2</v>
      </c>
      <c r="H399" s="25" t="str">
        <f>IF('query (2)'!C399="","",'query (2)'!C399)</f>
        <v>FACTORY2</v>
      </c>
      <c r="I399" s="24" t="str" cm="1">
        <f t="array" ref="I399">_xlfn.IFS($G399="UNKNOWN","UNKNOWN",OR($G399="FACTORY1",$G399="FACTORY2",$G399="FACTORY3"),"PLANT",TRUE,"SHARED")</f>
        <v>PLANT</v>
      </c>
      <c r="J399" s="24" t="str">
        <f>IF('query (2)'!D399="","UNKNOWN",IF(COUNTIF(Cleaning_Rules!$A$6:$A$11,TRIM('query (2)'!D399))&gt;0,"UNKNOWN",IFERROR(INDEX(Cleaning_Rules!$B$24:$B$28,MATCH(TRIM(UPPER('query (2)'!D399)),Cleaning_Rules!$A$24:$A$28,0)),TRIM(UPPER('query (2)'!D399)))))</f>
        <v>SB6</v>
      </c>
      <c r="K399" s="25" t="str">
        <f>IF('query (2)'!D399="","",'query (2)'!D399)</f>
        <v>SB6</v>
      </c>
      <c r="L399" s="24" t="str">
        <f>IF($J399="UNKNOWN","",_xlfn.TEXTBEFORE($J399,{"0","1","2","3","4","5","6","7","8","9"," ","-","."},1,,,$J399))</f>
        <v>SB</v>
      </c>
      <c r="M399" s="24" t="str">
        <f>IF('query (2)'!I399&lt;&gt;"",TRIM(UPPER('query (2)'!I399)),IF($L399="","UNKNOWN",$L399))</f>
        <v>SB</v>
      </c>
      <c r="N399" s="24" t="str">
        <f>IF('query (2)'!I399&lt;&gt;"","SOURCE",IF($L399="","UNKNOWN","DERIVED"))</f>
        <v>SOURCE</v>
      </c>
      <c r="O399" s="24" t="str">
        <f>IF('query (2)'!E399="","NOT_SPECIFIED",TRIM(UPPER('query (2)'!E399)))</f>
        <v>ASSEMBLY</v>
      </c>
      <c r="P399" s="24" t="str">
        <f>IF('query (2)'!F399="","",TRIM(UPPER('query (2)'!F399)))</f>
        <v>1221-SB6AI</v>
      </c>
      <c r="Q399" s="24" t="str">
        <f>IF('query (2)'!G399="","UNKNOWN",IFERROR(INDEX(Cleaning_Rules!$B$38:$B$46,MATCH(TRIM(UPPER('query (2)'!G399)),Cleaning_Rules!$A$38:$A$46,0)),"UNKNOWN"))</f>
        <v>OTHER</v>
      </c>
      <c r="R399" s="24" t="str">
        <f>IF('query (2)'!H399="","",TRIM(UPPER('query (2)'!H399)))</f>
        <v>NOISE MANUAL INSPECTION M/C.</v>
      </c>
      <c r="S399" s="25" t="str">
        <f>IF('query (2)'!H399="","",'query (2)'!H399)</f>
        <v>Noise manual inspection m/c.</v>
      </c>
      <c r="T399" s="24" t="str">
        <f>IF('query (2)'!J399="","",TRIM(UPPER('query (2)'!J399)))</f>
        <v>NOISE INSPECTION</v>
      </c>
      <c r="U399" s="24" t="str">
        <f t="shared" si="45"/>
        <v/>
      </c>
      <c r="V399" s="24" t="str">
        <f>IF('query (2)'!K399="","NOT_SPECIFIED",IFERROR(INDEX(Cleaning_Rules!$B$32:$B$34,MATCH(TRIM(UPPER('query (2)'!K399)),Cleaning_Rules!$A$32:$A$34,0)),"UNKNOWN"))</f>
        <v>NOT_SPECIFIED</v>
      </c>
      <c r="W399" s="24" t="str">
        <f t="shared" si="46"/>
        <v>CH-797 | FACTORY2 | SB6 | SB | ASSEMBLY | 1221-SB6AI | OTHER | NOISE MANUAL INSPECTION M/C. | NOISE INSPECTION | NOT_SPECIFIED</v>
      </c>
      <c r="X399" s="24" t="str">
        <f t="shared" si="47"/>
        <v/>
      </c>
      <c r="Y399" s="24" t="str">
        <f t="shared" si="48"/>
        <v>MISSING_STATUS; CATEGORY_NOT_USEFUL</v>
      </c>
    </row>
    <row r="400" spans="1:25" x14ac:dyDescent="0.3">
      <c r="A400" s="24" t="str">
        <f t="shared" si="42"/>
        <v>CH-798#0399</v>
      </c>
      <c r="B400" s="24" t="str">
        <f>IF('query (2)'!B400="","",TRIM(UPPER('query (2)'!B400)))</f>
        <v>CH-798</v>
      </c>
      <c r="C400" s="25" t="str">
        <f>IF('query (2)'!B400="","",'query (2)'!B400)</f>
        <v>CH-798</v>
      </c>
      <c r="D400" s="24" t="str">
        <f t="shared" si="43"/>
        <v>CH</v>
      </c>
      <c r="E400" s="24">
        <f t="shared" si="44"/>
        <v>1</v>
      </c>
      <c r="F400" s="24">
        <f>IF('query (2)'!A400="","",IFERROR(VALUE('query (2)'!A400),""))</f>
        <v>418</v>
      </c>
      <c r="G400" s="24" t="str">
        <f>IF('query (2)'!C400="","UNKNOWN",IFERROR(INDEX(Cleaning_Rules!$B$15:$B$20,MATCH(TRIM(UPPER('query (2)'!C400)),Cleaning_Rules!$A$15:$A$20,0)),"UNKNOWN"))</f>
        <v>FACTORY2</v>
      </c>
      <c r="H400" s="25" t="str">
        <f>IF('query (2)'!C400="","",'query (2)'!C400)</f>
        <v>FACTORY2</v>
      </c>
      <c r="I400" s="24" t="str" cm="1">
        <f t="array" ref="I400">_xlfn.IFS($G400="UNKNOWN","UNKNOWN",OR($G400="FACTORY1",$G400="FACTORY2",$G400="FACTORY3"),"PLANT",TRUE,"SHARED")</f>
        <v>PLANT</v>
      </c>
      <c r="J400" s="24" t="str">
        <f>IF('query (2)'!D400="","UNKNOWN",IF(COUNTIF(Cleaning_Rules!$A$6:$A$11,TRIM('query (2)'!D400))&gt;0,"UNKNOWN",IFERROR(INDEX(Cleaning_Rules!$B$24:$B$28,MATCH(TRIM(UPPER('query (2)'!D400)),Cleaning_Rules!$A$24:$A$28,0)),TRIM(UPPER('query (2)'!D400)))))</f>
        <v>SB6</v>
      </c>
      <c r="K400" s="25" t="str">
        <f>IF('query (2)'!D400="","",'query (2)'!D400)</f>
        <v>SB6</v>
      </c>
      <c r="L400" s="24" t="str">
        <f>IF($J400="UNKNOWN","",_xlfn.TEXTBEFORE($J400,{"0","1","2","3","4","5","6","7","8","9"," ","-","."},1,,,$J400))</f>
        <v>SB</v>
      </c>
      <c r="M400" s="24" t="str">
        <f>IF('query (2)'!I400&lt;&gt;"",TRIM(UPPER('query (2)'!I400)),IF($L400="","UNKNOWN",$L400))</f>
        <v>SB</v>
      </c>
      <c r="N400" s="24" t="str">
        <f>IF('query (2)'!I400&lt;&gt;"","SOURCE",IF($L400="","UNKNOWN","DERIVED"))</f>
        <v>SOURCE</v>
      </c>
      <c r="O400" s="24" t="str">
        <f>IF('query (2)'!E400="","NOT_SPECIFIED",TRIM(UPPER('query (2)'!E400)))</f>
        <v>ASSEMBLY</v>
      </c>
      <c r="P400" s="24" t="str">
        <f>IF('query (2)'!F400="","",TRIM(UPPER('query (2)'!F400)))</f>
        <v>1221-SB6AI</v>
      </c>
      <c r="Q400" s="24" t="str">
        <f>IF('query (2)'!G400="","UNKNOWN",IFERROR(INDEX(Cleaning_Rules!$B$38:$B$46,MATCH(TRIM(UPPER('query (2)'!G400)),Cleaning_Rules!$A$38:$A$46,0)),"UNKNOWN"))</f>
        <v>OTHER</v>
      </c>
      <c r="R400" s="24" t="str">
        <f>IF('query (2)'!H400="","",TRIM(UPPER('query (2)'!H400)))</f>
        <v>WEIGHT CHECKER M/C</v>
      </c>
      <c r="S400" s="25" t="str">
        <f>IF('query (2)'!H400="","",'query (2)'!H400)</f>
        <v>Weight  checker  M/C</v>
      </c>
      <c r="T400" s="24" t="str">
        <f>IF('query (2)'!J400="","",TRIM(UPPER('query (2)'!J400)))</f>
        <v>WEIGHT CHECKER</v>
      </c>
      <c r="U400" s="24" t="str">
        <f t="shared" si="45"/>
        <v/>
      </c>
      <c r="V400" s="24" t="str">
        <f>IF('query (2)'!K400="","NOT_SPECIFIED",IFERROR(INDEX(Cleaning_Rules!$B$32:$B$34,MATCH(TRIM(UPPER('query (2)'!K400)),Cleaning_Rules!$A$32:$A$34,0)),"UNKNOWN"))</f>
        <v>NOT_SPECIFIED</v>
      </c>
      <c r="W400" s="24" t="str">
        <f t="shared" si="46"/>
        <v>CH-798 | FACTORY2 | SB6 | SB | ASSEMBLY | 1221-SB6AI | OTHER | WEIGHT CHECKER M/C | WEIGHT CHECKER | NOT_SPECIFIED</v>
      </c>
      <c r="X400" s="24" t="str">
        <f t="shared" si="47"/>
        <v/>
      </c>
      <c r="Y400" s="24" t="str">
        <f t="shared" si="48"/>
        <v>MISSING_STATUS; CATEGORY_NOT_USEFUL</v>
      </c>
    </row>
    <row r="401" spans="1:25" x14ac:dyDescent="0.3">
      <c r="A401" s="24" t="str">
        <f t="shared" si="42"/>
        <v>MA-799#0400</v>
      </c>
      <c r="B401" s="24" t="str">
        <f>IF('query (2)'!B401="","",TRIM(UPPER('query (2)'!B401)))</f>
        <v>MA-799</v>
      </c>
      <c r="C401" s="25" t="str">
        <f>IF('query (2)'!B401="","",'query (2)'!B401)</f>
        <v>MA-799</v>
      </c>
      <c r="D401" s="24" t="str">
        <f t="shared" si="43"/>
        <v>MA</v>
      </c>
      <c r="E401" s="24">
        <f t="shared" si="44"/>
        <v>1</v>
      </c>
      <c r="F401" s="24">
        <f>IF('query (2)'!A401="","",IFERROR(VALUE('query (2)'!A401),""))</f>
        <v>419</v>
      </c>
      <c r="G401" s="24" t="str">
        <f>IF('query (2)'!C401="","UNKNOWN",IFERROR(INDEX(Cleaning_Rules!$B$15:$B$20,MATCH(TRIM(UPPER('query (2)'!C401)),Cleaning_Rules!$A$15:$A$20,0)),"UNKNOWN"))</f>
        <v>FACTORY2</v>
      </c>
      <c r="H401" s="25" t="str">
        <f>IF('query (2)'!C401="","",'query (2)'!C401)</f>
        <v>FACTORY2</v>
      </c>
      <c r="I401" s="24" t="str" cm="1">
        <f t="array" ref="I401">_xlfn.IFS($G401="UNKNOWN","UNKNOWN",OR($G401="FACTORY1",$G401="FACTORY2",$G401="FACTORY3"),"PLANT",TRUE,"SHARED")</f>
        <v>PLANT</v>
      </c>
      <c r="J401" s="24" t="str">
        <f>IF('query (2)'!D401="","UNKNOWN",IF(COUNTIF(Cleaning_Rules!$A$6:$A$11,TRIM('query (2)'!D401))&gt;0,"UNKNOWN",IFERROR(INDEX(Cleaning_Rules!$B$24:$B$28,MATCH(TRIM(UPPER('query (2)'!D401)),Cleaning_Rules!$A$24:$A$28,0)),TRIM(UPPER('query (2)'!D401)))))</f>
        <v>SB6</v>
      </c>
      <c r="K401" s="25" t="str">
        <f>IF('query (2)'!D401="","",'query (2)'!D401)</f>
        <v>SB6</v>
      </c>
      <c r="L401" s="24" t="str">
        <f>IF($J401="UNKNOWN","",_xlfn.TEXTBEFORE($J401,{"0","1","2","3","4","5","6","7","8","9"," ","-","."},1,,,$J401))</f>
        <v>SB</v>
      </c>
      <c r="M401" s="24" t="str">
        <f>IF('query (2)'!I401&lt;&gt;"",TRIM(UPPER('query (2)'!I401)),IF($L401="","UNKNOWN",$L401))</f>
        <v>SB</v>
      </c>
      <c r="N401" s="24" t="str">
        <f>IF('query (2)'!I401&lt;&gt;"","SOURCE",IF($L401="","UNKNOWN","DERIVED"))</f>
        <v>SOURCE</v>
      </c>
      <c r="O401" s="24" t="str">
        <f>IF('query (2)'!E401="","NOT_SPECIFIED",TRIM(UPPER('query (2)'!E401)))</f>
        <v>ASSEMBLY</v>
      </c>
      <c r="P401" s="24" t="str">
        <f>IF('query (2)'!F401="","",TRIM(UPPER('query (2)'!F401)))</f>
        <v>1221-SB6AI</v>
      </c>
      <c r="Q401" s="24" t="str">
        <f>IF('query (2)'!G401="","UNKNOWN",IFERROR(INDEX(Cleaning_Rules!$B$38:$B$46,MATCH(TRIM(UPPER('query (2)'!G401)),Cleaning_Rules!$A$38:$A$46,0)),"UNKNOWN"))</f>
        <v>OTHER</v>
      </c>
      <c r="R401" s="24" t="str">
        <f>IF('query (2)'!H401="","",TRIM(UPPER('query (2)'!H401)))</f>
        <v>LASER MARKER MACHINE</v>
      </c>
      <c r="S401" s="25" t="str">
        <f>IF('query (2)'!H401="","",'query (2)'!H401)</f>
        <v>Laser marker machine</v>
      </c>
      <c r="T401" s="24" t="str">
        <f>IF('query (2)'!J401="","",TRIM(UPPER('query (2)'!J401)))</f>
        <v>LASER MARKING</v>
      </c>
      <c r="U401" s="24" t="str">
        <f t="shared" si="45"/>
        <v/>
      </c>
      <c r="V401" s="24" t="str">
        <f>IF('query (2)'!K401="","NOT_SPECIFIED",IFERROR(INDEX(Cleaning_Rules!$B$32:$B$34,MATCH(TRIM(UPPER('query (2)'!K401)),Cleaning_Rules!$A$32:$A$34,0)),"UNKNOWN"))</f>
        <v>NOT_SPECIFIED</v>
      </c>
      <c r="W401" s="24" t="str">
        <f t="shared" si="46"/>
        <v>MA-799 | FACTORY2 | SB6 | SB | ASSEMBLY | 1221-SB6AI | OTHER | LASER MARKER MACHINE | LASER MARKING | NOT_SPECIFIED</v>
      </c>
      <c r="X401" s="24" t="str">
        <f t="shared" si="47"/>
        <v/>
      </c>
      <c r="Y401" s="24" t="str">
        <f t="shared" si="48"/>
        <v>MISSING_STATUS; CATEGORY_NOT_USEFUL</v>
      </c>
    </row>
    <row r="402" spans="1:25" x14ac:dyDescent="0.3">
      <c r="A402" s="24" t="str">
        <f t="shared" si="42"/>
        <v>AR-800#0401</v>
      </c>
      <c r="B402" s="24" t="str">
        <f>IF('query (2)'!B402="","",TRIM(UPPER('query (2)'!B402)))</f>
        <v>AR-800</v>
      </c>
      <c r="C402" s="25" t="str">
        <f>IF('query (2)'!B402="","",'query (2)'!B402)</f>
        <v>AR-800</v>
      </c>
      <c r="D402" s="24" t="str">
        <f t="shared" si="43"/>
        <v>AR</v>
      </c>
      <c r="E402" s="24">
        <f t="shared" si="44"/>
        <v>1</v>
      </c>
      <c r="F402" s="24">
        <f>IF('query (2)'!A402="","",IFERROR(VALUE('query (2)'!A402),""))</f>
        <v>420</v>
      </c>
      <c r="G402" s="24" t="str">
        <f>IF('query (2)'!C402="","UNKNOWN",IFERROR(INDEX(Cleaning_Rules!$B$15:$B$20,MATCH(TRIM(UPPER('query (2)'!C402)),Cleaning_Rules!$A$15:$A$20,0)),"UNKNOWN"))</f>
        <v>FACTORY2</v>
      </c>
      <c r="H402" s="25" t="str">
        <f>IF('query (2)'!C402="","",'query (2)'!C402)</f>
        <v>FACTORY2</v>
      </c>
      <c r="I402" s="24" t="str" cm="1">
        <f t="array" ref="I402">_xlfn.IFS($G402="UNKNOWN","UNKNOWN",OR($G402="FACTORY1",$G402="FACTORY2",$G402="FACTORY3"),"PLANT",TRUE,"SHARED")</f>
        <v>PLANT</v>
      </c>
      <c r="J402" s="24" t="str">
        <f>IF('query (2)'!D402="","UNKNOWN",IF(COUNTIF(Cleaning_Rules!$A$6:$A$11,TRIM('query (2)'!D402))&gt;0,"UNKNOWN",IFERROR(INDEX(Cleaning_Rules!$B$24:$B$28,MATCH(TRIM(UPPER('query (2)'!D402)),Cleaning_Rules!$A$24:$A$28,0)),TRIM(UPPER('query (2)'!D402)))))</f>
        <v>SB6</v>
      </c>
      <c r="K402" s="25" t="str">
        <f>IF('query (2)'!D402="","",'query (2)'!D402)</f>
        <v>SB6</v>
      </c>
      <c r="L402" s="24" t="str">
        <f>IF($J402="UNKNOWN","",_xlfn.TEXTBEFORE($J402,{"0","1","2","3","4","5","6","7","8","9"," ","-","."},1,,,$J402))</f>
        <v>SB</v>
      </c>
      <c r="M402" s="24" t="str">
        <f>IF('query (2)'!I402&lt;&gt;"",TRIM(UPPER('query (2)'!I402)),IF($L402="","UNKNOWN",$L402))</f>
        <v>SB</v>
      </c>
      <c r="N402" s="24" t="str">
        <f>IF('query (2)'!I402&lt;&gt;"","SOURCE",IF($L402="","UNKNOWN","DERIVED"))</f>
        <v>SOURCE</v>
      </c>
      <c r="O402" s="24" t="str">
        <f>IF('query (2)'!E402="","NOT_SPECIFIED",TRIM(UPPER('query (2)'!E402)))</f>
        <v>ASSEMBLY</v>
      </c>
      <c r="P402" s="24" t="str">
        <f>IF('query (2)'!F402="","",TRIM(UPPER('query (2)'!F402)))</f>
        <v>1221-SB6AI</v>
      </c>
      <c r="Q402" s="24" t="str">
        <f>IF('query (2)'!G402="","UNKNOWN",IFERROR(INDEX(Cleaning_Rules!$B$38:$B$46,MATCH(TRIM(UPPER('query (2)'!G402)),Cleaning_Rules!$A$38:$A$46,0)),"UNKNOWN"))</f>
        <v>OTHER</v>
      </c>
      <c r="R402" s="24" t="str">
        <f>IF('query (2)'!H402="","",TRIM(UPPER('query (2)'!H402)))</f>
        <v>AUTO ANTIRUST</v>
      </c>
      <c r="S402" s="25" t="str">
        <f>IF('query (2)'!H402="","",'query (2)'!H402)</f>
        <v>Auto Antirust</v>
      </c>
      <c r="T402" s="24" t="str">
        <f>IF('query (2)'!J402="","",TRIM(UPPER('query (2)'!J402)))</f>
        <v>ANTI RUST AUTO</v>
      </c>
      <c r="U402" s="24" t="str">
        <f t="shared" si="45"/>
        <v/>
      </c>
      <c r="V402" s="24" t="str">
        <f>IF('query (2)'!K402="","NOT_SPECIFIED",IFERROR(INDEX(Cleaning_Rules!$B$32:$B$34,MATCH(TRIM(UPPER('query (2)'!K402)),Cleaning_Rules!$A$32:$A$34,0)),"UNKNOWN"))</f>
        <v>NOT_SPECIFIED</v>
      </c>
      <c r="W402" s="24" t="str">
        <f t="shared" si="46"/>
        <v>AR-800 | FACTORY2 | SB6 | SB | ASSEMBLY | 1221-SB6AI | OTHER | AUTO ANTIRUST | ANTI RUST AUTO | NOT_SPECIFIED</v>
      </c>
      <c r="X402" s="24" t="str">
        <f t="shared" si="47"/>
        <v/>
      </c>
      <c r="Y402" s="24" t="str">
        <f t="shared" si="48"/>
        <v>MISSING_STATUS; CATEGORY_NOT_USEFUL</v>
      </c>
    </row>
    <row r="403" spans="1:25" x14ac:dyDescent="0.3">
      <c r="A403" s="24" t="str">
        <f t="shared" si="42"/>
        <v>CH-947#0402</v>
      </c>
      <c r="B403" s="24" t="str">
        <f>IF('query (2)'!B403="","",TRIM(UPPER('query (2)'!B403)))</f>
        <v>CH-947</v>
      </c>
      <c r="C403" s="25" t="str">
        <f>IF('query (2)'!B403="","",'query (2)'!B403)</f>
        <v>CH-947</v>
      </c>
      <c r="D403" s="24" t="str">
        <f t="shared" si="43"/>
        <v>CH</v>
      </c>
      <c r="E403" s="24">
        <f t="shared" si="44"/>
        <v>1</v>
      </c>
      <c r="F403" s="24">
        <f>IF('query (2)'!A403="","",IFERROR(VALUE('query (2)'!A403),""))</f>
        <v>421</v>
      </c>
      <c r="G403" s="24" t="str">
        <f>IF('query (2)'!C403="","UNKNOWN",IFERROR(INDEX(Cleaning_Rules!$B$15:$B$20,MATCH(TRIM(UPPER('query (2)'!C403)),Cleaning_Rules!$A$15:$A$20,0)),"UNKNOWN"))</f>
        <v>FACTORY2</v>
      </c>
      <c r="H403" s="25" t="str">
        <f>IF('query (2)'!C403="","",'query (2)'!C403)</f>
        <v>FACTORY2</v>
      </c>
      <c r="I403" s="24" t="str" cm="1">
        <f t="array" ref="I403">_xlfn.IFS($G403="UNKNOWN","UNKNOWN",OR($G403="FACTORY1",$G403="FACTORY2",$G403="FACTORY3"),"PLANT",TRUE,"SHARED")</f>
        <v>PLANT</v>
      </c>
      <c r="J403" s="24" t="str">
        <f>IF('query (2)'!D403="","UNKNOWN",IF(COUNTIF(Cleaning_Rules!$A$6:$A$11,TRIM('query (2)'!D403))&gt;0,"UNKNOWN",IFERROR(INDEX(Cleaning_Rules!$B$24:$B$28,MATCH(TRIM(UPPER('query (2)'!D403)),Cleaning_Rules!$A$24:$A$28,0)),TRIM(UPPER('query (2)'!D403)))))</f>
        <v>SB6</v>
      </c>
      <c r="K403" s="25" t="str">
        <f>IF('query (2)'!D403="","",'query (2)'!D403)</f>
        <v>SB6</v>
      </c>
      <c r="L403" s="24" t="str">
        <f>IF($J403="UNKNOWN","",_xlfn.TEXTBEFORE($J403,{"0","1","2","3","4","5","6","7","8","9"," ","-","."},1,,,$J403))</f>
        <v>SB</v>
      </c>
      <c r="M403" s="24" t="str">
        <f>IF('query (2)'!I403&lt;&gt;"",TRIM(UPPER('query (2)'!I403)),IF($L403="","UNKNOWN",$L403))</f>
        <v>SB</v>
      </c>
      <c r="N403" s="24" t="str">
        <f>IF('query (2)'!I403&lt;&gt;"","SOURCE",IF($L403="","UNKNOWN","DERIVED"))</f>
        <v>SOURCE</v>
      </c>
      <c r="O403" s="24" t="str">
        <f>IF('query (2)'!E403="","NOT_SPECIFIED",TRIM(UPPER('query (2)'!E403)))</f>
        <v>ASSEMBLY</v>
      </c>
      <c r="P403" s="24" t="str">
        <f>IF('query (2)'!F403="","",TRIM(UPPER('query (2)'!F403)))</f>
        <v>1221-SB6AI</v>
      </c>
      <c r="Q403" s="24" t="str">
        <f>IF('query (2)'!G403="","UNKNOWN",IFERROR(INDEX(Cleaning_Rules!$B$38:$B$46,MATCH(TRIM(UPPER('query (2)'!G403)),Cleaning_Rules!$A$38:$A$46,0)),"UNKNOWN"))</f>
        <v>OTHER</v>
      </c>
      <c r="R403" s="24" t="str">
        <f>IF('query (2)'!H403="","",TRIM(UPPER('query (2)'!H403)))</f>
        <v>OUTER / INNER EDDY CURRENT TESTER M/C</v>
      </c>
      <c r="S403" s="25" t="str">
        <f>IF('query (2)'!H403="","",'query (2)'!H403)</f>
        <v>Outer  / Inner  Eddy current tester m/c</v>
      </c>
      <c r="T403" s="24" t="str">
        <f>IF('query (2)'!J403="","",TRIM(UPPER('query (2)'!J403)))</f>
        <v>A &amp; B - E.C.T.</v>
      </c>
      <c r="U403" s="24" t="str">
        <f t="shared" si="45"/>
        <v/>
      </c>
      <c r="V403" s="24" t="str">
        <f>IF('query (2)'!K403="","NOT_SPECIFIED",IFERROR(INDEX(Cleaning_Rules!$B$32:$B$34,MATCH(TRIM(UPPER('query (2)'!K403)),Cleaning_Rules!$A$32:$A$34,0)),"UNKNOWN"))</f>
        <v>NOT_SPECIFIED</v>
      </c>
      <c r="W403" s="24" t="str">
        <f t="shared" si="46"/>
        <v>CH-947 | FACTORY2 | SB6 | SB | ASSEMBLY | 1221-SB6AI | OTHER | OUTER / INNER EDDY CURRENT TESTER M/C | A &amp; B - E.C.T. | NOT_SPECIFIED</v>
      </c>
      <c r="X403" s="24" t="str">
        <f t="shared" si="47"/>
        <v/>
      </c>
      <c r="Y403" s="24" t="str">
        <f t="shared" si="48"/>
        <v>MISSING_STATUS; CATEGORY_NOT_USEFUL</v>
      </c>
    </row>
    <row r="404" spans="1:25" x14ac:dyDescent="0.3">
      <c r="A404" s="24" t="str">
        <f t="shared" si="42"/>
        <v>CH-974#0403</v>
      </c>
      <c r="B404" s="24" t="str">
        <f>IF('query (2)'!B404="","",TRIM(UPPER('query (2)'!B404)))</f>
        <v>CH-974</v>
      </c>
      <c r="C404" s="25" t="str">
        <f>IF('query (2)'!B404="","",'query (2)'!B404)</f>
        <v>CH-974</v>
      </c>
      <c r="D404" s="24" t="str">
        <f t="shared" si="43"/>
        <v>CH</v>
      </c>
      <c r="E404" s="24">
        <f t="shared" si="44"/>
        <v>1</v>
      </c>
      <c r="F404" s="24">
        <f>IF('query (2)'!A404="","",IFERROR(VALUE('query (2)'!A404),""))</f>
        <v>422</v>
      </c>
      <c r="G404" s="24" t="str">
        <f>IF('query (2)'!C404="","UNKNOWN",IFERROR(INDEX(Cleaning_Rules!$B$15:$B$20,MATCH(TRIM(UPPER('query (2)'!C404)),Cleaning_Rules!$A$15:$A$20,0)),"UNKNOWN"))</f>
        <v>FACTORY2</v>
      </c>
      <c r="H404" s="25" t="str">
        <f>IF('query (2)'!C404="","",'query (2)'!C404)</f>
        <v>FACTORY2</v>
      </c>
      <c r="I404" s="24" t="str" cm="1">
        <f t="array" ref="I404">_xlfn.IFS($G404="UNKNOWN","UNKNOWN",OR($G404="FACTORY1",$G404="FACTORY2",$G404="FACTORY3"),"PLANT",TRUE,"SHARED")</f>
        <v>PLANT</v>
      </c>
      <c r="J404" s="24" t="str">
        <f>IF('query (2)'!D404="","UNKNOWN",IF(COUNTIF(Cleaning_Rules!$A$6:$A$11,TRIM('query (2)'!D404))&gt;0,"UNKNOWN",IFERROR(INDEX(Cleaning_Rules!$B$24:$B$28,MATCH(TRIM(UPPER('query (2)'!D404)),Cleaning_Rules!$A$24:$A$28,0)),TRIM(UPPER('query (2)'!D404)))))</f>
        <v>SB6</v>
      </c>
      <c r="K404" s="25" t="str">
        <f>IF('query (2)'!D404="","",'query (2)'!D404)</f>
        <v>SB6</v>
      </c>
      <c r="L404" s="24" t="str">
        <f>IF($J404="UNKNOWN","",_xlfn.TEXTBEFORE($J404,{"0","1","2","3","4","5","6","7","8","9"," ","-","."},1,,,$J404))</f>
        <v>SB</v>
      </c>
      <c r="M404" s="24" t="str">
        <f>IF('query (2)'!I404&lt;&gt;"",TRIM(UPPER('query (2)'!I404)),IF($L404="","UNKNOWN",$L404))</f>
        <v>SB</v>
      </c>
      <c r="N404" s="24" t="str">
        <f>IF('query (2)'!I404&lt;&gt;"","SOURCE",IF($L404="","UNKNOWN","DERIVED"))</f>
        <v>SOURCE</v>
      </c>
      <c r="O404" s="24" t="str">
        <f>IF('query (2)'!E404="","NOT_SPECIFIED",TRIM(UPPER('query (2)'!E404)))</f>
        <v>ASSEMBLY</v>
      </c>
      <c r="P404" s="24" t="str">
        <f>IF('query (2)'!F404="","",TRIM(UPPER('query (2)'!F404)))</f>
        <v>1221-SB6AI</v>
      </c>
      <c r="Q404" s="24" t="str">
        <f>IF('query (2)'!G404="","UNKNOWN",IFERROR(INDEX(Cleaning_Rules!$B$38:$B$46,MATCH(TRIM(UPPER('query (2)'!G404)),Cleaning_Rules!$A$38:$A$46,0)),"UNKNOWN"))</f>
        <v>OTHER</v>
      </c>
      <c r="R404" s="24" t="str">
        <f>IF('query (2)'!H404="","",TRIM(UPPER('query (2)'!H404)))</f>
        <v>ROTATION CHECK M/C</v>
      </c>
      <c r="S404" s="25" t="str">
        <f>IF('query (2)'!H404="","",'query (2)'!H404)</f>
        <v>Rotation check  M/C</v>
      </c>
      <c r="T404" s="24" t="str">
        <f>IF('query (2)'!J404="","",TRIM(UPPER('query (2)'!J404)))</f>
        <v/>
      </c>
      <c r="U404" s="24" t="str">
        <f t="shared" si="45"/>
        <v/>
      </c>
      <c r="V404" s="24" t="str">
        <f>IF('query (2)'!K404="","NOT_SPECIFIED",IFERROR(INDEX(Cleaning_Rules!$B$32:$B$34,MATCH(TRIM(UPPER('query (2)'!K404)),Cleaning_Rules!$A$32:$A$34,0)),"UNKNOWN"))</f>
        <v>NOT_SPECIFIED</v>
      </c>
      <c r="W404" s="24" t="str">
        <f t="shared" si="46"/>
        <v>CH-974 | FACTORY2 | SB6 | SB | ASSEMBLY | 1221-SB6AI | OTHER | ROTATION CHECK M/C | NOT_SPECIFIED</v>
      </c>
      <c r="X404" s="24" t="str">
        <f t="shared" si="47"/>
        <v/>
      </c>
      <c r="Y404" s="24" t="str">
        <f t="shared" si="48"/>
        <v>MISSING_STATUS; CATEGORY_NOT_USEFUL; MISSING_PRODUCTION_NAME</v>
      </c>
    </row>
    <row r="405" spans="1:25" x14ac:dyDescent="0.3">
      <c r="A405" s="24" t="str">
        <f t="shared" si="42"/>
        <v>CH-1010#0404</v>
      </c>
      <c r="B405" s="24" t="str">
        <f>IF('query (2)'!B405="","",TRIM(UPPER('query (2)'!B405)))</f>
        <v>CH-1010</v>
      </c>
      <c r="C405" s="25" t="str">
        <f>IF('query (2)'!B405="","",'query (2)'!B405)</f>
        <v>CH-1010</v>
      </c>
      <c r="D405" s="24" t="str">
        <f t="shared" si="43"/>
        <v>CH</v>
      </c>
      <c r="E405" s="24">
        <f t="shared" si="44"/>
        <v>1</v>
      </c>
      <c r="F405" s="24">
        <f>IF('query (2)'!A405="","",IFERROR(VALUE('query (2)'!A405),""))</f>
        <v>423</v>
      </c>
      <c r="G405" s="24" t="str">
        <f>IF('query (2)'!C405="","UNKNOWN",IFERROR(INDEX(Cleaning_Rules!$B$15:$B$20,MATCH(TRIM(UPPER('query (2)'!C405)),Cleaning_Rules!$A$15:$A$20,0)),"UNKNOWN"))</f>
        <v>FACTORY2</v>
      </c>
      <c r="H405" s="25" t="str">
        <f>IF('query (2)'!C405="","",'query (2)'!C405)</f>
        <v>FACTORY2</v>
      </c>
      <c r="I405" s="24" t="str" cm="1">
        <f t="array" ref="I405">_xlfn.IFS($G405="UNKNOWN","UNKNOWN",OR($G405="FACTORY1",$G405="FACTORY2",$G405="FACTORY3"),"PLANT",TRUE,"SHARED")</f>
        <v>PLANT</v>
      </c>
      <c r="J405" s="24" t="str">
        <f>IF('query (2)'!D405="","UNKNOWN",IF(COUNTIF(Cleaning_Rules!$A$6:$A$11,TRIM('query (2)'!D405))&gt;0,"UNKNOWN",IFERROR(INDEX(Cleaning_Rules!$B$24:$B$28,MATCH(TRIM(UPPER('query (2)'!D405)),Cleaning_Rules!$A$24:$A$28,0)),TRIM(UPPER('query (2)'!D405)))))</f>
        <v>SB6</v>
      </c>
      <c r="K405" s="25" t="str">
        <f>IF('query (2)'!D405="","",'query (2)'!D405)</f>
        <v>SB6</v>
      </c>
      <c r="L405" s="24" t="str">
        <f>IF($J405="UNKNOWN","",_xlfn.TEXTBEFORE($J405,{"0","1","2","3","4","5","6","7","8","9"," ","-","."},1,,,$J405))</f>
        <v>SB</v>
      </c>
      <c r="M405" s="24" t="str">
        <f>IF('query (2)'!I405&lt;&gt;"",TRIM(UPPER('query (2)'!I405)),IF($L405="","UNKNOWN",$L405))</f>
        <v>SB</v>
      </c>
      <c r="N405" s="24" t="str">
        <f>IF('query (2)'!I405&lt;&gt;"","SOURCE",IF($L405="","UNKNOWN","DERIVED"))</f>
        <v>SOURCE</v>
      </c>
      <c r="O405" s="24" t="str">
        <f>IF('query (2)'!E405="","NOT_SPECIFIED",TRIM(UPPER('query (2)'!E405)))</f>
        <v>ASSEMBLY</v>
      </c>
      <c r="P405" s="24" t="str">
        <f>IF('query (2)'!F405="","",TRIM(UPPER('query (2)'!F405)))</f>
        <v>1221-SB6AI</v>
      </c>
      <c r="Q405" s="24" t="str">
        <f>IF('query (2)'!G405="","UNKNOWN",IFERROR(INDEX(Cleaning_Rules!$B$38:$B$46,MATCH(TRIM(UPPER('query (2)'!G405)),Cleaning_Rules!$A$38:$A$46,0)),"UNKNOWN"))</f>
        <v>OTHER</v>
      </c>
      <c r="R405" s="24" t="str">
        <f>IF('query (2)'!H405="","",TRIM(UPPER('query (2)'!H405)))</f>
        <v>DIMENSION CHECKER MACHINE NO.4</v>
      </c>
      <c r="S405" s="25" t="str">
        <f>IF('query (2)'!H405="","",'query (2)'!H405)</f>
        <v>Dimension checker machine No.4</v>
      </c>
      <c r="T405" s="24" t="str">
        <f>IF('query (2)'!J405="","",TRIM(UPPER('query (2)'!J405)))</f>
        <v>OD.CHECK AUTO</v>
      </c>
      <c r="U405" s="24" t="str">
        <f t="shared" si="45"/>
        <v/>
      </c>
      <c r="V405" s="24" t="str">
        <f>IF('query (2)'!K405="","NOT_SPECIFIED",IFERROR(INDEX(Cleaning_Rules!$B$32:$B$34,MATCH(TRIM(UPPER('query (2)'!K405)),Cleaning_Rules!$A$32:$A$34,0)),"UNKNOWN"))</f>
        <v>NOT_SPECIFIED</v>
      </c>
      <c r="W405" s="24" t="str">
        <f t="shared" si="46"/>
        <v>CH-1010 | FACTORY2 | SB6 | SB | ASSEMBLY | 1221-SB6AI | OTHER | DIMENSION CHECKER MACHINE NO.4 | OD.CHECK AUTO | NOT_SPECIFIED</v>
      </c>
      <c r="X405" s="24" t="str">
        <f t="shared" si="47"/>
        <v/>
      </c>
      <c r="Y405" s="24" t="str">
        <f t="shared" si="48"/>
        <v>MISSING_STATUS; CATEGORY_NOT_USEFUL</v>
      </c>
    </row>
    <row r="406" spans="1:25" x14ac:dyDescent="0.3">
      <c r="A406" s="24" t="str">
        <f t="shared" si="42"/>
        <v>GR-801#0405</v>
      </c>
      <c r="B406" s="24" t="str">
        <f>IF('query (2)'!B406="","",TRIM(UPPER('query (2)'!B406)))</f>
        <v>GR-801</v>
      </c>
      <c r="C406" s="25" t="str">
        <f>IF('query (2)'!B406="","",'query (2)'!B406)</f>
        <v>GR-801</v>
      </c>
      <c r="D406" s="24" t="str">
        <f t="shared" si="43"/>
        <v>GR</v>
      </c>
      <c r="E406" s="24">
        <f t="shared" si="44"/>
        <v>1</v>
      </c>
      <c r="F406" s="24">
        <f>IF('query (2)'!A406="","",IFERROR(VALUE('query (2)'!A406),""))</f>
        <v>424</v>
      </c>
      <c r="G406" s="24" t="str">
        <f>IF('query (2)'!C406="","UNKNOWN",IFERROR(INDEX(Cleaning_Rules!$B$15:$B$20,MATCH(TRIM(UPPER('query (2)'!C406)),Cleaning_Rules!$A$15:$A$20,0)),"UNKNOWN"))</f>
        <v>FACTORY2</v>
      </c>
      <c r="H406" s="25" t="str">
        <f>IF('query (2)'!C406="","",'query (2)'!C406)</f>
        <v>FACTORY2</v>
      </c>
      <c r="I406" s="24" t="str" cm="1">
        <f t="array" ref="I406">_xlfn.IFS($G406="UNKNOWN","UNKNOWN",OR($G406="FACTORY1",$G406="FACTORY2",$G406="FACTORY3"),"PLANT",TRUE,"SHARED")</f>
        <v>PLANT</v>
      </c>
      <c r="J406" s="24" t="str">
        <f>IF('query (2)'!D406="","UNKNOWN",IF(COUNTIF(Cleaning_Rules!$A$6:$A$11,TRIM('query (2)'!D406))&gt;0,"UNKNOWN",IFERROR(INDEX(Cleaning_Rules!$B$24:$B$28,MATCH(TRIM(UPPER('query (2)'!D406)),Cleaning_Rules!$A$24:$A$28,0)),TRIM(UPPER('query (2)'!D406)))))</f>
        <v>SB7</v>
      </c>
      <c r="K406" s="25" t="str">
        <f>IF('query (2)'!D406="","",'query (2)'!D406)</f>
        <v>SB7</v>
      </c>
      <c r="L406" s="24" t="str">
        <f>IF($J406="UNKNOWN","",_xlfn.TEXTBEFORE($J406,{"0","1","2","3","4","5","6","7","8","9"," ","-","."},1,,,$J406))</f>
        <v>SB</v>
      </c>
      <c r="M406" s="24" t="str">
        <f>IF('query (2)'!I406&lt;&gt;"",TRIM(UPPER('query (2)'!I406)),IF($L406="","UNKNOWN",$L406))</f>
        <v>SB</v>
      </c>
      <c r="N406" s="24" t="str">
        <f>IF('query (2)'!I406&lt;&gt;"","SOURCE",IF($L406="","UNKNOWN","DERIVED"))</f>
        <v>SOURCE</v>
      </c>
      <c r="O406" s="24" t="str">
        <f>IF('query (2)'!E406="","NOT_SPECIFIED",TRIM(UPPER('query (2)'!E406)))</f>
        <v>GRINDING 2</v>
      </c>
      <c r="P406" s="24" t="str">
        <f>IF('query (2)'!F406="","",TRIM(UPPER('query (2)'!F406)))</f>
        <v>1223-SB7G</v>
      </c>
      <c r="Q406" s="24" t="str">
        <f>IF('query (2)'!G406="","UNKNOWN",IFERROR(INDEX(Cleaning_Rules!$B$38:$B$46,MATCH(TRIM(UPPER('query (2)'!G406)),Cleaning_Rules!$A$38:$A$46,0)),"UNKNOWN"))</f>
        <v>OTHER</v>
      </c>
      <c r="R406" s="24" t="str">
        <f>IF('query (2)'!H406="","",TRIM(UPPER('query (2)'!H406)))</f>
        <v>INNER RING RACEWAY GRINDING M/C</v>
      </c>
      <c r="S406" s="25" t="str">
        <f>IF('query (2)'!H406="","",'query (2)'!H406)</f>
        <v>Inner ring raceway grinding M/C</v>
      </c>
      <c r="T406" s="24" t="str">
        <f>IF('query (2)'!J406="","",TRIM(UPPER('query (2)'!J406)))</f>
        <v>B - RACEWAY GRINDING</v>
      </c>
      <c r="U406" s="24" t="str">
        <f t="shared" si="45"/>
        <v/>
      </c>
      <c r="V406" s="24" t="str">
        <f>IF('query (2)'!K406="","NOT_SPECIFIED",IFERROR(INDEX(Cleaning_Rules!$B$32:$B$34,MATCH(TRIM(UPPER('query (2)'!K406)),Cleaning_Rules!$A$32:$A$34,0)),"UNKNOWN"))</f>
        <v>NOT_SPECIFIED</v>
      </c>
      <c r="W406" s="24" t="str">
        <f t="shared" si="46"/>
        <v>GR-801 | FACTORY2 | SB7 | SB | GRINDING 2 | 1223-SB7G | OTHER | INNER RING RACEWAY GRINDING M/C | B - RACEWAY GRINDING | NOT_SPECIFIED</v>
      </c>
      <c r="X406" s="24" t="str">
        <f t="shared" si="47"/>
        <v/>
      </c>
      <c r="Y406" s="24" t="str">
        <f t="shared" si="48"/>
        <v>MISSING_STATUS; CATEGORY_NOT_USEFUL</v>
      </c>
    </row>
    <row r="407" spans="1:25" x14ac:dyDescent="0.3">
      <c r="A407" s="24" t="str">
        <f t="shared" si="42"/>
        <v>GR-802#0406</v>
      </c>
      <c r="B407" s="24" t="str">
        <f>IF('query (2)'!B407="","",TRIM(UPPER('query (2)'!B407)))</f>
        <v>GR-802</v>
      </c>
      <c r="C407" s="25" t="str">
        <f>IF('query (2)'!B407="","",'query (2)'!B407)</f>
        <v>GR-802</v>
      </c>
      <c r="D407" s="24" t="str">
        <f t="shared" si="43"/>
        <v>GR</v>
      </c>
      <c r="E407" s="24">
        <f t="shared" si="44"/>
        <v>1</v>
      </c>
      <c r="F407" s="24">
        <f>IF('query (2)'!A407="","",IFERROR(VALUE('query (2)'!A407),""))</f>
        <v>425</v>
      </c>
      <c r="G407" s="24" t="str">
        <f>IF('query (2)'!C407="","UNKNOWN",IFERROR(INDEX(Cleaning_Rules!$B$15:$B$20,MATCH(TRIM(UPPER('query (2)'!C407)),Cleaning_Rules!$A$15:$A$20,0)),"UNKNOWN"))</f>
        <v>FACTORY2</v>
      </c>
      <c r="H407" s="25" t="str">
        <f>IF('query (2)'!C407="","",'query (2)'!C407)</f>
        <v>FACTORY2</v>
      </c>
      <c r="I407" s="24" t="str" cm="1">
        <f t="array" ref="I407">_xlfn.IFS($G407="UNKNOWN","UNKNOWN",OR($G407="FACTORY1",$G407="FACTORY2",$G407="FACTORY3"),"PLANT",TRUE,"SHARED")</f>
        <v>PLANT</v>
      </c>
      <c r="J407" s="24" t="str">
        <f>IF('query (2)'!D407="","UNKNOWN",IF(COUNTIF(Cleaning_Rules!$A$6:$A$11,TRIM('query (2)'!D407))&gt;0,"UNKNOWN",IFERROR(INDEX(Cleaning_Rules!$B$24:$B$28,MATCH(TRIM(UPPER('query (2)'!D407)),Cleaning_Rules!$A$24:$A$28,0)),TRIM(UPPER('query (2)'!D407)))))</f>
        <v>SB7</v>
      </c>
      <c r="K407" s="25" t="str">
        <f>IF('query (2)'!D407="","",'query (2)'!D407)</f>
        <v>SB7</v>
      </c>
      <c r="L407" s="24" t="str">
        <f>IF($J407="UNKNOWN","",_xlfn.TEXTBEFORE($J407,{"0","1","2","3","4","5","6","7","8","9"," ","-","."},1,,,$J407))</f>
        <v>SB</v>
      </c>
      <c r="M407" s="24" t="str">
        <f>IF('query (2)'!I407&lt;&gt;"",TRIM(UPPER('query (2)'!I407)),IF($L407="","UNKNOWN",$L407))</f>
        <v>SB</v>
      </c>
      <c r="N407" s="24" t="str">
        <f>IF('query (2)'!I407&lt;&gt;"","SOURCE",IF($L407="","UNKNOWN","DERIVED"))</f>
        <v>SOURCE</v>
      </c>
      <c r="O407" s="24" t="str">
        <f>IF('query (2)'!E407="","NOT_SPECIFIED",TRIM(UPPER('query (2)'!E407)))</f>
        <v>GRINDING 2</v>
      </c>
      <c r="P407" s="24" t="str">
        <f>IF('query (2)'!F407="","",TRIM(UPPER('query (2)'!F407)))</f>
        <v>1223-SB7G</v>
      </c>
      <c r="Q407" s="24" t="str">
        <f>IF('query (2)'!G407="","UNKNOWN",IFERROR(INDEX(Cleaning_Rules!$B$38:$B$46,MATCH(TRIM(UPPER('query (2)'!G407)),Cleaning_Rules!$A$38:$A$46,0)),"UNKNOWN"))</f>
        <v>OTHER</v>
      </c>
      <c r="R407" s="24" t="str">
        <f>IF('query (2)'!H407="","",TRIM(UPPER('query (2)'!H407)))</f>
        <v>INNER RING BORE GRINDING M/C</v>
      </c>
      <c r="S407" s="25" t="str">
        <f>IF('query (2)'!H407="","",'query (2)'!H407)</f>
        <v>Inner ring bore grinding M/C</v>
      </c>
      <c r="T407" s="24" t="str">
        <f>IF('query (2)'!J407="","",TRIM(UPPER('query (2)'!J407)))</f>
        <v>B - BORE GRINDING</v>
      </c>
      <c r="U407" s="24" t="str">
        <f t="shared" si="45"/>
        <v/>
      </c>
      <c r="V407" s="24" t="str">
        <f>IF('query (2)'!K407="","NOT_SPECIFIED",IFERROR(INDEX(Cleaning_Rules!$B$32:$B$34,MATCH(TRIM(UPPER('query (2)'!K407)),Cleaning_Rules!$A$32:$A$34,0)),"UNKNOWN"))</f>
        <v>NOT_SPECIFIED</v>
      </c>
      <c r="W407" s="24" t="str">
        <f t="shared" si="46"/>
        <v>GR-802 | FACTORY2 | SB7 | SB | GRINDING 2 | 1223-SB7G | OTHER | INNER RING BORE GRINDING M/C | B - BORE GRINDING | NOT_SPECIFIED</v>
      </c>
      <c r="X407" s="24" t="str">
        <f t="shared" si="47"/>
        <v/>
      </c>
      <c r="Y407" s="24" t="str">
        <f t="shared" si="48"/>
        <v>MISSING_STATUS; CATEGORY_NOT_USEFUL</v>
      </c>
    </row>
    <row r="408" spans="1:25" x14ac:dyDescent="0.3">
      <c r="A408" s="24" t="str">
        <f t="shared" si="42"/>
        <v>DE-803#0407</v>
      </c>
      <c r="B408" s="24" t="str">
        <f>IF('query (2)'!B408="","",TRIM(UPPER('query (2)'!B408)))</f>
        <v>DE-803</v>
      </c>
      <c r="C408" s="25" t="str">
        <f>IF('query (2)'!B408="","",'query (2)'!B408)</f>
        <v>DE-803</v>
      </c>
      <c r="D408" s="24" t="str">
        <f t="shared" si="43"/>
        <v>DE</v>
      </c>
      <c r="E408" s="24">
        <f t="shared" si="44"/>
        <v>1</v>
      </c>
      <c r="F408" s="24">
        <f>IF('query (2)'!A408="","",IFERROR(VALUE('query (2)'!A408),""))</f>
        <v>426</v>
      </c>
      <c r="G408" s="24" t="str">
        <f>IF('query (2)'!C408="","UNKNOWN",IFERROR(INDEX(Cleaning_Rules!$B$15:$B$20,MATCH(TRIM(UPPER('query (2)'!C408)),Cleaning_Rules!$A$15:$A$20,0)),"UNKNOWN"))</f>
        <v>FACTORY2</v>
      </c>
      <c r="H408" s="25" t="str">
        <f>IF('query (2)'!C408="","",'query (2)'!C408)</f>
        <v>FACTORY2</v>
      </c>
      <c r="I408" s="24" t="str" cm="1">
        <f t="array" ref="I408">_xlfn.IFS($G408="UNKNOWN","UNKNOWN",OR($G408="FACTORY1",$G408="FACTORY2",$G408="FACTORY3"),"PLANT",TRUE,"SHARED")</f>
        <v>PLANT</v>
      </c>
      <c r="J408" s="24" t="str">
        <f>IF('query (2)'!D408="","UNKNOWN",IF(COUNTIF(Cleaning_Rules!$A$6:$A$11,TRIM('query (2)'!D408))&gt;0,"UNKNOWN",IFERROR(INDEX(Cleaning_Rules!$B$24:$B$28,MATCH(TRIM(UPPER('query (2)'!D408)),Cleaning_Rules!$A$24:$A$28,0)),TRIM(UPPER('query (2)'!D408)))))</f>
        <v>SB7</v>
      </c>
      <c r="K408" s="25" t="str">
        <f>IF('query (2)'!D408="","",'query (2)'!D408)</f>
        <v>SB7</v>
      </c>
      <c r="L408" s="24" t="str">
        <f>IF($J408="UNKNOWN","",_xlfn.TEXTBEFORE($J408,{"0","1","2","3","4","5","6","7","8","9"," ","-","."},1,,,$J408))</f>
        <v>SB</v>
      </c>
      <c r="M408" s="24" t="str">
        <f>IF('query (2)'!I408&lt;&gt;"",TRIM(UPPER('query (2)'!I408)),IF($L408="","UNKNOWN",$L408))</f>
        <v>SB</v>
      </c>
      <c r="N408" s="24" t="str">
        <f>IF('query (2)'!I408&lt;&gt;"","SOURCE",IF($L408="","UNKNOWN","DERIVED"))</f>
        <v>SOURCE</v>
      </c>
      <c r="O408" s="24" t="str">
        <f>IF('query (2)'!E408="","NOT_SPECIFIED",TRIM(UPPER('query (2)'!E408)))</f>
        <v>GRINDING 2</v>
      </c>
      <c r="P408" s="24" t="str">
        <f>IF('query (2)'!F408="","",TRIM(UPPER('query (2)'!F408)))</f>
        <v>1223-SB7G</v>
      </c>
      <c r="Q408" s="24" t="str">
        <f>IF('query (2)'!G408="","UNKNOWN",IFERROR(INDEX(Cleaning_Rules!$B$38:$B$46,MATCH(TRIM(UPPER('query (2)'!G408)),Cleaning_Rules!$A$38:$A$46,0)),"UNKNOWN"))</f>
        <v>OTHER</v>
      </c>
      <c r="R408" s="24" t="str">
        <f>IF('query (2)'!H408="","",TRIM(UPPER('query (2)'!H408)))</f>
        <v>DEMAGNETIZING FOR INNER RING M/C</v>
      </c>
      <c r="S408" s="25" t="str">
        <f>IF('query (2)'!H408="","",'query (2)'!H408)</f>
        <v>Demagnetizing for  inner  ring  M/C</v>
      </c>
      <c r="T408" s="24" t="str">
        <f>IF('query (2)'!J408="","",TRIM(UPPER('query (2)'!J408)))</f>
        <v>B - DEMAGNETIZING</v>
      </c>
      <c r="U408" s="24" t="str">
        <f t="shared" si="45"/>
        <v/>
      </c>
      <c r="V408" s="24" t="str">
        <f>IF('query (2)'!K408="","NOT_SPECIFIED",IFERROR(INDEX(Cleaning_Rules!$B$32:$B$34,MATCH(TRIM(UPPER('query (2)'!K408)),Cleaning_Rules!$A$32:$A$34,0)),"UNKNOWN"))</f>
        <v>NOT_SPECIFIED</v>
      </c>
      <c r="W408" s="24" t="str">
        <f t="shared" si="46"/>
        <v>DE-803 | FACTORY2 | SB7 | SB | GRINDING 2 | 1223-SB7G | OTHER | DEMAGNETIZING FOR INNER RING M/C | B - DEMAGNETIZING | NOT_SPECIFIED</v>
      </c>
      <c r="X408" s="24" t="str">
        <f t="shared" si="47"/>
        <v/>
      </c>
      <c r="Y408" s="24" t="str">
        <f t="shared" si="48"/>
        <v>MISSING_STATUS; CATEGORY_NOT_USEFUL</v>
      </c>
    </row>
    <row r="409" spans="1:25" x14ac:dyDescent="0.3">
      <c r="A409" s="24" t="str">
        <f t="shared" si="42"/>
        <v>GR-804#0408</v>
      </c>
      <c r="B409" s="24" t="str">
        <f>IF('query (2)'!B409="","",TRIM(UPPER('query (2)'!B409)))</f>
        <v>GR-804</v>
      </c>
      <c r="C409" s="25" t="str">
        <f>IF('query (2)'!B409="","",'query (2)'!B409)</f>
        <v>GR-804</v>
      </c>
      <c r="D409" s="24" t="str">
        <f t="shared" si="43"/>
        <v>GR</v>
      </c>
      <c r="E409" s="24">
        <f t="shared" si="44"/>
        <v>1</v>
      </c>
      <c r="F409" s="24">
        <f>IF('query (2)'!A409="","",IFERROR(VALUE('query (2)'!A409),""))</f>
        <v>427</v>
      </c>
      <c r="G409" s="24" t="str">
        <f>IF('query (2)'!C409="","UNKNOWN",IFERROR(INDEX(Cleaning_Rules!$B$15:$B$20,MATCH(TRIM(UPPER('query (2)'!C409)),Cleaning_Rules!$A$15:$A$20,0)),"UNKNOWN"))</f>
        <v>FACTORY2</v>
      </c>
      <c r="H409" s="25" t="str">
        <f>IF('query (2)'!C409="","",'query (2)'!C409)</f>
        <v>FACTORY2</v>
      </c>
      <c r="I409" s="24" t="str" cm="1">
        <f t="array" ref="I409">_xlfn.IFS($G409="UNKNOWN","UNKNOWN",OR($G409="FACTORY1",$G409="FACTORY2",$G409="FACTORY3"),"PLANT",TRUE,"SHARED")</f>
        <v>PLANT</v>
      </c>
      <c r="J409" s="24" t="str">
        <f>IF('query (2)'!D409="","UNKNOWN",IF(COUNTIF(Cleaning_Rules!$A$6:$A$11,TRIM('query (2)'!D409))&gt;0,"UNKNOWN",IFERROR(INDEX(Cleaning_Rules!$B$24:$B$28,MATCH(TRIM(UPPER('query (2)'!D409)),Cleaning_Rules!$A$24:$A$28,0)),TRIM(UPPER('query (2)'!D409)))))</f>
        <v>SB7</v>
      </c>
      <c r="K409" s="25" t="str">
        <f>IF('query (2)'!D409="","",'query (2)'!D409)</f>
        <v>SB7</v>
      </c>
      <c r="L409" s="24" t="str">
        <f>IF($J409="UNKNOWN","",_xlfn.TEXTBEFORE($J409,{"0","1","2","3","4","5","6","7","8","9"," ","-","."},1,,,$J409))</f>
        <v>SB</v>
      </c>
      <c r="M409" s="24" t="str">
        <f>IF('query (2)'!I409&lt;&gt;"",TRIM(UPPER('query (2)'!I409)),IF($L409="","UNKNOWN",$L409))</f>
        <v>SB</v>
      </c>
      <c r="N409" s="24" t="str">
        <f>IF('query (2)'!I409&lt;&gt;"","SOURCE",IF($L409="","UNKNOWN","DERIVED"))</f>
        <v>SOURCE</v>
      </c>
      <c r="O409" s="24" t="str">
        <f>IF('query (2)'!E409="","NOT_SPECIFIED",TRIM(UPPER('query (2)'!E409)))</f>
        <v>GRINDING 2</v>
      </c>
      <c r="P409" s="24" t="str">
        <f>IF('query (2)'!F409="","",TRIM(UPPER('query (2)'!F409)))</f>
        <v>1223-SB7G</v>
      </c>
      <c r="Q409" s="24" t="str">
        <f>IF('query (2)'!G409="","UNKNOWN",IFERROR(INDEX(Cleaning_Rules!$B$38:$B$46,MATCH(TRIM(UPPER('query (2)'!G409)),Cleaning_Rules!$A$38:$A$46,0)),"UNKNOWN"))</f>
        <v>OTHER</v>
      </c>
      <c r="R409" s="24" t="str">
        <f>IF('query (2)'!H409="","",TRIM(UPPER('query (2)'!H409)))</f>
        <v>INNER RING RACEWAY SUPER FINISH M/C</v>
      </c>
      <c r="S409" s="25" t="str">
        <f>IF('query (2)'!H409="","",'query (2)'!H409)</f>
        <v>Inner ring raceway super finish M/C</v>
      </c>
      <c r="T409" s="24" t="str">
        <f>IF('query (2)'!J409="","",TRIM(UPPER('query (2)'!J409)))</f>
        <v>B - RACEWAY SUPER FINISH</v>
      </c>
      <c r="U409" s="24" t="str">
        <f t="shared" si="45"/>
        <v/>
      </c>
      <c r="V409" s="24" t="str">
        <f>IF('query (2)'!K409="","NOT_SPECIFIED",IFERROR(INDEX(Cleaning_Rules!$B$32:$B$34,MATCH(TRIM(UPPER('query (2)'!K409)),Cleaning_Rules!$A$32:$A$34,0)),"UNKNOWN"))</f>
        <v>NOT_SPECIFIED</v>
      </c>
      <c r="W409" s="24" t="str">
        <f t="shared" si="46"/>
        <v>GR-804 | FACTORY2 | SB7 | SB | GRINDING 2 | 1223-SB7G | OTHER | INNER RING RACEWAY SUPER FINISH M/C | B - RACEWAY SUPER FINISH | NOT_SPECIFIED</v>
      </c>
      <c r="X409" s="24" t="str">
        <f t="shared" si="47"/>
        <v/>
      </c>
      <c r="Y409" s="24" t="str">
        <f t="shared" si="48"/>
        <v>MISSING_STATUS; CATEGORY_NOT_USEFUL</v>
      </c>
    </row>
    <row r="410" spans="1:25" x14ac:dyDescent="0.3">
      <c r="A410" s="24" t="str">
        <f t="shared" si="42"/>
        <v>GR-972#0409</v>
      </c>
      <c r="B410" s="24" t="str">
        <f>IF('query (2)'!B410="","",TRIM(UPPER('query (2)'!B410)))</f>
        <v>GR-972</v>
      </c>
      <c r="C410" s="25" t="str">
        <f>IF('query (2)'!B410="","",'query (2)'!B410)</f>
        <v>GR-972</v>
      </c>
      <c r="D410" s="24" t="str">
        <f t="shared" si="43"/>
        <v>GR</v>
      </c>
      <c r="E410" s="24">
        <f t="shared" si="44"/>
        <v>1</v>
      </c>
      <c r="F410" s="24">
        <f>IF('query (2)'!A410="","",IFERROR(VALUE('query (2)'!A410),""))</f>
        <v>428</v>
      </c>
      <c r="G410" s="24" t="str">
        <f>IF('query (2)'!C410="","UNKNOWN",IFERROR(INDEX(Cleaning_Rules!$B$15:$B$20,MATCH(TRIM(UPPER('query (2)'!C410)),Cleaning_Rules!$A$15:$A$20,0)),"UNKNOWN"))</f>
        <v>FACTORY2</v>
      </c>
      <c r="H410" s="25" t="str">
        <f>IF('query (2)'!C410="","",'query (2)'!C410)</f>
        <v>FACTORY2</v>
      </c>
      <c r="I410" s="24" t="str" cm="1">
        <f t="array" ref="I410">_xlfn.IFS($G410="UNKNOWN","UNKNOWN",OR($G410="FACTORY1",$G410="FACTORY2",$G410="FACTORY3"),"PLANT",TRUE,"SHARED")</f>
        <v>PLANT</v>
      </c>
      <c r="J410" s="24" t="str">
        <f>IF('query (2)'!D410="","UNKNOWN",IF(COUNTIF(Cleaning_Rules!$A$6:$A$11,TRIM('query (2)'!D410))&gt;0,"UNKNOWN",IFERROR(INDEX(Cleaning_Rules!$B$24:$B$28,MATCH(TRIM(UPPER('query (2)'!D410)),Cleaning_Rules!$A$24:$A$28,0)),TRIM(UPPER('query (2)'!D410)))))</f>
        <v>SB7</v>
      </c>
      <c r="K410" s="25" t="str">
        <f>IF('query (2)'!D410="","",'query (2)'!D410)</f>
        <v>SB7</v>
      </c>
      <c r="L410" s="24" t="str">
        <f>IF($J410="UNKNOWN","",_xlfn.TEXTBEFORE($J410,{"0","1","2","3","4","5","6","7","8","9"," ","-","."},1,,,$J410))</f>
        <v>SB</v>
      </c>
      <c r="M410" s="24" t="str">
        <f>IF('query (2)'!I410&lt;&gt;"",TRIM(UPPER('query (2)'!I410)),IF($L410="","UNKNOWN",$L410))</f>
        <v>SB</v>
      </c>
      <c r="N410" s="24" t="str">
        <f>IF('query (2)'!I410&lt;&gt;"","SOURCE",IF($L410="","UNKNOWN","DERIVED"))</f>
        <v>SOURCE</v>
      </c>
      <c r="O410" s="24" t="str">
        <f>IF('query (2)'!E410="","NOT_SPECIFIED",TRIM(UPPER('query (2)'!E410)))</f>
        <v>GRINDING 2</v>
      </c>
      <c r="P410" s="24" t="str">
        <f>IF('query (2)'!F410="","",TRIM(UPPER('query (2)'!F410)))</f>
        <v>1223-SB7G</v>
      </c>
      <c r="Q410" s="24" t="str">
        <f>IF('query (2)'!G410="","UNKNOWN",IFERROR(INDEX(Cleaning_Rules!$B$38:$B$46,MATCH(TRIM(UPPER('query (2)'!G410)),Cleaning_Rules!$A$38:$A$46,0)),"UNKNOWN"))</f>
        <v>OTHER</v>
      </c>
      <c r="R410" s="24" t="str">
        <f>IF('query (2)'!H410="","",TRIM(UPPER('query (2)'!H410)))</f>
        <v>OUTER RING RACEWAY GRINDING M/C</v>
      </c>
      <c r="S410" s="25" t="str">
        <f>IF('query (2)'!H410="","",'query (2)'!H410)</f>
        <v>Outer ring raceway grinding M/C</v>
      </c>
      <c r="T410" s="24" t="str">
        <f>IF('query (2)'!J410="","",TRIM(UPPER('query (2)'!J410)))</f>
        <v>A - RACEWAY GRINDING</v>
      </c>
      <c r="U410" s="24" t="str">
        <f t="shared" si="45"/>
        <v/>
      </c>
      <c r="V410" s="24" t="str">
        <f>IF('query (2)'!K410="","NOT_SPECIFIED",IFERROR(INDEX(Cleaning_Rules!$B$32:$B$34,MATCH(TRIM(UPPER('query (2)'!K410)),Cleaning_Rules!$A$32:$A$34,0)),"UNKNOWN"))</f>
        <v>NOT_SPECIFIED</v>
      </c>
      <c r="W410" s="24" t="str">
        <f t="shared" si="46"/>
        <v>GR-972 | FACTORY2 | SB7 | SB | GRINDING 2 | 1223-SB7G | OTHER | OUTER RING RACEWAY GRINDING M/C | A - RACEWAY GRINDING | NOT_SPECIFIED</v>
      </c>
      <c r="X410" s="24" t="str">
        <f t="shared" si="47"/>
        <v/>
      </c>
      <c r="Y410" s="24" t="str">
        <f t="shared" si="48"/>
        <v>MISSING_STATUS; CATEGORY_NOT_USEFUL</v>
      </c>
    </row>
    <row r="411" spans="1:25" x14ac:dyDescent="0.3">
      <c r="A411" s="24" t="str">
        <f t="shared" si="42"/>
        <v>DE-808#0410</v>
      </c>
      <c r="B411" s="24" t="str">
        <f>IF('query (2)'!B411="","",TRIM(UPPER('query (2)'!B411)))</f>
        <v>DE-808</v>
      </c>
      <c r="C411" s="25" t="str">
        <f>IF('query (2)'!B411="","",'query (2)'!B411)</f>
        <v>DE-808</v>
      </c>
      <c r="D411" s="24" t="str">
        <f t="shared" si="43"/>
        <v>DE</v>
      </c>
      <c r="E411" s="24">
        <f t="shared" si="44"/>
        <v>1</v>
      </c>
      <c r="F411" s="24">
        <f>IF('query (2)'!A411="","",IFERROR(VALUE('query (2)'!A411),""))</f>
        <v>429</v>
      </c>
      <c r="G411" s="24" t="str">
        <f>IF('query (2)'!C411="","UNKNOWN",IFERROR(INDEX(Cleaning_Rules!$B$15:$B$20,MATCH(TRIM(UPPER('query (2)'!C411)),Cleaning_Rules!$A$15:$A$20,0)),"UNKNOWN"))</f>
        <v>FACTORY2</v>
      </c>
      <c r="H411" s="25" t="str">
        <f>IF('query (2)'!C411="","",'query (2)'!C411)</f>
        <v>FACTORY2</v>
      </c>
      <c r="I411" s="24" t="str" cm="1">
        <f t="array" ref="I411">_xlfn.IFS($G411="UNKNOWN","UNKNOWN",OR($G411="FACTORY1",$G411="FACTORY2",$G411="FACTORY3"),"PLANT",TRUE,"SHARED")</f>
        <v>PLANT</v>
      </c>
      <c r="J411" s="24" t="str">
        <f>IF('query (2)'!D411="","UNKNOWN",IF(COUNTIF(Cleaning_Rules!$A$6:$A$11,TRIM('query (2)'!D411))&gt;0,"UNKNOWN",IFERROR(INDEX(Cleaning_Rules!$B$24:$B$28,MATCH(TRIM(UPPER('query (2)'!D411)),Cleaning_Rules!$A$24:$A$28,0)),TRIM(UPPER('query (2)'!D411)))))</f>
        <v>SB7</v>
      </c>
      <c r="K411" s="25" t="str">
        <f>IF('query (2)'!D411="","",'query (2)'!D411)</f>
        <v>SB7</v>
      </c>
      <c r="L411" s="24" t="str">
        <f>IF($J411="UNKNOWN","",_xlfn.TEXTBEFORE($J411,{"0","1","2","3","4","5","6","7","8","9"," ","-","."},1,,,$J411))</f>
        <v>SB</v>
      </c>
      <c r="M411" s="24" t="str">
        <f>IF('query (2)'!I411&lt;&gt;"",TRIM(UPPER('query (2)'!I411)),IF($L411="","UNKNOWN",$L411))</f>
        <v>SB</v>
      </c>
      <c r="N411" s="24" t="str">
        <f>IF('query (2)'!I411&lt;&gt;"","SOURCE",IF($L411="","UNKNOWN","DERIVED"))</f>
        <v>SOURCE</v>
      </c>
      <c r="O411" s="24" t="str">
        <f>IF('query (2)'!E411="","NOT_SPECIFIED",TRIM(UPPER('query (2)'!E411)))</f>
        <v>GRINDING 2</v>
      </c>
      <c r="P411" s="24" t="str">
        <f>IF('query (2)'!F411="","",TRIM(UPPER('query (2)'!F411)))</f>
        <v>1223-SB7G</v>
      </c>
      <c r="Q411" s="24" t="str">
        <f>IF('query (2)'!G411="","UNKNOWN",IFERROR(INDEX(Cleaning_Rules!$B$38:$B$46,MATCH(TRIM(UPPER('query (2)'!G411)),Cleaning_Rules!$A$38:$A$46,0)),"UNKNOWN"))</f>
        <v>OTHER</v>
      </c>
      <c r="R411" s="24" t="str">
        <f>IF('query (2)'!H411="","",TRIM(UPPER('query (2)'!H411)))</f>
        <v>DEMAGNETIZING FOR OUTER RING M/C</v>
      </c>
      <c r="S411" s="25" t="str">
        <f>IF('query (2)'!H411="","",'query (2)'!H411)</f>
        <v>Demagnetizing  for  outer  ring  M/C</v>
      </c>
      <c r="T411" s="24" t="str">
        <f>IF('query (2)'!J411="","",TRIM(UPPER('query (2)'!J411)))</f>
        <v>A - DEMAGNETIZING</v>
      </c>
      <c r="U411" s="24" t="str">
        <f t="shared" si="45"/>
        <v/>
      </c>
      <c r="V411" s="24" t="str">
        <f>IF('query (2)'!K411="","NOT_SPECIFIED",IFERROR(INDEX(Cleaning_Rules!$B$32:$B$34,MATCH(TRIM(UPPER('query (2)'!K411)),Cleaning_Rules!$A$32:$A$34,0)),"UNKNOWN"))</f>
        <v>NOT_SPECIFIED</v>
      </c>
      <c r="W411" s="24" t="str">
        <f t="shared" si="46"/>
        <v>DE-808 | FACTORY2 | SB7 | SB | GRINDING 2 | 1223-SB7G | OTHER | DEMAGNETIZING FOR OUTER RING M/C | A - DEMAGNETIZING | NOT_SPECIFIED</v>
      </c>
      <c r="X411" s="24" t="str">
        <f t="shared" si="47"/>
        <v/>
      </c>
      <c r="Y411" s="24" t="str">
        <f t="shared" si="48"/>
        <v>MISSING_STATUS; CATEGORY_NOT_USEFUL</v>
      </c>
    </row>
    <row r="412" spans="1:25" x14ac:dyDescent="0.3">
      <c r="A412" s="24" t="str">
        <f t="shared" si="42"/>
        <v>GR-809#0411</v>
      </c>
      <c r="B412" s="24" t="str">
        <f>IF('query (2)'!B412="","",TRIM(UPPER('query (2)'!B412)))</f>
        <v>GR-809</v>
      </c>
      <c r="C412" s="25" t="str">
        <f>IF('query (2)'!B412="","",'query (2)'!B412)</f>
        <v>GR-809</v>
      </c>
      <c r="D412" s="24" t="str">
        <f t="shared" si="43"/>
        <v>GR</v>
      </c>
      <c r="E412" s="24">
        <f t="shared" si="44"/>
        <v>1</v>
      </c>
      <c r="F412" s="24">
        <f>IF('query (2)'!A412="","",IFERROR(VALUE('query (2)'!A412),""))</f>
        <v>430</v>
      </c>
      <c r="G412" s="24" t="str">
        <f>IF('query (2)'!C412="","UNKNOWN",IFERROR(INDEX(Cleaning_Rules!$B$15:$B$20,MATCH(TRIM(UPPER('query (2)'!C412)),Cleaning_Rules!$A$15:$A$20,0)),"UNKNOWN"))</f>
        <v>FACTORY2</v>
      </c>
      <c r="H412" s="25" t="str">
        <f>IF('query (2)'!C412="","",'query (2)'!C412)</f>
        <v>FACTORY2</v>
      </c>
      <c r="I412" s="24" t="str" cm="1">
        <f t="array" ref="I412">_xlfn.IFS($G412="UNKNOWN","UNKNOWN",OR($G412="FACTORY1",$G412="FACTORY2",$G412="FACTORY3"),"PLANT",TRUE,"SHARED")</f>
        <v>PLANT</v>
      </c>
      <c r="J412" s="24" t="str">
        <f>IF('query (2)'!D412="","UNKNOWN",IF(COUNTIF(Cleaning_Rules!$A$6:$A$11,TRIM('query (2)'!D412))&gt;0,"UNKNOWN",IFERROR(INDEX(Cleaning_Rules!$B$24:$B$28,MATCH(TRIM(UPPER('query (2)'!D412)),Cleaning_Rules!$A$24:$A$28,0)),TRIM(UPPER('query (2)'!D412)))))</f>
        <v>SB7</v>
      </c>
      <c r="K412" s="25" t="str">
        <f>IF('query (2)'!D412="","",'query (2)'!D412)</f>
        <v>SB7</v>
      </c>
      <c r="L412" s="24" t="str">
        <f>IF($J412="UNKNOWN","",_xlfn.TEXTBEFORE($J412,{"0","1","2","3","4","5","6","7","8","9"," ","-","."},1,,,$J412))</f>
        <v>SB</v>
      </c>
      <c r="M412" s="24" t="str">
        <f>IF('query (2)'!I412&lt;&gt;"",TRIM(UPPER('query (2)'!I412)),IF($L412="","UNKNOWN",$L412))</f>
        <v>SB</v>
      </c>
      <c r="N412" s="24" t="str">
        <f>IF('query (2)'!I412&lt;&gt;"","SOURCE",IF($L412="","UNKNOWN","DERIVED"))</f>
        <v>SOURCE</v>
      </c>
      <c r="O412" s="24" t="str">
        <f>IF('query (2)'!E412="","NOT_SPECIFIED",TRIM(UPPER('query (2)'!E412)))</f>
        <v>GRINDING 2</v>
      </c>
      <c r="P412" s="24" t="str">
        <f>IF('query (2)'!F412="","",TRIM(UPPER('query (2)'!F412)))</f>
        <v>1223-SB7G</v>
      </c>
      <c r="Q412" s="24" t="str">
        <f>IF('query (2)'!G412="","UNKNOWN",IFERROR(INDEX(Cleaning_Rules!$B$38:$B$46,MATCH(TRIM(UPPER('query (2)'!G412)),Cleaning_Rules!$A$38:$A$46,0)),"UNKNOWN"))</f>
        <v>OTHER</v>
      </c>
      <c r="R412" s="24" t="str">
        <f>IF('query (2)'!H412="","",TRIM(UPPER('query (2)'!H412)))</f>
        <v>OUTER RING RACEWAY SUPER FINISH M/C</v>
      </c>
      <c r="S412" s="25" t="str">
        <f>IF('query (2)'!H412="","",'query (2)'!H412)</f>
        <v>Outer ring raceway super finish M/C</v>
      </c>
      <c r="T412" s="24" t="str">
        <f>IF('query (2)'!J412="","",TRIM(UPPER('query (2)'!J412)))</f>
        <v>A - RACEWAY SUPER FINISH</v>
      </c>
      <c r="U412" s="24" t="str">
        <f t="shared" si="45"/>
        <v/>
      </c>
      <c r="V412" s="24" t="str">
        <f>IF('query (2)'!K412="","NOT_SPECIFIED",IFERROR(INDEX(Cleaning_Rules!$B$32:$B$34,MATCH(TRIM(UPPER('query (2)'!K412)),Cleaning_Rules!$A$32:$A$34,0)),"UNKNOWN"))</f>
        <v>NOT_SPECIFIED</v>
      </c>
      <c r="W412" s="24" t="str">
        <f t="shared" si="46"/>
        <v>GR-809 | FACTORY2 | SB7 | SB | GRINDING 2 | 1223-SB7G | OTHER | OUTER RING RACEWAY SUPER FINISH M/C | A - RACEWAY SUPER FINISH | NOT_SPECIFIED</v>
      </c>
      <c r="X412" s="24" t="str">
        <f t="shared" si="47"/>
        <v/>
      </c>
      <c r="Y412" s="24" t="str">
        <f t="shared" si="48"/>
        <v>MISSING_STATUS; CATEGORY_NOT_USEFUL</v>
      </c>
    </row>
    <row r="413" spans="1:25" x14ac:dyDescent="0.3">
      <c r="A413" s="24" t="str">
        <f t="shared" si="42"/>
        <v>AS-812#0412</v>
      </c>
      <c r="B413" s="24" t="str">
        <f>IF('query (2)'!B413="","",TRIM(UPPER('query (2)'!B413)))</f>
        <v>AS-812</v>
      </c>
      <c r="C413" s="25" t="str">
        <f>IF('query (2)'!B413="","",'query (2)'!B413)</f>
        <v>AS-812</v>
      </c>
      <c r="D413" s="24" t="str">
        <f t="shared" si="43"/>
        <v>AS</v>
      </c>
      <c r="E413" s="24">
        <f t="shared" si="44"/>
        <v>1</v>
      </c>
      <c r="F413" s="24">
        <f>IF('query (2)'!A413="","",IFERROR(VALUE('query (2)'!A413),""))</f>
        <v>431</v>
      </c>
      <c r="G413" s="24" t="str">
        <f>IF('query (2)'!C413="","UNKNOWN",IFERROR(INDEX(Cleaning_Rules!$B$15:$B$20,MATCH(TRIM(UPPER('query (2)'!C413)),Cleaning_Rules!$A$15:$A$20,0)),"UNKNOWN"))</f>
        <v>FACTORY2</v>
      </c>
      <c r="H413" s="25" t="str">
        <f>IF('query (2)'!C413="","",'query (2)'!C413)</f>
        <v>FACTORY2</v>
      </c>
      <c r="I413" s="24" t="str" cm="1">
        <f t="array" ref="I413">_xlfn.IFS($G413="UNKNOWN","UNKNOWN",OR($G413="FACTORY1",$G413="FACTORY2",$G413="FACTORY3"),"PLANT",TRUE,"SHARED")</f>
        <v>PLANT</v>
      </c>
      <c r="J413" s="24" t="str">
        <f>IF('query (2)'!D413="","UNKNOWN",IF(COUNTIF(Cleaning_Rules!$A$6:$A$11,TRIM('query (2)'!D413))&gt;0,"UNKNOWN",IFERROR(INDEX(Cleaning_Rules!$B$24:$B$28,MATCH(TRIM(UPPER('query (2)'!D413)),Cleaning_Rules!$A$24:$A$28,0)),TRIM(UPPER('query (2)'!D413)))))</f>
        <v>SB7</v>
      </c>
      <c r="K413" s="25" t="str">
        <f>IF('query (2)'!D413="","",'query (2)'!D413)</f>
        <v>SB7</v>
      </c>
      <c r="L413" s="24" t="str">
        <f>IF($J413="UNKNOWN","",_xlfn.TEXTBEFORE($J413,{"0","1","2","3","4","5","6","7","8","9"," ","-","."},1,,,$J413))</f>
        <v>SB</v>
      </c>
      <c r="M413" s="24" t="str">
        <f>IF('query (2)'!I413&lt;&gt;"",TRIM(UPPER('query (2)'!I413)),IF($L413="","UNKNOWN",$L413))</f>
        <v>SB</v>
      </c>
      <c r="N413" s="24" t="str">
        <f>IF('query (2)'!I413&lt;&gt;"","SOURCE",IF($L413="","UNKNOWN","DERIVED"))</f>
        <v>SOURCE</v>
      </c>
      <c r="O413" s="24" t="str">
        <f>IF('query (2)'!E413="","NOT_SPECIFIED",TRIM(UPPER('query (2)'!E413)))</f>
        <v>ASSEMBLY</v>
      </c>
      <c r="P413" s="24" t="str">
        <f>IF('query (2)'!F413="","",TRIM(UPPER('query (2)'!F413)))</f>
        <v>1224-SB7AI</v>
      </c>
      <c r="Q413" s="24" t="str">
        <f>IF('query (2)'!G413="","UNKNOWN",IFERROR(INDEX(Cleaning_Rules!$B$38:$B$46,MATCH(TRIM(UPPER('query (2)'!G413)),Cleaning_Rules!$A$38:$A$46,0)),"UNKNOWN"))</f>
        <v>OTHER</v>
      </c>
      <c r="R413" s="24" t="str">
        <f>IF('query (2)'!H413="","",TRIM(UPPER('query (2)'!H413)))</f>
        <v>MATCHING &amp; BALL FILLING M/C</v>
      </c>
      <c r="S413" s="25" t="str">
        <f>IF('query (2)'!H413="","",'query (2)'!H413)</f>
        <v>Matching &amp; Ball filling  M/C</v>
      </c>
      <c r="T413" s="24" t="str">
        <f>IF('query (2)'!J413="","",TRIM(UPPER('query (2)'!J413)))</f>
        <v>MATCHING &amp; BALL FILLING</v>
      </c>
      <c r="U413" s="24" t="str">
        <f t="shared" si="45"/>
        <v/>
      </c>
      <c r="V413" s="24" t="str">
        <f>IF('query (2)'!K413="","NOT_SPECIFIED",IFERROR(INDEX(Cleaning_Rules!$B$32:$B$34,MATCH(TRIM(UPPER('query (2)'!K413)),Cleaning_Rules!$A$32:$A$34,0)),"UNKNOWN"))</f>
        <v>NOT_SPECIFIED</v>
      </c>
      <c r="W413" s="24" t="str">
        <f t="shared" si="46"/>
        <v>AS-812 | FACTORY2 | SB7 | SB | ASSEMBLY | 1224-SB7AI | OTHER | MATCHING &amp; BALL FILLING M/C | MATCHING &amp; BALL FILLING | NOT_SPECIFIED</v>
      </c>
      <c r="X413" s="24" t="str">
        <f t="shared" si="47"/>
        <v/>
      </c>
      <c r="Y413" s="24" t="str">
        <f t="shared" si="48"/>
        <v>MISSING_STATUS; CATEGORY_NOT_USEFUL</v>
      </c>
    </row>
    <row r="414" spans="1:25" x14ac:dyDescent="0.3">
      <c r="A414" s="24" t="str">
        <f t="shared" si="42"/>
        <v>AS-813#0413</v>
      </c>
      <c r="B414" s="24" t="str">
        <f>IF('query (2)'!B414="","",TRIM(UPPER('query (2)'!B414)))</f>
        <v>AS-813</v>
      </c>
      <c r="C414" s="25" t="str">
        <f>IF('query (2)'!B414="","",'query (2)'!B414)</f>
        <v>AS-813</v>
      </c>
      <c r="D414" s="24" t="str">
        <f t="shared" si="43"/>
        <v>AS</v>
      </c>
      <c r="E414" s="24">
        <f t="shared" si="44"/>
        <v>1</v>
      </c>
      <c r="F414" s="24">
        <f>IF('query (2)'!A414="","",IFERROR(VALUE('query (2)'!A414),""))</f>
        <v>432</v>
      </c>
      <c r="G414" s="24" t="str">
        <f>IF('query (2)'!C414="","UNKNOWN",IFERROR(INDEX(Cleaning_Rules!$B$15:$B$20,MATCH(TRIM(UPPER('query (2)'!C414)),Cleaning_Rules!$A$15:$A$20,0)),"UNKNOWN"))</f>
        <v>FACTORY2</v>
      </c>
      <c r="H414" s="25" t="str">
        <f>IF('query (2)'!C414="","",'query (2)'!C414)</f>
        <v>FACTORY2</v>
      </c>
      <c r="I414" s="24" t="str" cm="1">
        <f t="array" ref="I414">_xlfn.IFS($G414="UNKNOWN","UNKNOWN",OR($G414="FACTORY1",$G414="FACTORY2",$G414="FACTORY3"),"PLANT",TRUE,"SHARED")</f>
        <v>PLANT</v>
      </c>
      <c r="J414" s="24" t="str">
        <f>IF('query (2)'!D414="","UNKNOWN",IF(COUNTIF(Cleaning_Rules!$A$6:$A$11,TRIM('query (2)'!D414))&gt;0,"UNKNOWN",IFERROR(INDEX(Cleaning_Rules!$B$24:$B$28,MATCH(TRIM(UPPER('query (2)'!D414)),Cleaning_Rules!$A$24:$A$28,0)),TRIM(UPPER('query (2)'!D414)))))</f>
        <v>SB7</v>
      </c>
      <c r="K414" s="25" t="str">
        <f>IF('query (2)'!D414="","",'query (2)'!D414)</f>
        <v>SB7</v>
      </c>
      <c r="L414" s="24" t="str">
        <f>IF($J414="UNKNOWN","",_xlfn.TEXTBEFORE($J414,{"0","1","2","3","4","5","6","7","8","9"," ","-","."},1,,,$J414))</f>
        <v>SB</v>
      </c>
      <c r="M414" s="24" t="str">
        <f>IF('query (2)'!I414&lt;&gt;"",TRIM(UPPER('query (2)'!I414)),IF($L414="","UNKNOWN",$L414))</f>
        <v>SB</v>
      </c>
      <c r="N414" s="24" t="str">
        <f>IF('query (2)'!I414&lt;&gt;"","SOURCE",IF($L414="","UNKNOWN","DERIVED"))</f>
        <v>SOURCE</v>
      </c>
      <c r="O414" s="24" t="str">
        <f>IF('query (2)'!E414="","NOT_SPECIFIED",TRIM(UPPER('query (2)'!E414)))</f>
        <v>ASSEMBLY</v>
      </c>
      <c r="P414" s="24" t="str">
        <f>IF('query (2)'!F414="","",TRIM(UPPER('query (2)'!F414)))</f>
        <v>1224-SB7AI</v>
      </c>
      <c r="Q414" s="24" t="str">
        <f>IF('query (2)'!G414="","UNKNOWN",IFERROR(INDEX(Cleaning_Rules!$B$38:$B$46,MATCH(TRIM(UPPER('query (2)'!G414)),Cleaning_Rules!$A$38:$A$46,0)),"UNKNOWN"))</f>
        <v>OTHER</v>
      </c>
      <c r="R414" s="24" t="str">
        <f>IF('query (2)'!H414="","",TRIM(UPPER('query (2)'!H414)))</f>
        <v>RIVET PRESSING M/C</v>
      </c>
      <c r="S414" s="25" t="str">
        <f>IF('query (2)'!H414="","",'query (2)'!H414)</f>
        <v>Rivet  pressing  M/C</v>
      </c>
      <c r="T414" s="24" t="str">
        <f>IF('query (2)'!J414="","",TRIM(UPPER('query (2)'!J414)))</f>
        <v>RIVET PRESSING</v>
      </c>
      <c r="U414" s="24" t="str">
        <f t="shared" si="45"/>
        <v/>
      </c>
      <c r="V414" s="24" t="str">
        <f>IF('query (2)'!K414="","NOT_SPECIFIED",IFERROR(INDEX(Cleaning_Rules!$B$32:$B$34,MATCH(TRIM(UPPER('query (2)'!K414)),Cleaning_Rules!$A$32:$A$34,0)),"UNKNOWN"))</f>
        <v>NOT_SPECIFIED</v>
      </c>
      <c r="W414" s="24" t="str">
        <f t="shared" si="46"/>
        <v>AS-813 | FACTORY2 | SB7 | SB | ASSEMBLY | 1224-SB7AI | OTHER | RIVET PRESSING M/C | RIVET PRESSING | NOT_SPECIFIED</v>
      </c>
      <c r="X414" s="24" t="str">
        <f t="shared" si="47"/>
        <v/>
      </c>
      <c r="Y414" s="24" t="str">
        <f t="shared" si="48"/>
        <v>MISSING_STATUS; CATEGORY_NOT_USEFUL</v>
      </c>
    </row>
    <row r="415" spans="1:25" x14ac:dyDescent="0.3">
      <c r="A415" s="24" t="str">
        <f t="shared" si="42"/>
        <v>WA-814#0414</v>
      </c>
      <c r="B415" s="24" t="str">
        <f>IF('query (2)'!B415="","",TRIM(UPPER('query (2)'!B415)))</f>
        <v>WA-814</v>
      </c>
      <c r="C415" s="25" t="str">
        <f>IF('query (2)'!B415="","",'query (2)'!B415)</f>
        <v>WA-814</v>
      </c>
      <c r="D415" s="24" t="str">
        <f t="shared" si="43"/>
        <v>WA</v>
      </c>
      <c r="E415" s="24">
        <f t="shared" si="44"/>
        <v>1</v>
      </c>
      <c r="F415" s="24">
        <f>IF('query (2)'!A415="","",IFERROR(VALUE('query (2)'!A415),""))</f>
        <v>433</v>
      </c>
      <c r="G415" s="24" t="str">
        <f>IF('query (2)'!C415="","UNKNOWN",IFERROR(INDEX(Cleaning_Rules!$B$15:$B$20,MATCH(TRIM(UPPER('query (2)'!C415)),Cleaning_Rules!$A$15:$A$20,0)),"UNKNOWN"))</f>
        <v>FACTORY2</v>
      </c>
      <c r="H415" s="25" t="str">
        <f>IF('query (2)'!C415="","",'query (2)'!C415)</f>
        <v>FACTORY2</v>
      </c>
      <c r="I415" s="24" t="str" cm="1">
        <f t="array" ref="I415">_xlfn.IFS($G415="UNKNOWN","UNKNOWN",OR($G415="FACTORY1",$G415="FACTORY2",$G415="FACTORY3"),"PLANT",TRUE,"SHARED")</f>
        <v>PLANT</v>
      </c>
      <c r="J415" s="24" t="str">
        <f>IF('query (2)'!D415="","UNKNOWN",IF(COUNTIF(Cleaning_Rules!$A$6:$A$11,TRIM('query (2)'!D415))&gt;0,"UNKNOWN",IFERROR(INDEX(Cleaning_Rules!$B$24:$B$28,MATCH(TRIM(UPPER('query (2)'!D415)),Cleaning_Rules!$A$24:$A$28,0)),TRIM(UPPER('query (2)'!D415)))))</f>
        <v>SB7</v>
      </c>
      <c r="K415" s="25" t="str">
        <f>IF('query (2)'!D415="","",'query (2)'!D415)</f>
        <v>SB7</v>
      </c>
      <c r="L415" s="24" t="str">
        <f>IF($J415="UNKNOWN","",_xlfn.TEXTBEFORE($J415,{"0","1","2","3","4","5","6","7","8","9"," ","-","."},1,,,$J415))</f>
        <v>SB</v>
      </c>
      <c r="M415" s="24" t="str">
        <f>IF('query (2)'!I415&lt;&gt;"",TRIM(UPPER('query (2)'!I415)),IF($L415="","UNKNOWN",$L415))</f>
        <v>SB</v>
      </c>
      <c r="N415" s="24" t="str">
        <f>IF('query (2)'!I415&lt;&gt;"","SOURCE",IF($L415="","UNKNOWN","DERIVED"))</f>
        <v>SOURCE</v>
      </c>
      <c r="O415" s="24" t="str">
        <f>IF('query (2)'!E415="","NOT_SPECIFIED",TRIM(UPPER('query (2)'!E415)))</f>
        <v>ASSEMBLY</v>
      </c>
      <c r="P415" s="24" t="str">
        <f>IF('query (2)'!F415="","",TRIM(UPPER('query (2)'!F415)))</f>
        <v>1224-SB7AI</v>
      </c>
      <c r="Q415" s="24" t="str">
        <f>IF('query (2)'!G415="","UNKNOWN",IFERROR(INDEX(Cleaning_Rules!$B$38:$B$46,MATCH(TRIM(UPPER('query (2)'!G415)),Cleaning_Rules!$A$38:$A$46,0)),"UNKNOWN"))</f>
        <v>OTHER</v>
      </c>
      <c r="R415" s="24" t="str">
        <f>IF('query (2)'!H415="","",TRIM(UPPER('query (2)'!H415)))</f>
        <v>ROUGH WASH EQUIPMENT M/C</v>
      </c>
      <c r="S415" s="25" t="str">
        <f>IF('query (2)'!H415="","",'query (2)'!H415)</f>
        <v>Rough wash equipment  M/C</v>
      </c>
      <c r="T415" s="24" t="str">
        <f>IF('query (2)'!J415="","",TRIM(UPPER('query (2)'!J415)))</f>
        <v/>
      </c>
      <c r="U415" s="24" t="str">
        <f t="shared" si="45"/>
        <v/>
      </c>
      <c r="V415" s="24" t="str">
        <f>IF('query (2)'!K415="","NOT_SPECIFIED",IFERROR(INDEX(Cleaning_Rules!$B$32:$B$34,MATCH(TRIM(UPPER('query (2)'!K415)),Cleaning_Rules!$A$32:$A$34,0)),"UNKNOWN"))</f>
        <v>NOT_SPECIFIED</v>
      </c>
      <c r="W415" s="24" t="str">
        <f t="shared" si="46"/>
        <v>WA-814 | FACTORY2 | SB7 | SB | ASSEMBLY | 1224-SB7AI | OTHER | ROUGH WASH EQUIPMENT M/C | NOT_SPECIFIED</v>
      </c>
      <c r="X415" s="24" t="str">
        <f t="shared" si="47"/>
        <v/>
      </c>
      <c r="Y415" s="24" t="str">
        <f t="shared" si="48"/>
        <v>MISSING_STATUS; CATEGORY_NOT_USEFUL; MISSING_PRODUCTION_NAME</v>
      </c>
    </row>
    <row r="416" spans="1:25" x14ac:dyDescent="0.3">
      <c r="A416" s="24" t="str">
        <f t="shared" si="42"/>
        <v>CH-815#0415</v>
      </c>
      <c r="B416" s="24" t="str">
        <f>IF('query (2)'!B416="","",TRIM(UPPER('query (2)'!B416)))</f>
        <v>CH-815</v>
      </c>
      <c r="C416" s="25" t="str">
        <f>IF('query (2)'!B416="","",'query (2)'!B416)</f>
        <v>CH-815</v>
      </c>
      <c r="D416" s="24" t="str">
        <f t="shared" si="43"/>
        <v>CH</v>
      </c>
      <c r="E416" s="24">
        <f t="shared" si="44"/>
        <v>1</v>
      </c>
      <c r="F416" s="24">
        <f>IF('query (2)'!A416="","",IFERROR(VALUE('query (2)'!A416),""))</f>
        <v>434</v>
      </c>
      <c r="G416" s="24" t="str">
        <f>IF('query (2)'!C416="","UNKNOWN",IFERROR(INDEX(Cleaning_Rules!$B$15:$B$20,MATCH(TRIM(UPPER('query (2)'!C416)),Cleaning_Rules!$A$15:$A$20,0)),"UNKNOWN"))</f>
        <v>FACTORY2</v>
      </c>
      <c r="H416" s="25" t="str">
        <f>IF('query (2)'!C416="","",'query (2)'!C416)</f>
        <v>FACTORY2</v>
      </c>
      <c r="I416" s="24" t="str" cm="1">
        <f t="array" ref="I416">_xlfn.IFS($G416="UNKNOWN","UNKNOWN",OR($G416="FACTORY1",$G416="FACTORY2",$G416="FACTORY3"),"PLANT",TRUE,"SHARED")</f>
        <v>PLANT</v>
      </c>
      <c r="J416" s="24" t="str">
        <f>IF('query (2)'!D416="","UNKNOWN",IF(COUNTIF(Cleaning_Rules!$A$6:$A$11,TRIM('query (2)'!D416))&gt;0,"UNKNOWN",IFERROR(INDEX(Cleaning_Rules!$B$24:$B$28,MATCH(TRIM(UPPER('query (2)'!D416)),Cleaning_Rules!$A$24:$A$28,0)),TRIM(UPPER('query (2)'!D416)))))</f>
        <v>SB7</v>
      </c>
      <c r="K416" s="25" t="str">
        <f>IF('query (2)'!D416="","",'query (2)'!D416)</f>
        <v>SB7</v>
      </c>
      <c r="L416" s="24" t="str">
        <f>IF($J416="UNKNOWN","",_xlfn.TEXTBEFORE($J416,{"0","1","2","3","4","5","6","7","8","9"," ","-","."},1,,,$J416))</f>
        <v>SB</v>
      </c>
      <c r="M416" s="24" t="str">
        <f>IF('query (2)'!I416&lt;&gt;"",TRIM(UPPER('query (2)'!I416)),IF($L416="","UNKNOWN",$L416))</f>
        <v>SB</v>
      </c>
      <c r="N416" s="24" t="str">
        <f>IF('query (2)'!I416&lt;&gt;"","SOURCE",IF($L416="","UNKNOWN","DERIVED"))</f>
        <v>SOURCE</v>
      </c>
      <c r="O416" s="24" t="str">
        <f>IF('query (2)'!E416="","NOT_SPECIFIED",TRIM(UPPER('query (2)'!E416)))</f>
        <v>ASSEMBLY</v>
      </c>
      <c r="P416" s="24" t="str">
        <f>IF('query (2)'!F416="","",TRIM(UPPER('query (2)'!F416)))</f>
        <v>1224-SB7AI</v>
      </c>
      <c r="Q416" s="24" t="str">
        <f>IF('query (2)'!G416="","UNKNOWN",IFERROR(INDEX(Cleaning_Rules!$B$38:$B$46,MATCH(TRIM(UPPER('query (2)'!G416)),Cleaning_Rules!$A$38:$A$46,0)),"UNKNOWN"))</f>
        <v>OTHER</v>
      </c>
      <c r="R416" s="24" t="str">
        <f>IF('query (2)'!H416="","",TRIM(UPPER('query (2)'!H416)))</f>
        <v>AUTO RADIAL CLEARANCE M/C</v>
      </c>
      <c r="S416" s="25" t="str">
        <f>IF('query (2)'!H416="","",'query (2)'!H416)</f>
        <v>Auto radial clearance M/C</v>
      </c>
      <c r="T416" s="24" t="str">
        <f>IF('query (2)'!J416="","",TRIM(UPPER('query (2)'!J416)))</f>
        <v>R/C AUTO</v>
      </c>
      <c r="U416" s="24" t="str">
        <f t="shared" si="45"/>
        <v/>
      </c>
      <c r="V416" s="24" t="str">
        <f>IF('query (2)'!K416="","NOT_SPECIFIED",IFERROR(INDEX(Cleaning_Rules!$B$32:$B$34,MATCH(TRIM(UPPER('query (2)'!K416)),Cleaning_Rules!$A$32:$A$34,0)),"UNKNOWN"))</f>
        <v>NOT_SPECIFIED</v>
      </c>
      <c r="W416" s="24" t="str">
        <f t="shared" si="46"/>
        <v>CH-815 | FACTORY2 | SB7 | SB | ASSEMBLY | 1224-SB7AI | OTHER | AUTO RADIAL CLEARANCE M/C | R/C AUTO | NOT_SPECIFIED</v>
      </c>
      <c r="X416" s="24" t="str">
        <f t="shared" si="47"/>
        <v/>
      </c>
      <c r="Y416" s="24" t="str">
        <f t="shared" si="48"/>
        <v>MISSING_STATUS; CATEGORY_NOT_USEFUL</v>
      </c>
    </row>
    <row r="417" spans="1:25" x14ac:dyDescent="0.3">
      <c r="A417" s="24" t="str">
        <f t="shared" si="42"/>
        <v>WA-816#0416</v>
      </c>
      <c r="B417" s="24" t="str">
        <f>IF('query (2)'!B417="","",TRIM(UPPER('query (2)'!B417)))</f>
        <v>WA-816</v>
      </c>
      <c r="C417" s="25" t="str">
        <f>IF('query (2)'!B417="","",'query (2)'!B417)</f>
        <v>WA-816</v>
      </c>
      <c r="D417" s="24" t="str">
        <f t="shared" si="43"/>
        <v>WA</v>
      </c>
      <c r="E417" s="24">
        <f t="shared" si="44"/>
        <v>1</v>
      </c>
      <c r="F417" s="24">
        <f>IF('query (2)'!A417="","",IFERROR(VALUE('query (2)'!A417),""))</f>
        <v>435</v>
      </c>
      <c r="G417" s="24" t="str">
        <f>IF('query (2)'!C417="","UNKNOWN",IFERROR(INDEX(Cleaning_Rules!$B$15:$B$20,MATCH(TRIM(UPPER('query (2)'!C417)),Cleaning_Rules!$A$15:$A$20,0)),"UNKNOWN"))</f>
        <v>FACTORY2</v>
      </c>
      <c r="H417" s="25" t="str">
        <f>IF('query (2)'!C417="","",'query (2)'!C417)</f>
        <v>FACTORY2</v>
      </c>
      <c r="I417" s="24" t="str" cm="1">
        <f t="array" ref="I417">_xlfn.IFS($G417="UNKNOWN","UNKNOWN",OR($G417="FACTORY1",$G417="FACTORY2",$G417="FACTORY3"),"PLANT",TRUE,"SHARED")</f>
        <v>PLANT</v>
      </c>
      <c r="J417" s="24" t="str">
        <f>IF('query (2)'!D417="","UNKNOWN",IF(COUNTIF(Cleaning_Rules!$A$6:$A$11,TRIM('query (2)'!D417))&gt;0,"UNKNOWN",IFERROR(INDEX(Cleaning_Rules!$B$24:$B$28,MATCH(TRIM(UPPER('query (2)'!D417)),Cleaning_Rules!$A$24:$A$28,0)),TRIM(UPPER('query (2)'!D417)))))</f>
        <v>SB7</v>
      </c>
      <c r="K417" s="25" t="str">
        <f>IF('query (2)'!D417="","",'query (2)'!D417)</f>
        <v>SB7</v>
      </c>
      <c r="L417" s="24" t="str">
        <f>IF($J417="UNKNOWN","",_xlfn.TEXTBEFORE($J417,{"0","1","2","3","4","5","6","7","8","9"," ","-","."},1,,,$J417))</f>
        <v>SB</v>
      </c>
      <c r="M417" s="24" t="str">
        <f>IF('query (2)'!I417&lt;&gt;"",TRIM(UPPER('query (2)'!I417)),IF($L417="","UNKNOWN",$L417))</f>
        <v>SB</v>
      </c>
      <c r="N417" s="24" t="str">
        <f>IF('query (2)'!I417&lt;&gt;"","SOURCE",IF($L417="","UNKNOWN","DERIVED"))</f>
        <v>SOURCE</v>
      </c>
      <c r="O417" s="24" t="str">
        <f>IF('query (2)'!E417="","NOT_SPECIFIED",TRIM(UPPER('query (2)'!E417)))</f>
        <v>ASSEMBLY</v>
      </c>
      <c r="P417" s="24" t="str">
        <f>IF('query (2)'!F417="","",TRIM(UPPER('query (2)'!F417)))</f>
        <v>1224-SB7AI</v>
      </c>
      <c r="Q417" s="24" t="str">
        <f>IF('query (2)'!G417="","UNKNOWN",IFERROR(INDEX(Cleaning_Rules!$B$38:$B$46,MATCH(TRIM(UPPER('query (2)'!G417)),Cleaning_Rules!$A$38:$A$46,0)),"UNKNOWN"))</f>
        <v>OTHER</v>
      </c>
      <c r="R417" s="24" t="str">
        <f>IF('query (2)'!H417="","",TRIM(UPPER('query (2)'!H417)))</f>
        <v>FINISH WASH EQUIPMENT M/C</v>
      </c>
      <c r="S417" s="25" t="str">
        <f>IF('query (2)'!H417="","",'query (2)'!H417)</f>
        <v>Finish  wash  equipment  M/C</v>
      </c>
      <c r="T417" s="24" t="str">
        <f>IF('query (2)'!J417="","",TRIM(UPPER('query (2)'!J417)))</f>
        <v>WASHING FINISH</v>
      </c>
      <c r="U417" s="24" t="str">
        <f t="shared" si="45"/>
        <v/>
      </c>
      <c r="V417" s="24" t="str">
        <f>IF('query (2)'!K417="","NOT_SPECIFIED",IFERROR(INDEX(Cleaning_Rules!$B$32:$B$34,MATCH(TRIM(UPPER('query (2)'!K417)),Cleaning_Rules!$A$32:$A$34,0)),"UNKNOWN"))</f>
        <v>NOT_SPECIFIED</v>
      </c>
      <c r="W417" s="24" t="str">
        <f t="shared" si="46"/>
        <v>WA-816 | FACTORY2 | SB7 | SB | ASSEMBLY | 1224-SB7AI | OTHER | FINISH WASH EQUIPMENT M/C | WASHING FINISH | NOT_SPECIFIED</v>
      </c>
      <c r="X417" s="24" t="str">
        <f t="shared" si="47"/>
        <v/>
      </c>
      <c r="Y417" s="24" t="str">
        <f t="shared" si="48"/>
        <v>MISSING_STATUS; CATEGORY_NOT_USEFUL</v>
      </c>
    </row>
    <row r="418" spans="1:25" x14ac:dyDescent="0.3">
      <c r="A418" s="24" t="str">
        <f t="shared" si="42"/>
        <v>AS-817#0417</v>
      </c>
      <c r="B418" s="24" t="str">
        <f>IF('query (2)'!B418="","",TRIM(UPPER('query (2)'!B418)))</f>
        <v>AS-817</v>
      </c>
      <c r="C418" s="25" t="str">
        <f>IF('query (2)'!B418="","",'query (2)'!B418)</f>
        <v>AS-817</v>
      </c>
      <c r="D418" s="24" t="str">
        <f t="shared" si="43"/>
        <v>AS</v>
      </c>
      <c r="E418" s="24">
        <f t="shared" si="44"/>
        <v>1</v>
      </c>
      <c r="F418" s="24">
        <f>IF('query (2)'!A418="","",IFERROR(VALUE('query (2)'!A418),""))</f>
        <v>436</v>
      </c>
      <c r="G418" s="24" t="str">
        <f>IF('query (2)'!C418="","UNKNOWN",IFERROR(INDEX(Cleaning_Rules!$B$15:$B$20,MATCH(TRIM(UPPER('query (2)'!C418)),Cleaning_Rules!$A$15:$A$20,0)),"UNKNOWN"))</f>
        <v>FACTORY2</v>
      </c>
      <c r="H418" s="25" t="str">
        <f>IF('query (2)'!C418="","",'query (2)'!C418)</f>
        <v>FACTORY2</v>
      </c>
      <c r="I418" s="24" t="str" cm="1">
        <f t="array" ref="I418">_xlfn.IFS($G418="UNKNOWN","UNKNOWN",OR($G418="FACTORY1",$G418="FACTORY2",$G418="FACTORY3"),"PLANT",TRUE,"SHARED")</f>
        <v>PLANT</v>
      </c>
      <c r="J418" s="24" t="str">
        <f>IF('query (2)'!D418="","UNKNOWN",IF(COUNTIF(Cleaning_Rules!$A$6:$A$11,TRIM('query (2)'!D418))&gt;0,"UNKNOWN",IFERROR(INDEX(Cleaning_Rules!$B$24:$B$28,MATCH(TRIM(UPPER('query (2)'!D418)),Cleaning_Rules!$A$24:$A$28,0)),TRIM(UPPER('query (2)'!D418)))))</f>
        <v>SB7</v>
      </c>
      <c r="K418" s="25" t="str">
        <f>IF('query (2)'!D418="","",'query (2)'!D418)</f>
        <v>SB7</v>
      </c>
      <c r="L418" s="24" t="str">
        <f>IF($J418="UNKNOWN","",_xlfn.TEXTBEFORE($J418,{"0","1","2","3","4","5","6","7","8","9"," ","-","."},1,,,$J418))</f>
        <v>SB</v>
      </c>
      <c r="M418" s="24" t="str">
        <f>IF('query (2)'!I418&lt;&gt;"",TRIM(UPPER('query (2)'!I418)),IF($L418="","UNKNOWN",$L418))</f>
        <v>SB</v>
      </c>
      <c r="N418" s="24" t="str">
        <f>IF('query (2)'!I418&lt;&gt;"","SOURCE",IF($L418="","UNKNOWN","DERIVED"))</f>
        <v>SOURCE</v>
      </c>
      <c r="O418" s="24" t="str">
        <f>IF('query (2)'!E418="","NOT_SPECIFIED",TRIM(UPPER('query (2)'!E418)))</f>
        <v>ASSEMBLY</v>
      </c>
      <c r="P418" s="24" t="str">
        <f>IF('query (2)'!F418="","",TRIM(UPPER('query (2)'!F418)))</f>
        <v>1224-SB7AI</v>
      </c>
      <c r="Q418" s="24" t="str">
        <f>IF('query (2)'!G418="","UNKNOWN",IFERROR(INDEX(Cleaning_Rules!$B$38:$B$46,MATCH(TRIM(UPPER('query (2)'!G418)),Cleaning_Rules!$A$38:$A$46,0)),"UNKNOWN"))</f>
        <v>OTHER</v>
      </c>
      <c r="R418" s="24" t="str">
        <f>IF('query (2)'!H418="","",TRIM(UPPER('query (2)'!H418)))</f>
        <v>GREASE INJECTION M/C</v>
      </c>
      <c r="S418" s="25" t="str">
        <f>IF('query (2)'!H418="","",'query (2)'!H418)</f>
        <v>Grease  injection  M/C</v>
      </c>
      <c r="T418" s="24" t="str">
        <f>IF('query (2)'!J418="","",TRIM(UPPER('query (2)'!J418)))</f>
        <v>GREASE INJECTION</v>
      </c>
      <c r="U418" s="24" t="str">
        <f t="shared" si="45"/>
        <v/>
      </c>
      <c r="V418" s="24" t="str">
        <f>IF('query (2)'!K418="","NOT_SPECIFIED",IFERROR(INDEX(Cleaning_Rules!$B$32:$B$34,MATCH(TRIM(UPPER('query (2)'!K418)),Cleaning_Rules!$A$32:$A$34,0)),"UNKNOWN"))</f>
        <v>NOT_SPECIFIED</v>
      </c>
      <c r="W418" s="24" t="str">
        <f t="shared" si="46"/>
        <v>AS-817 | FACTORY2 | SB7 | SB | ASSEMBLY | 1224-SB7AI | OTHER | GREASE INJECTION M/C | GREASE INJECTION | NOT_SPECIFIED</v>
      </c>
      <c r="X418" s="24" t="str">
        <f t="shared" si="47"/>
        <v/>
      </c>
      <c r="Y418" s="24" t="str">
        <f t="shared" si="48"/>
        <v>MISSING_STATUS; CATEGORY_NOT_USEFUL</v>
      </c>
    </row>
    <row r="419" spans="1:25" x14ac:dyDescent="0.3">
      <c r="A419" s="24" t="str">
        <f t="shared" si="42"/>
        <v>AS-818#0418</v>
      </c>
      <c r="B419" s="24" t="str">
        <f>IF('query (2)'!B419="","",TRIM(UPPER('query (2)'!B419)))</f>
        <v>AS-818</v>
      </c>
      <c r="C419" s="25" t="str">
        <f>IF('query (2)'!B419="","",'query (2)'!B419)</f>
        <v>AS-818</v>
      </c>
      <c r="D419" s="24" t="str">
        <f t="shared" si="43"/>
        <v>AS</v>
      </c>
      <c r="E419" s="24">
        <f t="shared" si="44"/>
        <v>1</v>
      </c>
      <c r="F419" s="24">
        <f>IF('query (2)'!A419="","",IFERROR(VALUE('query (2)'!A419),""))</f>
        <v>437</v>
      </c>
      <c r="G419" s="24" t="str">
        <f>IF('query (2)'!C419="","UNKNOWN",IFERROR(INDEX(Cleaning_Rules!$B$15:$B$20,MATCH(TRIM(UPPER('query (2)'!C419)),Cleaning_Rules!$A$15:$A$20,0)),"UNKNOWN"))</f>
        <v>FACTORY2</v>
      </c>
      <c r="H419" s="25" t="str">
        <f>IF('query (2)'!C419="","",'query (2)'!C419)</f>
        <v>FACTORY2</v>
      </c>
      <c r="I419" s="24" t="str" cm="1">
        <f t="array" ref="I419">_xlfn.IFS($G419="UNKNOWN","UNKNOWN",OR($G419="FACTORY1",$G419="FACTORY2",$G419="FACTORY3"),"PLANT",TRUE,"SHARED")</f>
        <v>PLANT</v>
      </c>
      <c r="J419" s="24" t="str">
        <f>IF('query (2)'!D419="","UNKNOWN",IF(COUNTIF(Cleaning_Rules!$A$6:$A$11,TRIM('query (2)'!D419))&gt;0,"UNKNOWN",IFERROR(INDEX(Cleaning_Rules!$B$24:$B$28,MATCH(TRIM(UPPER('query (2)'!D419)),Cleaning_Rules!$A$24:$A$28,0)),TRIM(UPPER('query (2)'!D419)))))</f>
        <v>SB7</v>
      </c>
      <c r="K419" s="25" t="str">
        <f>IF('query (2)'!D419="","",'query (2)'!D419)</f>
        <v>SB7</v>
      </c>
      <c r="L419" s="24" t="str">
        <f>IF($J419="UNKNOWN","",_xlfn.TEXTBEFORE($J419,{"0","1","2","3","4","5","6","7","8","9"," ","-","."},1,,,$J419))</f>
        <v>SB</v>
      </c>
      <c r="M419" s="24" t="str">
        <f>IF('query (2)'!I419&lt;&gt;"",TRIM(UPPER('query (2)'!I419)),IF($L419="","UNKNOWN",$L419))</f>
        <v>SB</v>
      </c>
      <c r="N419" s="24" t="str">
        <f>IF('query (2)'!I419&lt;&gt;"","SOURCE",IF($L419="","UNKNOWN","DERIVED"))</f>
        <v>SOURCE</v>
      </c>
      <c r="O419" s="24" t="str">
        <f>IF('query (2)'!E419="","NOT_SPECIFIED",TRIM(UPPER('query (2)'!E419)))</f>
        <v>ASSEMBLY</v>
      </c>
      <c r="P419" s="24" t="str">
        <f>IF('query (2)'!F419="","",TRIM(UPPER('query (2)'!F419)))</f>
        <v>1224-SB7AI</v>
      </c>
      <c r="Q419" s="24" t="str">
        <f>IF('query (2)'!G419="","UNKNOWN",IFERROR(INDEX(Cleaning_Rules!$B$38:$B$46,MATCH(TRIM(UPPER('query (2)'!G419)),Cleaning_Rules!$A$38:$A$46,0)),"UNKNOWN"))</f>
        <v>OTHER</v>
      </c>
      <c r="R419" s="24" t="str">
        <f>IF('query (2)'!H419="","",TRIM(UPPER('query (2)'!H419)))</f>
        <v>SEAL PRESS M/C (2 HEAD)</v>
      </c>
      <c r="S419" s="25" t="str">
        <f>IF('query (2)'!H419="","",'query (2)'!H419)</f>
        <v>Seal  press  M/C  (2 Head)</v>
      </c>
      <c r="T419" s="24" t="str">
        <f>IF('query (2)'!J419="","",TRIM(UPPER('query (2)'!J419)))</f>
        <v>SEAL PRESSING</v>
      </c>
      <c r="U419" s="24" t="str">
        <f t="shared" si="45"/>
        <v/>
      </c>
      <c r="V419" s="24" t="str">
        <f>IF('query (2)'!K419="","NOT_SPECIFIED",IFERROR(INDEX(Cleaning_Rules!$B$32:$B$34,MATCH(TRIM(UPPER('query (2)'!K419)),Cleaning_Rules!$A$32:$A$34,0)),"UNKNOWN"))</f>
        <v>NOT_SPECIFIED</v>
      </c>
      <c r="W419" s="24" t="str">
        <f t="shared" si="46"/>
        <v>AS-818 | FACTORY2 | SB7 | SB | ASSEMBLY | 1224-SB7AI | OTHER | SEAL PRESS M/C (2 HEAD) | SEAL PRESSING | NOT_SPECIFIED</v>
      </c>
      <c r="X419" s="24" t="str">
        <f t="shared" si="47"/>
        <v/>
      </c>
      <c r="Y419" s="24" t="str">
        <f t="shared" si="48"/>
        <v>MISSING_STATUS; CATEGORY_NOT_USEFUL</v>
      </c>
    </row>
    <row r="420" spans="1:25" x14ac:dyDescent="0.3">
      <c r="A420" s="24" t="str">
        <f t="shared" si="42"/>
        <v>CH-819#0419</v>
      </c>
      <c r="B420" s="24" t="str">
        <f>IF('query (2)'!B420="","",TRIM(UPPER('query (2)'!B420)))</f>
        <v>CH-819</v>
      </c>
      <c r="C420" s="25" t="str">
        <f>IF('query (2)'!B420="","",'query (2)'!B420)</f>
        <v>CH-819</v>
      </c>
      <c r="D420" s="24" t="str">
        <f t="shared" si="43"/>
        <v>CH</v>
      </c>
      <c r="E420" s="24">
        <f t="shared" si="44"/>
        <v>1</v>
      </c>
      <c r="F420" s="24">
        <f>IF('query (2)'!A420="","",IFERROR(VALUE('query (2)'!A420),""))</f>
        <v>438</v>
      </c>
      <c r="G420" s="24" t="str">
        <f>IF('query (2)'!C420="","UNKNOWN",IFERROR(INDEX(Cleaning_Rules!$B$15:$B$20,MATCH(TRIM(UPPER('query (2)'!C420)),Cleaning_Rules!$A$15:$A$20,0)),"UNKNOWN"))</f>
        <v>FACTORY2</v>
      </c>
      <c r="H420" s="25" t="str">
        <f>IF('query (2)'!C420="","",'query (2)'!C420)</f>
        <v>FACTORY2</v>
      </c>
      <c r="I420" s="24" t="str" cm="1">
        <f t="array" ref="I420">_xlfn.IFS($G420="UNKNOWN","UNKNOWN",OR($G420="FACTORY1",$G420="FACTORY2",$G420="FACTORY3"),"PLANT",TRUE,"SHARED")</f>
        <v>PLANT</v>
      </c>
      <c r="J420" s="24" t="str">
        <f>IF('query (2)'!D420="","UNKNOWN",IF(COUNTIF(Cleaning_Rules!$A$6:$A$11,TRIM('query (2)'!D420))&gt;0,"UNKNOWN",IFERROR(INDEX(Cleaning_Rules!$B$24:$B$28,MATCH(TRIM(UPPER('query (2)'!D420)),Cleaning_Rules!$A$24:$A$28,0)),TRIM(UPPER('query (2)'!D420)))))</f>
        <v>SB7</v>
      </c>
      <c r="K420" s="25" t="str">
        <f>IF('query (2)'!D420="","",'query (2)'!D420)</f>
        <v>SB7</v>
      </c>
      <c r="L420" s="24" t="str">
        <f>IF($J420="UNKNOWN","",_xlfn.TEXTBEFORE($J420,{"0","1","2","3","4","5","6","7","8","9"," ","-","."},1,,,$J420))</f>
        <v>SB</v>
      </c>
      <c r="M420" s="24" t="str">
        <f>IF('query (2)'!I420&lt;&gt;"",TRIM(UPPER('query (2)'!I420)),IF($L420="","UNKNOWN",$L420))</f>
        <v>SB</v>
      </c>
      <c r="N420" s="24" t="str">
        <f>IF('query (2)'!I420&lt;&gt;"","SOURCE",IF($L420="","UNKNOWN","DERIVED"))</f>
        <v>SOURCE</v>
      </c>
      <c r="O420" s="24" t="str">
        <f>IF('query (2)'!E420="","NOT_SPECIFIED",TRIM(UPPER('query (2)'!E420)))</f>
        <v>ASSEMBLY</v>
      </c>
      <c r="P420" s="24" t="str">
        <f>IF('query (2)'!F420="","",TRIM(UPPER('query (2)'!F420)))</f>
        <v>1224-SB7AI</v>
      </c>
      <c r="Q420" s="24" t="str">
        <f>IF('query (2)'!G420="","UNKNOWN",IFERROR(INDEX(Cleaning_Rules!$B$38:$B$46,MATCH(TRIM(UPPER('query (2)'!G420)),Cleaning_Rules!$A$38:$A$46,0)),"UNKNOWN"))</f>
        <v>OTHER</v>
      </c>
      <c r="R420" s="24" t="str">
        <f>IF('query (2)'!H420="","",TRIM(UPPER('query (2)'!H420)))</f>
        <v>SEAL CHECK M/C</v>
      </c>
      <c r="S420" s="25" t="str">
        <f>IF('query (2)'!H420="","",'query (2)'!H420)</f>
        <v>Seal  check  M/C</v>
      </c>
      <c r="T420" s="24" t="str">
        <f>IF('query (2)'!J420="","",TRIM(UPPER('query (2)'!J420)))</f>
        <v>SEAL HEIGHT CHECK</v>
      </c>
      <c r="U420" s="24" t="str">
        <f t="shared" si="45"/>
        <v/>
      </c>
      <c r="V420" s="24" t="str">
        <f>IF('query (2)'!K420="","NOT_SPECIFIED",IFERROR(INDEX(Cleaning_Rules!$B$32:$B$34,MATCH(TRIM(UPPER('query (2)'!K420)),Cleaning_Rules!$A$32:$A$34,0)),"UNKNOWN"))</f>
        <v>NOT_SPECIFIED</v>
      </c>
      <c r="W420" s="24" t="str">
        <f t="shared" si="46"/>
        <v>CH-819 | FACTORY2 | SB7 | SB | ASSEMBLY | 1224-SB7AI | OTHER | SEAL CHECK M/C | SEAL HEIGHT CHECK | NOT_SPECIFIED</v>
      </c>
      <c r="X420" s="24" t="str">
        <f t="shared" si="47"/>
        <v/>
      </c>
      <c r="Y420" s="24" t="str">
        <f t="shared" si="48"/>
        <v>MISSING_STATUS; CATEGORY_NOT_USEFUL</v>
      </c>
    </row>
    <row r="421" spans="1:25" x14ac:dyDescent="0.3">
      <c r="A421" s="24" t="str">
        <f t="shared" si="42"/>
        <v>CH-820#0420</v>
      </c>
      <c r="B421" s="24" t="str">
        <f>IF('query (2)'!B421="","",TRIM(UPPER('query (2)'!B421)))</f>
        <v>CH-820</v>
      </c>
      <c r="C421" s="25" t="str">
        <f>IF('query (2)'!B421="","",'query (2)'!B421)</f>
        <v>CH-820</v>
      </c>
      <c r="D421" s="24" t="str">
        <f t="shared" si="43"/>
        <v>CH</v>
      </c>
      <c r="E421" s="24">
        <f t="shared" si="44"/>
        <v>1</v>
      </c>
      <c r="F421" s="24">
        <f>IF('query (2)'!A421="","",IFERROR(VALUE('query (2)'!A421),""))</f>
        <v>439</v>
      </c>
      <c r="G421" s="24" t="str">
        <f>IF('query (2)'!C421="","UNKNOWN",IFERROR(INDEX(Cleaning_Rules!$B$15:$B$20,MATCH(TRIM(UPPER('query (2)'!C421)),Cleaning_Rules!$A$15:$A$20,0)),"UNKNOWN"))</f>
        <v>FACTORY2</v>
      </c>
      <c r="H421" s="25" t="str">
        <f>IF('query (2)'!C421="","",'query (2)'!C421)</f>
        <v>FACTORY2</v>
      </c>
      <c r="I421" s="24" t="str" cm="1">
        <f t="array" ref="I421">_xlfn.IFS($G421="UNKNOWN","UNKNOWN",OR($G421="FACTORY1",$G421="FACTORY2",$G421="FACTORY3"),"PLANT",TRUE,"SHARED")</f>
        <v>PLANT</v>
      </c>
      <c r="J421" s="24" t="str">
        <f>IF('query (2)'!D421="","UNKNOWN",IF(COUNTIF(Cleaning_Rules!$A$6:$A$11,TRIM('query (2)'!D421))&gt;0,"UNKNOWN",IFERROR(INDEX(Cleaning_Rules!$B$24:$B$28,MATCH(TRIM(UPPER('query (2)'!D421)),Cleaning_Rules!$A$24:$A$28,0)),TRIM(UPPER('query (2)'!D421)))))</f>
        <v>SB7</v>
      </c>
      <c r="K421" s="25" t="str">
        <f>IF('query (2)'!D421="","",'query (2)'!D421)</f>
        <v>SB7</v>
      </c>
      <c r="L421" s="24" t="str">
        <f>IF($J421="UNKNOWN","",_xlfn.TEXTBEFORE($J421,{"0","1","2","3","4","5","6","7","8","9"," ","-","."},1,,,$J421))</f>
        <v>SB</v>
      </c>
      <c r="M421" s="24" t="str">
        <f>IF('query (2)'!I421&lt;&gt;"",TRIM(UPPER('query (2)'!I421)),IF($L421="","UNKNOWN",$L421))</f>
        <v>SB</v>
      </c>
      <c r="N421" s="24" t="str">
        <f>IF('query (2)'!I421&lt;&gt;"","SOURCE",IF($L421="","UNKNOWN","DERIVED"))</f>
        <v>SOURCE</v>
      </c>
      <c r="O421" s="24" t="str">
        <f>IF('query (2)'!E421="","NOT_SPECIFIED",TRIM(UPPER('query (2)'!E421)))</f>
        <v>ASSEMBLY</v>
      </c>
      <c r="P421" s="24" t="str">
        <f>IF('query (2)'!F421="","",TRIM(UPPER('query (2)'!F421)))</f>
        <v>1224-SB7AI</v>
      </c>
      <c r="Q421" s="24" t="str">
        <f>IF('query (2)'!G421="","UNKNOWN",IFERROR(INDEX(Cleaning_Rules!$B$38:$B$46,MATCH(TRIM(UPPER('query (2)'!G421)),Cleaning_Rules!$A$38:$A$46,0)),"UNKNOWN"))</f>
        <v>OTHER</v>
      </c>
      <c r="R421" s="24" t="str">
        <f>IF('query (2)'!H421="","",TRIM(UPPER('query (2)'!H421)))</f>
        <v>AUTOMATIC VIBRATION TESTING M/C.</v>
      </c>
      <c r="S421" s="25" t="str">
        <f>IF('query (2)'!H421="","",'query (2)'!H421)</f>
        <v>Automatic Vibration testing M/C.</v>
      </c>
      <c r="T421" s="24" t="str">
        <f>IF('query (2)'!J421="","",TRIM(UPPER('query (2)'!J421)))</f>
        <v>VIBRATION CHECK MC</v>
      </c>
      <c r="U421" s="24" t="str">
        <f t="shared" si="45"/>
        <v/>
      </c>
      <c r="V421" s="24" t="str">
        <f>IF('query (2)'!K421="","NOT_SPECIFIED",IFERROR(INDEX(Cleaning_Rules!$B$32:$B$34,MATCH(TRIM(UPPER('query (2)'!K421)),Cleaning_Rules!$A$32:$A$34,0)),"UNKNOWN"))</f>
        <v>NOT_SPECIFIED</v>
      </c>
      <c r="W421" s="24" t="str">
        <f t="shared" si="46"/>
        <v>CH-820 | FACTORY2 | SB7 | SB | ASSEMBLY | 1224-SB7AI | OTHER | AUTOMATIC VIBRATION TESTING M/C. | VIBRATION CHECK MC | NOT_SPECIFIED</v>
      </c>
      <c r="X421" s="24" t="str">
        <f t="shared" si="47"/>
        <v/>
      </c>
      <c r="Y421" s="24" t="str">
        <f t="shared" si="48"/>
        <v>MISSING_STATUS; CATEGORY_NOT_USEFUL</v>
      </c>
    </row>
    <row r="422" spans="1:25" x14ac:dyDescent="0.3">
      <c r="A422" s="24" t="str">
        <f t="shared" si="42"/>
        <v>CH-821#0421</v>
      </c>
      <c r="B422" s="24" t="str">
        <f>IF('query (2)'!B422="","",TRIM(UPPER('query (2)'!B422)))</f>
        <v>CH-821</v>
      </c>
      <c r="C422" s="25" t="str">
        <f>IF('query (2)'!B422="","",'query (2)'!B422)</f>
        <v>CH-821</v>
      </c>
      <c r="D422" s="24" t="str">
        <f t="shared" si="43"/>
        <v>CH</v>
      </c>
      <c r="E422" s="24">
        <f t="shared" si="44"/>
        <v>1</v>
      </c>
      <c r="F422" s="24">
        <f>IF('query (2)'!A422="","",IFERROR(VALUE('query (2)'!A422),""))</f>
        <v>440</v>
      </c>
      <c r="G422" s="24" t="str">
        <f>IF('query (2)'!C422="","UNKNOWN",IFERROR(INDEX(Cleaning_Rules!$B$15:$B$20,MATCH(TRIM(UPPER('query (2)'!C422)),Cleaning_Rules!$A$15:$A$20,0)),"UNKNOWN"))</f>
        <v>FACTORY2</v>
      </c>
      <c r="H422" s="25" t="str">
        <f>IF('query (2)'!C422="","",'query (2)'!C422)</f>
        <v>FACTORY2</v>
      </c>
      <c r="I422" s="24" t="str" cm="1">
        <f t="array" ref="I422">_xlfn.IFS($G422="UNKNOWN","UNKNOWN",OR($G422="FACTORY1",$G422="FACTORY2",$G422="FACTORY3"),"PLANT",TRUE,"SHARED")</f>
        <v>PLANT</v>
      </c>
      <c r="J422" s="24" t="str">
        <f>IF('query (2)'!D422="","UNKNOWN",IF(COUNTIF(Cleaning_Rules!$A$6:$A$11,TRIM('query (2)'!D422))&gt;0,"UNKNOWN",IFERROR(INDEX(Cleaning_Rules!$B$24:$B$28,MATCH(TRIM(UPPER('query (2)'!D422)),Cleaning_Rules!$A$24:$A$28,0)),TRIM(UPPER('query (2)'!D422)))))</f>
        <v>SB7</v>
      </c>
      <c r="K422" s="25" t="str">
        <f>IF('query (2)'!D422="","",'query (2)'!D422)</f>
        <v>SB7</v>
      </c>
      <c r="L422" s="24" t="str">
        <f>IF($J422="UNKNOWN","",_xlfn.TEXTBEFORE($J422,{"0","1","2","3","4","5","6","7","8","9"," ","-","."},1,,,$J422))</f>
        <v>SB</v>
      </c>
      <c r="M422" s="24" t="str">
        <f>IF('query (2)'!I422&lt;&gt;"",TRIM(UPPER('query (2)'!I422)),IF($L422="","UNKNOWN",$L422))</f>
        <v>SB</v>
      </c>
      <c r="N422" s="24" t="str">
        <f>IF('query (2)'!I422&lt;&gt;"","SOURCE",IF($L422="","UNKNOWN","DERIVED"))</f>
        <v>SOURCE</v>
      </c>
      <c r="O422" s="24" t="str">
        <f>IF('query (2)'!E422="","NOT_SPECIFIED",TRIM(UPPER('query (2)'!E422)))</f>
        <v>ASSEMBLY</v>
      </c>
      <c r="P422" s="24" t="str">
        <f>IF('query (2)'!F422="","",TRIM(UPPER('query (2)'!F422)))</f>
        <v>1224-SB7AI</v>
      </c>
      <c r="Q422" s="24" t="str">
        <f>IF('query (2)'!G422="","UNKNOWN",IFERROR(INDEX(Cleaning_Rules!$B$38:$B$46,MATCH(TRIM(UPPER('query (2)'!G422)),Cleaning_Rules!$A$38:$A$46,0)),"UNKNOWN"))</f>
        <v>OTHER</v>
      </c>
      <c r="R422" s="24" t="str">
        <f>IF('query (2)'!H422="","",TRIM(UPPER('query (2)'!H422)))</f>
        <v>NOISE MANUAL INSPECTION M/C.</v>
      </c>
      <c r="S422" s="25" t="str">
        <f>IF('query (2)'!H422="","",'query (2)'!H422)</f>
        <v>Noise manual inspection M/C.</v>
      </c>
      <c r="T422" s="24" t="str">
        <f>IF('query (2)'!J422="","",TRIM(UPPER('query (2)'!J422)))</f>
        <v>NOISE INSPECTION</v>
      </c>
      <c r="U422" s="24" t="str">
        <f t="shared" si="45"/>
        <v/>
      </c>
      <c r="V422" s="24" t="str">
        <f>IF('query (2)'!K422="","NOT_SPECIFIED",IFERROR(INDEX(Cleaning_Rules!$B$32:$B$34,MATCH(TRIM(UPPER('query (2)'!K422)),Cleaning_Rules!$A$32:$A$34,0)),"UNKNOWN"))</f>
        <v>NOT_SPECIFIED</v>
      </c>
      <c r="W422" s="24" t="str">
        <f t="shared" si="46"/>
        <v>CH-821 | FACTORY2 | SB7 | SB | ASSEMBLY | 1224-SB7AI | OTHER | NOISE MANUAL INSPECTION M/C. | NOISE INSPECTION | NOT_SPECIFIED</v>
      </c>
      <c r="X422" s="24" t="str">
        <f t="shared" si="47"/>
        <v/>
      </c>
      <c r="Y422" s="24" t="str">
        <f t="shared" si="48"/>
        <v>MISSING_STATUS; CATEGORY_NOT_USEFUL</v>
      </c>
    </row>
    <row r="423" spans="1:25" x14ac:dyDescent="0.3">
      <c r="A423" s="24" t="str">
        <f t="shared" si="42"/>
        <v>CH-822#0422</v>
      </c>
      <c r="B423" s="24" t="str">
        <f>IF('query (2)'!B423="","",TRIM(UPPER('query (2)'!B423)))</f>
        <v>CH-822</v>
      </c>
      <c r="C423" s="25" t="str">
        <f>IF('query (2)'!B423="","",'query (2)'!B423)</f>
        <v>CH-822</v>
      </c>
      <c r="D423" s="24" t="str">
        <f t="shared" si="43"/>
        <v>CH</v>
      </c>
      <c r="E423" s="24">
        <f t="shared" si="44"/>
        <v>1</v>
      </c>
      <c r="F423" s="24">
        <f>IF('query (2)'!A423="","",IFERROR(VALUE('query (2)'!A423),""))</f>
        <v>441</v>
      </c>
      <c r="G423" s="24" t="str">
        <f>IF('query (2)'!C423="","UNKNOWN",IFERROR(INDEX(Cleaning_Rules!$B$15:$B$20,MATCH(TRIM(UPPER('query (2)'!C423)),Cleaning_Rules!$A$15:$A$20,0)),"UNKNOWN"))</f>
        <v>FACTORY2</v>
      </c>
      <c r="H423" s="25" t="str">
        <f>IF('query (2)'!C423="","",'query (2)'!C423)</f>
        <v>FACTORY2</v>
      </c>
      <c r="I423" s="24" t="str" cm="1">
        <f t="array" ref="I423">_xlfn.IFS($G423="UNKNOWN","UNKNOWN",OR($G423="FACTORY1",$G423="FACTORY2",$G423="FACTORY3"),"PLANT",TRUE,"SHARED")</f>
        <v>PLANT</v>
      </c>
      <c r="J423" s="24" t="str">
        <f>IF('query (2)'!D423="","UNKNOWN",IF(COUNTIF(Cleaning_Rules!$A$6:$A$11,TRIM('query (2)'!D423))&gt;0,"UNKNOWN",IFERROR(INDEX(Cleaning_Rules!$B$24:$B$28,MATCH(TRIM(UPPER('query (2)'!D423)),Cleaning_Rules!$A$24:$A$28,0)),TRIM(UPPER('query (2)'!D423)))))</f>
        <v>SB7</v>
      </c>
      <c r="K423" s="25" t="str">
        <f>IF('query (2)'!D423="","",'query (2)'!D423)</f>
        <v>SB7</v>
      </c>
      <c r="L423" s="24" t="str">
        <f>IF($J423="UNKNOWN","",_xlfn.TEXTBEFORE($J423,{"0","1","2","3","4","5","6","7","8","9"," ","-","."},1,,,$J423))</f>
        <v>SB</v>
      </c>
      <c r="M423" s="24" t="str">
        <f>IF('query (2)'!I423&lt;&gt;"",TRIM(UPPER('query (2)'!I423)),IF($L423="","UNKNOWN",$L423))</f>
        <v>SB</v>
      </c>
      <c r="N423" s="24" t="str">
        <f>IF('query (2)'!I423&lt;&gt;"","SOURCE",IF($L423="","UNKNOWN","DERIVED"))</f>
        <v>SOURCE</v>
      </c>
      <c r="O423" s="24" t="str">
        <f>IF('query (2)'!E423="","NOT_SPECIFIED",TRIM(UPPER('query (2)'!E423)))</f>
        <v>ASSEMBLY</v>
      </c>
      <c r="P423" s="24" t="str">
        <f>IF('query (2)'!F423="","",TRIM(UPPER('query (2)'!F423)))</f>
        <v>1224-SB7AI</v>
      </c>
      <c r="Q423" s="24" t="str">
        <f>IF('query (2)'!G423="","UNKNOWN",IFERROR(INDEX(Cleaning_Rules!$B$38:$B$46,MATCH(TRIM(UPPER('query (2)'!G423)),Cleaning_Rules!$A$38:$A$46,0)),"UNKNOWN"))</f>
        <v>OTHER</v>
      </c>
      <c r="R423" s="24" t="str">
        <f>IF('query (2)'!H423="","",TRIM(UPPER('query (2)'!H423)))</f>
        <v>WEIGHT CHECKER M/C</v>
      </c>
      <c r="S423" s="25" t="str">
        <f>IF('query (2)'!H423="","",'query (2)'!H423)</f>
        <v>Weight  checker  M/C</v>
      </c>
      <c r="T423" s="24" t="str">
        <f>IF('query (2)'!J423="","",TRIM(UPPER('query (2)'!J423)))</f>
        <v>WEIGHT CHECKER</v>
      </c>
      <c r="U423" s="24" t="str">
        <f t="shared" si="45"/>
        <v/>
      </c>
      <c r="V423" s="24" t="str">
        <f>IF('query (2)'!K423="","NOT_SPECIFIED",IFERROR(INDEX(Cleaning_Rules!$B$32:$B$34,MATCH(TRIM(UPPER('query (2)'!K423)),Cleaning_Rules!$A$32:$A$34,0)),"UNKNOWN"))</f>
        <v>NOT_SPECIFIED</v>
      </c>
      <c r="W423" s="24" t="str">
        <f t="shared" si="46"/>
        <v>CH-822 | FACTORY2 | SB7 | SB | ASSEMBLY | 1224-SB7AI | OTHER | WEIGHT CHECKER M/C | WEIGHT CHECKER | NOT_SPECIFIED</v>
      </c>
      <c r="X423" s="24" t="str">
        <f t="shared" si="47"/>
        <v/>
      </c>
      <c r="Y423" s="24" t="str">
        <f t="shared" si="48"/>
        <v>MISSING_STATUS; CATEGORY_NOT_USEFUL</v>
      </c>
    </row>
    <row r="424" spans="1:25" x14ac:dyDescent="0.3">
      <c r="A424" s="24" t="str">
        <f t="shared" si="42"/>
        <v>MA-823#0423</v>
      </c>
      <c r="B424" s="24" t="str">
        <f>IF('query (2)'!B424="","",TRIM(UPPER('query (2)'!B424)))</f>
        <v>MA-823</v>
      </c>
      <c r="C424" s="25" t="str">
        <f>IF('query (2)'!B424="","",'query (2)'!B424)</f>
        <v>MA-823</v>
      </c>
      <c r="D424" s="24" t="str">
        <f t="shared" si="43"/>
        <v>MA</v>
      </c>
      <c r="E424" s="24">
        <f t="shared" si="44"/>
        <v>1</v>
      </c>
      <c r="F424" s="24">
        <f>IF('query (2)'!A424="","",IFERROR(VALUE('query (2)'!A424),""))</f>
        <v>442</v>
      </c>
      <c r="G424" s="24" t="str">
        <f>IF('query (2)'!C424="","UNKNOWN",IFERROR(INDEX(Cleaning_Rules!$B$15:$B$20,MATCH(TRIM(UPPER('query (2)'!C424)),Cleaning_Rules!$A$15:$A$20,0)),"UNKNOWN"))</f>
        <v>FACTORY2</v>
      </c>
      <c r="H424" s="25" t="str">
        <f>IF('query (2)'!C424="","",'query (2)'!C424)</f>
        <v>FACTORY2</v>
      </c>
      <c r="I424" s="24" t="str" cm="1">
        <f t="array" ref="I424">_xlfn.IFS($G424="UNKNOWN","UNKNOWN",OR($G424="FACTORY1",$G424="FACTORY2",$G424="FACTORY3"),"PLANT",TRUE,"SHARED")</f>
        <v>PLANT</v>
      </c>
      <c r="J424" s="24" t="str">
        <f>IF('query (2)'!D424="","UNKNOWN",IF(COUNTIF(Cleaning_Rules!$A$6:$A$11,TRIM('query (2)'!D424))&gt;0,"UNKNOWN",IFERROR(INDEX(Cleaning_Rules!$B$24:$B$28,MATCH(TRIM(UPPER('query (2)'!D424)),Cleaning_Rules!$A$24:$A$28,0)),TRIM(UPPER('query (2)'!D424)))))</f>
        <v>SB7</v>
      </c>
      <c r="K424" s="25" t="str">
        <f>IF('query (2)'!D424="","",'query (2)'!D424)</f>
        <v>SB7</v>
      </c>
      <c r="L424" s="24" t="str">
        <f>IF($J424="UNKNOWN","",_xlfn.TEXTBEFORE($J424,{"0","1","2","3","4","5","6","7","8","9"," ","-","."},1,,,$J424))</f>
        <v>SB</v>
      </c>
      <c r="M424" s="24" t="str">
        <f>IF('query (2)'!I424&lt;&gt;"",TRIM(UPPER('query (2)'!I424)),IF($L424="","UNKNOWN",$L424))</f>
        <v>SB</v>
      </c>
      <c r="N424" s="24" t="str">
        <f>IF('query (2)'!I424&lt;&gt;"","SOURCE",IF($L424="","UNKNOWN","DERIVED"))</f>
        <v>SOURCE</v>
      </c>
      <c r="O424" s="24" t="str">
        <f>IF('query (2)'!E424="","NOT_SPECIFIED",TRIM(UPPER('query (2)'!E424)))</f>
        <v>ASSEMBLY</v>
      </c>
      <c r="P424" s="24" t="str">
        <f>IF('query (2)'!F424="","",TRIM(UPPER('query (2)'!F424)))</f>
        <v>1224-SB7AI</v>
      </c>
      <c r="Q424" s="24" t="str">
        <f>IF('query (2)'!G424="","UNKNOWN",IFERROR(INDEX(Cleaning_Rules!$B$38:$B$46,MATCH(TRIM(UPPER('query (2)'!G424)),Cleaning_Rules!$A$38:$A$46,0)),"UNKNOWN"))</f>
        <v>OTHER</v>
      </c>
      <c r="R424" s="24" t="str">
        <f>IF('query (2)'!H424="","",TRIM(UPPER('query (2)'!H424)))</f>
        <v>LASER MARKER M/C.</v>
      </c>
      <c r="S424" s="25" t="str">
        <f>IF('query (2)'!H424="","",'query (2)'!H424)</f>
        <v>Laser marker M/C.</v>
      </c>
      <c r="T424" s="24" t="str">
        <f>IF('query (2)'!J424="","",TRIM(UPPER('query (2)'!J424)))</f>
        <v>LASER MARKING</v>
      </c>
      <c r="U424" s="24" t="str">
        <f t="shared" si="45"/>
        <v/>
      </c>
      <c r="V424" s="24" t="str">
        <f>IF('query (2)'!K424="","NOT_SPECIFIED",IFERROR(INDEX(Cleaning_Rules!$B$32:$B$34,MATCH(TRIM(UPPER('query (2)'!K424)),Cleaning_Rules!$A$32:$A$34,0)),"UNKNOWN"))</f>
        <v>NOT_SPECIFIED</v>
      </c>
      <c r="W424" s="24" t="str">
        <f t="shared" si="46"/>
        <v>MA-823 | FACTORY2 | SB7 | SB | ASSEMBLY | 1224-SB7AI | OTHER | LASER MARKER M/C. | LASER MARKING | NOT_SPECIFIED</v>
      </c>
      <c r="X424" s="24" t="str">
        <f t="shared" si="47"/>
        <v/>
      </c>
      <c r="Y424" s="24" t="str">
        <f t="shared" si="48"/>
        <v>MISSING_STATUS; CATEGORY_NOT_USEFUL</v>
      </c>
    </row>
    <row r="425" spans="1:25" x14ac:dyDescent="0.3">
      <c r="A425" s="24" t="str">
        <f t="shared" si="42"/>
        <v>AR-824#0424</v>
      </c>
      <c r="B425" s="24" t="str">
        <f>IF('query (2)'!B425="","",TRIM(UPPER('query (2)'!B425)))</f>
        <v>AR-824</v>
      </c>
      <c r="C425" s="25" t="str">
        <f>IF('query (2)'!B425="","",'query (2)'!B425)</f>
        <v>AR-824</v>
      </c>
      <c r="D425" s="24" t="str">
        <f t="shared" si="43"/>
        <v>AR</v>
      </c>
      <c r="E425" s="24">
        <f t="shared" si="44"/>
        <v>1</v>
      </c>
      <c r="F425" s="24">
        <f>IF('query (2)'!A425="","",IFERROR(VALUE('query (2)'!A425),""))</f>
        <v>443</v>
      </c>
      <c r="G425" s="24" t="str">
        <f>IF('query (2)'!C425="","UNKNOWN",IFERROR(INDEX(Cleaning_Rules!$B$15:$B$20,MATCH(TRIM(UPPER('query (2)'!C425)),Cleaning_Rules!$A$15:$A$20,0)),"UNKNOWN"))</f>
        <v>FACTORY2</v>
      </c>
      <c r="H425" s="25" t="str">
        <f>IF('query (2)'!C425="","",'query (2)'!C425)</f>
        <v>FACTORY2</v>
      </c>
      <c r="I425" s="24" t="str" cm="1">
        <f t="array" ref="I425">_xlfn.IFS($G425="UNKNOWN","UNKNOWN",OR($G425="FACTORY1",$G425="FACTORY2",$G425="FACTORY3"),"PLANT",TRUE,"SHARED")</f>
        <v>PLANT</v>
      </c>
      <c r="J425" s="24" t="str">
        <f>IF('query (2)'!D425="","UNKNOWN",IF(COUNTIF(Cleaning_Rules!$A$6:$A$11,TRIM('query (2)'!D425))&gt;0,"UNKNOWN",IFERROR(INDEX(Cleaning_Rules!$B$24:$B$28,MATCH(TRIM(UPPER('query (2)'!D425)),Cleaning_Rules!$A$24:$A$28,0)),TRIM(UPPER('query (2)'!D425)))))</f>
        <v>SB7</v>
      </c>
      <c r="K425" s="25" t="str">
        <f>IF('query (2)'!D425="","",'query (2)'!D425)</f>
        <v>SB7</v>
      </c>
      <c r="L425" s="24" t="str">
        <f>IF($J425="UNKNOWN","",_xlfn.TEXTBEFORE($J425,{"0","1","2","3","4","5","6","7","8","9"," ","-","."},1,,,$J425))</f>
        <v>SB</v>
      </c>
      <c r="M425" s="24" t="str">
        <f>IF('query (2)'!I425&lt;&gt;"",TRIM(UPPER('query (2)'!I425)),IF($L425="","UNKNOWN",$L425))</f>
        <v>SB</v>
      </c>
      <c r="N425" s="24" t="str">
        <f>IF('query (2)'!I425&lt;&gt;"","SOURCE",IF($L425="","UNKNOWN","DERIVED"))</f>
        <v>SOURCE</v>
      </c>
      <c r="O425" s="24" t="str">
        <f>IF('query (2)'!E425="","NOT_SPECIFIED",TRIM(UPPER('query (2)'!E425)))</f>
        <v>ASSEMBLY</v>
      </c>
      <c r="P425" s="24" t="str">
        <f>IF('query (2)'!F425="","",TRIM(UPPER('query (2)'!F425)))</f>
        <v>1224-SB7AI</v>
      </c>
      <c r="Q425" s="24" t="str">
        <f>IF('query (2)'!G425="","UNKNOWN",IFERROR(INDEX(Cleaning_Rules!$B$38:$B$46,MATCH(TRIM(UPPER('query (2)'!G425)),Cleaning_Rules!$A$38:$A$46,0)),"UNKNOWN"))</f>
        <v>OTHER</v>
      </c>
      <c r="R425" s="24" t="str">
        <f>IF('query (2)'!H425="","",TRIM(UPPER('query (2)'!H425)))</f>
        <v>AUTO ANTIRUST M/C.</v>
      </c>
      <c r="S425" s="25" t="str">
        <f>IF('query (2)'!H425="","",'query (2)'!H425)</f>
        <v>Auto Antirust M/C.</v>
      </c>
      <c r="T425" s="24" t="str">
        <f>IF('query (2)'!J425="","",TRIM(UPPER('query (2)'!J425)))</f>
        <v>ANTI RUST AUTO</v>
      </c>
      <c r="U425" s="24" t="str">
        <f t="shared" si="45"/>
        <v/>
      </c>
      <c r="V425" s="24" t="str">
        <f>IF('query (2)'!K425="","NOT_SPECIFIED",IFERROR(INDEX(Cleaning_Rules!$B$32:$B$34,MATCH(TRIM(UPPER('query (2)'!K425)),Cleaning_Rules!$A$32:$A$34,0)),"UNKNOWN"))</f>
        <v>NOT_SPECIFIED</v>
      </c>
      <c r="W425" s="24" t="str">
        <f t="shared" si="46"/>
        <v>AR-824 | FACTORY2 | SB7 | SB | ASSEMBLY | 1224-SB7AI | OTHER | AUTO ANTIRUST M/C. | ANTI RUST AUTO | NOT_SPECIFIED</v>
      </c>
      <c r="X425" s="24" t="str">
        <f t="shared" si="47"/>
        <v/>
      </c>
      <c r="Y425" s="24" t="str">
        <f t="shared" si="48"/>
        <v>MISSING_STATUS; CATEGORY_NOT_USEFUL</v>
      </c>
    </row>
    <row r="426" spans="1:25" x14ac:dyDescent="0.3">
      <c r="A426" s="24" t="str">
        <f t="shared" si="42"/>
        <v>WA-929#0425</v>
      </c>
      <c r="B426" s="24" t="str">
        <f>IF('query (2)'!B426="","",TRIM(UPPER('query (2)'!B426)))</f>
        <v>WA-929</v>
      </c>
      <c r="C426" s="25" t="str">
        <f>IF('query (2)'!B426="","",'query (2)'!B426)</f>
        <v>WA-929</v>
      </c>
      <c r="D426" s="24" t="str">
        <f t="shared" si="43"/>
        <v>WA</v>
      </c>
      <c r="E426" s="24">
        <f t="shared" si="44"/>
        <v>1</v>
      </c>
      <c r="F426" s="24">
        <f>IF('query (2)'!A426="","",IFERROR(VALUE('query (2)'!A426),""))</f>
        <v>444</v>
      </c>
      <c r="G426" s="24" t="str">
        <f>IF('query (2)'!C426="","UNKNOWN",IFERROR(INDEX(Cleaning_Rules!$B$15:$B$20,MATCH(TRIM(UPPER('query (2)'!C426)),Cleaning_Rules!$A$15:$A$20,0)),"UNKNOWN"))</f>
        <v>FACTORY2</v>
      </c>
      <c r="H426" s="25" t="str">
        <f>IF('query (2)'!C426="","",'query (2)'!C426)</f>
        <v>FACTORY2</v>
      </c>
      <c r="I426" s="24" t="str" cm="1">
        <f t="array" ref="I426">_xlfn.IFS($G426="UNKNOWN","UNKNOWN",OR($G426="FACTORY1",$G426="FACTORY2",$G426="FACTORY3"),"PLANT",TRUE,"SHARED")</f>
        <v>PLANT</v>
      </c>
      <c r="J426" s="24" t="str">
        <f>IF('query (2)'!D426="","UNKNOWN",IF(COUNTIF(Cleaning_Rules!$A$6:$A$11,TRIM('query (2)'!D426))&gt;0,"UNKNOWN",IFERROR(INDEX(Cleaning_Rules!$B$24:$B$28,MATCH(TRIM(UPPER('query (2)'!D426)),Cleaning_Rules!$A$24:$A$28,0)),TRIM(UPPER('query (2)'!D426)))))</f>
        <v>SB7</v>
      </c>
      <c r="K426" s="25" t="str">
        <f>IF('query (2)'!D426="","",'query (2)'!D426)</f>
        <v>SB7</v>
      </c>
      <c r="L426" s="24" t="str">
        <f>IF($J426="UNKNOWN","",_xlfn.TEXTBEFORE($J426,{"0","1","2","3","4","5","6","7","8","9"," ","-","."},1,,,$J426))</f>
        <v>SB</v>
      </c>
      <c r="M426" s="24" t="str">
        <f>IF('query (2)'!I426&lt;&gt;"",TRIM(UPPER('query (2)'!I426)),IF($L426="","UNKNOWN",$L426))</f>
        <v>SB</v>
      </c>
      <c r="N426" s="24" t="str">
        <f>IF('query (2)'!I426&lt;&gt;"","SOURCE",IF($L426="","UNKNOWN","DERIVED"))</f>
        <v>SOURCE</v>
      </c>
      <c r="O426" s="24" t="str">
        <f>IF('query (2)'!E426="","NOT_SPECIFIED",TRIM(UPPER('query (2)'!E426)))</f>
        <v>GRINDING 2</v>
      </c>
      <c r="P426" s="24" t="str">
        <f>IF('query (2)'!F426="","",TRIM(UPPER('query (2)'!F426)))</f>
        <v>1223-SB7G</v>
      </c>
      <c r="Q426" s="24" t="str">
        <f>IF('query (2)'!G426="","UNKNOWN",IFERROR(INDEX(Cleaning_Rules!$B$38:$B$46,MATCH(TRIM(UPPER('query (2)'!G426)),Cleaning_Rules!$A$38:$A$46,0)),"UNKNOWN"))</f>
        <v>OTHER</v>
      </c>
      <c r="R426" s="24" t="str">
        <f>IF('query (2)'!H426="","",TRIM(UPPER('query (2)'!H426)))</f>
        <v>OUTER/INNRE RING PART WASH EQUIPMENT M/C</v>
      </c>
      <c r="S426" s="25" t="str">
        <f>IF('query (2)'!H426="","",'query (2)'!H426)</f>
        <v>Outer/Innre ring part wash equipment  M/C</v>
      </c>
      <c r="T426" s="24" t="str">
        <f>IF('query (2)'!J426="","",TRIM(UPPER('query (2)'!J426)))</f>
        <v>A &amp; B - PART WASH EQUIPMENT</v>
      </c>
      <c r="U426" s="24" t="str">
        <f t="shared" si="45"/>
        <v/>
      </c>
      <c r="V426" s="24" t="str">
        <f>IF('query (2)'!K426="","NOT_SPECIFIED",IFERROR(INDEX(Cleaning_Rules!$B$32:$B$34,MATCH(TRIM(UPPER('query (2)'!K426)),Cleaning_Rules!$A$32:$A$34,0)),"UNKNOWN"))</f>
        <v>NOT_SPECIFIED</v>
      </c>
      <c r="W426" s="24" t="str">
        <f t="shared" si="46"/>
        <v>WA-929 | FACTORY2 | SB7 | SB | GRINDING 2 | 1223-SB7G | OTHER | OUTER/INNRE RING PART WASH EQUIPMENT M/C | A &amp; B - PART WASH EQUIPMENT | NOT_SPECIFIED</v>
      </c>
      <c r="X426" s="24" t="str">
        <f t="shared" si="47"/>
        <v/>
      </c>
      <c r="Y426" s="24" t="str">
        <f t="shared" si="48"/>
        <v>MISSING_STATUS; CATEGORY_NOT_USEFUL</v>
      </c>
    </row>
    <row r="427" spans="1:25" x14ac:dyDescent="0.3">
      <c r="A427" s="24" t="str">
        <f t="shared" si="42"/>
        <v>CH-930#0426</v>
      </c>
      <c r="B427" s="24" t="str">
        <f>IF('query (2)'!B427="","",TRIM(UPPER('query (2)'!B427)))</f>
        <v>CH-930</v>
      </c>
      <c r="C427" s="25" t="str">
        <f>IF('query (2)'!B427="","",'query (2)'!B427)</f>
        <v>CH-930</v>
      </c>
      <c r="D427" s="24" t="str">
        <f t="shared" si="43"/>
        <v>CH</v>
      </c>
      <c r="E427" s="24">
        <f t="shared" si="44"/>
        <v>1</v>
      </c>
      <c r="F427" s="24">
        <f>IF('query (2)'!A427="","",IFERROR(VALUE('query (2)'!A427),""))</f>
        <v>445</v>
      </c>
      <c r="G427" s="24" t="str">
        <f>IF('query (2)'!C427="","UNKNOWN",IFERROR(INDEX(Cleaning_Rules!$B$15:$B$20,MATCH(TRIM(UPPER('query (2)'!C427)),Cleaning_Rules!$A$15:$A$20,0)),"UNKNOWN"))</f>
        <v>FACTORY2</v>
      </c>
      <c r="H427" s="25" t="str">
        <f>IF('query (2)'!C427="","",'query (2)'!C427)</f>
        <v>FACTORY2</v>
      </c>
      <c r="I427" s="24" t="str" cm="1">
        <f t="array" ref="I427">_xlfn.IFS($G427="UNKNOWN","UNKNOWN",OR($G427="FACTORY1",$G427="FACTORY2",$G427="FACTORY3"),"PLANT",TRUE,"SHARED")</f>
        <v>PLANT</v>
      </c>
      <c r="J427" s="24" t="str">
        <f>IF('query (2)'!D427="","UNKNOWN",IF(COUNTIF(Cleaning_Rules!$A$6:$A$11,TRIM('query (2)'!D427))&gt;0,"UNKNOWN",IFERROR(INDEX(Cleaning_Rules!$B$24:$B$28,MATCH(TRIM(UPPER('query (2)'!D427)),Cleaning_Rules!$A$24:$A$28,0)),TRIM(UPPER('query (2)'!D427)))))</f>
        <v>SB7</v>
      </c>
      <c r="K427" s="25" t="str">
        <f>IF('query (2)'!D427="","",'query (2)'!D427)</f>
        <v>SB7</v>
      </c>
      <c r="L427" s="24" t="str">
        <f>IF($J427="UNKNOWN","",_xlfn.TEXTBEFORE($J427,{"0","1","2","3","4","5","6","7","8","9"," ","-","."},1,,,$J427))</f>
        <v>SB</v>
      </c>
      <c r="M427" s="24" t="str">
        <f>IF('query (2)'!I427&lt;&gt;"",TRIM(UPPER('query (2)'!I427)),IF($L427="","UNKNOWN",$L427))</f>
        <v>SB</v>
      </c>
      <c r="N427" s="24" t="str">
        <f>IF('query (2)'!I427&lt;&gt;"","SOURCE",IF($L427="","UNKNOWN","DERIVED"))</f>
        <v>SOURCE</v>
      </c>
      <c r="O427" s="24" t="str">
        <f>IF('query (2)'!E427="","NOT_SPECIFIED",TRIM(UPPER('query (2)'!E427)))</f>
        <v>ASSEMBLY</v>
      </c>
      <c r="P427" s="24" t="str">
        <f>IF('query (2)'!F427="","",TRIM(UPPER('query (2)'!F427)))</f>
        <v>1224-SB7AI</v>
      </c>
      <c r="Q427" s="24" t="str">
        <f>IF('query (2)'!G427="","UNKNOWN",IFERROR(INDEX(Cleaning_Rules!$B$38:$B$46,MATCH(TRIM(UPPER('query (2)'!G427)),Cleaning_Rules!$A$38:$A$46,0)),"UNKNOWN"))</f>
        <v>OTHER</v>
      </c>
      <c r="R427" s="24" t="str">
        <f>IF('query (2)'!H427="","",TRIM(UPPER('query (2)'!H427)))</f>
        <v>OUTER/INNER EDDY CURRENT TESTER M/C</v>
      </c>
      <c r="S427" s="25" t="str">
        <f>IF('query (2)'!H427="","",'query (2)'!H427)</f>
        <v>Outer/Inner eddy current tester   M/C</v>
      </c>
      <c r="T427" s="24" t="str">
        <f>IF('query (2)'!J427="","",TRIM(UPPER('query (2)'!J427)))</f>
        <v>A &amp; B - E.C.T.</v>
      </c>
      <c r="U427" s="24" t="str">
        <f t="shared" si="45"/>
        <v/>
      </c>
      <c r="V427" s="24" t="str">
        <f>IF('query (2)'!K427="","NOT_SPECIFIED",IFERROR(INDEX(Cleaning_Rules!$B$32:$B$34,MATCH(TRIM(UPPER('query (2)'!K427)),Cleaning_Rules!$A$32:$A$34,0)),"UNKNOWN"))</f>
        <v>NOT_SPECIFIED</v>
      </c>
      <c r="W427" s="24" t="str">
        <f t="shared" si="46"/>
        <v>CH-930 | FACTORY2 | SB7 | SB | ASSEMBLY | 1224-SB7AI | OTHER | OUTER/INNER EDDY CURRENT TESTER M/C | A &amp; B - E.C.T. | NOT_SPECIFIED</v>
      </c>
      <c r="X427" s="24" t="str">
        <f t="shared" si="47"/>
        <v/>
      </c>
      <c r="Y427" s="24" t="str">
        <f t="shared" si="48"/>
        <v>MISSING_STATUS; CATEGORY_NOT_USEFUL</v>
      </c>
    </row>
    <row r="428" spans="1:25" x14ac:dyDescent="0.3">
      <c r="A428" s="24" t="str">
        <f t="shared" si="42"/>
        <v>CH-931#0427</v>
      </c>
      <c r="B428" s="24" t="str">
        <f>IF('query (2)'!B428="","",TRIM(UPPER('query (2)'!B428)))</f>
        <v>CH-931</v>
      </c>
      <c r="C428" s="25" t="str">
        <f>IF('query (2)'!B428="","",'query (2)'!B428)</f>
        <v>CH-931</v>
      </c>
      <c r="D428" s="24" t="str">
        <f t="shared" si="43"/>
        <v>CH</v>
      </c>
      <c r="E428" s="24">
        <f t="shared" si="44"/>
        <v>1</v>
      </c>
      <c r="F428" s="24">
        <f>IF('query (2)'!A428="","",IFERROR(VALUE('query (2)'!A428),""))</f>
        <v>446</v>
      </c>
      <c r="G428" s="24" t="str">
        <f>IF('query (2)'!C428="","UNKNOWN",IFERROR(INDEX(Cleaning_Rules!$B$15:$B$20,MATCH(TRIM(UPPER('query (2)'!C428)),Cleaning_Rules!$A$15:$A$20,0)),"UNKNOWN"))</f>
        <v>FACTORY2</v>
      </c>
      <c r="H428" s="25" t="str">
        <f>IF('query (2)'!C428="","",'query (2)'!C428)</f>
        <v>FACTORY2</v>
      </c>
      <c r="I428" s="24" t="str" cm="1">
        <f t="array" ref="I428">_xlfn.IFS($G428="UNKNOWN","UNKNOWN",OR($G428="FACTORY1",$G428="FACTORY2",$G428="FACTORY3"),"PLANT",TRUE,"SHARED")</f>
        <v>PLANT</v>
      </c>
      <c r="J428" s="24" t="str">
        <f>IF('query (2)'!D428="","UNKNOWN",IF(COUNTIF(Cleaning_Rules!$A$6:$A$11,TRIM('query (2)'!D428))&gt;0,"UNKNOWN",IFERROR(INDEX(Cleaning_Rules!$B$24:$B$28,MATCH(TRIM(UPPER('query (2)'!D428)),Cleaning_Rules!$A$24:$A$28,0)),TRIM(UPPER('query (2)'!D428)))))</f>
        <v>SB7</v>
      </c>
      <c r="K428" s="25" t="str">
        <f>IF('query (2)'!D428="","",'query (2)'!D428)</f>
        <v>SB7</v>
      </c>
      <c r="L428" s="24" t="str">
        <f>IF($J428="UNKNOWN","",_xlfn.TEXTBEFORE($J428,{"0","1","2","3","4","5","6","7","8","9"," ","-","."},1,,,$J428))</f>
        <v>SB</v>
      </c>
      <c r="M428" s="24" t="str">
        <f>IF('query (2)'!I428&lt;&gt;"",TRIM(UPPER('query (2)'!I428)),IF($L428="","UNKNOWN",$L428))</f>
        <v>SB</v>
      </c>
      <c r="N428" s="24" t="str">
        <f>IF('query (2)'!I428&lt;&gt;"","SOURCE",IF($L428="","UNKNOWN","DERIVED"))</f>
        <v>SOURCE</v>
      </c>
      <c r="O428" s="24" t="str">
        <f>IF('query (2)'!E428="","NOT_SPECIFIED",TRIM(UPPER('query (2)'!E428)))</f>
        <v>ASSEMBLY</v>
      </c>
      <c r="P428" s="24" t="str">
        <f>IF('query (2)'!F428="","",TRIM(UPPER('query (2)'!F428)))</f>
        <v>1224-SB7AI</v>
      </c>
      <c r="Q428" s="24" t="str">
        <f>IF('query (2)'!G428="","UNKNOWN",IFERROR(INDEX(Cleaning_Rules!$B$38:$B$46,MATCH(TRIM(UPPER('query (2)'!G428)),Cleaning_Rules!$A$38:$A$46,0)),"UNKNOWN"))</f>
        <v>OTHER</v>
      </c>
      <c r="R428" s="24" t="str">
        <f>IF('query (2)'!H428="","",TRIM(UPPER('query (2)'!H428)))</f>
        <v>TORQUE M/C</v>
      </c>
      <c r="S428" s="25" t="str">
        <f>IF('query (2)'!H428="","",'query (2)'!H428)</f>
        <v>Torque  M/C</v>
      </c>
      <c r="T428" s="24" t="str">
        <f>IF('query (2)'!J428="","",TRIM(UPPER('query (2)'!J428)))</f>
        <v/>
      </c>
      <c r="U428" s="24" t="str">
        <f t="shared" si="45"/>
        <v/>
      </c>
      <c r="V428" s="24" t="str">
        <f>IF('query (2)'!K428="","NOT_SPECIFIED",IFERROR(INDEX(Cleaning_Rules!$B$32:$B$34,MATCH(TRIM(UPPER('query (2)'!K428)),Cleaning_Rules!$A$32:$A$34,0)),"UNKNOWN"))</f>
        <v>NOT_SPECIFIED</v>
      </c>
      <c r="W428" s="24" t="str">
        <f t="shared" si="46"/>
        <v>CH-931 | FACTORY2 | SB7 | SB | ASSEMBLY | 1224-SB7AI | OTHER | TORQUE M/C | NOT_SPECIFIED</v>
      </c>
      <c r="X428" s="24" t="str">
        <f t="shared" si="47"/>
        <v/>
      </c>
      <c r="Y428" s="24" t="str">
        <f t="shared" si="48"/>
        <v>MISSING_STATUS; CATEGORY_NOT_USEFUL; MISSING_PRODUCTION_NAME</v>
      </c>
    </row>
    <row r="429" spans="1:25" x14ac:dyDescent="0.3">
      <c r="A429" s="24" t="str">
        <f t="shared" si="42"/>
        <v>CH-1013#0428</v>
      </c>
      <c r="B429" s="24" t="str">
        <f>IF('query (2)'!B429="","",TRIM(UPPER('query (2)'!B429)))</f>
        <v>CH-1013</v>
      </c>
      <c r="C429" s="25" t="str">
        <f>IF('query (2)'!B429="","",'query (2)'!B429)</f>
        <v>CH-1013</v>
      </c>
      <c r="D429" s="24" t="str">
        <f t="shared" si="43"/>
        <v>CH</v>
      </c>
      <c r="E429" s="24">
        <f t="shared" si="44"/>
        <v>1</v>
      </c>
      <c r="F429" s="24">
        <f>IF('query (2)'!A429="","",IFERROR(VALUE('query (2)'!A429),""))</f>
        <v>447</v>
      </c>
      <c r="G429" s="24" t="str">
        <f>IF('query (2)'!C429="","UNKNOWN",IFERROR(INDEX(Cleaning_Rules!$B$15:$B$20,MATCH(TRIM(UPPER('query (2)'!C429)),Cleaning_Rules!$A$15:$A$20,0)),"UNKNOWN"))</f>
        <v>FACTORY2</v>
      </c>
      <c r="H429" s="25" t="str">
        <f>IF('query (2)'!C429="","",'query (2)'!C429)</f>
        <v>FACTORY2</v>
      </c>
      <c r="I429" s="24" t="str" cm="1">
        <f t="array" ref="I429">_xlfn.IFS($G429="UNKNOWN","UNKNOWN",OR($G429="FACTORY1",$G429="FACTORY2",$G429="FACTORY3"),"PLANT",TRUE,"SHARED")</f>
        <v>PLANT</v>
      </c>
      <c r="J429" s="24" t="str">
        <f>IF('query (2)'!D429="","UNKNOWN",IF(COUNTIF(Cleaning_Rules!$A$6:$A$11,TRIM('query (2)'!D429))&gt;0,"UNKNOWN",IFERROR(INDEX(Cleaning_Rules!$B$24:$B$28,MATCH(TRIM(UPPER('query (2)'!D429)),Cleaning_Rules!$A$24:$A$28,0)),TRIM(UPPER('query (2)'!D429)))))</f>
        <v>SB7</v>
      </c>
      <c r="K429" s="25" t="str">
        <f>IF('query (2)'!D429="","",'query (2)'!D429)</f>
        <v>SB7</v>
      </c>
      <c r="L429" s="24" t="str">
        <f>IF($J429="UNKNOWN","",_xlfn.TEXTBEFORE($J429,{"0","1","2","3","4","5","6","7","8","9"," ","-","."},1,,,$J429))</f>
        <v>SB</v>
      </c>
      <c r="M429" s="24" t="str">
        <f>IF('query (2)'!I429&lt;&gt;"",TRIM(UPPER('query (2)'!I429)),IF($L429="","UNKNOWN",$L429))</f>
        <v>SB</v>
      </c>
      <c r="N429" s="24" t="str">
        <f>IF('query (2)'!I429&lt;&gt;"","SOURCE",IF($L429="","UNKNOWN","DERIVED"))</f>
        <v>SOURCE</v>
      </c>
      <c r="O429" s="24" t="str">
        <f>IF('query (2)'!E429="","NOT_SPECIFIED",TRIM(UPPER('query (2)'!E429)))</f>
        <v>ASSEMBLY</v>
      </c>
      <c r="P429" s="24" t="str">
        <f>IF('query (2)'!F429="","",TRIM(UPPER('query (2)'!F429)))</f>
        <v>1224-SB7AI</v>
      </c>
      <c r="Q429" s="24" t="str">
        <f>IF('query (2)'!G429="","UNKNOWN",IFERROR(INDEX(Cleaning_Rules!$B$38:$B$46,MATCH(TRIM(UPPER('query (2)'!G429)),Cleaning_Rules!$A$38:$A$46,0)),"UNKNOWN"))</f>
        <v>OTHER</v>
      </c>
      <c r="R429" s="24" t="str">
        <f>IF('query (2)'!H429="","",TRIM(UPPER('query (2)'!H429)))</f>
        <v>DIMENSION CHECK M/C</v>
      </c>
      <c r="S429" s="25" t="str">
        <f>IF('query (2)'!H429="","",'query (2)'!H429)</f>
        <v>Dimension check m/c</v>
      </c>
      <c r="T429" s="24" t="str">
        <f>IF('query (2)'!J429="","",TRIM(UPPER('query (2)'!J429)))</f>
        <v>OD.CHECK AUTO</v>
      </c>
      <c r="U429" s="24" t="str">
        <f t="shared" si="45"/>
        <v/>
      </c>
      <c r="V429" s="24" t="str">
        <f>IF('query (2)'!K429="","NOT_SPECIFIED",IFERROR(INDEX(Cleaning_Rules!$B$32:$B$34,MATCH(TRIM(UPPER('query (2)'!K429)),Cleaning_Rules!$A$32:$A$34,0)),"UNKNOWN"))</f>
        <v>NOT_SPECIFIED</v>
      </c>
      <c r="W429" s="24" t="str">
        <f t="shared" si="46"/>
        <v>CH-1013 | FACTORY2 | SB7 | SB | ASSEMBLY | 1224-SB7AI | OTHER | DIMENSION CHECK M/C | OD.CHECK AUTO | NOT_SPECIFIED</v>
      </c>
      <c r="X429" s="24" t="str">
        <f t="shared" si="47"/>
        <v/>
      </c>
      <c r="Y429" s="24" t="str">
        <f t="shared" si="48"/>
        <v>MISSING_STATUS; CATEGORY_NOT_USEFUL</v>
      </c>
    </row>
    <row r="430" spans="1:25" x14ac:dyDescent="0.3">
      <c r="A430" s="24" t="str">
        <f t="shared" si="42"/>
        <v>CH-1016#0429</v>
      </c>
      <c r="B430" s="24" t="str">
        <f>IF('query (2)'!B430="","",TRIM(UPPER('query (2)'!B430)))</f>
        <v>CH-1016</v>
      </c>
      <c r="C430" s="25" t="str">
        <f>IF('query (2)'!B430="","",'query (2)'!B430)</f>
        <v>CH-1016</v>
      </c>
      <c r="D430" s="24" t="str">
        <f t="shared" si="43"/>
        <v>CH</v>
      </c>
      <c r="E430" s="24">
        <f t="shared" si="44"/>
        <v>1</v>
      </c>
      <c r="F430" s="24">
        <f>IF('query (2)'!A430="","",IFERROR(VALUE('query (2)'!A430),""))</f>
        <v>448</v>
      </c>
      <c r="G430" s="24" t="str">
        <f>IF('query (2)'!C430="","UNKNOWN",IFERROR(INDEX(Cleaning_Rules!$B$15:$B$20,MATCH(TRIM(UPPER('query (2)'!C430)),Cleaning_Rules!$A$15:$A$20,0)),"UNKNOWN"))</f>
        <v>FACTORY2</v>
      </c>
      <c r="H430" s="25" t="str">
        <f>IF('query (2)'!C430="","",'query (2)'!C430)</f>
        <v>FACTORY2</v>
      </c>
      <c r="I430" s="24" t="str" cm="1">
        <f t="array" ref="I430">_xlfn.IFS($G430="UNKNOWN","UNKNOWN",OR($G430="FACTORY1",$G430="FACTORY2",$G430="FACTORY3"),"PLANT",TRUE,"SHARED")</f>
        <v>PLANT</v>
      </c>
      <c r="J430" s="24" t="str">
        <f>IF('query (2)'!D430="","UNKNOWN",IF(COUNTIF(Cleaning_Rules!$A$6:$A$11,TRIM('query (2)'!D430))&gt;0,"UNKNOWN",IFERROR(INDEX(Cleaning_Rules!$B$24:$B$28,MATCH(TRIM(UPPER('query (2)'!D430)),Cleaning_Rules!$A$24:$A$28,0)),TRIM(UPPER('query (2)'!D430)))))</f>
        <v>SB7</v>
      </c>
      <c r="K430" s="25" t="str">
        <f>IF('query (2)'!D430="","",'query (2)'!D430)</f>
        <v>SB7</v>
      </c>
      <c r="L430" s="24" t="str">
        <f>IF($J430="UNKNOWN","",_xlfn.TEXTBEFORE($J430,{"0","1","2","3","4","5","6","7","8","9"," ","-","."},1,,,$J430))</f>
        <v>SB</v>
      </c>
      <c r="M430" s="24" t="str">
        <f>IF('query (2)'!I430&lt;&gt;"",TRIM(UPPER('query (2)'!I430)),IF($L430="","UNKNOWN",$L430))</f>
        <v>SB</v>
      </c>
      <c r="N430" s="24" t="str">
        <f>IF('query (2)'!I430&lt;&gt;"","SOURCE",IF($L430="","UNKNOWN","DERIVED"))</f>
        <v>SOURCE</v>
      </c>
      <c r="O430" s="24" t="str">
        <f>IF('query (2)'!E430="","NOT_SPECIFIED",TRIM(UPPER('query (2)'!E430)))</f>
        <v>ASSEMBLY</v>
      </c>
      <c r="P430" s="24" t="str">
        <f>IF('query (2)'!F430="","",TRIM(UPPER('query (2)'!F430)))</f>
        <v>1224-SB7AI</v>
      </c>
      <c r="Q430" s="24" t="str">
        <f>IF('query (2)'!G430="","UNKNOWN",IFERROR(INDEX(Cleaning_Rules!$B$38:$B$46,MATCH(TRIM(UPPER('query (2)'!G430)),Cleaning_Rules!$A$38:$A$46,0)),"UNKNOWN"))</f>
        <v>OTHER</v>
      </c>
      <c r="R430" s="24" t="str">
        <f>IF('query (2)'!H430="","",TRIM(UPPER('query (2)'!H430)))</f>
        <v>AUTOMATION VISUAL INSPECTION M/C</v>
      </c>
      <c r="S430" s="25" t="str">
        <f>IF('query (2)'!H430="","",'query (2)'!H430)</f>
        <v>Automation visual inspection m/c</v>
      </c>
      <c r="T430" s="24" t="str">
        <f>IF('query (2)'!J430="","",TRIM(UPPER('query (2)'!J430)))</f>
        <v/>
      </c>
      <c r="U430" s="24" t="str">
        <f t="shared" si="45"/>
        <v/>
      </c>
      <c r="V430" s="24" t="str">
        <f>IF('query (2)'!K430="","NOT_SPECIFIED",IFERROR(INDEX(Cleaning_Rules!$B$32:$B$34,MATCH(TRIM(UPPER('query (2)'!K430)),Cleaning_Rules!$A$32:$A$34,0)),"UNKNOWN"))</f>
        <v>NOT_SPECIFIED</v>
      </c>
      <c r="W430" s="24" t="str">
        <f t="shared" si="46"/>
        <v>CH-1016 | FACTORY2 | SB7 | SB | ASSEMBLY | 1224-SB7AI | OTHER | AUTOMATION VISUAL INSPECTION M/C | NOT_SPECIFIED</v>
      </c>
      <c r="X430" s="24" t="str">
        <f t="shared" si="47"/>
        <v/>
      </c>
      <c r="Y430" s="24" t="str">
        <f t="shared" si="48"/>
        <v>MISSING_STATUS; CATEGORY_NOT_USEFUL; MISSING_PRODUCTION_NAME</v>
      </c>
    </row>
    <row r="431" spans="1:25" x14ac:dyDescent="0.3">
      <c r="A431" s="24" t="str">
        <f t="shared" si="42"/>
        <v>GR-859#0430</v>
      </c>
      <c r="B431" s="24" t="str">
        <f>IF('query (2)'!B431="","",TRIM(UPPER('query (2)'!B431)))</f>
        <v>GR-859</v>
      </c>
      <c r="C431" s="25" t="str">
        <f>IF('query (2)'!B431="","",'query (2)'!B431)</f>
        <v>GR-859</v>
      </c>
      <c r="D431" s="24" t="str">
        <f t="shared" si="43"/>
        <v>GR</v>
      </c>
      <c r="E431" s="24">
        <f t="shared" si="44"/>
        <v>1</v>
      </c>
      <c r="F431" s="24">
        <f>IF('query (2)'!A431="","",IFERROR(VALUE('query (2)'!A431),""))</f>
        <v>449</v>
      </c>
      <c r="G431" s="24" t="str">
        <f>IF('query (2)'!C431="","UNKNOWN",IFERROR(INDEX(Cleaning_Rules!$B$15:$B$20,MATCH(TRIM(UPPER('query (2)'!C431)),Cleaning_Rules!$A$15:$A$20,0)),"UNKNOWN"))</f>
        <v>FACTORY2</v>
      </c>
      <c r="H431" s="25" t="str">
        <f>IF('query (2)'!C431="","",'query (2)'!C431)</f>
        <v>FACTORY2</v>
      </c>
      <c r="I431" s="24" t="str" cm="1">
        <f t="array" ref="I431">_xlfn.IFS($G431="UNKNOWN","UNKNOWN",OR($G431="FACTORY1",$G431="FACTORY2",$G431="FACTORY3"),"PLANT",TRUE,"SHARED")</f>
        <v>PLANT</v>
      </c>
      <c r="J431" s="24" t="str">
        <f>IF('query (2)'!D431="","UNKNOWN",IF(COUNTIF(Cleaning_Rules!$A$6:$A$11,TRIM('query (2)'!D431))&gt;0,"UNKNOWN",IFERROR(INDEX(Cleaning_Rules!$B$24:$B$28,MATCH(TRIM(UPPER('query (2)'!D431)),Cleaning_Rules!$A$24:$A$28,0)),TRIM(UPPER('query (2)'!D431)))))</f>
        <v>SB8</v>
      </c>
      <c r="K431" s="25" t="str">
        <f>IF('query (2)'!D431="","",'query (2)'!D431)</f>
        <v>SB8</v>
      </c>
      <c r="L431" s="24" t="str">
        <f>IF($J431="UNKNOWN","",_xlfn.TEXTBEFORE($J431,{"0","1","2","3","4","5","6","7","8","9"," ","-","."},1,,,$J431))</f>
        <v>SB</v>
      </c>
      <c r="M431" s="24" t="str">
        <f>IF('query (2)'!I431&lt;&gt;"",TRIM(UPPER('query (2)'!I431)),IF($L431="","UNKNOWN",$L431))</f>
        <v>SB</v>
      </c>
      <c r="N431" s="24" t="str">
        <f>IF('query (2)'!I431&lt;&gt;"","SOURCE",IF($L431="","UNKNOWN","DERIVED"))</f>
        <v>SOURCE</v>
      </c>
      <c r="O431" s="24" t="str">
        <f>IF('query (2)'!E431="","NOT_SPECIFIED",TRIM(UPPER('query (2)'!E431)))</f>
        <v>GRINDING 2</v>
      </c>
      <c r="P431" s="24" t="str">
        <f>IF('query (2)'!F431="","",TRIM(UPPER('query (2)'!F431)))</f>
        <v>1226-SB8G</v>
      </c>
      <c r="Q431" s="24" t="str">
        <f>IF('query (2)'!G431="","UNKNOWN",IFERROR(INDEX(Cleaning_Rules!$B$38:$B$46,MATCH(TRIM(UPPER('query (2)'!G431)),Cleaning_Rules!$A$38:$A$46,0)),"UNKNOWN"))</f>
        <v>OTHER</v>
      </c>
      <c r="R431" s="24" t="str">
        <f>IF('query (2)'!H431="","",TRIM(UPPER('query (2)'!H431)))</f>
        <v>OUTER RING RACEWAY GRINDING M/C</v>
      </c>
      <c r="S431" s="25" t="str">
        <f>IF('query (2)'!H431="","",'query (2)'!H431)</f>
        <v>Outer ring raceway grinding M/C</v>
      </c>
      <c r="T431" s="24" t="str">
        <f>IF('query (2)'!J431="","",TRIM(UPPER('query (2)'!J431)))</f>
        <v>A - RACEWAY GRINDING</v>
      </c>
      <c r="U431" s="24" t="str">
        <f t="shared" si="45"/>
        <v/>
      </c>
      <c r="V431" s="24" t="str">
        <f>IF('query (2)'!K431="","NOT_SPECIFIED",IFERROR(INDEX(Cleaning_Rules!$B$32:$B$34,MATCH(TRIM(UPPER('query (2)'!K431)),Cleaning_Rules!$A$32:$A$34,0)),"UNKNOWN"))</f>
        <v>NOT_SPECIFIED</v>
      </c>
      <c r="W431" s="24" t="str">
        <f t="shared" si="46"/>
        <v>GR-859 | FACTORY2 | SB8 | SB | GRINDING 2 | 1226-SB8G | OTHER | OUTER RING RACEWAY GRINDING M/C | A - RACEWAY GRINDING | NOT_SPECIFIED</v>
      </c>
      <c r="X431" s="24" t="str">
        <f t="shared" si="47"/>
        <v/>
      </c>
      <c r="Y431" s="24" t="str">
        <f t="shared" si="48"/>
        <v>MISSING_STATUS; CATEGORY_NOT_USEFUL</v>
      </c>
    </row>
    <row r="432" spans="1:25" x14ac:dyDescent="0.3">
      <c r="A432" s="24" t="str">
        <f t="shared" si="42"/>
        <v>DE-860#0431</v>
      </c>
      <c r="B432" s="24" t="str">
        <f>IF('query (2)'!B432="","",TRIM(UPPER('query (2)'!B432)))</f>
        <v>DE-860</v>
      </c>
      <c r="C432" s="25" t="str">
        <f>IF('query (2)'!B432="","",'query (2)'!B432)</f>
        <v>DE-860</v>
      </c>
      <c r="D432" s="24" t="str">
        <f t="shared" si="43"/>
        <v>DE</v>
      </c>
      <c r="E432" s="24">
        <f t="shared" si="44"/>
        <v>1</v>
      </c>
      <c r="F432" s="24">
        <f>IF('query (2)'!A432="","",IFERROR(VALUE('query (2)'!A432),""))</f>
        <v>450</v>
      </c>
      <c r="G432" s="24" t="str">
        <f>IF('query (2)'!C432="","UNKNOWN",IFERROR(INDEX(Cleaning_Rules!$B$15:$B$20,MATCH(TRIM(UPPER('query (2)'!C432)),Cleaning_Rules!$A$15:$A$20,0)),"UNKNOWN"))</f>
        <v>FACTORY2</v>
      </c>
      <c r="H432" s="25" t="str">
        <f>IF('query (2)'!C432="","",'query (2)'!C432)</f>
        <v>FACTORY2</v>
      </c>
      <c r="I432" s="24" t="str" cm="1">
        <f t="array" ref="I432">_xlfn.IFS($G432="UNKNOWN","UNKNOWN",OR($G432="FACTORY1",$G432="FACTORY2",$G432="FACTORY3"),"PLANT",TRUE,"SHARED")</f>
        <v>PLANT</v>
      </c>
      <c r="J432" s="24" t="str">
        <f>IF('query (2)'!D432="","UNKNOWN",IF(COUNTIF(Cleaning_Rules!$A$6:$A$11,TRIM('query (2)'!D432))&gt;0,"UNKNOWN",IFERROR(INDEX(Cleaning_Rules!$B$24:$B$28,MATCH(TRIM(UPPER('query (2)'!D432)),Cleaning_Rules!$A$24:$A$28,0)),TRIM(UPPER('query (2)'!D432)))))</f>
        <v>SB8</v>
      </c>
      <c r="K432" s="25" t="str">
        <f>IF('query (2)'!D432="","",'query (2)'!D432)</f>
        <v>SB8</v>
      </c>
      <c r="L432" s="24" t="str">
        <f>IF($J432="UNKNOWN","",_xlfn.TEXTBEFORE($J432,{"0","1","2","3","4","5","6","7","8","9"," ","-","."},1,,,$J432))</f>
        <v>SB</v>
      </c>
      <c r="M432" s="24" t="str">
        <f>IF('query (2)'!I432&lt;&gt;"",TRIM(UPPER('query (2)'!I432)),IF($L432="","UNKNOWN",$L432))</f>
        <v>SB</v>
      </c>
      <c r="N432" s="24" t="str">
        <f>IF('query (2)'!I432&lt;&gt;"","SOURCE",IF($L432="","UNKNOWN","DERIVED"))</f>
        <v>SOURCE</v>
      </c>
      <c r="O432" s="24" t="str">
        <f>IF('query (2)'!E432="","NOT_SPECIFIED",TRIM(UPPER('query (2)'!E432)))</f>
        <v>GRINDING 2</v>
      </c>
      <c r="P432" s="24" t="str">
        <f>IF('query (2)'!F432="","",TRIM(UPPER('query (2)'!F432)))</f>
        <v>1226-SB8G</v>
      </c>
      <c r="Q432" s="24" t="str">
        <f>IF('query (2)'!G432="","UNKNOWN",IFERROR(INDEX(Cleaning_Rules!$B$38:$B$46,MATCH(TRIM(UPPER('query (2)'!G432)),Cleaning_Rules!$A$38:$A$46,0)),"UNKNOWN"))</f>
        <v>OTHER</v>
      </c>
      <c r="R432" s="24" t="str">
        <f>IF('query (2)'!H432="","",TRIM(UPPER('query (2)'!H432)))</f>
        <v>OUTER RING DEMAGNETIZING FOR M/C</v>
      </c>
      <c r="S432" s="25" t="str">
        <f>IF('query (2)'!H432="","",'query (2)'!H432)</f>
        <v>Outer  ring Demagnetizing  for  M/C</v>
      </c>
      <c r="T432" s="24" t="str">
        <f>IF('query (2)'!J432="","",TRIM(UPPER('query (2)'!J432)))</f>
        <v>A - DEMAGNETIZING</v>
      </c>
      <c r="U432" s="24" t="str">
        <f t="shared" si="45"/>
        <v/>
      </c>
      <c r="V432" s="24" t="str">
        <f>IF('query (2)'!K432="","NOT_SPECIFIED",IFERROR(INDEX(Cleaning_Rules!$B$32:$B$34,MATCH(TRIM(UPPER('query (2)'!K432)),Cleaning_Rules!$A$32:$A$34,0)),"UNKNOWN"))</f>
        <v>NOT_SPECIFIED</v>
      </c>
      <c r="W432" s="24" t="str">
        <f t="shared" si="46"/>
        <v>DE-860 | FACTORY2 | SB8 | SB | GRINDING 2 | 1226-SB8G | OTHER | OUTER RING DEMAGNETIZING FOR M/C | A - DEMAGNETIZING | NOT_SPECIFIED</v>
      </c>
      <c r="X432" s="24" t="str">
        <f t="shared" si="47"/>
        <v/>
      </c>
      <c r="Y432" s="24" t="str">
        <f t="shared" si="48"/>
        <v>MISSING_STATUS; CATEGORY_NOT_USEFUL</v>
      </c>
    </row>
    <row r="433" spans="1:25" x14ac:dyDescent="0.3">
      <c r="A433" s="24" t="str">
        <f t="shared" si="42"/>
        <v>GR-861#0432</v>
      </c>
      <c r="B433" s="24" t="str">
        <f>IF('query (2)'!B433="","",TRIM(UPPER('query (2)'!B433)))</f>
        <v>GR-861</v>
      </c>
      <c r="C433" s="25" t="str">
        <f>IF('query (2)'!B433="","",'query (2)'!B433)</f>
        <v>GR-861</v>
      </c>
      <c r="D433" s="24" t="str">
        <f t="shared" si="43"/>
        <v>GR</v>
      </c>
      <c r="E433" s="24">
        <f t="shared" si="44"/>
        <v>1</v>
      </c>
      <c r="F433" s="24">
        <f>IF('query (2)'!A433="","",IFERROR(VALUE('query (2)'!A433),""))</f>
        <v>451</v>
      </c>
      <c r="G433" s="24" t="str">
        <f>IF('query (2)'!C433="","UNKNOWN",IFERROR(INDEX(Cleaning_Rules!$B$15:$B$20,MATCH(TRIM(UPPER('query (2)'!C433)),Cleaning_Rules!$A$15:$A$20,0)),"UNKNOWN"))</f>
        <v>FACTORY2</v>
      </c>
      <c r="H433" s="25" t="str">
        <f>IF('query (2)'!C433="","",'query (2)'!C433)</f>
        <v>FACTORY2</v>
      </c>
      <c r="I433" s="24" t="str" cm="1">
        <f t="array" ref="I433">_xlfn.IFS($G433="UNKNOWN","UNKNOWN",OR($G433="FACTORY1",$G433="FACTORY2",$G433="FACTORY3"),"PLANT",TRUE,"SHARED")</f>
        <v>PLANT</v>
      </c>
      <c r="J433" s="24" t="str">
        <f>IF('query (2)'!D433="","UNKNOWN",IF(COUNTIF(Cleaning_Rules!$A$6:$A$11,TRIM('query (2)'!D433))&gt;0,"UNKNOWN",IFERROR(INDEX(Cleaning_Rules!$B$24:$B$28,MATCH(TRIM(UPPER('query (2)'!D433)),Cleaning_Rules!$A$24:$A$28,0)),TRIM(UPPER('query (2)'!D433)))))</f>
        <v>SB8</v>
      </c>
      <c r="K433" s="25" t="str">
        <f>IF('query (2)'!D433="","",'query (2)'!D433)</f>
        <v>SB8</v>
      </c>
      <c r="L433" s="24" t="str">
        <f>IF($J433="UNKNOWN","",_xlfn.TEXTBEFORE($J433,{"0","1","2","3","4","5","6","7","8","9"," ","-","."},1,,,$J433))</f>
        <v>SB</v>
      </c>
      <c r="M433" s="24" t="str">
        <f>IF('query (2)'!I433&lt;&gt;"",TRIM(UPPER('query (2)'!I433)),IF($L433="","UNKNOWN",$L433))</f>
        <v>SB</v>
      </c>
      <c r="N433" s="24" t="str">
        <f>IF('query (2)'!I433&lt;&gt;"","SOURCE",IF($L433="","UNKNOWN","DERIVED"))</f>
        <v>SOURCE</v>
      </c>
      <c r="O433" s="24" t="str">
        <f>IF('query (2)'!E433="","NOT_SPECIFIED",TRIM(UPPER('query (2)'!E433)))</f>
        <v>GRINDING 2</v>
      </c>
      <c r="P433" s="24" t="str">
        <f>IF('query (2)'!F433="","",TRIM(UPPER('query (2)'!F433)))</f>
        <v>1226-SB8G</v>
      </c>
      <c r="Q433" s="24" t="str">
        <f>IF('query (2)'!G433="","UNKNOWN",IFERROR(INDEX(Cleaning_Rules!$B$38:$B$46,MATCH(TRIM(UPPER('query (2)'!G433)),Cleaning_Rules!$A$38:$A$46,0)),"UNKNOWN"))</f>
        <v>OTHER</v>
      </c>
      <c r="R433" s="24" t="str">
        <f>IF('query (2)'!H433="","",TRIM(UPPER('query (2)'!H433)))</f>
        <v>OUTER RING RACEWAY SUPER FINISH M/C</v>
      </c>
      <c r="S433" s="25" t="str">
        <f>IF('query (2)'!H433="","",'query (2)'!H433)</f>
        <v>Outer ring raceway super finish M/C</v>
      </c>
      <c r="T433" s="24" t="str">
        <f>IF('query (2)'!J433="","",TRIM(UPPER('query (2)'!J433)))</f>
        <v>A - RACEWAY SUPER FINISH</v>
      </c>
      <c r="U433" s="24" t="str">
        <f t="shared" si="45"/>
        <v/>
      </c>
      <c r="V433" s="24" t="str">
        <f>IF('query (2)'!K433="","NOT_SPECIFIED",IFERROR(INDEX(Cleaning_Rules!$B$32:$B$34,MATCH(TRIM(UPPER('query (2)'!K433)),Cleaning_Rules!$A$32:$A$34,0)),"UNKNOWN"))</f>
        <v>NOT_SPECIFIED</v>
      </c>
      <c r="W433" s="24" t="str">
        <f t="shared" si="46"/>
        <v>GR-861 | FACTORY2 | SB8 | SB | GRINDING 2 | 1226-SB8G | OTHER | OUTER RING RACEWAY SUPER FINISH M/C | A - RACEWAY SUPER FINISH | NOT_SPECIFIED</v>
      </c>
      <c r="X433" s="24" t="str">
        <f t="shared" si="47"/>
        <v/>
      </c>
      <c r="Y433" s="24" t="str">
        <f t="shared" si="48"/>
        <v>MISSING_STATUS; CATEGORY_NOT_USEFUL</v>
      </c>
    </row>
    <row r="434" spans="1:25" x14ac:dyDescent="0.3">
      <c r="A434" s="24" t="str">
        <f t="shared" si="42"/>
        <v>GR-862#0433</v>
      </c>
      <c r="B434" s="24" t="str">
        <f>IF('query (2)'!B434="","",TRIM(UPPER('query (2)'!B434)))</f>
        <v>GR-862</v>
      </c>
      <c r="C434" s="25" t="str">
        <f>IF('query (2)'!B434="","",'query (2)'!B434)</f>
        <v>GR-862</v>
      </c>
      <c r="D434" s="24" t="str">
        <f t="shared" si="43"/>
        <v>GR</v>
      </c>
      <c r="E434" s="24">
        <f t="shared" si="44"/>
        <v>1</v>
      </c>
      <c r="F434" s="24">
        <f>IF('query (2)'!A434="","",IFERROR(VALUE('query (2)'!A434),""))</f>
        <v>452</v>
      </c>
      <c r="G434" s="24" t="str">
        <f>IF('query (2)'!C434="","UNKNOWN",IFERROR(INDEX(Cleaning_Rules!$B$15:$B$20,MATCH(TRIM(UPPER('query (2)'!C434)),Cleaning_Rules!$A$15:$A$20,0)),"UNKNOWN"))</f>
        <v>FACTORY2</v>
      </c>
      <c r="H434" s="25" t="str">
        <f>IF('query (2)'!C434="","",'query (2)'!C434)</f>
        <v>FACTORY2</v>
      </c>
      <c r="I434" s="24" t="str" cm="1">
        <f t="array" ref="I434">_xlfn.IFS($G434="UNKNOWN","UNKNOWN",OR($G434="FACTORY1",$G434="FACTORY2",$G434="FACTORY3"),"PLANT",TRUE,"SHARED")</f>
        <v>PLANT</v>
      </c>
      <c r="J434" s="24" t="str">
        <f>IF('query (2)'!D434="","UNKNOWN",IF(COUNTIF(Cleaning_Rules!$A$6:$A$11,TRIM('query (2)'!D434))&gt;0,"UNKNOWN",IFERROR(INDEX(Cleaning_Rules!$B$24:$B$28,MATCH(TRIM(UPPER('query (2)'!D434)),Cleaning_Rules!$A$24:$A$28,0)),TRIM(UPPER('query (2)'!D434)))))</f>
        <v>SB8</v>
      </c>
      <c r="K434" s="25" t="str">
        <f>IF('query (2)'!D434="","",'query (2)'!D434)</f>
        <v>SB8</v>
      </c>
      <c r="L434" s="24" t="str">
        <f>IF($J434="UNKNOWN","",_xlfn.TEXTBEFORE($J434,{"0","1","2","3","4","5","6","7","8","9"," ","-","."},1,,,$J434))</f>
        <v>SB</v>
      </c>
      <c r="M434" s="24" t="str">
        <f>IF('query (2)'!I434&lt;&gt;"",TRIM(UPPER('query (2)'!I434)),IF($L434="","UNKNOWN",$L434))</f>
        <v>SB</v>
      </c>
      <c r="N434" s="24" t="str">
        <f>IF('query (2)'!I434&lt;&gt;"","SOURCE",IF($L434="","UNKNOWN","DERIVED"))</f>
        <v>SOURCE</v>
      </c>
      <c r="O434" s="24" t="str">
        <f>IF('query (2)'!E434="","NOT_SPECIFIED",TRIM(UPPER('query (2)'!E434)))</f>
        <v>GRINDING 2</v>
      </c>
      <c r="P434" s="24" t="str">
        <f>IF('query (2)'!F434="","",TRIM(UPPER('query (2)'!F434)))</f>
        <v>1226-SB8G</v>
      </c>
      <c r="Q434" s="24" t="str">
        <f>IF('query (2)'!G434="","UNKNOWN",IFERROR(INDEX(Cleaning_Rules!$B$38:$B$46,MATCH(TRIM(UPPER('query (2)'!G434)),Cleaning_Rules!$A$38:$A$46,0)),"UNKNOWN"))</f>
        <v>OTHER</v>
      </c>
      <c r="R434" s="24" t="str">
        <f>IF('query (2)'!H434="","",TRIM(UPPER('query (2)'!H434)))</f>
        <v>INNER RING RACEWAY GRINDING M/C</v>
      </c>
      <c r="S434" s="25" t="str">
        <f>IF('query (2)'!H434="","",'query (2)'!H434)</f>
        <v>Inner ring raceway grinding M/C</v>
      </c>
      <c r="T434" s="24" t="str">
        <f>IF('query (2)'!J434="","",TRIM(UPPER('query (2)'!J434)))</f>
        <v>B - RACEWAY GRINDING</v>
      </c>
      <c r="U434" s="24" t="str">
        <f t="shared" si="45"/>
        <v/>
      </c>
      <c r="V434" s="24" t="str">
        <f>IF('query (2)'!K434="","NOT_SPECIFIED",IFERROR(INDEX(Cleaning_Rules!$B$32:$B$34,MATCH(TRIM(UPPER('query (2)'!K434)),Cleaning_Rules!$A$32:$A$34,0)),"UNKNOWN"))</f>
        <v>NOT_SPECIFIED</v>
      </c>
      <c r="W434" s="24" t="str">
        <f t="shared" si="46"/>
        <v>GR-862 | FACTORY2 | SB8 | SB | GRINDING 2 | 1226-SB8G | OTHER | INNER RING RACEWAY GRINDING M/C | B - RACEWAY GRINDING | NOT_SPECIFIED</v>
      </c>
      <c r="X434" s="24" t="str">
        <f t="shared" si="47"/>
        <v/>
      </c>
      <c r="Y434" s="24" t="str">
        <f t="shared" si="48"/>
        <v>MISSING_STATUS; CATEGORY_NOT_USEFUL</v>
      </c>
    </row>
    <row r="435" spans="1:25" x14ac:dyDescent="0.3">
      <c r="A435" s="24" t="str">
        <f t="shared" si="42"/>
        <v>GR-863#0434</v>
      </c>
      <c r="B435" s="24" t="str">
        <f>IF('query (2)'!B435="","",TRIM(UPPER('query (2)'!B435)))</f>
        <v>GR-863</v>
      </c>
      <c r="C435" s="25" t="str">
        <f>IF('query (2)'!B435="","",'query (2)'!B435)</f>
        <v>GR-863</v>
      </c>
      <c r="D435" s="24" t="str">
        <f t="shared" si="43"/>
        <v>GR</v>
      </c>
      <c r="E435" s="24">
        <f t="shared" si="44"/>
        <v>1</v>
      </c>
      <c r="F435" s="24">
        <f>IF('query (2)'!A435="","",IFERROR(VALUE('query (2)'!A435),""))</f>
        <v>453</v>
      </c>
      <c r="G435" s="24" t="str">
        <f>IF('query (2)'!C435="","UNKNOWN",IFERROR(INDEX(Cleaning_Rules!$B$15:$B$20,MATCH(TRIM(UPPER('query (2)'!C435)),Cleaning_Rules!$A$15:$A$20,0)),"UNKNOWN"))</f>
        <v>FACTORY2</v>
      </c>
      <c r="H435" s="25" t="str">
        <f>IF('query (2)'!C435="","",'query (2)'!C435)</f>
        <v>FACTORY2</v>
      </c>
      <c r="I435" s="24" t="str" cm="1">
        <f t="array" ref="I435">_xlfn.IFS($G435="UNKNOWN","UNKNOWN",OR($G435="FACTORY1",$G435="FACTORY2",$G435="FACTORY3"),"PLANT",TRUE,"SHARED")</f>
        <v>PLANT</v>
      </c>
      <c r="J435" s="24" t="str">
        <f>IF('query (2)'!D435="","UNKNOWN",IF(COUNTIF(Cleaning_Rules!$A$6:$A$11,TRIM('query (2)'!D435))&gt;0,"UNKNOWN",IFERROR(INDEX(Cleaning_Rules!$B$24:$B$28,MATCH(TRIM(UPPER('query (2)'!D435)),Cleaning_Rules!$A$24:$A$28,0)),TRIM(UPPER('query (2)'!D435)))))</f>
        <v>SB8</v>
      </c>
      <c r="K435" s="25" t="str">
        <f>IF('query (2)'!D435="","",'query (2)'!D435)</f>
        <v>SB8</v>
      </c>
      <c r="L435" s="24" t="str">
        <f>IF($J435="UNKNOWN","",_xlfn.TEXTBEFORE($J435,{"0","1","2","3","4","5","6","7","8","9"," ","-","."},1,,,$J435))</f>
        <v>SB</v>
      </c>
      <c r="M435" s="24" t="str">
        <f>IF('query (2)'!I435&lt;&gt;"",TRIM(UPPER('query (2)'!I435)),IF($L435="","UNKNOWN",$L435))</f>
        <v>SB</v>
      </c>
      <c r="N435" s="24" t="str">
        <f>IF('query (2)'!I435&lt;&gt;"","SOURCE",IF($L435="","UNKNOWN","DERIVED"))</f>
        <v>SOURCE</v>
      </c>
      <c r="O435" s="24" t="str">
        <f>IF('query (2)'!E435="","NOT_SPECIFIED",TRIM(UPPER('query (2)'!E435)))</f>
        <v>GRINDING 2</v>
      </c>
      <c r="P435" s="24" t="str">
        <f>IF('query (2)'!F435="","",TRIM(UPPER('query (2)'!F435)))</f>
        <v>1226-SB8G</v>
      </c>
      <c r="Q435" s="24" t="str">
        <f>IF('query (2)'!G435="","UNKNOWN",IFERROR(INDEX(Cleaning_Rules!$B$38:$B$46,MATCH(TRIM(UPPER('query (2)'!G435)),Cleaning_Rules!$A$38:$A$46,0)),"UNKNOWN"))</f>
        <v>OTHER</v>
      </c>
      <c r="R435" s="24" t="str">
        <f>IF('query (2)'!H435="","",TRIM(UPPER('query (2)'!H435)))</f>
        <v>INNER RING BORE GRINDING M/C</v>
      </c>
      <c r="S435" s="25" t="str">
        <f>IF('query (2)'!H435="","",'query (2)'!H435)</f>
        <v>Inner ring bore grinding M/C</v>
      </c>
      <c r="T435" s="24" t="str">
        <f>IF('query (2)'!J435="","",TRIM(UPPER('query (2)'!J435)))</f>
        <v>B - BORE GRINDING</v>
      </c>
      <c r="U435" s="24" t="str">
        <f t="shared" si="45"/>
        <v/>
      </c>
      <c r="V435" s="24" t="str">
        <f>IF('query (2)'!K435="","NOT_SPECIFIED",IFERROR(INDEX(Cleaning_Rules!$B$32:$B$34,MATCH(TRIM(UPPER('query (2)'!K435)),Cleaning_Rules!$A$32:$A$34,0)),"UNKNOWN"))</f>
        <v>NOT_SPECIFIED</v>
      </c>
      <c r="W435" s="24" t="str">
        <f t="shared" si="46"/>
        <v>GR-863 | FACTORY2 | SB8 | SB | GRINDING 2 | 1226-SB8G | OTHER | INNER RING BORE GRINDING M/C | B - BORE GRINDING | NOT_SPECIFIED</v>
      </c>
      <c r="X435" s="24" t="str">
        <f t="shared" si="47"/>
        <v/>
      </c>
      <c r="Y435" s="24" t="str">
        <f t="shared" si="48"/>
        <v>MISSING_STATUS; CATEGORY_NOT_USEFUL</v>
      </c>
    </row>
    <row r="436" spans="1:25" x14ac:dyDescent="0.3">
      <c r="A436" s="24" t="str">
        <f t="shared" si="42"/>
        <v>DE-864#0435</v>
      </c>
      <c r="B436" s="24" t="str">
        <f>IF('query (2)'!B436="","",TRIM(UPPER('query (2)'!B436)))</f>
        <v>DE-864</v>
      </c>
      <c r="C436" s="25" t="str">
        <f>IF('query (2)'!B436="","",'query (2)'!B436)</f>
        <v>DE-864</v>
      </c>
      <c r="D436" s="24" t="str">
        <f t="shared" si="43"/>
        <v>DE</v>
      </c>
      <c r="E436" s="24">
        <f t="shared" si="44"/>
        <v>1</v>
      </c>
      <c r="F436" s="24">
        <f>IF('query (2)'!A436="","",IFERROR(VALUE('query (2)'!A436),""))</f>
        <v>454</v>
      </c>
      <c r="G436" s="24" t="str">
        <f>IF('query (2)'!C436="","UNKNOWN",IFERROR(INDEX(Cleaning_Rules!$B$15:$B$20,MATCH(TRIM(UPPER('query (2)'!C436)),Cleaning_Rules!$A$15:$A$20,0)),"UNKNOWN"))</f>
        <v>FACTORY2</v>
      </c>
      <c r="H436" s="25" t="str">
        <f>IF('query (2)'!C436="","",'query (2)'!C436)</f>
        <v>FACTORY2</v>
      </c>
      <c r="I436" s="24" t="str" cm="1">
        <f t="array" ref="I436">_xlfn.IFS($G436="UNKNOWN","UNKNOWN",OR($G436="FACTORY1",$G436="FACTORY2",$G436="FACTORY3"),"PLANT",TRUE,"SHARED")</f>
        <v>PLANT</v>
      </c>
      <c r="J436" s="24" t="str">
        <f>IF('query (2)'!D436="","UNKNOWN",IF(COUNTIF(Cleaning_Rules!$A$6:$A$11,TRIM('query (2)'!D436))&gt;0,"UNKNOWN",IFERROR(INDEX(Cleaning_Rules!$B$24:$B$28,MATCH(TRIM(UPPER('query (2)'!D436)),Cleaning_Rules!$A$24:$A$28,0)),TRIM(UPPER('query (2)'!D436)))))</f>
        <v>SB8</v>
      </c>
      <c r="K436" s="25" t="str">
        <f>IF('query (2)'!D436="","",'query (2)'!D436)</f>
        <v>SB8</v>
      </c>
      <c r="L436" s="24" t="str">
        <f>IF($J436="UNKNOWN","",_xlfn.TEXTBEFORE($J436,{"0","1","2","3","4","5","6","7","8","9"," ","-","."},1,,,$J436))</f>
        <v>SB</v>
      </c>
      <c r="M436" s="24" t="str">
        <f>IF('query (2)'!I436&lt;&gt;"",TRIM(UPPER('query (2)'!I436)),IF($L436="","UNKNOWN",$L436))</f>
        <v>SB</v>
      </c>
      <c r="N436" s="24" t="str">
        <f>IF('query (2)'!I436&lt;&gt;"","SOURCE",IF($L436="","UNKNOWN","DERIVED"))</f>
        <v>SOURCE</v>
      </c>
      <c r="O436" s="24" t="str">
        <f>IF('query (2)'!E436="","NOT_SPECIFIED",TRIM(UPPER('query (2)'!E436)))</f>
        <v>GRINDING 2</v>
      </c>
      <c r="P436" s="24" t="str">
        <f>IF('query (2)'!F436="","",TRIM(UPPER('query (2)'!F436)))</f>
        <v>1226-SB8G</v>
      </c>
      <c r="Q436" s="24" t="str">
        <f>IF('query (2)'!G436="","UNKNOWN",IFERROR(INDEX(Cleaning_Rules!$B$38:$B$46,MATCH(TRIM(UPPER('query (2)'!G436)),Cleaning_Rules!$A$38:$A$46,0)),"UNKNOWN"))</f>
        <v>OTHER</v>
      </c>
      <c r="R436" s="24" t="str">
        <f>IF('query (2)'!H436="","",TRIM(UPPER('query (2)'!H436)))</f>
        <v>INNER RING DEMAGNETIZING FOR M/C</v>
      </c>
      <c r="S436" s="25" t="str">
        <f>IF('query (2)'!H436="","",'query (2)'!H436)</f>
        <v>Inner  ring Demagnetizing for  M/C</v>
      </c>
      <c r="T436" s="24" t="str">
        <f>IF('query (2)'!J436="","",TRIM(UPPER('query (2)'!J436)))</f>
        <v>B - DEMAGNETIZING</v>
      </c>
      <c r="U436" s="24" t="str">
        <f t="shared" si="45"/>
        <v/>
      </c>
      <c r="V436" s="24" t="str">
        <f>IF('query (2)'!K436="","NOT_SPECIFIED",IFERROR(INDEX(Cleaning_Rules!$B$32:$B$34,MATCH(TRIM(UPPER('query (2)'!K436)),Cleaning_Rules!$A$32:$A$34,0)),"UNKNOWN"))</f>
        <v>NOT_SPECIFIED</v>
      </c>
      <c r="W436" s="24" t="str">
        <f t="shared" si="46"/>
        <v>DE-864 | FACTORY2 | SB8 | SB | GRINDING 2 | 1226-SB8G | OTHER | INNER RING DEMAGNETIZING FOR M/C | B - DEMAGNETIZING | NOT_SPECIFIED</v>
      </c>
      <c r="X436" s="24" t="str">
        <f t="shared" si="47"/>
        <v/>
      </c>
      <c r="Y436" s="24" t="str">
        <f t="shared" si="48"/>
        <v>MISSING_STATUS; CATEGORY_NOT_USEFUL</v>
      </c>
    </row>
    <row r="437" spans="1:25" x14ac:dyDescent="0.3">
      <c r="A437" s="24" t="str">
        <f t="shared" si="42"/>
        <v>GR-865#0436</v>
      </c>
      <c r="B437" s="24" t="str">
        <f>IF('query (2)'!B437="","",TRIM(UPPER('query (2)'!B437)))</f>
        <v>GR-865</v>
      </c>
      <c r="C437" s="25" t="str">
        <f>IF('query (2)'!B437="","",'query (2)'!B437)</f>
        <v>GR-865</v>
      </c>
      <c r="D437" s="24" t="str">
        <f t="shared" si="43"/>
        <v>GR</v>
      </c>
      <c r="E437" s="24">
        <f t="shared" si="44"/>
        <v>1</v>
      </c>
      <c r="F437" s="24">
        <f>IF('query (2)'!A437="","",IFERROR(VALUE('query (2)'!A437),""))</f>
        <v>455</v>
      </c>
      <c r="G437" s="24" t="str">
        <f>IF('query (2)'!C437="","UNKNOWN",IFERROR(INDEX(Cleaning_Rules!$B$15:$B$20,MATCH(TRIM(UPPER('query (2)'!C437)),Cleaning_Rules!$A$15:$A$20,0)),"UNKNOWN"))</f>
        <v>FACTORY2</v>
      </c>
      <c r="H437" s="25" t="str">
        <f>IF('query (2)'!C437="","",'query (2)'!C437)</f>
        <v>FACTORY2</v>
      </c>
      <c r="I437" s="24" t="str" cm="1">
        <f t="array" ref="I437">_xlfn.IFS($G437="UNKNOWN","UNKNOWN",OR($G437="FACTORY1",$G437="FACTORY2",$G437="FACTORY3"),"PLANT",TRUE,"SHARED")</f>
        <v>PLANT</v>
      </c>
      <c r="J437" s="24" t="str">
        <f>IF('query (2)'!D437="","UNKNOWN",IF(COUNTIF(Cleaning_Rules!$A$6:$A$11,TRIM('query (2)'!D437))&gt;0,"UNKNOWN",IFERROR(INDEX(Cleaning_Rules!$B$24:$B$28,MATCH(TRIM(UPPER('query (2)'!D437)),Cleaning_Rules!$A$24:$A$28,0)),TRIM(UPPER('query (2)'!D437)))))</f>
        <v>SB8</v>
      </c>
      <c r="K437" s="25" t="str">
        <f>IF('query (2)'!D437="","",'query (2)'!D437)</f>
        <v>SB8</v>
      </c>
      <c r="L437" s="24" t="str">
        <f>IF($J437="UNKNOWN","",_xlfn.TEXTBEFORE($J437,{"0","1","2","3","4","5","6","7","8","9"," ","-","."},1,,,$J437))</f>
        <v>SB</v>
      </c>
      <c r="M437" s="24" t="str">
        <f>IF('query (2)'!I437&lt;&gt;"",TRIM(UPPER('query (2)'!I437)),IF($L437="","UNKNOWN",$L437))</f>
        <v>SB</v>
      </c>
      <c r="N437" s="24" t="str">
        <f>IF('query (2)'!I437&lt;&gt;"","SOURCE",IF($L437="","UNKNOWN","DERIVED"))</f>
        <v>SOURCE</v>
      </c>
      <c r="O437" s="24" t="str">
        <f>IF('query (2)'!E437="","NOT_SPECIFIED",TRIM(UPPER('query (2)'!E437)))</f>
        <v>GRINDING 2</v>
      </c>
      <c r="P437" s="24" t="str">
        <f>IF('query (2)'!F437="","",TRIM(UPPER('query (2)'!F437)))</f>
        <v>1226-SB8G</v>
      </c>
      <c r="Q437" s="24" t="str">
        <f>IF('query (2)'!G437="","UNKNOWN",IFERROR(INDEX(Cleaning_Rules!$B$38:$B$46,MATCH(TRIM(UPPER('query (2)'!G437)),Cleaning_Rules!$A$38:$A$46,0)),"UNKNOWN"))</f>
        <v>OTHER</v>
      </c>
      <c r="R437" s="24" t="str">
        <f>IF('query (2)'!H437="","",TRIM(UPPER('query (2)'!H437)))</f>
        <v>INNER RING RACEWAY SUPER FINISH M/C</v>
      </c>
      <c r="S437" s="25" t="str">
        <f>IF('query (2)'!H437="","",'query (2)'!H437)</f>
        <v>Inner ring raceway super finish M/C</v>
      </c>
      <c r="T437" s="24" t="str">
        <f>IF('query (2)'!J437="","",TRIM(UPPER('query (2)'!J437)))</f>
        <v>B - RACEWAY SUPER FINISH</v>
      </c>
      <c r="U437" s="24" t="str">
        <f t="shared" si="45"/>
        <v/>
      </c>
      <c r="V437" s="24" t="str">
        <f>IF('query (2)'!K437="","NOT_SPECIFIED",IFERROR(INDEX(Cleaning_Rules!$B$32:$B$34,MATCH(TRIM(UPPER('query (2)'!K437)),Cleaning_Rules!$A$32:$A$34,0)),"UNKNOWN"))</f>
        <v>NOT_SPECIFIED</v>
      </c>
      <c r="W437" s="24" t="str">
        <f t="shared" si="46"/>
        <v>GR-865 | FACTORY2 | SB8 | SB | GRINDING 2 | 1226-SB8G | OTHER | INNER RING RACEWAY SUPER FINISH M/C | B - RACEWAY SUPER FINISH | NOT_SPECIFIED</v>
      </c>
      <c r="X437" s="24" t="str">
        <f t="shared" si="47"/>
        <v/>
      </c>
      <c r="Y437" s="24" t="str">
        <f t="shared" si="48"/>
        <v>MISSING_STATUS; CATEGORY_NOT_USEFUL</v>
      </c>
    </row>
    <row r="438" spans="1:25" x14ac:dyDescent="0.3">
      <c r="A438" s="24" t="str">
        <f t="shared" si="42"/>
        <v>WA-866#0437</v>
      </c>
      <c r="B438" s="24" t="str">
        <f>IF('query (2)'!B438="","",TRIM(UPPER('query (2)'!B438)))</f>
        <v>WA-866</v>
      </c>
      <c r="C438" s="25" t="str">
        <f>IF('query (2)'!B438="","",'query (2)'!B438)</f>
        <v>WA-866</v>
      </c>
      <c r="D438" s="24" t="str">
        <f t="shared" si="43"/>
        <v>WA</v>
      </c>
      <c r="E438" s="24">
        <f t="shared" si="44"/>
        <v>1</v>
      </c>
      <c r="F438" s="24">
        <f>IF('query (2)'!A438="","",IFERROR(VALUE('query (2)'!A438),""))</f>
        <v>456</v>
      </c>
      <c r="G438" s="24" t="str">
        <f>IF('query (2)'!C438="","UNKNOWN",IFERROR(INDEX(Cleaning_Rules!$B$15:$B$20,MATCH(TRIM(UPPER('query (2)'!C438)),Cleaning_Rules!$A$15:$A$20,0)),"UNKNOWN"))</f>
        <v>FACTORY2</v>
      </c>
      <c r="H438" s="25" t="str">
        <f>IF('query (2)'!C438="","",'query (2)'!C438)</f>
        <v>FACTORY2</v>
      </c>
      <c r="I438" s="24" t="str" cm="1">
        <f t="array" ref="I438">_xlfn.IFS($G438="UNKNOWN","UNKNOWN",OR($G438="FACTORY1",$G438="FACTORY2",$G438="FACTORY3"),"PLANT",TRUE,"SHARED")</f>
        <v>PLANT</v>
      </c>
      <c r="J438" s="24" t="str">
        <f>IF('query (2)'!D438="","UNKNOWN",IF(COUNTIF(Cleaning_Rules!$A$6:$A$11,TRIM('query (2)'!D438))&gt;0,"UNKNOWN",IFERROR(INDEX(Cleaning_Rules!$B$24:$B$28,MATCH(TRIM(UPPER('query (2)'!D438)),Cleaning_Rules!$A$24:$A$28,0)),TRIM(UPPER('query (2)'!D438)))))</f>
        <v>SB8</v>
      </c>
      <c r="K438" s="25" t="str">
        <f>IF('query (2)'!D438="","",'query (2)'!D438)</f>
        <v>SB8</v>
      </c>
      <c r="L438" s="24" t="str">
        <f>IF($J438="UNKNOWN","",_xlfn.TEXTBEFORE($J438,{"0","1","2","3","4","5","6","7","8","9"," ","-","."},1,,,$J438))</f>
        <v>SB</v>
      </c>
      <c r="M438" s="24" t="str">
        <f>IF('query (2)'!I438&lt;&gt;"",TRIM(UPPER('query (2)'!I438)),IF($L438="","UNKNOWN",$L438))</f>
        <v>SB</v>
      </c>
      <c r="N438" s="24" t="str">
        <f>IF('query (2)'!I438&lt;&gt;"","SOURCE",IF($L438="","UNKNOWN","DERIVED"))</f>
        <v>SOURCE</v>
      </c>
      <c r="O438" s="24" t="str">
        <f>IF('query (2)'!E438="","NOT_SPECIFIED",TRIM(UPPER('query (2)'!E438)))</f>
        <v>GRINDING 2</v>
      </c>
      <c r="P438" s="24" t="str">
        <f>IF('query (2)'!F438="","",TRIM(UPPER('query (2)'!F438)))</f>
        <v>1226-SB8G</v>
      </c>
      <c r="Q438" s="24" t="str">
        <f>IF('query (2)'!G438="","UNKNOWN",IFERROR(INDEX(Cleaning_Rules!$B$38:$B$46,MATCH(TRIM(UPPER('query (2)'!G438)),Cleaning_Rules!$A$38:$A$46,0)),"UNKNOWN"))</f>
        <v>OTHER</v>
      </c>
      <c r="R438" s="24" t="str">
        <f>IF('query (2)'!H438="","",TRIM(UPPER('query (2)'!H438)))</f>
        <v>INNER/OUTER RING PART WASH EQUIPMENT M/C</v>
      </c>
      <c r="S438" s="25" t="str">
        <f>IF('query (2)'!H438="","",'query (2)'!H438)</f>
        <v>Inner/Outer ring part wash equipment  M/C</v>
      </c>
      <c r="T438" s="24" t="str">
        <f>IF('query (2)'!J438="","",TRIM(UPPER('query (2)'!J438)))</f>
        <v>A &amp; B - PART WASH EQUIPMENT</v>
      </c>
      <c r="U438" s="24" t="str">
        <f t="shared" si="45"/>
        <v/>
      </c>
      <c r="V438" s="24" t="str">
        <f>IF('query (2)'!K438="","NOT_SPECIFIED",IFERROR(INDEX(Cleaning_Rules!$B$32:$B$34,MATCH(TRIM(UPPER('query (2)'!K438)),Cleaning_Rules!$A$32:$A$34,0)),"UNKNOWN"))</f>
        <v>NOT_SPECIFIED</v>
      </c>
      <c r="W438" s="24" t="str">
        <f t="shared" si="46"/>
        <v>WA-866 | FACTORY2 | SB8 | SB | GRINDING 2 | 1226-SB8G | OTHER | INNER/OUTER RING PART WASH EQUIPMENT M/C | A &amp; B - PART WASH EQUIPMENT | NOT_SPECIFIED</v>
      </c>
      <c r="X438" s="24" t="str">
        <f t="shared" si="47"/>
        <v/>
      </c>
      <c r="Y438" s="24" t="str">
        <f t="shared" si="48"/>
        <v>MISSING_STATUS; CATEGORY_NOT_USEFUL</v>
      </c>
    </row>
    <row r="439" spans="1:25" x14ac:dyDescent="0.3">
      <c r="A439" s="24" t="str">
        <f t="shared" si="42"/>
        <v>CH-867#0438</v>
      </c>
      <c r="B439" s="24" t="str">
        <f>IF('query (2)'!B439="","",TRIM(UPPER('query (2)'!B439)))</f>
        <v>CH-867</v>
      </c>
      <c r="C439" s="25" t="str">
        <f>IF('query (2)'!B439="","",'query (2)'!B439)</f>
        <v>CH-867</v>
      </c>
      <c r="D439" s="24" t="str">
        <f t="shared" si="43"/>
        <v>CH</v>
      </c>
      <c r="E439" s="24">
        <f t="shared" si="44"/>
        <v>1</v>
      </c>
      <c r="F439" s="24">
        <f>IF('query (2)'!A439="","",IFERROR(VALUE('query (2)'!A439),""))</f>
        <v>457</v>
      </c>
      <c r="G439" s="24" t="str">
        <f>IF('query (2)'!C439="","UNKNOWN",IFERROR(INDEX(Cleaning_Rules!$B$15:$B$20,MATCH(TRIM(UPPER('query (2)'!C439)),Cleaning_Rules!$A$15:$A$20,0)),"UNKNOWN"))</f>
        <v>FACTORY2</v>
      </c>
      <c r="H439" s="25" t="str">
        <f>IF('query (2)'!C439="","",'query (2)'!C439)</f>
        <v>FACTORY2</v>
      </c>
      <c r="I439" s="24" t="str" cm="1">
        <f t="array" ref="I439">_xlfn.IFS($G439="UNKNOWN","UNKNOWN",OR($G439="FACTORY1",$G439="FACTORY2",$G439="FACTORY3"),"PLANT",TRUE,"SHARED")</f>
        <v>PLANT</v>
      </c>
      <c r="J439" s="24" t="str">
        <f>IF('query (2)'!D439="","UNKNOWN",IF(COUNTIF(Cleaning_Rules!$A$6:$A$11,TRIM('query (2)'!D439))&gt;0,"UNKNOWN",IFERROR(INDEX(Cleaning_Rules!$B$24:$B$28,MATCH(TRIM(UPPER('query (2)'!D439)),Cleaning_Rules!$A$24:$A$28,0)),TRIM(UPPER('query (2)'!D439)))))</f>
        <v>SB8</v>
      </c>
      <c r="K439" s="25" t="str">
        <f>IF('query (2)'!D439="","",'query (2)'!D439)</f>
        <v>SB8</v>
      </c>
      <c r="L439" s="24" t="str">
        <f>IF($J439="UNKNOWN","",_xlfn.TEXTBEFORE($J439,{"0","1","2","3","4","5","6","7","8","9"," ","-","."},1,,,$J439))</f>
        <v>SB</v>
      </c>
      <c r="M439" s="24" t="str">
        <f>IF('query (2)'!I439&lt;&gt;"",TRIM(UPPER('query (2)'!I439)),IF($L439="","UNKNOWN",$L439))</f>
        <v>SB</v>
      </c>
      <c r="N439" s="24" t="str">
        <f>IF('query (2)'!I439&lt;&gt;"","SOURCE",IF($L439="","UNKNOWN","DERIVED"))</f>
        <v>SOURCE</v>
      </c>
      <c r="O439" s="24" t="str">
        <f>IF('query (2)'!E439="","NOT_SPECIFIED",TRIM(UPPER('query (2)'!E439)))</f>
        <v>ASSEMBLY</v>
      </c>
      <c r="P439" s="24" t="str">
        <f>IF('query (2)'!F439="","",TRIM(UPPER('query (2)'!F439)))</f>
        <v>1227-SB8AI</v>
      </c>
      <c r="Q439" s="24" t="str">
        <f>IF('query (2)'!G439="","UNKNOWN",IFERROR(INDEX(Cleaning_Rules!$B$38:$B$46,MATCH(TRIM(UPPER('query (2)'!G439)),Cleaning_Rules!$A$38:$A$46,0)),"UNKNOWN"))</f>
        <v>OTHER</v>
      </c>
      <c r="R439" s="24" t="str">
        <f>IF('query (2)'!H439="","",TRIM(UPPER('query (2)'!H439)))</f>
        <v>INNER/OUTER RING EDDY CURRENT TESTER M/C</v>
      </c>
      <c r="S439" s="25" t="str">
        <f>IF('query (2)'!H439="","",'query (2)'!H439)</f>
        <v>Inner/Outer ring Eddy current tester  M/C</v>
      </c>
      <c r="T439" s="24" t="str">
        <f>IF('query (2)'!J439="","",TRIM(UPPER('query (2)'!J439)))</f>
        <v>A &amp; B - E.C.T.</v>
      </c>
      <c r="U439" s="24" t="str">
        <f t="shared" si="45"/>
        <v/>
      </c>
      <c r="V439" s="24" t="str">
        <f>IF('query (2)'!K439="","NOT_SPECIFIED",IFERROR(INDEX(Cleaning_Rules!$B$32:$B$34,MATCH(TRIM(UPPER('query (2)'!K439)),Cleaning_Rules!$A$32:$A$34,0)),"UNKNOWN"))</f>
        <v>NOT_SPECIFIED</v>
      </c>
      <c r="W439" s="24" t="str">
        <f t="shared" si="46"/>
        <v>CH-867 | FACTORY2 | SB8 | SB | ASSEMBLY | 1227-SB8AI | OTHER | INNER/OUTER RING EDDY CURRENT TESTER M/C | A &amp; B - E.C.T. | NOT_SPECIFIED</v>
      </c>
      <c r="X439" s="24" t="str">
        <f t="shared" si="47"/>
        <v/>
      </c>
      <c r="Y439" s="24" t="str">
        <f t="shared" si="48"/>
        <v>MISSING_STATUS; CATEGORY_NOT_USEFUL</v>
      </c>
    </row>
    <row r="440" spans="1:25" x14ac:dyDescent="0.3">
      <c r="A440" s="24" t="str">
        <f t="shared" si="42"/>
        <v>AS-868#0439</v>
      </c>
      <c r="B440" s="24" t="str">
        <f>IF('query (2)'!B440="","",TRIM(UPPER('query (2)'!B440)))</f>
        <v>AS-868</v>
      </c>
      <c r="C440" s="25" t="str">
        <f>IF('query (2)'!B440="","",'query (2)'!B440)</f>
        <v>AS-868</v>
      </c>
      <c r="D440" s="24" t="str">
        <f t="shared" si="43"/>
        <v>AS</v>
      </c>
      <c r="E440" s="24">
        <f t="shared" si="44"/>
        <v>1</v>
      </c>
      <c r="F440" s="24">
        <f>IF('query (2)'!A440="","",IFERROR(VALUE('query (2)'!A440),""))</f>
        <v>458</v>
      </c>
      <c r="G440" s="24" t="str">
        <f>IF('query (2)'!C440="","UNKNOWN",IFERROR(INDEX(Cleaning_Rules!$B$15:$B$20,MATCH(TRIM(UPPER('query (2)'!C440)),Cleaning_Rules!$A$15:$A$20,0)),"UNKNOWN"))</f>
        <v>FACTORY2</v>
      </c>
      <c r="H440" s="25" t="str">
        <f>IF('query (2)'!C440="","",'query (2)'!C440)</f>
        <v>FACTORY2</v>
      </c>
      <c r="I440" s="24" t="str" cm="1">
        <f t="array" ref="I440">_xlfn.IFS($G440="UNKNOWN","UNKNOWN",OR($G440="FACTORY1",$G440="FACTORY2",$G440="FACTORY3"),"PLANT",TRUE,"SHARED")</f>
        <v>PLANT</v>
      </c>
      <c r="J440" s="24" t="str">
        <f>IF('query (2)'!D440="","UNKNOWN",IF(COUNTIF(Cleaning_Rules!$A$6:$A$11,TRIM('query (2)'!D440))&gt;0,"UNKNOWN",IFERROR(INDEX(Cleaning_Rules!$B$24:$B$28,MATCH(TRIM(UPPER('query (2)'!D440)),Cleaning_Rules!$A$24:$A$28,0)),TRIM(UPPER('query (2)'!D440)))))</f>
        <v>SB8</v>
      </c>
      <c r="K440" s="25" t="str">
        <f>IF('query (2)'!D440="","",'query (2)'!D440)</f>
        <v>SB8</v>
      </c>
      <c r="L440" s="24" t="str">
        <f>IF($J440="UNKNOWN","",_xlfn.TEXTBEFORE($J440,{"0","1","2","3","4","5","6","7","8","9"," ","-","."},1,,,$J440))</f>
        <v>SB</v>
      </c>
      <c r="M440" s="24" t="str">
        <f>IF('query (2)'!I440&lt;&gt;"",TRIM(UPPER('query (2)'!I440)),IF($L440="","UNKNOWN",$L440))</f>
        <v>SB</v>
      </c>
      <c r="N440" s="24" t="str">
        <f>IF('query (2)'!I440&lt;&gt;"","SOURCE",IF($L440="","UNKNOWN","DERIVED"))</f>
        <v>SOURCE</v>
      </c>
      <c r="O440" s="24" t="str">
        <f>IF('query (2)'!E440="","NOT_SPECIFIED",TRIM(UPPER('query (2)'!E440)))</f>
        <v>ASSEMBLY</v>
      </c>
      <c r="P440" s="24" t="str">
        <f>IF('query (2)'!F440="","",TRIM(UPPER('query (2)'!F440)))</f>
        <v>1227-SB8AI</v>
      </c>
      <c r="Q440" s="24" t="str">
        <f>IF('query (2)'!G440="","UNKNOWN",IFERROR(INDEX(Cleaning_Rules!$B$38:$B$46,MATCH(TRIM(UPPER('query (2)'!G440)),Cleaning_Rules!$A$38:$A$46,0)),"UNKNOWN"))</f>
        <v>OTHER</v>
      </c>
      <c r="R440" s="24" t="str">
        <f>IF('query (2)'!H440="","",TRIM(UPPER('query (2)'!H440)))</f>
        <v>AUTOMATIC MATCHING &amp; BALL FILLING M/C</v>
      </c>
      <c r="S440" s="25" t="str">
        <f>IF('query (2)'!H440="","",'query (2)'!H440)</f>
        <v>Automatic matching &amp; Ball filling  M/C</v>
      </c>
      <c r="T440" s="24" t="str">
        <f>IF('query (2)'!J440="","",TRIM(UPPER('query (2)'!J440)))</f>
        <v>MATCHING &amp; BALL FILLING</v>
      </c>
      <c r="U440" s="24" t="str">
        <f t="shared" si="45"/>
        <v/>
      </c>
      <c r="V440" s="24" t="str">
        <f>IF('query (2)'!K440="","NOT_SPECIFIED",IFERROR(INDEX(Cleaning_Rules!$B$32:$B$34,MATCH(TRIM(UPPER('query (2)'!K440)),Cleaning_Rules!$A$32:$A$34,0)),"UNKNOWN"))</f>
        <v>NOT_SPECIFIED</v>
      </c>
      <c r="W440" s="24" t="str">
        <f t="shared" si="46"/>
        <v>AS-868 | FACTORY2 | SB8 | SB | ASSEMBLY | 1227-SB8AI | OTHER | AUTOMATIC MATCHING &amp; BALL FILLING M/C | MATCHING &amp; BALL FILLING | NOT_SPECIFIED</v>
      </c>
      <c r="X440" s="24" t="str">
        <f t="shared" si="47"/>
        <v/>
      </c>
      <c r="Y440" s="24" t="str">
        <f t="shared" si="48"/>
        <v>MISSING_STATUS; CATEGORY_NOT_USEFUL</v>
      </c>
    </row>
    <row r="441" spans="1:25" x14ac:dyDescent="0.3">
      <c r="A441" s="24" t="str">
        <f t="shared" si="42"/>
        <v>AS-869#0440</v>
      </c>
      <c r="B441" s="24" t="str">
        <f>IF('query (2)'!B441="","",TRIM(UPPER('query (2)'!B441)))</f>
        <v>AS-869</v>
      </c>
      <c r="C441" s="25" t="str">
        <f>IF('query (2)'!B441="","",'query (2)'!B441)</f>
        <v>AS-869</v>
      </c>
      <c r="D441" s="24" t="str">
        <f t="shared" si="43"/>
        <v>AS</v>
      </c>
      <c r="E441" s="24">
        <f t="shared" si="44"/>
        <v>1</v>
      </c>
      <c r="F441" s="24">
        <f>IF('query (2)'!A441="","",IFERROR(VALUE('query (2)'!A441),""))</f>
        <v>459</v>
      </c>
      <c r="G441" s="24" t="str">
        <f>IF('query (2)'!C441="","UNKNOWN",IFERROR(INDEX(Cleaning_Rules!$B$15:$B$20,MATCH(TRIM(UPPER('query (2)'!C441)),Cleaning_Rules!$A$15:$A$20,0)),"UNKNOWN"))</f>
        <v>FACTORY2</v>
      </c>
      <c r="H441" s="25" t="str">
        <f>IF('query (2)'!C441="","",'query (2)'!C441)</f>
        <v>FACTORY2</v>
      </c>
      <c r="I441" s="24" t="str" cm="1">
        <f t="array" ref="I441">_xlfn.IFS($G441="UNKNOWN","UNKNOWN",OR($G441="FACTORY1",$G441="FACTORY2",$G441="FACTORY3"),"PLANT",TRUE,"SHARED")</f>
        <v>PLANT</v>
      </c>
      <c r="J441" s="24" t="str">
        <f>IF('query (2)'!D441="","UNKNOWN",IF(COUNTIF(Cleaning_Rules!$A$6:$A$11,TRIM('query (2)'!D441))&gt;0,"UNKNOWN",IFERROR(INDEX(Cleaning_Rules!$B$24:$B$28,MATCH(TRIM(UPPER('query (2)'!D441)),Cleaning_Rules!$A$24:$A$28,0)),TRIM(UPPER('query (2)'!D441)))))</f>
        <v>SB8</v>
      </c>
      <c r="K441" s="25" t="str">
        <f>IF('query (2)'!D441="","",'query (2)'!D441)</f>
        <v>SB8</v>
      </c>
      <c r="L441" s="24" t="str">
        <f>IF($J441="UNKNOWN","",_xlfn.TEXTBEFORE($J441,{"0","1","2","3","4","5","6","7","8","9"," ","-","."},1,,,$J441))</f>
        <v>SB</v>
      </c>
      <c r="M441" s="24" t="str">
        <f>IF('query (2)'!I441&lt;&gt;"",TRIM(UPPER('query (2)'!I441)),IF($L441="","UNKNOWN",$L441))</f>
        <v>SB</v>
      </c>
      <c r="N441" s="24" t="str">
        <f>IF('query (2)'!I441&lt;&gt;"","SOURCE",IF($L441="","UNKNOWN","DERIVED"))</f>
        <v>SOURCE</v>
      </c>
      <c r="O441" s="24" t="str">
        <f>IF('query (2)'!E441="","NOT_SPECIFIED",TRIM(UPPER('query (2)'!E441)))</f>
        <v>ASSEMBLY</v>
      </c>
      <c r="P441" s="24" t="str">
        <f>IF('query (2)'!F441="","",TRIM(UPPER('query (2)'!F441)))</f>
        <v>1227-SB8AI</v>
      </c>
      <c r="Q441" s="24" t="str">
        <f>IF('query (2)'!G441="","UNKNOWN",IFERROR(INDEX(Cleaning_Rules!$B$38:$B$46,MATCH(TRIM(UPPER('query (2)'!G441)),Cleaning_Rules!$A$38:$A$46,0)),"UNKNOWN"))</f>
        <v>OTHER</v>
      </c>
      <c r="R441" s="24" t="str">
        <f>IF('query (2)'!H441="","",TRIM(UPPER('query (2)'!H441)))</f>
        <v>RIVET PRESSING M/C</v>
      </c>
      <c r="S441" s="25" t="str">
        <f>IF('query (2)'!H441="","",'query (2)'!H441)</f>
        <v>Rivet  pressing  M/C</v>
      </c>
      <c r="T441" s="24" t="str">
        <f>IF('query (2)'!J441="","",TRIM(UPPER('query (2)'!J441)))</f>
        <v>RIVET PRESSING</v>
      </c>
      <c r="U441" s="24" t="str">
        <f t="shared" si="45"/>
        <v/>
      </c>
      <c r="V441" s="24" t="str">
        <f>IF('query (2)'!K441="","NOT_SPECIFIED",IFERROR(INDEX(Cleaning_Rules!$B$32:$B$34,MATCH(TRIM(UPPER('query (2)'!K441)),Cleaning_Rules!$A$32:$A$34,0)),"UNKNOWN"))</f>
        <v>NOT_SPECIFIED</v>
      </c>
      <c r="W441" s="24" t="str">
        <f t="shared" si="46"/>
        <v>AS-869 | FACTORY2 | SB8 | SB | ASSEMBLY | 1227-SB8AI | OTHER | RIVET PRESSING M/C | RIVET PRESSING | NOT_SPECIFIED</v>
      </c>
      <c r="X441" s="24" t="str">
        <f t="shared" si="47"/>
        <v/>
      </c>
      <c r="Y441" s="24" t="str">
        <f t="shared" si="48"/>
        <v>MISSING_STATUS; CATEGORY_NOT_USEFUL</v>
      </c>
    </row>
    <row r="442" spans="1:25" x14ac:dyDescent="0.3">
      <c r="A442" s="24" t="str">
        <f t="shared" si="42"/>
        <v>WA-870#0441</v>
      </c>
      <c r="B442" s="24" t="str">
        <f>IF('query (2)'!B442="","",TRIM(UPPER('query (2)'!B442)))</f>
        <v>WA-870</v>
      </c>
      <c r="C442" s="25" t="str">
        <f>IF('query (2)'!B442="","",'query (2)'!B442)</f>
        <v>WA-870</v>
      </c>
      <c r="D442" s="24" t="str">
        <f t="shared" si="43"/>
        <v>WA</v>
      </c>
      <c r="E442" s="24">
        <f t="shared" si="44"/>
        <v>1</v>
      </c>
      <c r="F442" s="24">
        <f>IF('query (2)'!A442="","",IFERROR(VALUE('query (2)'!A442),""))</f>
        <v>460</v>
      </c>
      <c r="G442" s="24" t="str">
        <f>IF('query (2)'!C442="","UNKNOWN",IFERROR(INDEX(Cleaning_Rules!$B$15:$B$20,MATCH(TRIM(UPPER('query (2)'!C442)),Cleaning_Rules!$A$15:$A$20,0)),"UNKNOWN"))</f>
        <v>FACTORY2</v>
      </c>
      <c r="H442" s="25" t="str">
        <f>IF('query (2)'!C442="","",'query (2)'!C442)</f>
        <v>FACTORY2</v>
      </c>
      <c r="I442" s="24" t="str" cm="1">
        <f t="array" ref="I442">_xlfn.IFS($G442="UNKNOWN","UNKNOWN",OR($G442="FACTORY1",$G442="FACTORY2",$G442="FACTORY3"),"PLANT",TRUE,"SHARED")</f>
        <v>PLANT</v>
      </c>
      <c r="J442" s="24" t="str">
        <f>IF('query (2)'!D442="","UNKNOWN",IF(COUNTIF(Cleaning_Rules!$A$6:$A$11,TRIM('query (2)'!D442))&gt;0,"UNKNOWN",IFERROR(INDEX(Cleaning_Rules!$B$24:$B$28,MATCH(TRIM(UPPER('query (2)'!D442)),Cleaning_Rules!$A$24:$A$28,0)),TRIM(UPPER('query (2)'!D442)))))</f>
        <v>SB8</v>
      </c>
      <c r="K442" s="25" t="str">
        <f>IF('query (2)'!D442="","",'query (2)'!D442)</f>
        <v>SB8</v>
      </c>
      <c r="L442" s="24" t="str">
        <f>IF($J442="UNKNOWN","",_xlfn.TEXTBEFORE($J442,{"0","1","2","3","4","5","6","7","8","9"," ","-","."},1,,,$J442))</f>
        <v>SB</v>
      </c>
      <c r="M442" s="24" t="str">
        <f>IF('query (2)'!I442&lt;&gt;"",TRIM(UPPER('query (2)'!I442)),IF($L442="","UNKNOWN",$L442))</f>
        <v>SB</v>
      </c>
      <c r="N442" s="24" t="str">
        <f>IF('query (2)'!I442&lt;&gt;"","SOURCE",IF($L442="","UNKNOWN","DERIVED"))</f>
        <v>SOURCE</v>
      </c>
      <c r="O442" s="24" t="str">
        <f>IF('query (2)'!E442="","NOT_SPECIFIED",TRIM(UPPER('query (2)'!E442)))</f>
        <v>ASSEMBLY</v>
      </c>
      <c r="P442" s="24" t="str">
        <f>IF('query (2)'!F442="","",TRIM(UPPER('query (2)'!F442)))</f>
        <v>1227-SB8AI</v>
      </c>
      <c r="Q442" s="24" t="str">
        <f>IF('query (2)'!G442="","UNKNOWN",IFERROR(INDEX(Cleaning_Rules!$B$38:$B$46,MATCH(TRIM(UPPER('query (2)'!G442)),Cleaning_Rules!$A$38:$A$46,0)),"UNKNOWN"))</f>
        <v>OTHER</v>
      </c>
      <c r="R442" s="24" t="str">
        <f>IF('query (2)'!H442="","",TRIM(UPPER('query (2)'!H442)))</f>
        <v>ROUGH WASH EQUIPMENT M/C</v>
      </c>
      <c r="S442" s="25" t="str">
        <f>IF('query (2)'!H442="","",'query (2)'!H442)</f>
        <v>Rough wash equipment  M/C</v>
      </c>
      <c r="T442" s="24" t="str">
        <f>IF('query (2)'!J442="","",TRIM(UPPER('query (2)'!J442)))</f>
        <v/>
      </c>
      <c r="U442" s="24" t="str">
        <f t="shared" si="45"/>
        <v/>
      </c>
      <c r="V442" s="24" t="str">
        <f>IF('query (2)'!K442="","NOT_SPECIFIED",IFERROR(INDEX(Cleaning_Rules!$B$32:$B$34,MATCH(TRIM(UPPER('query (2)'!K442)),Cleaning_Rules!$A$32:$A$34,0)),"UNKNOWN"))</f>
        <v>NOT_SPECIFIED</v>
      </c>
      <c r="W442" s="24" t="str">
        <f t="shared" si="46"/>
        <v>WA-870 | FACTORY2 | SB8 | SB | ASSEMBLY | 1227-SB8AI | OTHER | ROUGH WASH EQUIPMENT M/C | NOT_SPECIFIED</v>
      </c>
      <c r="X442" s="24" t="str">
        <f t="shared" si="47"/>
        <v/>
      </c>
      <c r="Y442" s="24" t="str">
        <f t="shared" si="48"/>
        <v>MISSING_STATUS; CATEGORY_NOT_USEFUL; MISSING_PRODUCTION_NAME</v>
      </c>
    </row>
    <row r="443" spans="1:25" x14ac:dyDescent="0.3">
      <c r="A443" s="24" t="str">
        <f t="shared" si="42"/>
        <v>CH-871#0442</v>
      </c>
      <c r="B443" s="24" t="str">
        <f>IF('query (2)'!B443="","",TRIM(UPPER('query (2)'!B443)))</f>
        <v>CH-871</v>
      </c>
      <c r="C443" s="25" t="str">
        <f>IF('query (2)'!B443="","",'query (2)'!B443)</f>
        <v>CH-871</v>
      </c>
      <c r="D443" s="24" t="str">
        <f t="shared" si="43"/>
        <v>CH</v>
      </c>
      <c r="E443" s="24">
        <f t="shared" si="44"/>
        <v>1</v>
      </c>
      <c r="F443" s="24">
        <f>IF('query (2)'!A443="","",IFERROR(VALUE('query (2)'!A443),""))</f>
        <v>461</v>
      </c>
      <c r="G443" s="24" t="str">
        <f>IF('query (2)'!C443="","UNKNOWN",IFERROR(INDEX(Cleaning_Rules!$B$15:$B$20,MATCH(TRIM(UPPER('query (2)'!C443)),Cleaning_Rules!$A$15:$A$20,0)),"UNKNOWN"))</f>
        <v>FACTORY2</v>
      </c>
      <c r="H443" s="25" t="str">
        <f>IF('query (2)'!C443="","",'query (2)'!C443)</f>
        <v>FACTORY2</v>
      </c>
      <c r="I443" s="24" t="str" cm="1">
        <f t="array" ref="I443">_xlfn.IFS($G443="UNKNOWN","UNKNOWN",OR($G443="FACTORY1",$G443="FACTORY2",$G443="FACTORY3"),"PLANT",TRUE,"SHARED")</f>
        <v>PLANT</v>
      </c>
      <c r="J443" s="24" t="str">
        <f>IF('query (2)'!D443="","UNKNOWN",IF(COUNTIF(Cleaning_Rules!$A$6:$A$11,TRIM('query (2)'!D443))&gt;0,"UNKNOWN",IFERROR(INDEX(Cleaning_Rules!$B$24:$B$28,MATCH(TRIM(UPPER('query (2)'!D443)),Cleaning_Rules!$A$24:$A$28,0)),TRIM(UPPER('query (2)'!D443)))))</f>
        <v>SB8</v>
      </c>
      <c r="K443" s="25" t="str">
        <f>IF('query (2)'!D443="","",'query (2)'!D443)</f>
        <v>SB8</v>
      </c>
      <c r="L443" s="24" t="str">
        <f>IF($J443="UNKNOWN","",_xlfn.TEXTBEFORE($J443,{"0","1","2","3","4","5","6","7","8","9"," ","-","."},1,,,$J443))</f>
        <v>SB</v>
      </c>
      <c r="M443" s="24" t="str">
        <f>IF('query (2)'!I443&lt;&gt;"",TRIM(UPPER('query (2)'!I443)),IF($L443="","UNKNOWN",$L443))</f>
        <v>SB</v>
      </c>
      <c r="N443" s="24" t="str">
        <f>IF('query (2)'!I443&lt;&gt;"","SOURCE",IF($L443="","UNKNOWN","DERIVED"))</f>
        <v>SOURCE</v>
      </c>
      <c r="O443" s="24" t="str">
        <f>IF('query (2)'!E443="","NOT_SPECIFIED",TRIM(UPPER('query (2)'!E443)))</f>
        <v>ASSEMBLY</v>
      </c>
      <c r="P443" s="24" t="str">
        <f>IF('query (2)'!F443="","",TRIM(UPPER('query (2)'!F443)))</f>
        <v>1227-SB8AI</v>
      </c>
      <c r="Q443" s="24" t="str">
        <f>IF('query (2)'!G443="","UNKNOWN",IFERROR(INDEX(Cleaning_Rules!$B$38:$B$46,MATCH(TRIM(UPPER('query (2)'!G443)),Cleaning_Rules!$A$38:$A$46,0)),"UNKNOWN"))</f>
        <v>OTHER</v>
      </c>
      <c r="R443" s="24" t="str">
        <f>IF('query (2)'!H443="","",TRIM(UPPER('query (2)'!H443)))</f>
        <v>AUTO RADIAL CLEARANCE M/C</v>
      </c>
      <c r="S443" s="25" t="str">
        <f>IF('query (2)'!H443="","",'query (2)'!H443)</f>
        <v>Auto radial clearance M/C</v>
      </c>
      <c r="T443" s="24" t="str">
        <f>IF('query (2)'!J443="","",TRIM(UPPER('query (2)'!J443)))</f>
        <v>R/C AUTO</v>
      </c>
      <c r="U443" s="24" t="str">
        <f t="shared" si="45"/>
        <v/>
      </c>
      <c r="V443" s="24" t="str">
        <f>IF('query (2)'!K443="","NOT_SPECIFIED",IFERROR(INDEX(Cleaning_Rules!$B$32:$B$34,MATCH(TRIM(UPPER('query (2)'!K443)),Cleaning_Rules!$A$32:$A$34,0)),"UNKNOWN"))</f>
        <v>NOT_SPECIFIED</v>
      </c>
      <c r="W443" s="24" t="str">
        <f t="shared" si="46"/>
        <v>CH-871 | FACTORY2 | SB8 | SB | ASSEMBLY | 1227-SB8AI | OTHER | AUTO RADIAL CLEARANCE M/C | R/C AUTO | NOT_SPECIFIED</v>
      </c>
      <c r="X443" s="24" t="str">
        <f t="shared" si="47"/>
        <v/>
      </c>
      <c r="Y443" s="24" t="str">
        <f t="shared" si="48"/>
        <v>MISSING_STATUS; CATEGORY_NOT_USEFUL</v>
      </c>
    </row>
    <row r="444" spans="1:25" x14ac:dyDescent="0.3">
      <c r="A444" s="24" t="str">
        <f t="shared" si="42"/>
        <v>WA-872#0443</v>
      </c>
      <c r="B444" s="24" t="str">
        <f>IF('query (2)'!B444="","",TRIM(UPPER('query (2)'!B444)))</f>
        <v>WA-872</v>
      </c>
      <c r="C444" s="25" t="str">
        <f>IF('query (2)'!B444="","",'query (2)'!B444)</f>
        <v>WA-872</v>
      </c>
      <c r="D444" s="24" t="str">
        <f t="shared" si="43"/>
        <v>WA</v>
      </c>
      <c r="E444" s="24">
        <f t="shared" si="44"/>
        <v>1</v>
      </c>
      <c r="F444" s="24">
        <f>IF('query (2)'!A444="","",IFERROR(VALUE('query (2)'!A444),""))</f>
        <v>462</v>
      </c>
      <c r="G444" s="24" t="str">
        <f>IF('query (2)'!C444="","UNKNOWN",IFERROR(INDEX(Cleaning_Rules!$B$15:$B$20,MATCH(TRIM(UPPER('query (2)'!C444)),Cleaning_Rules!$A$15:$A$20,0)),"UNKNOWN"))</f>
        <v>FACTORY2</v>
      </c>
      <c r="H444" s="25" t="str">
        <f>IF('query (2)'!C444="","",'query (2)'!C444)</f>
        <v>FACTORY2</v>
      </c>
      <c r="I444" s="24" t="str" cm="1">
        <f t="array" ref="I444">_xlfn.IFS($G444="UNKNOWN","UNKNOWN",OR($G444="FACTORY1",$G444="FACTORY2",$G444="FACTORY3"),"PLANT",TRUE,"SHARED")</f>
        <v>PLANT</v>
      </c>
      <c r="J444" s="24" t="str">
        <f>IF('query (2)'!D444="","UNKNOWN",IF(COUNTIF(Cleaning_Rules!$A$6:$A$11,TRIM('query (2)'!D444))&gt;0,"UNKNOWN",IFERROR(INDEX(Cleaning_Rules!$B$24:$B$28,MATCH(TRIM(UPPER('query (2)'!D444)),Cleaning_Rules!$A$24:$A$28,0)),TRIM(UPPER('query (2)'!D444)))))</f>
        <v>SB8</v>
      </c>
      <c r="K444" s="25" t="str">
        <f>IF('query (2)'!D444="","",'query (2)'!D444)</f>
        <v>SB8</v>
      </c>
      <c r="L444" s="24" t="str">
        <f>IF($J444="UNKNOWN","",_xlfn.TEXTBEFORE($J444,{"0","1","2","3","4","5","6","7","8","9"," ","-","."},1,,,$J444))</f>
        <v>SB</v>
      </c>
      <c r="M444" s="24" t="str">
        <f>IF('query (2)'!I444&lt;&gt;"",TRIM(UPPER('query (2)'!I444)),IF($L444="","UNKNOWN",$L444))</f>
        <v>SB</v>
      </c>
      <c r="N444" s="24" t="str">
        <f>IF('query (2)'!I444&lt;&gt;"","SOURCE",IF($L444="","UNKNOWN","DERIVED"))</f>
        <v>SOURCE</v>
      </c>
      <c r="O444" s="24" t="str">
        <f>IF('query (2)'!E444="","NOT_SPECIFIED",TRIM(UPPER('query (2)'!E444)))</f>
        <v>ASSEMBLY</v>
      </c>
      <c r="P444" s="24" t="str">
        <f>IF('query (2)'!F444="","",TRIM(UPPER('query (2)'!F444)))</f>
        <v>1227-SB8AI</v>
      </c>
      <c r="Q444" s="24" t="str">
        <f>IF('query (2)'!G444="","UNKNOWN",IFERROR(INDEX(Cleaning_Rules!$B$38:$B$46,MATCH(TRIM(UPPER('query (2)'!G444)),Cleaning_Rules!$A$38:$A$46,0)),"UNKNOWN"))</f>
        <v>OTHER</v>
      </c>
      <c r="R444" s="24" t="str">
        <f>IF('query (2)'!H444="","",TRIM(UPPER('query (2)'!H444)))</f>
        <v>FINISH WASH EQUIPMENT M/C</v>
      </c>
      <c r="S444" s="25" t="str">
        <f>IF('query (2)'!H444="","",'query (2)'!H444)</f>
        <v>Finish  wash  equipment  M/C</v>
      </c>
      <c r="T444" s="24" t="str">
        <f>IF('query (2)'!J444="","",TRIM(UPPER('query (2)'!J444)))</f>
        <v>WASHING FINISH</v>
      </c>
      <c r="U444" s="24" t="str">
        <f t="shared" si="45"/>
        <v/>
      </c>
      <c r="V444" s="24" t="str">
        <f>IF('query (2)'!K444="","NOT_SPECIFIED",IFERROR(INDEX(Cleaning_Rules!$B$32:$B$34,MATCH(TRIM(UPPER('query (2)'!K444)),Cleaning_Rules!$A$32:$A$34,0)),"UNKNOWN"))</f>
        <v>NOT_SPECIFIED</v>
      </c>
      <c r="W444" s="24" t="str">
        <f t="shared" si="46"/>
        <v>WA-872 | FACTORY2 | SB8 | SB | ASSEMBLY | 1227-SB8AI | OTHER | FINISH WASH EQUIPMENT M/C | WASHING FINISH | NOT_SPECIFIED</v>
      </c>
      <c r="X444" s="24" t="str">
        <f t="shared" si="47"/>
        <v/>
      </c>
      <c r="Y444" s="24" t="str">
        <f t="shared" si="48"/>
        <v>MISSING_STATUS; CATEGORY_NOT_USEFUL</v>
      </c>
    </row>
    <row r="445" spans="1:25" x14ac:dyDescent="0.3">
      <c r="A445" s="24" t="str">
        <f t="shared" si="42"/>
        <v>CH-873#0444</v>
      </c>
      <c r="B445" s="24" t="str">
        <f>IF('query (2)'!B445="","",TRIM(UPPER('query (2)'!B445)))</f>
        <v>CH-873</v>
      </c>
      <c r="C445" s="25" t="str">
        <f>IF('query (2)'!B445="","",'query (2)'!B445)</f>
        <v>CH-873</v>
      </c>
      <c r="D445" s="24" t="str">
        <f t="shared" si="43"/>
        <v>CH</v>
      </c>
      <c r="E445" s="24">
        <f t="shared" si="44"/>
        <v>1</v>
      </c>
      <c r="F445" s="24">
        <f>IF('query (2)'!A445="","",IFERROR(VALUE('query (2)'!A445),""))</f>
        <v>463</v>
      </c>
      <c r="G445" s="24" t="str">
        <f>IF('query (2)'!C445="","UNKNOWN",IFERROR(INDEX(Cleaning_Rules!$B$15:$B$20,MATCH(TRIM(UPPER('query (2)'!C445)),Cleaning_Rules!$A$15:$A$20,0)),"UNKNOWN"))</f>
        <v>FACTORY2</v>
      </c>
      <c r="H445" s="25" t="str">
        <f>IF('query (2)'!C445="","",'query (2)'!C445)</f>
        <v>FACTORY2</v>
      </c>
      <c r="I445" s="24" t="str" cm="1">
        <f t="array" ref="I445">_xlfn.IFS($G445="UNKNOWN","UNKNOWN",OR($G445="FACTORY1",$G445="FACTORY2",$G445="FACTORY3"),"PLANT",TRUE,"SHARED")</f>
        <v>PLANT</v>
      </c>
      <c r="J445" s="24" t="str">
        <f>IF('query (2)'!D445="","UNKNOWN",IF(COUNTIF(Cleaning_Rules!$A$6:$A$11,TRIM('query (2)'!D445))&gt;0,"UNKNOWN",IFERROR(INDEX(Cleaning_Rules!$B$24:$B$28,MATCH(TRIM(UPPER('query (2)'!D445)),Cleaning_Rules!$A$24:$A$28,0)),TRIM(UPPER('query (2)'!D445)))))</f>
        <v>SB8</v>
      </c>
      <c r="K445" s="25" t="str">
        <f>IF('query (2)'!D445="","",'query (2)'!D445)</f>
        <v>SB8</v>
      </c>
      <c r="L445" s="24" t="str">
        <f>IF($J445="UNKNOWN","",_xlfn.TEXTBEFORE($J445,{"0","1","2","3","4","5","6","7","8","9"," ","-","."},1,,,$J445))</f>
        <v>SB</v>
      </c>
      <c r="M445" s="24" t="str">
        <f>IF('query (2)'!I445&lt;&gt;"",TRIM(UPPER('query (2)'!I445)),IF($L445="","UNKNOWN",$L445))</f>
        <v>SB</v>
      </c>
      <c r="N445" s="24" t="str">
        <f>IF('query (2)'!I445&lt;&gt;"","SOURCE",IF($L445="","UNKNOWN","DERIVED"))</f>
        <v>SOURCE</v>
      </c>
      <c r="O445" s="24" t="str">
        <f>IF('query (2)'!E445="","NOT_SPECIFIED",TRIM(UPPER('query (2)'!E445)))</f>
        <v>ASSEMBLY</v>
      </c>
      <c r="P445" s="24" t="str">
        <f>IF('query (2)'!F445="","",TRIM(UPPER('query (2)'!F445)))</f>
        <v>1227-SB8AI</v>
      </c>
      <c r="Q445" s="24" t="str">
        <f>IF('query (2)'!G445="","UNKNOWN",IFERROR(INDEX(Cleaning_Rules!$B$38:$B$46,MATCH(TRIM(UPPER('query (2)'!G445)),Cleaning_Rules!$A$38:$A$46,0)),"UNKNOWN"))</f>
        <v>OTHER</v>
      </c>
      <c r="R445" s="24" t="str">
        <f>IF('query (2)'!H445="","",TRIM(UPPER('query (2)'!H445)))</f>
        <v>AUTOMATIC VIBRATION TESTING M/C.</v>
      </c>
      <c r="S445" s="25" t="str">
        <f>IF('query (2)'!H445="","",'query (2)'!H445)</f>
        <v>Automatic Vibration testing M/C.</v>
      </c>
      <c r="T445" s="24" t="str">
        <f>IF('query (2)'!J445="","",TRIM(UPPER('query (2)'!J445)))</f>
        <v>VIBRATION CHECK MC</v>
      </c>
      <c r="U445" s="24" t="str">
        <f t="shared" si="45"/>
        <v/>
      </c>
      <c r="V445" s="24" t="str">
        <f>IF('query (2)'!K445="","NOT_SPECIFIED",IFERROR(INDEX(Cleaning_Rules!$B$32:$B$34,MATCH(TRIM(UPPER('query (2)'!K445)),Cleaning_Rules!$A$32:$A$34,0)),"UNKNOWN"))</f>
        <v>NOT_SPECIFIED</v>
      </c>
      <c r="W445" s="24" t="str">
        <f t="shared" si="46"/>
        <v>CH-873 | FACTORY2 | SB8 | SB | ASSEMBLY | 1227-SB8AI | OTHER | AUTOMATIC VIBRATION TESTING M/C. | VIBRATION CHECK MC | NOT_SPECIFIED</v>
      </c>
      <c r="X445" s="24" t="str">
        <f t="shared" si="47"/>
        <v/>
      </c>
      <c r="Y445" s="24" t="str">
        <f t="shared" si="48"/>
        <v>MISSING_STATUS; CATEGORY_NOT_USEFUL</v>
      </c>
    </row>
    <row r="446" spans="1:25" x14ac:dyDescent="0.3">
      <c r="A446" s="24" t="str">
        <f t="shared" si="42"/>
        <v>CH-874#0445</v>
      </c>
      <c r="B446" s="24" t="str">
        <f>IF('query (2)'!B446="","",TRIM(UPPER('query (2)'!B446)))</f>
        <v>CH-874</v>
      </c>
      <c r="C446" s="25" t="str">
        <f>IF('query (2)'!B446="","",'query (2)'!B446)</f>
        <v>CH-874</v>
      </c>
      <c r="D446" s="24" t="str">
        <f t="shared" si="43"/>
        <v>CH</v>
      </c>
      <c r="E446" s="24">
        <f t="shared" si="44"/>
        <v>1</v>
      </c>
      <c r="F446" s="24">
        <f>IF('query (2)'!A446="","",IFERROR(VALUE('query (2)'!A446),""))</f>
        <v>464</v>
      </c>
      <c r="G446" s="24" t="str">
        <f>IF('query (2)'!C446="","UNKNOWN",IFERROR(INDEX(Cleaning_Rules!$B$15:$B$20,MATCH(TRIM(UPPER('query (2)'!C446)),Cleaning_Rules!$A$15:$A$20,0)),"UNKNOWN"))</f>
        <v>FACTORY2</v>
      </c>
      <c r="H446" s="25" t="str">
        <f>IF('query (2)'!C446="","",'query (2)'!C446)</f>
        <v>FACTORY2</v>
      </c>
      <c r="I446" s="24" t="str" cm="1">
        <f t="array" ref="I446">_xlfn.IFS($G446="UNKNOWN","UNKNOWN",OR($G446="FACTORY1",$G446="FACTORY2",$G446="FACTORY3"),"PLANT",TRUE,"SHARED")</f>
        <v>PLANT</v>
      </c>
      <c r="J446" s="24" t="str">
        <f>IF('query (2)'!D446="","UNKNOWN",IF(COUNTIF(Cleaning_Rules!$A$6:$A$11,TRIM('query (2)'!D446))&gt;0,"UNKNOWN",IFERROR(INDEX(Cleaning_Rules!$B$24:$B$28,MATCH(TRIM(UPPER('query (2)'!D446)),Cleaning_Rules!$A$24:$A$28,0)),TRIM(UPPER('query (2)'!D446)))))</f>
        <v>SB8</v>
      </c>
      <c r="K446" s="25" t="str">
        <f>IF('query (2)'!D446="","",'query (2)'!D446)</f>
        <v>SB8</v>
      </c>
      <c r="L446" s="24" t="str">
        <f>IF($J446="UNKNOWN","",_xlfn.TEXTBEFORE($J446,{"0","1","2","3","4","5","6","7","8","9"," ","-","."},1,,,$J446))</f>
        <v>SB</v>
      </c>
      <c r="M446" s="24" t="str">
        <f>IF('query (2)'!I446&lt;&gt;"",TRIM(UPPER('query (2)'!I446)),IF($L446="","UNKNOWN",$L446))</f>
        <v>SB</v>
      </c>
      <c r="N446" s="24" t="str">
        <f>IF('query (2)'!I446&lt;&gt;"","SOURCE",IF($L446="","UNKNOWN","DERIVED"))</f>
        <v>SOURCE</v>
      </c>
      <c r="O446" s="24" t="str">
        <f>IF('query (2)'!E446="","NOT_SPECIFIED",TRIM(UPPER('query (2)'!E446)))</f>
        <v>ASSEMBLY</v>
      </c>
      <c r="P446" s="24" t="str">
        <f>IF('query (2)'!F446="","",TRIM(UPPER('query (2)'!F446)))</f>
        <v>1227-SB8AI</v>
      </c>
      <c r="Q446" s="24" t="str">
        <f>IF('query (2)'!G446="","UNKNOWN",IFERROR(INDEX(Cleaning_Rules!$B$38:$B$46,MATCH(TRIM(UPPER('query (2)'!G446)),Cleaning_Rules!$A$38:$A$46,0)),"UNKNOWN"))</f>
        <v>OTHER</v>
      </c>
      <c r="R446" s="24" t="str">
        <f>IF('query (2)'!H446="","",TRIM(UPPER('query (2)'!H446)))</f>
        <v>NOISE MANUAL INSPECTION M/C.</v>
      </c>
      <c r="S446" s="25" t="str">
        <f>IF('query (2)'!H446="","",'query (2)'!H446)</f>
        <v>Noise manual inspection M/C.</v>
      </c>
      <c r="T446" s="24" t="str">
        <f>IF('query (2)'!J446="","",TRIM(UPPER('query (2)'!J446)))</f>
        <v>NOISE INSPECTION</v>
      </c>
      <c r="U446" s="24" t="str">
        <f t="shared" si="45"/>
        <v/>
      </c>
      <c r="V446" s="24" t="str">
        <f>IF('query (2)'!K446="","NOT_SPECIFIED",IFERROR(INDEX(Cleaning_Rules!$B$32:$B$34,MATCH(TRIM(UPPER('query (2)'!K446)),Cleaning_Rules!$A$32:$A$34,0)),"UNKNOWN"))</f>
        <v>NOT_SPECIFIED</v>
      </c>
      <c r="W446" s="24" t="str">
        <f t="shared" si="46"/>
        <v>CH-874 | FACTORY2 | SB8 | SB | ASSEMBLY | 1227-SB8AI | OTHER | NOISE MANUAL INSPECTION M/C. | NOISE INSPECTION | NOT_SPECIFIED</v>
      </c>
      <c r="X446" s="24" t="str">
        <f t="shared" si="47"/>
        <v/>
      </c>
      <c r="Y446" s="24" t="str">
        <f t="shared" si="48"/>
        <v>MISSING_STATUS; CATEGORY_NOT_USEFUL</v>
      </c>
    </row>
    <row r="447" spans="1:25" x14ac:dyDescent="0.3">
      <c r="A447" s="24" t="str">
        <f t="shared" si="42"/>
        <v>CH-875#0446</v>
      </c>
      <c r="B447" s="24" t="str">
        <f>IF('query (2)'!B447="","",TRIM(UPPER('query (2)'!B447)))</f>
        <v>CH-875</v>
      </c>
      <c r="C447" s="25" t="str">
        <f>IF('query (2)'!B447="","",'query (2)'!B447)</f>
        <v>CH-875</v>
      </c>
      <c r="D447" s="24" t="str">
        <f t="shared" si="43"/>
        <v>CH</v>
      </c>
      <c r="E447" s="24">
        <f t="shared" si="44"/>
        <v>1</v>
      </c>
      <c r="F447" s="24">
        <f>IF('query (2)'!A447="","",IFERROR(VALUE('query (2)'!A447),""))</f>
        <v>465</v>
      </c>
      <c r="G447" s="24" t="str">
        <f>IF('query (2)'!C447="","UNKNOWN",IFERROR(INDEX(Cleaning_Rules!$B$15:$B$20,MATCH(TRIM(UPPER('query (2)'!C447)),Cleaning_Rules!$A$15:$A$20,0)),"UNKNOWN"))</f>
        <v>FACTORY2</v>
      </c>
      <c r="H447" s="25" t="str">
        <f>IF('query (2)'!C447="","",'query (2)'!C447)</f>
        <v>FACTORY2</v>
      </c>
      <c r="I447" s="24" t="str" cm="1">
        <f t="array" ref="I447">_xlfn.IFS($G447="UNKNOWN","UNKNOWN",OR($G447="FACTORY1",$G447="FACTORY2",$G447="FACTORY3"),"PLANT",TRUE,"SHARED")</f>
        <v>PLANT</v>
      </c>
      <c r="J447" s="24" t="str">
        <f>IF('query (2)'!D447="","UNKNOWN",IF(COUNTIF(Cleaning_Rules!$A$6:$A$11,TRIM('query (2)'!D447))&gt;0,"UNKNOWN",IFERROR(INDEX(Cleaning_Rules!$B$24:$B$28,MATCH(TRIM(UPPER('query (2)'!D447)),Cleaning_Rules!$A$24:$A$28,0)),TRIM(UPPER('query (2)'!D447)))))</f>
        <v>SB8</v>
      </c>
      <c r="K447" s="25" t="str">
        <f>IF('query (2)'!D447="","",'query (2)'!D447)</f>
        <v>SB8</v>
      </c>
      <c r="L447" s="24" t="str">
        <f>IF($J447="UNKNOWN","",_xlfn.TEXTBEFORE($J447,{"0","1","2","3","4","5","6","7","8","9"," ","-","."},1,,,$J447))</f>
        <v>SB</v>
      </c>
      <c r="M447" s="24" t="str">
        <f>IF('query (2)'!I447&lt;&gt;"",TRIM(UPPER('query (2)'!I447)),IF($L447="","UNKNOWN",$L447))</f>
        <v>SB</v>
      </c>
      <c r="N447" s="24" t="str">
        <f>IF('query (2)'!I447&lt;&gt;"","SOURCE",IF($L447="","UNKNOWN","DERIVED"))</f>
        <v>SOURCE</v>
      </c>
      <c r="O447" s="24" t="str">
        <f>IF('query (2)'!E447="","NOT_SPECIFIED",TRIM(UPPER('query (2)'!E447)))</f>
        <v>ASSEMBLY</v>
      </c>
      <c r="P447" s="24" t="str">
        <f>IF('query (2)'!F447="","",TRIM(UPPER('query (2)'!F447)))</f>
        <v>1227-SB8AI</v>
      </c>
      <c r="Q447" s="24" t="str">
        <f>IF('query (2)'!G447="","UNKNOWN",IFERROR(INDEX(Cleaning_Rules!$B$38:$B$46,MATCH(TRIM(UPPER('query (2)'!G447)),Cleaning_Rules!$A$38:$A$46,0)),"UNKNOWN"))</f>
        <v>OTHER</v>
      </c>
      <c r="R447" s="24" t="str">
        <f>IF('query (2)'!H447="","",TRIM(UPPER('query (2)'!H447)))</f>
        <v>WEIGHT CHECKER M/C</v>
      </c>
      <c r="S447" s="25" t="str">
        <f>IF('query (2)'!H447="","",'query (2)'!H447)</f>
        <v>Weight  checker  M/C</v>
      </c>
      <c r="T447" s="24" t="str">
        <f>IF('query (2)'!J447="","",TRIM(UPPER('query (2)'!J447)))</f>
        <v>WEIGHT CHECKER</v>
      </c>
      <c r="U447" s="24" t="str">
        <f t="shared" si="45"/>
        <v/>
      </c>
      <c r="V447" s="24" t="str">
        <f>IF('query (2)'!K447="","NOT_SPECIFIED",IFERROR(INDEX(Cleaning_Rules!$B$32:$B$34,MATCH(TRIM(UPPER('query (2)'!K447)),Cleaning_Rules!$A$32:$A$34,0)),"UNKNOWN"))</f>
        <v>NOT_SPECIFIED</v>
      </c>
      <c r="W447" s="24" t="str">
        <f t="shared" si="46"/>
        <v>CH-875 | FACTORY2 | SB8 | SB | ASSEMBLY | 1227-SB8AI | OTHER | WEIGHT CHECKER M/C | WEIGHT CHECKER | NOT_SPECIFIED</v>
      </c>
      <c r="X447" s="24" t="str">
        <f t="shared" si="47"/>
        <v/>
      </c>
      <c r="Y447" s="24" t="str">
        <f t="shared" si="48"/>
        <v>MISSING_STATUS; CATEGORY_NOT_USEFUL</v>
      </c>
    </row>
    <row r="448" spans="1:25" x14ac:dyDescent="0.3">
      <c r="A448" s="24" t="str">
        <f t="shared" si="42"/>
        <v>MA-876#0447</v>
      </c>
      <c r="B448" s="24" t="str">
        <f>IF('query (2)'!B448="","",TRIM(UPPER('query (2)'!B448)))</f>
        <v>MA-876</v>
      </c>
      <c r="C448" s="25" t="str">
        <f>IF('query (2)'!B448="","",'query (2)'!B448)</f>
        <v>MA-876</v>
      </c>
      <c r="D448" s="24" t="str">
        <f t="shared" si="43"/>
        <v>MA</v>
      </c>
      <c r="E448" s="24">
        <f t="shared" si="44"/>
        <v>1</v>
      </c>
      <c r="F448" s="24">
        <f>IF('query (2)'!A448="","",IFERROR(VALUE('query (2)'!A448),""))</f>
        <v>466</v>
      </c>
      <c r="G448" s="24" t="str">
        <f>IF('query (2)'!C448="","UNKNOWN",IFERROR(INDEX(Cleaning_Rules!$B$15:$B$20,MATCH(TRIM(UPPER('query (2)'!C448)),Cleaning_Rules!$A$15:$A$20,0)),"UNKNOWN"))</f>
        <v>FACTORY2</v>
      </c>
      <c r="H448" s="25" t="str">
        <f>IF('query (2)'!C448="","",'query (2)'!C448)</f>
        <v>FACTORY2</v>
      </c>
      <c r="I448" s="24" t="str" cm="1">
        <f t="array" ref="I448">_xlfn.IFS($G448="UNKNOWN","UNKNOWN",OR($G448="FACTORY1",$G448="FACTORY2",$G448="FACTORY3"),"PLANT",TRUE,"SHARED")</f>
        <v>PLANT</v>
      </c>
      <c r="J448" s="24" t="str">
        <f>IF('query (2)'!D448="","UNKNOWN",IF(COUNTIF(Cleaning_Rules!$A$6:$A$11,TRIM('query (2)'!D448))&gt;0,"UNKNOWN",IFERROR(INDEX(Cleaning_Rules!$B$24:$B$28,MATCH(TRIM(UPPER('query (2)'!D448)),Cleaning_Rules!$A$24:$A$28,0)),TRIM(UPPER('query (2)'!D448)))))</f>
        <v>SB8</v>
      </c>
      <c r="K448" s="25" t="str">
        <f>IF('query (2)'!D448="","",'query (2)'!D448)</f>
        <v>SB8</v>
      </c>
      <c r="L448" s="24" t="str">
        <f>IF($J448="UNKNOWN","",_xlfn.TEXTBEFORE($J448,{"0","1","2","3","4","5","6","7","8","9"," ","-","."},1,,,$J448))</f>
        <v>SB</v>
      </c>
      <c r="M448" s="24" t="str">
        <f>IF('query (2)'!I448&lt;&gt;"",TRIM(UPPER('query (2)'!I448)),IF($L448="","UNKNOWN",$L448))</f>
        <v>SB</v>
      </c>
      <c r="N448" s="24" t="str">
        <f>IF('query (2)'!I448&lt;&gt;"","SOURCE",IF($L448="","UNKNOWN","DERIVED"))</f>
        <v>SOURCE</v>
      </c>
      <c r="O448" s="24" t="str">
        <f>IF('query (2)'!E448="","NOT_SPECIFIED",TRIM(UPPER('query (2)'!E448)))</f>
        <v>ASSEMBLY</v>
      </c>
      <c r="P448" s="24" t="str">
        <f>IF('query (2)'!F448="","",TRIM(UPPER('query (2)'!F448)))</f>
        <v>1227-SB8AI</v>
      </c>
      <c r="Q448" s="24" t="str">
        <f>IF('query (2)'!G448="","UNKNOWN",IFERROR(INDEX(Cleaning_Rules!$B$38:$B$46,MATCH(TRIM(UPPER('query (2)'!G448)),Cleaning_Rules!$A$38:$A$46,0)),"UNKNOWN"))</f>
        <v>OTHER</v>
      </c>
      <c r="R448" s="24" t="str">
        <f>IF('query (2)'!H448="","",TRIM(UPPER('query (2)'!H448)))</f>
        <v>LASER MARKER M/C.</v>
      </c>
      <c r="S448" s="25" t="str">
        <f>IF('query (2)'!H448="","",'query (2)'!H448)</f>
        <v>Laser marker M/C.</v>
      </c>
      <c r="T448" s="24" t="str">
        <f>IF('query (2)'!J448="","",TRIM(UPPER('query (2)'!J448)))</f>
        <v>LASER MARKING</v>
      </c>
      <c r="U448" s="24" t="str">
        <f t="shared" si="45"/>
        <v/>
      </c>
      <c r="V448" s="24" t="str">
        <f>IF('query (2)'!K448="","NOT_SPECIFIED",IFERROR(INDEX(Cleaning_Rules!$B$32:$B$34,MATCH(TRIM(UPPER('query (2)'!K448)),Cleaning_Rules!$A$32:$A$34,0)),"UNKNOWN"))</f>
        <v>NOT_SPECIFIED</v>
      </c>
      <c r="W448" s="24" t="str">
        <f t="shared" si="46"/>
        <v>MA-876 | FACTORY2 | SB8 | SB | ASSEMBLY | 1227-SB8AI | OTHER | LASER MARKER M/C. | LASER MARKING | NOT_SPECIFIED</v>
      </c>
      <c r="X448" s="24" t="str">
        <f t="shared" si="47"/>
        <v/>
      </c>
      <c r="Y448" s="24" t="str">
        <f t="shared" si="48"/>
        <v>MISSING_STATUS; CATEGORY_NOT_USEFUL</v>
      </c>
    </row>
    <row r="449" spans="1:25" x14ac:dyDescent="0.3">
      <c r="A449" s="24" t="str">
        <f t="shared" si="42"/>
        <v>AR-877#0448</v>
      </c>
      <c r="B449" s="24" t="str">
        <f>IF('query (2)'!B449="","",TRIM(UPPER('query (2)'!B449)))</f>
        <v>AR-877</v>
      </c>
      <c r="C449" s="25" t="str">
        <f>IF('query (2)'!B449="","",'query (2)'!B449)</f>
        <v>AR-877</v>
      </c>
      <c r="D449" s="24" t="str">
        <f t="shared" si="43"/>
        <v>AR</v>
      </c>
      <c r="E449" s="24">
        <f t="shared" si="44"/>
        <v>1</v>
      </c>
      <c r="F449" s="24">
        <f>IF('query (2)'!A449="","",IFERROR(VALUE('query (2)'!A449),""))</f>
        <v>467</v>
      </c>
      <c r="G449" s="24" t="str">
        <f>IF('query (2)'!C449="","UNKNOWN",IFERROR(INDEX(Cleaning_Rules!$B$15:$B$20,MATCH(TRIM(UPPER('query (2)'!C449)),Cleaning_Rules!$A$15:$A$20,0)),"UNKNOWN"))</f>
        <v>FACTORY2</v>
      </c>
      <c r="H449" s="25" t="str">
        <f>IF('query (2)'!C449="","",'query (2)'!C449)</f>
        <v>FACTORY2</v>
      </c>
      <c r="I449" s="24" t="str" cm="1">
        <f t="array" ref="I449">_xlfn.IFS($G449="UNKNOWN","UNKNOWN",OR($G449="FACTORY1",$G449="FACTORY2",$G449="FACTORY3"),"PLANT",TRUE,"SHARED")</f>
        <v>PLANT</v>
      </c>
      <c r="J449" s="24" t="str">
        <f>IF('query (2)'!D449="","UNKNOWN",IF(COUNTIF(Cleaning_Rules!$A$6:$A$11,TRIM('query (2)'!D449))&gt;0,"UNKNOWN",IFERROR(INDEX(Cleaning_Rules!$B$24:$B$28,MATCH(TRIM(UPPER('query (2)'!D449)),Cleaning_Rules!$A$24:$A$28,0)),TRIM(UPPER('query (2)'!D449)))))</f>
        <v>SB8</v>
      </c>
      <c r="K449" s="25" t="str">
        <f>IF('query (2)'!D449="","",'query (2)'!D449)</f>
        <v>SB8</v>
      </c>
      <c r="L449" s="24" t="str">
        <f>IF($J449="UNKNOWN","",_xlfn.TEXTBEFORE($J449,{"0","1","2","3","4","5","6","7","8","9"," ","-","."},1,,,$J449))</f>
        <v>SB</v>
      </c>
      <c r="M449" s="24" t="str">
        <f>IF('query (2)'!I449&lt;&gt;"",TRIM(UPPER('query (2)'!I449)),IF($L449="","UNKNOWN",$L449))</f>
        <v>SB</v>
      </c>
      <c r="N449" s="24" t="str">
        <f>IF('query (2)'!I449&lt;&gt;"","SOURCE",IF($L449="","UNKNOWN","DERIVED"))</f>
        <v>SOURCE</v>
      </c>
      <c r="O449" s="24" t="str">
        <f>IF('query (2)'!E449="","NOT_SPECIFIED",TRIM(UPPER('query (2)'!E449)))</f>
        <v>ASSEMBLY</v>
      </c>
      <c r="P449" s="24" t="str">
        <f>IF('query (2)'!F449="","",TRIM(UPPER('query (2)'!F449)))</f>
        <v>1227-SB8AI</v>
      </c>
      <c r="Q449" s="24" t="str">
        <f>IF('query (2)'!G449="","UNKNOWN",IFERROR(INDEX(Cleaning_Rules!$B$38:$B$46,MATCH(TRIM(UPPER('query (2)'!G449)),Cleaning_Rules!$A$38:$A$46,0)),"UNKNOWN"))</f>
        <v>OTHER</v>
      </c>
      <c r="R449" s="24" t="str">
        <f>IF('query (2)'!H449="","",TRIM(UPPER('query (2)'!H449)))</f>
        <v>AUTO ANTIRUST M/C.</v>
      </c>
      <c r="S449" s="25" t="str">
        <f>IF('query (2)'!H449="","",'query (2)'!H449)</f>
        <v>Auto Antirust M/C.</v>
      </c>
      <c r="T449" s="24" t="str">
        <f>IF('query (2)'!J449="","",TRIM(UPPER('query (2)'!J449)))</f>
        <v>ANTI RUST AUTO</v>
      </c>
      <c r="U449" s="24" t="str">
        <f t="shared" si="45"/>
        <v/>
      </c>
      <c r="V449" s="24" t="str">
        <f>IF('query (2)'!K449="","NOT_SPECIFIED",IFERROR(INDEX(Cleaning_Rules!$B$32:$B$34,MATCH(TRIM(UPPER('query (2)'!K449)),Cleaning_Rules!$A$32:$A$34,0)),"UNKNOWN"))</f>
        <v>NOT_SPECIFIED</v>
      </c>
      <c r="W449" s="24" t="str">
        <f t="shared" si="46"/>
        <v>AR-877 | FACTORY2 | SB8 | SB | ASSEMBLY | 1227-SB8AI | OTHER | AUTO ANTIRUST M/C. | ANTI RUST AUTO | NOT_SPECIFIED</v>
      </c>
      <c r="X449" s="24" t="str">
        <f t="shared" si="47"/>
        <v/>
      </c>
      <c r="Y449" s="24" t="str">
        <f t="shared" si="48"/>
        <v>MISSING_STATUS; CATEGORY_NOT_USEFUL</v>
      </c>
    </row>
    <row r="450" spans="1:25" x14ac:dyDescent="0.3">
      <c r="A450" s="24" t="str">
        <f t="shared" si="42"/>
        <v>CH-944#0449</v>
      </c>
      <c r="B450" s="24" t="str">
        <f>IF('query (2)'!B450="","",TRIM(UPPER('query (2)'!B450)))</f>
        <v>CH-944</v>
      </c>
      <c r="C450" s="25" t="str">
        <f>IF('query (2)'!B450="","",'query (2)'!B450)</f>
        <v>CH-944</v>
      </c>
      <c r="D450" s="24" t="str">
        <f t="shared" si="43"/>
        <v>CH</v>
      </c>
      <c r="E450" s="24">
        <f t="shared" si="44"/>
        <v>1</v>
      </c>
      <c r="F450" s="24">
        <f>IF('query (2)'!A450="","",IFERROR(VALUE('query (2)'!A450),""))</f>
        <v>468</v>
      </c>
      <c r="G450" s="24" t="str">
        <f>IF('query (2)'!C450="","UNKNOWN",IFERROR(INDEX(Cleaning_Rules!$B$15:$B$20,MATCH(TRIM(UPPER('query (2)'!C450)),Cleaning_Rules!$A$15:$A$20,0)),"UNKNOWN"))</f>
        <v>FACTORY2</v>
      </c>
      <c r="H450" s="25" t="str">
        <f>IF('query (2)'!C450="","",'query (2)'!C450)</f>
        <v>FACTORY2</v>
      </c>
      <c r="I450" s="24" t="str" cm="1">
        <f t="array" ref="I450">_xlfn.IFS($G450="UNKNOWN","UNKNOWN",OR($G450="FACTORY1",$G450="FACTORY2",$G450="FACTORY3"),"PLANT",TRUE,"SHARED")</f>
        <v>PLANT</v>
      </c>
      <c r="J450" s="24" t="str">
        <f>IF('query (2)'!D450="","UNKNOWN",IF(COUNTIF(Cleaning_Rules!$A$6:$A$11,TRIM('query (2)'!D450))&gt;0,"UNKNOWN",IFERROR(INDEX(Cleaning_Rules!$B$24:$B$28,MATCH(TRIM(UPPER('query (2)'!D450)),Cleaning_Rules!$A$24:$A$28,0)),TRIM(UPPER('query (2)'!D450)))))</f>
        <v>SB8</v>
      </c>
      <c r="K450" s="25" t="str">
        <f>IF('query (2)'!D450="","",'query (2)'!D450)</f>
        <v>SB8</v>
      </c>
      <c r="L450" s="24" t="str">
        <f>IF($J450="UNKNOWN","",_xlfn.TEXTBEFORE($J450,{"0","1","2","3","4","5","6","7","8","9"," ","-","."},1,,,$J450))</f>
        <v>SB</v>
      </c>
      <c r="M450" s="24" t="str">
        <f>IF('query (2)'!I450&lt;&gt;"",TRIM(UPPER('query (2)'!I450)),IF($L450="","UNKNOWN",$L450))</f>
        <v>SB</v>
      </c>
      <c r="N450" s="24" t="str">
        <f>IF('query (2)'!I450&lt;&gt;"","SOURCE",IF($L450="","UNKNOWN","DERIVED"))</f>
        <v>SOURCE</v>
      </c>
      <c r="O450" s="24" t="str">
        <f>IF('query (2)'!E450="","NOT_SPECIFIED",TRIM(UPPER('query (2)'!E450)))</f>
        <v>ASSEMBLY</v>
      </c>
      <c r="P450" s="24" t="str">
        <f>IF('query (2)'!F450="","",TRIM(UPPER('query (2)'!F450)))</f>
        <v>1227-SB8AI</v>
      </c>
      <c r="Q450" s="24" t="str">
        <f>IF('query (2)'!G450="","UNKNOWN",IFERROR(INDEX(Cleaning_Rules!$B$38:$B$46,MATCH(TRIM(UPPER('query (2)'!G450)),Cleaning_Rules!$A$38:$A$46,0)),"UNKNOWN"))</f>
        <v>OTHER</v>
      </c>
      <c r="R450" s="24" t="str">
        <f>IF('query (2)'!H450="","",TRIM(UPPER('query (2)'!H450)))</f>
        <v>ROTATION CHECK</v>
      </c>
      <c r="S450" s="25" t="str">
        <f>IF('query (2)'!H450="","",'query (2)'!H450)</f>
        <v>Rotation check</v>
      </c>
      <c r="T450" s="24" t="str">
        <f>IF('query (2)'!J450="","",TRIM(UPPER('query (2)'!J450)))</f>
        <v/>
      </c>
      <c r="U450" s="24" t="str">
        <f t="shared" si="45"/>
        <v/>
      </c>
      <c r="V450" s="24" t="str">
        <f>IF('query (2)'!K450="","NOT_SPECIFIED",IFERROR(INDEX(Cleaning_Rules!$B$32:$B$34,MATCH(TRIM(UPPER('query (2)'!K450)),Cleaning_Rules!$A$32:$A$34,0)),"UNKNOWN"))</f>
        <v>NOT_SPECIFIED</v>
      </c>
      <c r="W450" s="24" t="str">
        <f t="shared" si="46"/>
        <v>CH-944 | FACTORY2 | SB8 | SB | ASSEMBLY | 1227-SB8AI | OTHER | ROTATION CHECK | NOT_SPECIFIED</v>
      </c>
      <c r="X450" s="24" t="str">
        <f t="shared" si="47"/>
        <v/>
      </c>
      <c r="Y450" s="24" t="str">
        <f t="shared" si="48"/>
        <v>MISSING_STATUS; CATEGORY_NOT_USEFUL; MISSING_PRODUCTION_NAME</v>
      </c>
    </row>
    <row r="451" spans="1:25" x14ac:dyDescent="0.3">
      <c r="A451" s="24" t="str">
        <f t="shared" ref="A451:A514" si="49">IF($B451="","NO_QR#"&amp;TEXT(ROW()-1,"0000"),$B451&amp;"#"&amp;TEXT(ROW()-1,"0000"))</f>
        <v>CH-1006#0450</v>
      </c>
      <c r="B451" s="24" t="str">
        <f>IF('query (2)'!B451="","",TRIM(UPPER('query (2)'!B451)))</f>
        <v>CH-1006</v>
      </c>
      <c r="C451" s="25" t="str">
        <f>IF('query (2)'!B451="","",'query (2)'!B451)</f>
        <v>CH-1006</v>
      </c>
      <c r="D451" s="24" t="str">
        <f t="shared" ref="D451:D514" si="50">IF($B451="","",IFERROR(_xlfn.TEXTBEFORE($B451,"-"),"NO_PREFIX"))</f>
        <v>CH</v>
      </c>
      <c r="E451" s="24">
        <f t="shared" ref="E451:E514" si="51">IF($B451="","",COUNTIF($B$2:$B$974,$B451))</f>
        <v>1</v>
      </c>
      <c r="F451" s="24">
        <f>IF('query (2)'!A451="","",IFERROR(VALUE('query (2)'!A451),""))</f>
        <v>469</v>
      </c>
      <c r="G451" s="24" t="str">
        <f>IF('query (2)'!C451="","UNKNOWN",IFERROR(INDEX(Cleaning_Rules!$B$15:$B$20,MATCH(TRIM(UPPER('query (2)'!C451)),Cleaning_Rules!$A$15:$A$20,0)),"UNKNOWN"))</f>
        <v>FACTORY2</v>
      </c>
      <c r="H451" s="25" t="str">
        <f>IF('query (2)'!C451="","",'query (2)'!C451)</f>
        <v>FACTORY2</v>
      </c>
      <c r="I451" s="24" t="str" cm="1">
        <f t="array" ref="I451">_xlfn.IFS($G451="UNKNOWN","UNKNOWN",OR($G451="FACTORY1",$G451="FACTORY2",$G451="FACTORY3"),"PLANT",TRUE,"SHARED")</f>
        <v>PLANT</v>
      </c>
      <c r="J451" s="24" t="str">
        <f>IF('query (2)'!D451="","UNKNOWN",IF(COUNTIF(Cleaning_Rules!$A$6:$A$11,TRIM('query (2)'!D451))&gt;0,"UNKNOWN",IFERROR(INDEX(Cleaning_Rules!$B$24:$B$28,MATCH(TRIM(UPPER('query (2)'!D451)),Cleaning_Rules!$A$24:$A$28,0)),TRIM(UPPER('query (2)'!D451)))))</f>
        <v>SB8</v>
      </c>
      <c r="K451" s="25" t="str">
        <f>IF('query (2)'!D451="","",'query (2)'!D451)</f>
        <v>SB8</v>
      </c>
      <c r="L451" s="24" t="str">
        <f>IF($J451="UNKNOWN","",_xlfn.TEXTBEFORE($J451,{"0","1","2","3","4","5","6","7","8","9"," ","-","."},1,,,$J451))</f>
        <v>SB</v>
      </c>
      <c r="M451" s="24" t="str">
        <f>IF('query (2)'!I451&lt;&gt;"",TRIM(UPPER('query (2)'!I451)),IF($L451="","UNKNOWN",$L451))</f>
        <v>SB</v>
      </c>
      <c r="N451" s="24" t="str">
        <f>IF('query (2)'!I451&lt;&gt;"","SOURCE",IF($L451="","UNKNOWN","DERIVED"))</f>
        <v>SOURCE</v>
      </c>
      <c r="O451" s="24" t="str">
        <f>IF('query (2)'!E451="","NOT_SPECIFIED",TRIM(UPPER('query (2)'!E451)))</f>
        <v>ASSEMBLY</v>
      </c>
      <c r="P451" s="24" t="str">
        <f>IF('query (2)'!F451="","",TRIM(UPPER('query (2)'!F451)))</f>
        <v>1227-SB8AI</v>
      </c>
      <c r="Q451" s="24" t="str">
        <f>IF('query (2)'!G451="","UNKNOWN",IFERROR(INDEX(Cleaning_Rules!$B$38:$B$46,MATCH(TRIM(UPPER('query (2)'!G451)),Cleaning_Rules!$A$38:$A$46,0)),"UNKNOWN"))</f>
        <v>OTHER</v>
      </c>
      <c r="R451" s="24" t="str">
        <f>IF('query (2)'!H451="","",TRIM(UPPER('query (2)'!H451)))</f>
        <v>AUTOMATION VISUAL INSPECTION M/C</v>
      </c>
      <c r="S451" s="25" t="str">
        <f>IF('query (2)'!H451="","",'query (2)'!H451)</f>
        <v>Automation visual inspection M/C</v>
      </c>
      <c r="T451" s="24" t="str">
        <f>IF('query (2)'!J451="","",TRIM(UPPER('query (2)'!J451)))</f>
        <v/>
      </c>
      <c r="U451" s="24" t="str">
        <f t="shared" ref="U451:U514" si="52">IFERROR(IF(ISNUMBER(VALUE(MID($R451,SEARCH("(??-???)",$R451)+4,3))),MID($R451,SEARCH("(??-???)",$R451)+1,6),""),"")</f>
        <v/>
      </c>
      <c r="V451" s="24" t="str">
        <f>IF('query (2)'!K451="","NOT_SPECIFIED",IFERROR(INDEX(Cleaning_Rules!$B$32:$B$34,MATCH(TRIM(UPPER('query (2)'!K451)),Cleaning_Rules!$A$32:$A$34,0)),"UNKNOWN"))</f>
        <v>NOT_SPECIFIED</v>
      </c>
      <c r="W451" s="24" t="str">
        <f t="shared" ref="W451:W514" si="53">_xlfn.TEXTJOIN(" | ",TRUE,$B451,$G451,$J451,$M451,$O451,$P451,$Q451,$R451,$T451,$V451)</f>
        <v>CH-1006 | FACTORY2 | SB8 | SB | ASSEMBLY | 1227-SB8AI | OTHER | AUTOMATION VISUAL INSPECTION M/C | NOT_SPECIFIED</v>
      </c>
      <c r="X451" s="24" t="str">
        <f t="shared" ref="X451:X514" si="54">_xlfn.TEXTJOIN("; ",TRUE,IF($B451="","MISSING_QR",""),IF(N($E451)&gt;1,"DUPLICATE_QR",""),IF($F451="","MISSING_NO",""),IF($G451="UNKNOWN","MISSING_LOCATION",""),IF($J451="UNKNOWN","MISSING_DEPARTMENT",""),IF($N451="UNKNOWN","MISSING_SECTION",""),IF($O451="NOT_SPECIFIED","MISSING_RESPONSIBLE",""),IF($P451="","MISSING_COST_CENTER",""),IF($Q451="UNKNOWN","MISSING_CATEGORY",""),IF($R451="","MISSING_DESCRIPTION",""))</f>
        <v/>
      </c>
      <c r="Y451" s="24" t="str">
        <f t="shared" ref="Y451:Y514" si="55">_xlfn.TEXTJOIN("; ",TRUE,IF($V451="NOT_SPECIFIED","MISSING_STATUS",""),IF($Q451="OTHER","CATEGORY_NOT_USEFUL",""),IF($T451="","MISSING_PRODUCTION_NAME",""),IF($N451="DERIVED","SECTION_DERIVED",""))</f>
        <v>MISSING_STATUS; CATEGORY_NOT_USEFUL; MISSING_PRODUCTION_NAME</v>
      </c>
    </row>
    <row r="452" spans="1:25" x14ac:dyDescent="0.3">
      <c r="A452" s="24" t="str">
        <f t="shared" si="49"/>
        <v>CH-1008#0451</v>
      </c>
      <c r="B452" s="24" t="str">
        <f>IF('query (2)'!B452="","",TRIM(UPPER('query (2)'!B452)))</f>
        <v>CH-1008</v>
      </c>
      <c r="C452" s="25" t="str">
        <f>IF('query (2)'!B452="","",'query (2)'!B452)</f>
        <v>CH-1008</v>
      </c>
      <c r="D452" s="24" t="str">
        <f t="shared" si="50"/>
        <v>CH</v>
      </c>
      <c r="E452" s="24">
        <f t="shared" si="51"/>
        <v>1</v>
      </c>
      <c r="F452" s="24">
        <f>IF('query (2)'!A452="","",IFERROR(VALUE('query (2)'!A452),""))</f>
        <v>470</v>
      </c>
      <c r="G452" s="24" t="str">
        <f>IF('query (2)'!C452="","UNKNOWN",IFERROR(INDEX(Cleaning_Rules!$B$15:$B$20,MATCH(TRIM(UPPER('query (2)'!C452)),Cleaning_Rules!$A$15:$A$20,0)),"UNKNOWN"))</f>
        <v>FACTORY2</v>
      </c>
      <c r="H452" s="25" t="str">
        <f>IF('query (2)'!C452="","",'query (2)'!C452)</f>
        <v>FACTORY2</v>
      </c>
      <c r="I452" s="24" t="str" cm="1">
        <f t="array" ref="I452">_xlfn.IFS($G452="UNKNOWN","UNKNOWN",OR($G452="FACTORY1",$G452="FACTORY2",$G452="FACTORY3"),"PLANT",TRUE,"SHARED")</f>
        <v>PLANT</v>
      </c>
      <c r="J452" s="24" t="str">
        <f>IF('query (2)'!D452="","UNKNOWN",IF(COUNTIF(Cleaning_Rules!$A$6:$A$11,TRIM('query (2)'!D452))&gt;0,"UNKNOWN",IFERROR(INDEX(Cleaning_Rules!$B$24:$B$28,MATCH(TRIM(UPPER('query (2)'!D452)),Cleaning_Rules!$A$24:$A$28,0)),TRIM(UPPER('query (2)'!D452)))))</f>
        <v>SB8</v>
      </c>
      <c r="K452" s="25" t="str">
        <f>IF('query (2)'!D452="","",'query (2)'!D452)</f>
        <v>SB8</v>
      </c>
      <c r="L452" s="24" t="str">
        <f>IF($J452="UNKNOWN","",_xlfn.TEXTBEFORE($J452,{"0","1","2","3","4","5","6","7","8","9"," ","-","."},1,,,$J452))</f>
        <v>SB</v>
      </c>
      <c r="M452" s="24" t="str">
        <f>IF('query (2)'!I452&lt;&gt;"",TRIM(UPPER('query (2)'!I452)),IF($L452="","UNKNOWN",$L452))</f>
        <v>SB</v>
      </c>
      <c r="N452" s="24" t="str">
        <f>IF('query (2)'!I452&lt;&gt;"","SOURCE",IF($L452="","UNKNOWN","DERIVED"))</f>
        <v>SOURCE</v>
      </c>
      <c r="O452" s="24" t="str">
        <f>IF('query (2)'!E452="","NOT_SPECIFIED",TRIM(UPPER('query (2)'!E452)))</f>
        <v>ASSEMBLY</v>
      </c>
      <c r="P452" s="24" t="str">
        <f>IF('query (2)'!F452="","",TRIM(UPPER('query (2)'!F452)))</f>
        <v>1227-SB8AI</v>
      </c>
      <c r="Q452" s="24" t="str">
        <f>IF('query (2)'!G452="","UNKNOWN",IFERROR(INDEX(Cleaning_Rules!$B$38:$B$46,MATCH(TRIM(UPPER('query (2)'!G452)),Cleaning_Rules!$A$38:$A$46,0)),"UNKNOWN"))</f>
        <v>OTHER</v>
      </c>
      <c r="R452" s="24" t="str">
        <f>IF('query (2)'!H452="","",TRIM(UPPER('query (2)'!H452)))</f>
        <v>DIMENSION CHECK M/C</v>
      </c>
      <c r="S452" s="25" t="str">
        <f>IF('query (2)'!H452="","",'query (2)'!H452)</f>
        <v>Dimension check M/C</v>
      </c>
      <c r="T452" s="24" t="str">
        <f>IF('query (2)'!J452="","",TRIM(UPPER('query (2)'!J452)))</f>
        <v>OD.CHECK AUTO</v>
      </c>
      <c r="U452" s="24" t="str">
        <f t="shared" si="52"/>
        <v/>
      </c>
      <c r="V452" s="24" t="str">
        <f>IF('query (2)'!K452="","NOT_SPECIFIED",IFERROR(INDEX(Cleaning_Rules!$B$32:$B$34,MATCH(TRIM(UPPER('query (2)'!K452)),Cleaning_Rules!$A$32:$A$34,0)),"UNKNOWN"))</f>
        <v>NOT_SPECIFIED</v>
      </c>
      <c r="W452" s="24" t="str">
        <f t="shared" si="53"/>
        <v>CH-1008 | FACTORY2 | SB8 | SB | ASSEMBLY | 1227-SB8AI | OTHER | DIMENSION CHECK M/C | OD.CHECK AUTO | NOT_SPECIFIED</v>
      </c>
      <c r="X452" s="24" t="str">
        <f t="shared" si="54"/>
        <v/>
      </c>
      <c r="Y452" s="24" t="str">
        <f t="shared" si="55"/>
        <v>MISSING_STATUS; CATEGORY_NOT_USEFUL</v>
      </c>
    </row>
    <row r="453" spans="1:25" x14ac:dyDescent="0.3">
      <c r="A453" s="24" t="str">
        <f t="shared" si="49"/>
        <v>GR-882#0452</v>
      </c>
      <c r="B453" s="24" t="str">
        <f>IF('query (2)'!B453="","",TRIM(UPPER('query (2)'!B453)))</f>
        <v>GR-882</v>
      </c>
      <c r="C453" s="25" t="str">
        <f>IF('query (2)'!B453="","",'query (2)'!B453)</f>
        <v>GR-882</v>
      </c>
      <c r="D453" s="24" t="str">
        <f t="shared" si="50"/>
        <v>GR</v>
      </c>
      <c r="E453" s="24">
        <f t="shared" si="51"/>
        <v>1</v>
      </c>
      <c r="F453" s="24">
        <f>IF('query (2)'!A453="","",IFERROR(VALUE('query (2)'!A453),""))</f>
        <v>471</v>
      </c>
      <c r="G453" s="24" t="str">
        <f>IF('query (2)'!C453="","UNKNOWN",IFERROR(INDEX(Cleaning_Rules!$B$15:$B$20,MATCH(TRIM(UPPER('query (2)'!C453)),Cleaning_Rules!$A$15:$A$20,0)),"UNKNOWN"))</f>
        <v>FACTORY2</v>
      </c>
      <c r="H453" s="25" t="str">
        <f>IF('query (2)'!C453="","",'query (2)'!C453)</f>
        <v>FACTORY2</v>
      </c>
      <c r="I453" s="24" t="str" cm="1">
        <f t="array" ref="I453">_xlfn.IFS($G453="UNKNOWN","UNKNOWN",OR($G453="FACTORY1",$G453="FACTORY2",$G453="FACTORY3"),"PLANT",TRUE,"SHARED")</f>
        <v>PLANT</v>
      </c>
      <c r="J453" s="24" t="str">
        <f>IF('query (2)'!D453="","UNKNOWN",IF(COUNTIF(Cleaning_Rules!$A$6:$A$11,TRIM('query (2)'!D453))&gt;0,"UNKNOWN",IFERROR(INDEX(Cleaning_Rules!$B$24:$B$28,MATCH(TRIM(UPPER('query (2)'!D453)),Cleaning_Rules!$A$24:$A$28,0)),TRIM(UPPER('query (2)'!D453)))))</f>
        <v>SB9</v>
      </c>
      <c r="K453" s="25" t="str">
        <f>IF('query (2)'!D453="","",'query (2)'!D453)</f>
        <v>SB9</v>
      </c>
      <c r="L453" s="24" t="str">
        <f>IF($J453="UNKNOWN","",_xlfn.TEXTBEFORE($J453,{"0","1","2","3","4","5","6","7","8","9"," ","-","."},1,,,$J453))</f>
        <v>SB</v>
      </c>
      <c r="M453" s="24" t="str">
        <f>IF('query (2)'!I453&lt;&gt;"",TRIM(UPPER('query (2)'!I453)),IF($L453="","UNKNOWN",$L453))</f>
        <v>SB</v>
      </c>
      <c r="N453" s="24" t="str">
        <f>IF('query (2)'!I453&lt;&gt;"","SOURCE",IF($L453="","UNKNOWN","DERIVED"))</f>
        <v>SOURCE</v>
      </c>
      <c r="O453" s="24" t="str">
        <f>IF('query (2)'!E453="","NOT_SPECIFIED",TRIM(UPPER('query (2)'!E453)))</f>
        <v>GRINDING 2</v>
      </c>
      <c r="P453" s="24" t="str">
        <f>IF('query (2)'!F453="","",TRIM(UPPER('query (2)'!F453)))</f>
        <v>1229-SB9G</v>
      </c>
      <c r="Q453" s="24" t="str">
        <f>IF('query (2)'!G453="","UNKNOWN",IFERROR(INDEX(Cleaning_Rules!$B$38:$B$46,MATCH(TRIM(UPPER('query (2)'!G453)),Cleaning_Rules!$A$38:$A$46,0)),"UNKNOWN"))</f>
        <v>OTHER</v>
      </c>
      <c r="R453" s="24" t="str">
        <f>IF('query (2)'!H453="","",TRIM(UPPER('query (2)'!H453)))</f>
        <v>OUTER RING RACEWAY GRINDING M/C</v>
      </c>
      <c r="S453" s="25" t="str">
        <f>IF('query (2)'!H453="","",'query (2)'!H453)</f>
        <v>Outer ring raceway grinding M/C</v>
      </c>
      <c r="T453" s="24" t="str">
        <f>IF('query (2)'!J453="","",TRIM(UPPER('query (2)'!J453)))</f>
        <v>A - RACEWAY GRINDING</v>
      </c>
      <c r="U453" s="24" t="str">
        <f t="shared" si="52"/>
        <v/>
      </c>
      <c r="V453" s="24" t="str">
        <f>IF('query (2)'!K453="","NOT_SPECIFIED",IFERROR(INDEX(Cleaning_Rules!$B$32:$B$34,MATCH(TRIM(UPPER('query (2)'!K453)),Cleaning_Rules!$A$32:$A$34,0)),"UNKNOWN"))</f>
        <v>NOT_SPECIFIED</v>
      </c>
      <c r="W453" s="24" t="str">
        <f t="shared" si="53"/>
        <v>GR-882 | FACTORY2 | SB9 | SB | GRINDING 2 | 1229-SB9G | OTHER | OUTER RING RACEWAY GRINDING M/C | A - RACEWAY GRINDING | NOT_SPECIFIED</v>
      </c>
      <c r="X453" s="24" t="str">
        <f t="shared" si="54"/>
        <v/>
      </c>
      <c r="Y453" s="24" t="str">
        <f t="shared" si="55"/>
        <v>MISSING_STATUS; CATEGORY_NOT_USEFUL</v>
      </c>
    </row>
    <row r="454" spans="1:25" x14ac:dyDescent="0.3">
      <c r="A454" s="24" t="str">
        <f t="shared" si="49"/>
        <v>DE-883#0453</v>
      </c>
      <c r="B454" s="24" t="str">
        <f>IF('query (2)'!B454="","",TRIM(UPPER('query (2)'!B454)))</f>
        <v>DE-883</v>
      </c>
      <c r="C454" s="25" t="str">
        <f>IF('query (2)'!B454="","",'query (2)'!B454)</f>
        <v>DE-883</v>
      </c>
      <c r="D454" s="24" t="str">
        <f t="shared" si="50"/>
        <v>DE</v>
      </c>
      <c r="E454" s="24">
        <f t="shared" si="51"/>
        <v>1</v>
      </c>
      <c r="F454" s="24">
        <f>IF('query (2)'!A454="","",IFERROR(VALUE('query (2)'!A454),""))</f>
        <v>472</v>
      </c>
      <c r="G454" s="24" t="str">
        <f>IF('query (2)'!C454="","UNKNOWN",IFERROR(INDEX(Cleaning_Rules!$B$15:$B$20,MATCH(TRIM(UPPER('query (2)'!C454)),Cleaning_Rules!$A$15:$A$20,0)),"UNKNOWN"))</f>
        <v>FACTORY2</v>
      </c>
      <c r="H454" s="25" t="str">
        <f>IF('query (2)'!C454="","",'query (2)'!C454)</f>
        <v>FACTORY2</v>
      </c>
      <c r="I454" s="24" t="str" cm="1">
        <f t="array" ref="I454">_xlfn.IFS($G454="UNKNOWN","UNKNOWN",OR($G454="FACTORY1",$G454="FACTORY2",$G454="FACTORY3"),"PLANT",TRUE,"SHARED")</f>
        <v>PLANT</v>
      </c>
      <c r="J454" s="24" t="str">
        <f>IF('query (2)'!D454="","UNKNOWN",IF(COUNTIF(Cleaning_Rules!$A$6:$A$11,TRIM('query (2)'!D454))&gt;0,"UNKNOWN",IFERROR(INDEX(Cleaning_Rules!$B$24:$B$28,MATCH(TRIM(UPPER('query (2)'!D454)),Cleaning_Rules!$A$24:$A$28,0)),TRIM(UPPER('query (2)'!D454)))))</f>
        <v>SB9</v>
      </c>
      <c r="K454" s="25" t="str">
        <f>IF('query (2)'!D454="","",'query (2)'!D454)</f>
        <v>SB9</v>
      </c>
      <c r="L454" s="24" t="str">
        <f>IF($J454="UNKNOWN","",_xlfn.TEXTBEFORE($J454,{"0","1","2","3","4","5","6","7","8","9"," ","-","."},1,,,$J454))</f>
        <v>SB</v>
      </c>
      <c r="M454" s="24" t="str">
        <f>IF('query (2)'!I454&lt;&gt;"",TRIM(UPPER('query (2)'!I454)),IF($L454="","UNKNOWN",$L454))</f>
        <v>SB</v>
      </c>
      <c r="N454" s="24" t="str">
        <f>IF('query (2)'!I454&lt;&gt;"","SOURCE",IF($L454="","UNKNOWN","DERIVED"))</f>
        <v>SOURCE</v>
      </c>
      <c r="O454" s="24" t="str">
        <f>IF('query (2)'!E454="","NOT_SPECIFIED",TRIM(UPPER('query (2)'!E454)))</f>
        <v>GRINDING 2</v>
      </c>
      <c r="P454" s="24" t="str">
        <f>IF('query (2)'!F454="","",TRIM(UPPER('query (2)'!F454)))</f>
        <v>1229-SB9G</v>
      </c>
      <c r="Q454" s="24" t="str">
        <f>IF('query (2)'!G454="","UNKNOWN",IFERROR(INDEX(Cleaning_Rules!$B$38:$B$46,MATCH(TRIM(UPPER('query (2)'!G454)),Cleaning_Rules!$A$38:$A$46,0)),"UNKNOWN"))</f>
        <v>OTHER</v>
      </c>
      <c r="R454" s="24" t="str">
        <f>IF('query (2)'!H454="","",TRIM(UPPER('query (2)'!H454)))</f>
        <v>OUTER RING DEMAGNETIZING FOR M/C</v>
      </c>
      <c r="S454" s="25" t="str">
        <f>IF('query (2)'!H454="","",'query (2)'!H454)</f>
        <v>Outer  ring Demagnetizing  for  M/C</v>
      </c>
      <c r="T454" s="24" t="str">
        <f>IF('query (2)'!J454="","",TRIM(UPPER('query (2)'!J454)))</f>
        <v>A - DEMAGNETIZING</v>
      </c>
      <c r="U454" s="24" t="str">
        <f t="shared" si="52"/>
        <v/>
      </c>
      <c r="V454" s="24" t="str">
        <f>IF('query (2)'!K454="","NOT_SPECIFIED",IFERROR(INDEX(Cleaning_Rules!$B$32:$B$34,MATCH(TRIM(UPPER('query (2)'!K454)),Cleaning_Rules!$A$32:$A$34,0)),"UNKNOWN"))</f>
        <v>NOT_SPECIFIED</v>
      </c>
      <c r="W454" s="24" t="str">
        <f t="shared" si="53"/>
        <v>DE-883 | FACTORY2 | SB9 | SB | GRINDING 2 | 1229-SB9G | OTHER | OUTER RING DEMAGNETIZING FOR M/C | A - DEMAGNETIZING | NOT_SPECIFIED</v>
      </c>
      <c r="X454" s="24" t="str">
        <f t="shared" si="54"/>
        <v/>
      </c>
      <c r="Y454" s="24" t="str">
        <f t="shared" si="55"/>
        <v>MISSING_STATUS; CATEGORY_NOT_USEFUL</v>
      </c>
    </row>
    <row r="455" spans="1:25" x14ac:dyDescent="0.3">
      <c r="A455" s="24" t="str">
        <f t="shared" si="49"/>
        <v>GR-884#0454</v>
      </c>
      <c r="B455" s="24" t="str">
        <f>IF('query (2)'!B455="","",TRIM(UPPER('query (2)'!B455)))</f>
        <v>GR-884</v>
      </c>
      <c r="C455" s="25" t="str">
        <f>IF('query (2)'!B455="","",'query (2)'!B455)</f>
        <v>GR-884</v>
      </c>
      <c r="D455" s="24" t="str">
        <f t="shared" si="50"/>
        <v>GR</v>
      </c>
      <c r="E455" s="24">
        <f t="shared" si="51"/>
        <v>1</v>
      </c>
      <c r="F455" s="24">
        <f>IF('query (2)'!A455="","",IFERROR(VALUE('query (2)'!A455),""))</f>
        <v>473</v>
      </c>
      <c r="G455" s="24" t="str">
        <f>IF('query (2)'!C455="","UNKNOWN",IFERROR(INDEX(Cleaning_Rules!$B$15:$B$20,MATCH(TRIM(UPPER('query (2)'!C455)),Cleaning_Rules!$A$15:$A$20,0)),"UNKNOWN"))</f>
        <v>FACTORY2</v>
      </c>
      <c r="H455" s="25" t="str">
        <f>IF('query (2)'!C455="","",'query (2)'!C455)</f>
        <v>FACTORY2</v>
      </c>
      <c r="I455" s="24" t="str" cm="1">
        <f t="array" ref="I455">_xlfn.IFS($G455="UNKNOWN","UNKNOWN",OR($G455="FACTORY1",$G455="FACTORY2",$G455="FACTORY3"),"PLANT",TRUE,"SHARED")</f>
        <v>PLANT</v>
      </c>
      <c r="J455" s="24" t="str">
        <f>IF('query (2)'!D455="","UNKNOWN",IF(COUNTIF(Cleaning_Rules!$A$6:$A$11,TRIM('query (2)'!D455))&gt;0,"UNKNOWN",IFERROR(INDEX(Cleaning_Rules!$B$24:$B$28,MATCH(TRIM(UPPER('query (2)'!D455)),Cleaning_Rules!$A$24:$A$28,0)),TRIM(UPPER('query (2)'!D455)))))</f>
        <v>SB9</v>
      </c>
      <c r="K455" s="25" t="str">
        <f>IF('query (2)'!D455="","",'query (2)'!D455)</f>
        <v>SB9</v>
      </c>
      <c r="L455" s="24" t="str">
        <f>IF($J455="UNKNOWN","",_xlfn.TEXTBEFORE($J455,{"0","1","2","3","4","5","6","7","8","9"," ","-","."},1,,,$J455))</f>
        <v>SB</v>
      </c>
      <c r="M455" s="24" t="str">
        <f>IF('query (2)'!I455&lt;&gt;"",TRIM(UPPER('query (2)'!I455)),IF($L455="","UNKNOWN",$L455))</f>
        <v>SB</v>
      </c>
      <c r="N455" s="24" t="str">
        <f>IF('query (2)'!I455&lt;&gt;"","SOURCE",IF($L455="","UNKNOWN","DERIVED"))</f>
        <v>SOURCE</v>
      </c>
      <c r="O455" s="24" t="str">
        <f>IF('query (2)'!E455="","NOT_SPECIFIED",TRIM(UPPER('query (2)'!E455)))</f>
        <v>GRINDING 2</v>
      </c>
      <c r="P455" s="24" t="str">
        <f>IF('query (2)'!F455="","",TRIM(UPPER('query (2)'!F455)))</f>
        <v>1229-SB9G</v>
      </c>
      <c r="Q455" s="24" t="str">
        <f>IF('query (2)'!G455="","UNKNOWN",IFERROR(INDEX(Cleaning_Rules!$B$38:$B$46,MATCH(TRIM(UPPER('query (2)'!G455)),Cleaning_Rules!$A$38:$A$46,0)),"UNKNOWN"))</f>
        <v>OTHER</v>
      </c>
      <c r="R455" s="24" t="str">
        <f>IF('query (2)'!H455="","",TRIM(UPPER('query (2)'!H455)))</f>
        <v>OUTER RING RACEWAY SUPER FINISH M/C</v>
      </c>
      <c r="S455" s="25" t="str">
        <f>IF('query (2)'!H455="","",'query (2)'!H455)</f>
        <v>Outer ring raceway super finish M/C</v>
      </c>
      <c r="T455" s="24" t="str">
        <f>IF('query (2)'!J455="","",TRIM(UPPER('query (2)'!J455)))</f>
        <v>A - RACEWAY SUPER FINISH</v>
      </c>
      <c r="U455" s="24" t="str">
        <f t="shared" si="52"/>
        <v/>
      </c>
      <c r="V455" s="24" t="str">
        <f>IF('query (2)'!K455="","NOT_SPECIFIED",IFERROR(INDEX(Cleaning_Rules!$B$32:$B$34,MATCH(TRIM(UPPER('query (2)'!K455)),Cleaning_Rules!$A$32:$A$34,0)),"UNKNOWN"))</f>
        <v>NOT_SPECIFIED</v>
      </c>
      <c r="W455" s="24" t="str">
        <f t="shared" si="53"/>
        <v>GR-884 | FACTORY2 | SB9 | SB | GRINDING 2 | 1229-SB9G | OTHER | OUTER RING RACEWAY SUPER FINISH M/C | A - RACEWAY SUPER FINISH | NOT_SPECIFIED</v>
      </c>
      <c r="X455" s="24" t="str">
        <f t="shared" si="54"/>
        <v/>
      </c>
      <c r="Y455" s="24" t="str">
        <f t="shared" si="55"/>
        <v>MISSING_STATUS; CATEGORY_NOT_USEFUL</v>
      </c>
    </row>
    <row r="456" spans="1:25" x14ac:dyDescent="0.3">
      <c r="A456" s="24" t="str">
        <f t="shared" si="49"/>
        <v>GR-885#0455</v>
      </c>
      <c r="B456" s="24" t="str">
        <f>IF('query (2)'!B456="","",TRIM(UPPER('query (2)'!B456)))</f>
        <v>GR-885</v>
      </c>
      <c r="C456" s="25" t="str">
        <f>IF('query (2)'!B456="","",'query (2)'!B456)</f>
        <v>GR-885</v>
      </c>
      <c r="D456" s="24" t="str">
        <f t="shared" si="50"/>
        <v>GR</v>
      </c>
      <c r="E456" s="24">
        <f t="shared" si="51"/>
        <v>1</v>
      </c>
      <c r="F456" s="24">
        <f>IF('query (2)'!A456="","",IFERROR(VALUE('query (2)'!A456),""))</f>
        <v>474</v>
      </c>
      <c r="G456" s="24" t="str">
        <f>IF('query (2)'!C456="","UNKNOWN",IFERROR(INDEX(Cleaning_Rules!$B$15:$B$20,MATCH(TRIM(UPPER('query (2)'!C456)),Cleaning_Rules!$A$15:$A$20,0)),"UNKNOWN"))</f>
        <v>FACTORY2</v>
      </c>
      <c r="H456" s="25" t="str">
        <f>IF('query (2)'!C456="","",'query (2)'!C456)</f>
        <v>FACTORY2</v>
      </c>
      <c r="I456" s="24" t="str" cm="1">
        <f t="array" ref="I456">_xlfn.IFS($G456="UNKNOWN","UNKNOWN",OR($G456="FACTORY1",$G456="FACTORY2",$G456="FACTORY3"),"PLANT",TRUE,"SHARED")</f>
        <v>PLANT</v>
      </c>
      <c r="J456" s="24" t="str">
        <f>IF('query (2)'!D456="","UNKNOWN",IF(COUNTIF(Cleaning_Rules!$A$6:$A$11,TRIM('query (2)'!D456))&gt;0,"UNKNOWN",IFERROR(INDEX(Cleaning_Rules!$B$24:$B$28,MATCH(TRIM(UPPER('query (2)'!D456)),Cleaning_Rules!$A$24:$A$28,0)),TRIM(UPPER('query (2)'!D456)))))</f>
        <v>SB9</v>
      </c>
      <c r="K456" s="25" t="str">
        <f>IF('query (2)'!D456="","",'query (2)'!D456)</f>
        <v>SB9</v>
      </c>
      <c r="L456" s="24" t="str">
        <f>IF($J456="UNKNOWN","",_xlfn.TEXTBEFORE($J456,{"0","1","2","3","4","5","6","7","8","9"," ","-","."},1,,,$J456))</f>
        <v>SB</v>
      </c>
      <c r="M456" s="24" t="str">
        <f>IF('query (2)'!I456&lt;&gt;"",TRIM(UPPER('query (2)'!I456)),IF($L456="","UNKNOWN",$L456))</f>
        <v>SB</v>
      </c>
      <c r="N456" s="24" t="str">
        <f>IF('query (2)'!I456&lt;&gt;"","SOURCE",IF($L456="","UNKNOWN","DERIVED"))</f>
        <v>SOURCE</v>
      </c>
      <c r="O456" s="24" t="str">
        <f>IF('query (2)'!E456="","NOT_SPECIFIED",TRIM(UPPER('query (2)'!E456)))</f>
        <v>GRINDING 2</v>
      </c>
      <c r="P456" s="24" t="str">
        <f>IF('query (2)'!F456="","",TRIM(UPPER('query (2)'!F456)))</f>
        <v>1229-SB9G</v>
      </c>
      <c r="Q456" s="24" t="str">
        <f>IF('query (2)'!G456="","UNKNOWN",IFERROR(INDEX(Cleaning_Rules!$B$38:$B$46,MATCH(TRIM(UPPER('query (2)'!G456)),Cleaning_Rules!$A$38:$A$46,0)),"UNKNOWN"))</f>
        <v>OTHER</v>
      </c>
      <c r="R456" s="24" t="str">
        <f>IF('query (2)'!H456="","",TRIM(UPPER('query (2)'!H456)))</f>
        <v>INNER RING RACEWAY GRINDING M/C</v>
      </c>
      <c r="S456" s="25" t="str">
        <f>IF('query (2)'!H456="","",'query (2)'!H456)</f>
        <v>Inner ring raceway grinding M/C</v>
      </c>
      <c r="T456" s="24" t="str">
        <f>IF('query (2)'!J456="","",TRIM(UPPER('query (2)'!J456)))</f>
        <v>B - RACEWAY GRINDING</v>
      </c>
      <c r="U456" s="24" t="str">
        <f t="shared" si="52"/>
        <v/>
      </c>
      <c r="V456" s="24" t="str">
        <f>IF('query (2)'!K456="","NOT_SPECIFIED",IFERROR(INDEX(Cleaning_Rules!$B$32:$B$34,MATCH(TRIM(UPPER('query (2)'!K456)),Cleaning_Rules!$A$32:$A$34,0)),"UNKNOWN"))</f>
        <v>NOT_SPECIFIED</v>
      </c>
      <c r="W456" s="24" t="str">
        <f t="shared" si="53"/>
        <v>GR-885 | FACTORY2 | SB9 | SB | GRINDING 2 | 1229-SB9G | OTHER | INNER RING RACEWAY GRINDING M/C | B - RACEWAY GRINDING | NOT_SPECIFIED</v>
      </c>
      <c r="X456" s="24" t="str">
        <f t="shared" si="54"/>
        <v/>
      </c>
      <c r="Y456" s="24" t="str">
        <f t="shared" si="55"/>
        <v>MISSING_STATUS; CATEGORY_NOT_USEFUL</v>
      </c>
    </row>
    <row r="457" spans="1:25" x14ac:dyDescent="0.3">
      <c r="A457" s="24" t="str">
        <f t="shared" si="49"/>
        <v>GR-886#0456</v>
      </c>
      <c r="B457" s="24" t="str">
        <f>IF('query (2)'!B457="","",TRIM(UPPER('query (2)'!B457)))</f>
        <v>GR-886</v>
      </c>
      <c r="C457" s="25" t="str">
        <f>IF('query (2)'!B457="","",'query (2)'!B457)</f>
        <v>GR-886</v>
      </c>
      <c r="D457" s="24" t="str">
        <f t="shared" si="50"/>
        <v>GR</v>
      </c>
      <c r="E457" s="24">
        <f t="shared" si="51"/>
        <v>1</v>
      </c>
      <c r="F457" s="24">
        <f>IF('query (2)'!A457="","",IFERROR(VALUE('query (2)'!A457),""))</f>
        <v>475</v>
      </c>
      <c r="G457" s="24" t="str">
        <f>IF('query (2)'!C457="","UNKNOWN",IFERROR(INDEX(Cleaning_Rules!$B$15:$B$20,MATCH(TRIM(UPPER('query (2)'!C457)),Cleaning_Rules!$A$15:$A$20,0)),"UNKNOWN"))</f>
        <v>FACTORY2</v>
      </c>
      <c r="H457" s="25" t="str">
        <f>IF('query (2)'!C457="","",'query (2)'!C457)</f>
        <v>FACTORY2</v>
      </c>
      <c r="I457" s="24" t="str" cm="1">
        <f t="array" ref="I457">_xlfn.IFS($G457="UNKNOWN","UNKNOWN",OR($G457="FACTORY1",$G457="FACTORY2",$G457="FACTORY3"),"PLANT",TRUE,"SHARED")</f>
        <v>PLANT</v>
      </c>
      <c r="J457" s="24" t="str">
        <f>IF('query (2)'!D457="","UNKNOWN",IF(COUNTIF(Cleaning_Rules!$A$6:$A$11,TRIM('query (2)'!D457))&gt;0,"UNKNOWN",IFERROR(INDEX(Cleaning_Rules!$B$24:$B$28,MATCH(TRIM(UPPER('query (2)'!D457)),Cleaning_Rules!$A$24:$A$28,0)),TRIM(UPPER('query (2)'!D457)))))</f>
        <v>SB9</v>
      </c>
      <c r="K457" s="25" t="str">
        <f>IF('query (2)'!D457="","",'query (2)'!D457)</f>
        <v>SB9</v>
      </c>
      <c r="L457" s="24" t="str">
        <f>IF($J457="UNKNOWN","",_xlfn.TEXTBEFORE($J457,{"0","1","2","3","4","5","6","7","8","9"," ","-","."},1,,,$J457))</f>
        <v>SB</v>
      </c>
      <c r="M457" s="24" t="str">
        <f>IF('query (2)'!I457&lt;&gt;"",TRIM(UPPER('query (2)'!I457)),IF($L457="","UNKNOWN",$L457))</f>
        <v>SB</v>
      </c>
      <c r="N457" s="24" t="str">
        <f>IF('query (2)'!I457&lt;&gt;"","SOURCE",IF($L457="","UNKNOWN","DERIVED"))</f>
        <v>SOURCE</v>
      </c>
      <c r="O457" s="24" t="str">
        <f>IF('query (2)'!E457="","NOT_SPECIFIED",TRIM(UPPER('query (2)'!E457)))</f>
        <v>GRINDING 2</v>
      </c>
      <c r="P457" s="24" t="str">
        <f>IF('query (2)'!F457="","",TRIM(UPPER('query (2)'!F457)))</f>
        <v>1229-SB9G</v>
      </c>
      <c r="Q457" s="24" t="str">
        <f>IF('query (2)'!G457="","UNKNOWN",IFERROR(INDEX(Cleaning_Rules!$B$38:$B$46,MATCH(TRIM(UPPER('query (2)'!G457)),Cleaning_Rules!$A$38:$A$46,0)),"UNKNOWN"))</f>
        <v>OTHER</v>
      </c>
      <c r="R457" s="24" t="str">
        <f>IF('query (2)'!H457="","",TRIM(UPPER('query (2)'!H457)))</f>
        <v>INNER RING BORE GRINDING M/C</v>
      </c>
      <c r="S457" s="25" t="str">
        <f>IF('query (2)'!H457="","",'query (2)'!H457)</f>
        <v>Inner ring bore grinding M/C</v>
      </c>
      <c r="T457" s="24" t="str">
        <f>IF('query (2)'!J457="","",TRIM(UPPER('query (2)'!J457)))</f>
        <v>B - BORE GRINDING</v>
      </c>
      <c r="U457" s="24" t="str">
        <f t="shared" si="52"/>
        <v/>
      </c>
      <c r="V457" s="24" t="str">
        <f>IF('query (2)'!K457="","NOT_SPECIFIED",IFERROR(INDEX(Cleaning_Rules!$B$32:$B$34,MATCH(TRIM(UPPER('query (2)'!K457)),Cleaning_Rules!$A$32:$A$34,0)),"UNKNOWN"))</f>
        <v>NOT_SPECIFIED</v>
      </c>
      <c r="W457" s="24" t="str">
        <f t="shared" si="53"/>
        <v>GR-886 | FACTORY2 | SB9 | SB | GRINDING 2 | 1229-SB9G | OTHER | INNER RING BORE GRINDING M/C | B - BORE GRINDING | NOT_SPECIFIED</v>
      </c>
      <c r="X457" s="24" t="str">
        <f t="shared" si="54"/>
        <v/>
      </c>
      <c r="Y457" s="24" t="str">
        <f t="shared" si="55"/>
        <v>MISSING_STATUS; CATEGORY_NOT_USEFUL</v>
      </c>
    </row>
    <row r="458" spans="1:25" x14ac:dyDescent="0.3">
      <c r="A458" s="24" t="str">
        <f t="shared" si="49"/>
        <v>DE-887#0457</v>
      </c>
      <c r="B458" s="24" t="str">
        <f>IF('query (2)'!B458="","",TRIM(UPPER('query (2)'!B458)))</f>
        <v>DE-887</v>
      </c>
      <c r="C458" s="25" t="str">
        <f>IF('query (2)'!B458="","",'query (2)'!B458)</f>
        <v>DE-887</v>
      </c>
      <c r="D458" s="24" t="str">
        <f t="shared" si="50"/>
        <v>DE</v>
      </c>
      <c r="E458" s="24">
        <f t="shared" si="51"/>
        <v>1</v>
      </c>
      <c r="F458" s="24">
        <f>IF('query (2)'!A458="","",IFERROR(VALUE('query (2)'!A458),""))</f>
        <v>476</v>
      </c>
      <c r="G458" s="24" t="str">
        <f>IF('query (2)'!C458="","UNKNOWN",IFERROR(INDEX(Cleaning_Rules!$B$15:$B$20,MATCH(TRIM(UPPER('query (2)'!C458)),Cleaning_Rules!$A$15:$A$20,0)),"UNKNOWN"))</f>
        <v>FACTORY2</v>
      </c>
      <c r="H458" s="25" t="str">
        <f>IF('query (2)'!C458="","",'query (2)'!C458)</f>
        <v>FACTORY2</v>
      </c>
      <c r="I458" s="24" t="str" cm="1">
        <f t="array" ref="I458">_xlfn.IFS($G458="UNKNOWN","UNKNOWN",OR($G458="FACTORY1",$G458="FACTORY2",$G458="FACTORY3"),"PLANT",TRUE,"SHARED")</f>
        <v>PLANT</v>
      </c>
      <c r="J458" s="24" t="str">
        <f>IF('query (2)'!D458="","UNKNOWN",IF(COUNTIF(Cleaning_Rules!$A$6:$A$11,TRIM('query (2)'!D458))&gt;0,"UNKNOWN",IFERROR(INDEX(Cleaning_Rules!$B$24:$B$28,MATCH(TRIM(UPPER('query (2)'!D458)),Cleaning_Rules!$A$24:$A$28,0)),TRIM(UPPER('query (2)'!D458)))))</f>
        <v>SB9</v>
      </c>
      <c r="K458" s="25" t="str">
        <f>IF('query (2)'!D458="","",'query (2)'!D458)</f>
        <v>SB9</v>
      </c>
      <c r="L458" s="24" t="str">
        <f>IF($J458="UNKNOWN","",_xlfn.TEXTBEFORE($J458,{"0","1","2","3","4","5","6","7","8","9"," ","-","."},1,,,$J458))</f>
        <v>SB</v>
      </c>
      <c r="M458" s="24" t="str">
        <f>IF('query (2)'!I458&lt;&gt;"",TRIM(UPPER('query (2)'!I458)),IF($L458="","UNKNOWN",$L458))</f>
        <v>SB</v>
      </c>
      <c r="N458" s="24" t="str">
        <f>IF('query (2)'!I458&lt;&gt;"","SOURCE",IF($L458="","UNKNOWN","DERIVED"))</f>
        <v>SOURCE</v>
      </c>
      <c r="O458" s="24" t="str">
        <f>IF('query (2)'!E458="","NOT_SPECIFIED",TRIM(UPPER('query (2)'!E458)))</f>
        <v>GRINDING 2</v>
      </c>
      <c r="P458" s="24" t="str">
        <f>IF('query (2)'!F458="","",TRIM(UPPER('query (2)'!F458)))</f>
        <v>1229-SB9G</v>
      </c>
      <c r="Q458" s="24" t="str">
        <f>IF('query (2)'!G458="","UNKNOWN",IFERROR(INDEX(Cleaning_Rules!$B$38:$B$46,MATCH(TRIM(UPPER('query (2)'!G458)),Cleaning_Rules!$A$38:$A$46,0)),"UNKNOWN"))</f>
        <v>OTHER</v>
      </c>
      <c r="R458" s="24" t="str">
        <f>IF('query (2)'!H458="","",TRIM(UPPER('query (2)'!H458)))</f>
        <v>INNER RING DEMAGNETIZING FOR M/C</v>
      </c>
      <c r="S458" s="25" t="str">
        <f>IF('query (2)'!H458="","",'query (2)'!H458)</f>
        <v>Inner  ring Demagnetizing for  M/C</v>
      </c>
      <c r="T458" s="24" t="str">
        <f>IF('query (2)'!J458="","",TRIM(UPPER('query (2)'!J458)))</f>
        <v>B - DEMAGNETIZING</v>
      </c>
      <c r="U458" s="24" t="str">
        <f t="shared" si="52"/>
        <v/>
      </c>
      <c r="V458" s="24" t="str">
        <f>IF('query (2)'!K458="","NOT_SPECIFIED",IFERROR(INDEX(Cleaning_Rules!$B$32:$B$34,MATCH(TRIM(UPPER('query (2)'!K458)),Cleaning_Rules!$A$32:$A$34,0)),"UNKNOWN"))</f>
        <v>NOT_SPECIFIED</v>
      </c>
      <c r="W458" s="24" t="str">
        <f t="shared" si="53"/>
        <v>DE-887 | FACTORY2 | SB9 | SB | GRINDING 2 | 1229-SB9G | OTHER | INNER RING DEMAGNETIZING FOR M/C | B - DEMAGNETIZING | NOT_SPECIFIED</v>
      </c>
      <c r="X458" s="24" t="str">
        <f t="shared" si="54"/>
        <v/>
      </c>
      <c r="Y458" s="24" t="str">
        <f t="shared" si="55"/>
        <v>MISSING_STATUS; CATEGORY_NOT_USEFUL</v>
      </c>
    </row>
    <row r="459" spans="1:25" x14ac:dyDescent="0.3">
      <c r="A459" s="24" t="str">
        <f t="shared" si="49"/>
        <v>GR-888#0458</v>
      </c>
      <c r="B459" s="24" t="str">
        <f>IF('query (2)'!B459="","",TRIM(UPPER('query (2)'!B459)))</f>
        <v>GR-888</v>
      </c>
      <c r="C459" s="25" t="str">
        <f>IF('query (2)'!B459="","",'query (2)'!B459)</f>
        <v>GR-888</v>
      </c>
      <c r="D459" s="24" t="str">
        <f t="shared" si="50"/>
        <v>GR</v>
      </c>
      <c r="E459" s="24">
        <f t="shared" si="51"/>
        <v>1</v>
      </c>
      <c r="F459" s="24">
        <f>IF('query (2)'!A459="","",IFERROR(VALUE('query (2)'!A459),""))</f>
        <v>477</v>
      </c>
      <c r="G459" s="24" t="str">
        <f>IF('query (2)'!C459="","UNKNOWN",IFERROR(INDEX(Cleaning_Rules!$B$15:$B$20,MATCH(TRIM(UPPER('query (2)'!C459)),Cleaning_Rules!$A$15:$A$20,0)),"UNKNOWN"))</f>
        <v>FACTORY2</v>
      </c>
      <c r="H459" s="25" t="str">
        <f>IF('query (2)'!C459="","",'query (2)'!C459)</f>
        <v>FACTORY2</v>
      </c>
      <c r="I459" s="24" t="str" cm="1">
        <f t="array" ref="I459">_xlfn.IFS($G459="UNKNOWN","UNKNOWN",OR($G459="FACTORY1",$G459="FACTORY2",$G459="FACTORY3"),"PLANT",TRUE,"SHARED")</f>
        <v>PLANT</v>
      </c>
      <c r="J459" s="24" t="str">
        <f>IF('query (2)'!D459="","UNKNOWN",IF(COUNTIF(Cleaning_Rules!$A$6:$A$11,TRIM('query (2)'!D459))&gt;0,"UNKNOWN",IFERROR(INDEX(Cleaning_Rules!$B$24:$B$28,MATCH(TRIM(UPPER('query (2)'!D459)),Cleaning_Rules!$A$24:$A$28,0)),TRIM(UPPER('query (2)'!D459)))))</f>
        <v>SB9</v>
      </c>
      <c r="K459" s="25" t="str">
        <f>IF('query (2)'!D459="","",'query (2)'!D459)</f>
        <v>SB9</v>
      </c>
      <c r="L459" s="24" t="str">
        <f>IF($J459="UNKNOWN","",_xlfn.TEXTBEFORE($J459,{"0","1","2","3","4","5","6","7","8","9"," ","-","."},1,,,$J459))</f>
        <v>SB</v>
      </c>
      <c r="M459" s="24" t="str">
        <f>IF('query (2)'!I459&lt;&gt;"",TRIM(UPPER('query (2)'!I459)),IF($L459="","UNKNOWN",$L459))</f>
        <v>SB</v>
      </c>
      <c r="N459" s="24" t="str">
        <f>IF('query (2)'!I459&lt;&gt;"","SOURCE",IF($L459="","UNKNOWN","DERIVED"))</f>
        <v>SOURCE</v>
      </c>
      <c r="O459" s="24" t="str">
        <f>IF('query (2)'!E459="","NOT_SPECIFIED",TRIM(UPPER('query (2)'!E459)))</f>
        <v>GRINDING 2</v>
      </c>
      <c r="P459" s="24" t="str">
        <f>IF('query (2)'!F459="","",TRIM(UPPER('query (2)'!F459)))</f>
        <v>1229-SB9G</v>
      </c>
      <c r="Q459" s="24" t="str">
        <f>IF('query (2)'!G459="","UNKNOWN",IFERROR(INDEX(Cleaning_Rules!$B$38:$B$46,MATCH(TRIM(UPPER('query (2)'!G459)),Cleaning_Rules!$A$38:$A$46,0)),"UNKNOWN"))</f>
        <v>OTHER</v>
      </c>
      <c r="R459" s="24" t="str">
        <f>IF('query (2)'!H459="","",TRIM(UPPER('query (2)'!H459)))</f>
        <v>INNER RING RACEWAY SUPER FINISH M/C</v>
      </c>
      <c r="S459" s="25" t="str">
        <f>IF('query (2)'!H459="","",'query (2)'!H459)</f>
        <v>Inner ring raceway super finish M/C</v>
      </c>
      <c r="T459" s="24" t="str">
        <f>IF('query (2)'!J459="","",TRIM(UPPER('query (2)'!J459)))</f>
        <v>B - RACEWAY SUPER FINISH</v>
      </c>
      <c r="U459" s="24" t="str">
        <f t="shared" si="52"/>
        <v/>
      </c>
      <c r="V459" s="24" t="str">
        <f>IF('query (2)'!K459="","NOT_SPECIFIED",IFERROR(INDEX(Cleaning_Rules!$B$32:$B$34,MATCH(TRIM(UPPER('query (2)'!K459)),Cleaning_Rules!$A$32:$A$34,0)),"UNKNOWN"))</f>
        <v>NOT_SPECIFIED</v>
      </c>
      <c r="W459" s="24" t="str">
        <f t="shared" si="53"/>
        <v>GR-888 | FACTORY2 | SB9 | SB | GRINDING 2 | 1229-SB9G | OTHER | INNER RING RACEWAY SUPER FINISH M/C | B - RACEWAY SUPER FINISH | NOT_SPECIFIED</v>
      </c>
      <c r="X459" s="24" t="str">
        <f t="shared" si="54"/>
        <v/>
      </c>
      <c r="Y459" s="24" t="str">
        <f t="shared" si="55"/>
        <v>MISSING_STATUS; CATEGORY_NOT_USEFUL</v>
      </c>
    </row>
    <row r="460" spans="1:25" x14ac:dyDescent="0.3">
      <c r="A460" s="24" t="str">
        <f t="shared" si="49"/>
        <v>WA-889#0459</v>
      </c>
      <c r="B460" s="24" t="str">
        <f>IF('query (2)'!B460="","",TRIM(UPPER('query (2)'!B460)))</f>
        <v>WA-889</v>
      </c>
      <c r="C460" s="25" t="str">
        <f>IF('query (2)'!B460="","",'query (2)'!B460)</f>
        <v>WA-889</v>
      </c>
      <c r="D460" s="24" t="str">
        <f t="shared" si="50"/>
        <v>WA</v>
      </c>
      <c r="E460" s="24">
        <f t="shared" si="51"/>
        <v>1</v>
      </c>
      <c r="F460" s="24">
        <f>IF('query (2)'!A460="","",IFERROR(VALUE('query (2)'!A460),""))</f>
        <v>478</v>
      </c>
      <c r="G460" s="24" t="str">
        <f>IF('query (2)'!C460="","UNKNOWN",IFERROR(INDEX(Cleaning_Rules!$B$15:$B$20,MATCH(TRIM(UPPER('query (2)'!C460)),Cleaning_Rules!$A$15:$A$20,0)),"UNKNOWN"))</f>
        <v>FACTORY2</v>
      </c>
      <c r="H460" s="25" t="str">
        <f>IF('query (2)'!C460="","",'query (2)'!C460)</f>
        <v>FACTORY2</v>
      </c>
      <c r="I460" s="24" t="str" cm="1">
        <f t="array" ref="I460">_xlfn.IFS($G460="UNKNOWN","UNKNOWN",OR($G460="FACTORY1",$G460="FACTORY2",$G460="FACTORY3"),"PLANT",TRUE,"SHARED")</f>
        <v>PLANT</v>
      </c>
      <c r="J460" s="24" t="str">
        <f>IF('query (2)'!D460="","UNKNOWN",IF(COUNTIF(Cleaning_Rules!$A$6:$A$11,TRIM('query (2)'!D460))&gt;0,"UNKNOWN",IFERROR(INDEX(Cleaning_Rules!$B$24:$B$28,MATCH(TRIM(UPPER('query (2)'!D460)),Cleaning_Rules!$A$24:$A$28,0)),TRIM(UPPER('query (2)'!D460)))))</f>
        <v>SB9</v>
      </c>
      <c r="K460" s="25" t="str">
        <f>IF('query (2)'!D460="","",'query (2)'!D460)</f>
        <v>SB9</v>
      </c>
      <c r="L460" s="24" t="str">
        <f>IF($J460="UNKNOWN","",_xlfn.TEXTBEFORE($J460,{"0","1","2","3","4","5","6","7","8","9"," ","-","."},1,,,$J460))</f>
        <v>SB</v>
      </c>
      <c r="M460" s="24" t="str">
        <f>IF('query (2)'!I460&lt;&gt;"",TRIM(UPPER('query (2)'!I460)),IF($L460="","UNKNOWN",$L460))</f>
        <v>SB</v>
      </c>
      <c r="N460" s="24" t="str">
        <f>IF('query (2)'!I460&lt;&gt;"","SOURCE",IF($L460="","UNKNOWN","DERIVED"))</f>
        <v>SOURCE</v>
      </c>
      <c r="O460" s="24" t="str">
        <f>IF('query (2)'!E460="","NOT_SPECIFIED",TRIM(UPPER('query (2)'!E460)))</f>
        <v>GRINDING 2</v>
      </c>
      <c r="P460" s="24" t="str">
        <f>IF('query (2)'!F460="","",TRIM(UPPER('query (2)'!F460)))</f>
        <v>1229-SB9G</v>
      </c>
      <c r="Q460" s="24" t="str">
        <f>IF('query (2)'!G460="","UNKNOWN",IFERROR(INDEX(Cleaning_Rules!$B$38:$B$46,MATCH(TRIM(UPPER('query (2)'!G460)),Cleaning_Rules!$A$38:$A$46,0)),"UNKNOWN"))</f>
        <v>OTHER</v>
      </c>
      <c r="R460" s="24" t="str">
        <f>IF('query (2)'!H460="","",TRIM(UPPER('query (2)'!H460)))</f>
        <v>INNER/OUTER RING PART WASH EQUIPMENT M/C</v>
      </c>
      <c r="S460" s="25" t="str">
        <f>IF('query (2)'!H460="","",'query (2)'!H460)</f>
        <v>Inner/Outer ring part wash equipment  M/C</v>
      </c>
      <c r="T460" s="24" t="str">
        <f>IF('query (2)'!J460="","",TRIM(UPPER('query (2)'!J460)))</f>
        <v>A &amp; B - PART WASH EQUIPMENT</v>
      </c>
      <c r="U460" s="24" t="str">
        <f t="shared" si="52"/>
        <v/>
      </c>
      <c r="V460" s="24" t="str">
        <f>IF('query (2)'!K460="","NOT_SPECIFIED",IFERROR(INDEX(Cleaning_Rules!$B$32:$B$34,MATCH(TRIM(UPPER('query (2)'!K460)),Cleaning_Rules!$A$32:$A$34,0)),"UNKNOWN"))</f>
        <v>NOT_SPECIFIED</v>
      </c>
      <c r="W460" s="24" t="str">
        <f t="shared" si="53"/>
        <v>WA-889 | FACTORY2 | SB9 | SB | GRINDING 2 | 1229-SB9G | OTHER | INNER/OUTER RING PART WASH EQUIPMENT M/C | A &amp; B - PART WASH EQUIPMENT | NOT_SPECIFIED</v>
      </c>
      <c r="X460" s="24" t="str">
        <f t="shared" si="54"/>
        <v/>
      </c>
      <c r="Y460" s="24" t="str">
        <f t="shared" si="55"/>
        <v>MISSING_STATUS; CATEGORY_NOT_USEFUL</v>
      </c>
    </row>
    <row r="461" spans="1:25" x14ac:dyDescent="0.3">
      <c r="A461" s="24" t="str">
        <f t="shared" si="49"/>
        <v>CH-890#0460</v>
      </c>
      <c r="B461" s="24" t="str">
        <f>IF('query (2)'!B461="","",TRIM(UPPER('query (2)'!B461)))</f>
        <v>CH-890</v>
      </c>
      <c r="C461" s="25" t="str">
        <f>IF('query (2)'!B461="","",'query (2)'!B461)</f>
        <v>CH-890</v>
      </c>
      <c r="D461" s="24" t="str">
        <f t="shared" si="50"/>
        <v>CH</v>
      </c>
      <c r="E461" s="24">
        <f t="shared" si="51"/>
        <v>1</v>
      </c>
      <c r="F461" s="24">
        <f>IF('query (2)'!A461="","",IFERROR(VALUE('query (2)'!A461),""))</f>
        <v>479</v>
      </c>
      <c r="G461" s="24" t="str">
        <f>IF('query (2)'!C461="","UNKNOWN",IFERROR(INDEX(Cleaning_Rules!$B$15:$B$20,MATCH(TRIM(UPPER('query (2)'!C461)),Cleaning_Rules!$A$15:$A$20,0)),"UNKNOWN"))</f>
        <v>FACTORY2</v>
      </c>
      <c r="H461" s="25" t="str">
        <f>IF('query (2)'!C461="","",'query (2)'!C461)</f>
        <v>FACTORY2</v>
      </c>
      <c r="I461" s="24" t="str" cm="1">
        <f t="array" ref="I461">_xlfn.IFS($G461="UNKNOWN","UNKNOWN",OR($G461="FACTORY1",$G461="FACTORY2",$G461="FACTORY3"),"PLANT",TRUE,"SHARED")</f>
        <v>PLANT</v>
      </c>
      <c r="J461" s="24" t="str">
        <f>IF('query (2)'!D461="","UNKNOWN",IF(COUNTIF(Cleaning_Rules!$A$6:$A$11,TRIM('query (2)'!D461))&gt;0,"UNKNOWN",IFERROR(INDEX(Cleaning_Rules!$B$24:$B$28,MATCH(TRIM(UPPER('query (2)'!D461)),Cleaning_Rules!$A$24:$A$28,0)),TRIM(UPPER('query (2)'!D461)))))</f>
        <v>SB9</v>
      </c>
      <c r="K461" s="25" t="str">
        <f>IF('query (2)'!D461="","",'query (2)'!D461)</f>
        <v>SB9</v>
      </c>
      <c r="L461" s="24" t="str">
        <f>IF($J461="UNKNOWN","",_xlfn.TEXTBEFORE($J461,{"0","1","2","3","4","5","6","7","8","9"," ","-","."},1,,,$J461))</f>
        <v>SB</v>
      </c>
      <c r="M461" s="24" t="str">
        <f>IF('query (2)'!I461&lt;&gt;"",TRIM(UPPER('query (2)'!I461)),IF($L461="","UNKNOWN",$L461))</f>
        <v>SB</v>
      </c>
      <c r="N461" s="24" t="str">
        <f>IF('query (2)'!I461&lt;&gt;"","SOURCE",IF($L461="","UNKNOWN","DERIVED"))</f>
        <v>SOURCE</v>
      </c>
      <c r="O461" s="24" t="str">
        <f>IF('query (2)'!E461="","NOT_SPECIFIED",TRIM(UPPER('query (2)'!E461)))</f>
        <v>ASSEMBLY</v>
      </c>
      <c r="P461" s="24" t="str">
        <f>IF('query (2)'!F461="","",TRIM(UPPER('query (2)'!F461)))</f>
        <v>1230-SB9AI</v>
      </c>
      <c r="Q461" s="24" t="str">
        <f>IF('query (2)'!G461="","UNKNOWN",IFERROR(INDEX(Cleaning_Rules!$B$38:$B$46,MATCH(TRIM(UPPER('query (2)'!G461)),Cleaning_Rules!$A$38:$A$46,0)),"UNKNOWN"))</f>
        <v>OTHER</v>
      </c>
      <c r="R461" s="24" t="str">
        <f>IF('query (2)'!H461="","",TRIM(UPPER('query (2)'!H461)))</f>
        <v>INNER/OUTER RING EDDY CURRENT TESTER M/C</v>
      </c>
      <c r="S461" s="25" t="str">
        <f>IF('query (2)'!H461="","",'query (2)'!H461)</f>
        <v>Inner/Outer ring Eddy current tester  M/C</v>
      </c>
      <c r="T461" s="24" t="str">
        <f>IF('query (2)'!J461="","",TRIM(UPPER('query (2)'!J461)))</f>
        <v>A &amp; B - E.C.T.</v>
      </c>
      <c r="U461" s="24" t="str">
        <f t="shared" si="52"/>
        <v/>
      </c>
      <c r="V461" s="24" t="str">
        <f>IF('query (2)'!K461="","NOT_SPECIFIED",IFERROR(INDEX(Cleaning_Rules!$B$32:$B$34,MATCH(TRIM(UPPER('query (2)'!K461)),Cleaning_Rules!$A$32:$A$34,0)),"UNKNOWN"))</f>
        <v>NOT_SPECIFIED</v>
      </c>
      <c r="W461" s="24" t="str">
        <f t="shared" si="53"/>
        <v>CH-890 | FACTORY2 | SB9 | SB | ASSEMBLY | 1230-SB9AI | OTHER | INNER/OUTER RING EDDY CURRENT TESTER M/C | A &amp; B - E.C.T. | NOT_SPECIFIED</v>
      </c>
      <c r="X461" s="24" t="str">
        <f t="shared" si="54"/>
        <v/>
      </c>
      <c r="Y461" s="24" t="str">
        <f t="shared" si="55"/>
        <v>MISSING_STATUS; CATEGORY_NOT_USEFUL</v>
      </c>
    </row>
    <row r="462" spans="1:25" x14ac:dyDescent="0.3">
      <c r="A462" s="24" t="str">
        <f t="shared" si="49"/>
        <v>AS-891#0461</v>
      </c>
      <c r="B462" s="24" t="str">
        <f>IF('query (2)'!B462="","",TRIM(UPPER('query (2)'!B462)))</f>
        <v>AS-891</v>
      </c>
      <c r="C462" s="25" t="str">
        <f>IF('query (2)'!B462="","",'query (2)'!B462)</f>
        <v>AS-891</v>
      </c>
      <c r="D462" s="24" t="str">
        <f t="shared" si="50"/>
        <v>AS</v>
      </c>
      <c r="E462" s="24">
        <f t="shared" si="51"/>
        <v>1</v>
      </c>
      <c r="F462" s="24">
        <f>IF('query (2)'!A462="","",IFERROR(VALUE('query (2)'!A462),""))</f>
        <v>480</v>
      </c>
      <c r="G462" s="24" t="str">
        <f>IF('query (2)'!C462="","UNKNOWN",IFERROR(INDEX(Cleaning_Rules!$B$15:$B$20,MATCH(TRIM(UPPER('query (2)'!C462)),Cleaning_Rules!$A$15:$A$20,0)),"UNKNOWN"))</f>
        <v>FACTORY2</v>
      </c>
      <c r="H462" s="25" t="str">
        <f>IF('query (2)'!C462="","",'query (2)'!C462)</f>
        <v>FACTORY2</v>
      </c>
      <c r="I462" s="24" t="str" cm="1">
        <f t="array" ref="I462">_xlfn.IFS($G462="UNKNOWN","UNKNOWN",OR($G462="FACTORY1",$G462="FACTORY2",$G462="FACTORY3"),"PLANT",TRUE,"SHARED")</f>
        <v>PLANT</v>
      </c>
      <c r="J462" s="24" t="str">
        <f>IF('query (2)'!D462="","UNKNOWN",IF(COUNTIF(Cleaning_Rules!$A$6:$A$11,TRIM('query (2)'!D462))&gt;0,"UNKNOWN",IFERROR(INDEX(Cleaning_Rules!$B$24:$B$28,MATCH(TRIM(UPPER('query (2)'!D462)),Cleaning_Rules!$A$24:$A$28,0)),TRIM(UPPER('query (2)'!D462)))))</f>
        <v>SB9</v>
      </c>
      <c r="K462" s="25" t="str">
        <f>IF('query (2)'!D462="","",'query (2)'!D462)</f>
        <v>SB9</v>
      </c>
      <c r="L462" s="24" t="str">
        <f>IF($J462="UNKNOWN","",_xlfn.TEXTBEFORE($J462,{"0","1","2","3","4","5","6","7","8","9"," ","-","."},1,,,$J462))</f>
        <v>SB</v>
      </c>
      <c r="M462" s="24" t="str">
        <f>IF('query (2)'!I462&lt;&gt;"",TRIM(UPPER('query (2)'!I462)),IF($L462="","UNKNOWN",$L462))</f>
        <v>SB</v>
      </c>
      <c r="N462" s="24" t="str">
        <f>IF('query (2)'!I462&lt;&gt;"","SOURCE",IF($L462="","UNKNOWN","DERIVED"))</f>
        <v>SOURCE</v>
      </c>
      <c r="O462" s="24" t="str">
        <f>IF('query (2)'!E462="","NOT_SPECIFIED",TRIM(UPPER('query (2)'!E462)))</f>
        <v>ASSEMBLY</v>
      </c>
      <c r="P462" s="24" t="str">
        <f>IF('query (2)'!F462="","",TRIM(UPPER('query (2)'!F462)))</f>
        <v>1230-SB9AI</v>
      </c>
      <c r="Q462" s="24" t="str">
        <f>IF('query (2)'!G462="","UNKNOWN",IFERROR(INDEX(Cleaning_Rules!$B$38:$B$46,MATCH(TRIM(UPPER('query (2)'!G462)),Cleaning_Rules!$A$38:$A$46,0)),"UNKNOWN"))</f>
        <v>OTHER</v>
      </c>
      <c r="R462" s="24" t="str">
        <f>IF('query (2)'!H462="","",TRIM(UPPER('query (2)'!H462)))</f>
        <v>AUTOMATIC MATCHING &amp; BALL FILLING M/C</v>
      </c>
      <c r="S462" s="25" t="str">
        <f>IF('query (2)'!H462="","",'query (2)'!H462)</f>
        <v>Automatic matching &amp; Ball filling  M/C</v>
      </c>
      <c r="T462" s="24" t="str">
        <f>IF('query (2)'!J462="","",TRIM(UPPER('query (2)'!J462)))</f>
        <v>MATCHING &amp; BALL FILLING</v>
      </c>
      <c r="U462" s="24" t="str">
        <f t="shared" si="52"/>
        <v/>
      </c>
      <c r="V462" s="24" t="str">
        <f>IF('query (2)'!K462="","NOT_SPECIFIED",IFERROR(INDEX(Cleaning_Rules!$B$32:$B$34,MATCH(TRIM(UPPER('query (2)'!K462)),Cleaning_Rules!$A$32:$A$34,0)),"UNKNOWN"))</f>
        <v>NOT_SPECIFIED</v>
      </c>
      <c r="W462" s="24" t="str">
        <f t="shared" si="53"/>
        <v>AS-891 | FACTORY2 | SB9 | SB | ASSEMBLY | 1230-SB9AI | OTHER | AUTOMATIC MATCHING &amp; BALL FILLING M/C | MATCHING &amp; BALL FILLING | NOT_SPECIFIED</v>
      </c>
      <c r="X462" s="24" t="str">
        <f t="shared" si="54"/>
        <v/>
      </c>
      <c r="Y462" s="24" t="str">
        <f t="shared" si="55"/>
        <v>MISSING_STATUS; CATEGORY_NOT_USEFUL</v>
      </c>
    </row>
    <row r="463" spans="1:25" x14ac:dyDescent="0.3">
      <c r="A463" s="24" t="str">
        <f t="shared" si="49"/>
        <v>AS-892#0462</v>
      </c>
      <c r="B463" s="24" t="str">
        <f>IF('query (2)'!B463="","",TRIM(UPPER('query (2)'!B463)))</f>
        <v>AS-892</v>
      </c>
      <c r="C463" s="25" t="str">
        <f>IF('query (2)'!B463="","",'query (2)'!B463)</f>
        <v>AS-892</v>
      </c>
      <c r="D463" s="24" t="str">
        <f t="shared" si="50"/>
        <v>AS</v>
      </c>
      <c r="E463" s="24">
        <f t="shared" si="51"/>
        <v>1</v>
      </c>
      <c r="F463" s="24">
        <f>IF('query (2)'!A463="","",IFERROR(VALUE('query (2)'!A463),""))</f>
        <v>481</v>
      </c>
      <c r="G463" s="24" t="str">
        <f>IF('query (2)'!C463="","UNKNOWN",IFERROR(INDEX(Cleaning_Rules!$B$15:$B$20,MATCH(TRIM(UPPER('query (2)'!C463)),Cleaning_Rules!$A$15:$A$20,0)),"UNKNOWN"))</f>
        <v>FACTORY2</v>
      </c>
      <c r="H463" s="25" t="str">
        <f>IF('query (2)'!C463="","",'query (2)'!C463)</f>
        <v>FACTORY2</v>
      </c>
      <c r="I463" s="24" t="str" cm="1">
        <f t="array" ref="I463">_xlfn.IFS($G463="UNKNOWN","UNKNOWN",OR($G463="FACTORY1",$G463="FACTORY2",$G463="FACTORY3"),"PLANT",TRUE,"SHARED")</f>
        <v>PLANT</v>
      </c>
      <c r="J463" s="24" t="str">
        <f>IF('query (2)'!D463="","UNKNOWN",IF(COUNTIF(Cleaning_Rules!$A$6:$A$11,TRIM('query (2)'!D463))&gt;0,"UNKNOWN",IFERROR(INDEX(Cleaning_Rules!$B$24:$B$28,MATCH(TRIM(UPPER('query (2)'!D463)),Cleaning_Rules!$A$24:$A$28,0)),TRIM(UPPER('query (2)'!D463)))))</f>
        <v>SB9</v>
      </c>
      <c r="K463" s="25" t="str">
        <f>IF('query (2)'!D463="","",'query (2)'!D463)</f>
        <v>SB9</v>
      </c>
      <c r="L463" s="24" t="str">
        <f>IF($J463="UNKNOWN","",_xlfn.TEXTBEFORE($J463,{"0","1","2","3","4","5","6","7","8","9"," ","-","."},1,,,$J463))</f>
        <v>SB</v>
      </c>
      <c r="M463" s="24" t="str">
        <f>IF('query (2)'!I463&lt;&gt;"",TRIM(UPPER('query (2)'!I463)),IF($L463="","UNKNOWN",$L463))</f>
        <v>SB</v>
      </c>
      <c r="N463" s="24" t="str">
        <f>IF('query (2)'!I463&lt;&gt;"","SOURCE",IF($L463="","UNKNOWN","DERIVED"))</f>
        <v>SOURCE</v>
      </c>
      <c r="O463" s="24" t="str">
        <f>IF('query (2)'!E463="","NOT_SPECIFIED",TRIM(UPPER('query (2)'!E463)))</f>
        <v>ASSEMBLY</v>
      </c>
      <c r="P463" s="24" t="str">
        <f>IF('query (2)'!F463="","",TRIM(UPPER('query (2)'!F463)))</f>
        <v>1230-SB9AI</v>
      </c>
      <c r="Q463" s="24" t="str">
        <f>IF('query (2)'!G463="","UNKNOWN",IFERROR(INDEX(Cleaning_Rules!$B$38:$B$46,MATCH(TRIM(UPPER('query (2)'!G463)),Cleaning_Rules!$A$38:$A$46,0)),"UNKNOWN"))</f>
        <v>OTHER</v>
      </c>
      <c r="R463" s="24" t="str">
        <f>IF('query (2)'!H463="","",TRIM(UPPER('query (2)'!H463)))</f>
        <v>RIVET PRESSING M/C</v>
      </c>
      <c r="S463" s="25" t="str">
        <f>IF('query (2)'!H463="","",'query (2)'!H463)</f>
        <v>Rivet  pressing  M/C</v>
      </c>
      <c r="T463" s="24" t="str">
        <f>IF('query (2)'!J463="","",TRIM(UPPER('query (2)'!J463)))</f>
        <v>RIVET PRESSING</v>
      </c>
      <c r="U463" s="24" t="str">
        <f t="shared" si="52"/>
        <v/>
      </c>
      <c r="V463" s="24" t="str">
        <f>IF('query (2)'!K463="","NOT_SPECIFIED",IFERROR(INDEX(Cleaning_Rules!$B$32:$B$34,MATCH(TRIM(UPPER('query (2)'!K463)),Cleaning_Rules!$A$32:$A$34,0)),"UNKNOWN"))</f>
        <v>NOT_SPECIFIED</v>
      </c>
      <c r="W463" s="24" t="str">
        <f t="shared" si="53"/>
        <v>AS-892 | FACTORY2 | SB9 | SB | ASSEMBLY | 1230-SB9AI | OTHER | RIVET PRESSING M/C | RIVET PRESSING | NOT_SPECIFIED</v>
      </c>
      <c r="X463" s="24" t="str">
        <f t="shared" si="54"/>
        <v/>
      </c>
      <c r="Y463" s="24" t="str">
        <f t="shared" si="55"/>
        <v>MISSING_STATUS; CATEGORY_NOT_USEFUL</v>
      </c>
    </row>
    <row r="464" spans="1:25" x14ac:dyDescent="0.3">
      <c r="A464" s="24" t="str">
        <f t="shared" si="49"/>
        <v>WA-893#0463</v>
      </c>
      <c r="B464" s="24" t="str">
        <f>IF('query (2)'!B464="","",TRIM(UPPER('query (2)'!B464)))</f>
        <v>WA-893</v>
      </c>
      <c r="C464" s="25" t="str">
        <f>IF('query (2)'!B464="","",'query (2)'!B464)</f>
        <v>WA-893</v>
      </c>
      <c r="D464" s="24" t="str">
        <f t="shared" si="50"/>
        <v>WA</v>
      </c>
      <c r="E464" s="24">
        <f t="shared" si="51"/>
        <v>1</v>
      </c>
      <c r="F464" s="24">
        <f>IF('query (2)'!A464="","",IFERROR(VALUE('query (2)'!A464),""))</f>
        <v>482</v>
      </c>
      <c r="G464" s="24" t="str">
        <f>IF('query (2)'!C464="","UNKNOWN",IFERROR(INDEX(Cleaning_Rules!$B$15:$B$20,MATCH(TRIM(UPPER('query (2)'!C464)),Cleaning_Rules!$A$15:$A$20,0)),"UNKNOWN"))</f>
        <v>FACTORY2</v>
      </c>
      <c r="H464" s="25" t="str">
        <f>IF('query (2)'!C464="","",'query (2)'!C464)</f>
        <v>FACTORY2</v>
      </c>
      <c r="I464" s="24" t="str" cm="1">
        <f t="array" ref="I464">_xlfn.IFS($G464="UNKNOWN","UNKNOWN",OR($G464="FACTORY1",$G464="FACTORY2",$G464="FACTORY3"),"PLANT",TRUE,"SHARED")</f>
        <v>PLANT</v>
      </c>
      <c r="J464" s="24" t="str">
        <f>IF('query (2)'!D464="","UNKNOWN",IF(COUNTIF(Cleaning_Rules!$A$6:$A$11,TRIM('query (2)'!D464))&gt;0,"UNKNOWN",IFERROR(INDEX(Cleaning_Rules!$B$24:$B$28,MATCH(TRIM(UPPER('query (2)'!D464)),Cleaning_Rules!$A$24:$A$28,0)),TRIM(UPPER('query (2)'!D464)))))</f>
        <v>SB9</v>
      </c>
      <c r="K464" s="25" t="str">
        <f>IF('query (2)'!D464="","",'query (2)'!D464)</f>
        <v>SB9</v>
      </c>
      <c r="L464" s="24" t="str">
        <f>IF($J464="UNKNOWN","",_xlfn.TEXTBEFORE($J464,{"0","1","2","3","4","5","6","7","8","9"," ","-","."},1,,,$J464))</f>
        <v>SB</v>
      </c>
      <c r="M464" s="24" t="str">
        <f>IF('query (2)'!I464&lt;&gt;"",TRIM(UPPER('query (2)'!I464)),IF($L464="","UNKNOWN",$L464))</f>
        <v>SB</v>
      </c>
      <c r="N464" s="24" t="str">
        <f>IF('query (2)'!I464&lt;&gt;"","SOURCE",IF($L464="","UNKNOWN","DERIVED"))</f>
        <v>SOURCE</v>
      </c>
      <c r="O464" s="24" t="str">
        <f>IF('query (2)'!E464="","NOT_SPECIFIED",TRIM(UPPER('query (2)'!E464)))</f>
        <v>ASSEMBLY</v>
      </c>
      <c r="P464" s="24" t="str">
        <f>IF('query (2)'!F464="","",TRIM(UPPER('query (2)'!F464)))</f>
        <v>1230-SB9AI</v>
      </c>
      <c r="Q464" s="24" t="str">
        <f>IF('query (2)'!G464="","UNKNOWN",IFERROR(INDEX(Cleaning_Rules!$B$38:$B$46,MATCH(TRIM(UPPER('query (2)'!G464)),Cleaning_Rules!$A$38:$A$46,0)),"UNKNOWN"))</f>
        <v>OTHER</v>
      </c>
      <c r="R464" s="24" t="str">
        <f>IF('query (2)'!H464="","",TRIM(UPPER('query (2)'!H464)))</f>
        <v>ROUGH WASH EQUIPMENT M/C</v>
      </c>
      <c r="S464" s="25" t="str">
        <f>IF('query (2)'!H464="","",'query (2)'!H464)</f>
        <v>Rough wash equipment  M/C</v>
      </c>
      <c r="T464" s="24" t="str">
        <f>IF('query (2)'!J464="","",TRIM(UPPER('query (2)'!J464)))</f>
        <v/>
      </c>
      <c r="U464" s="24" t="str">
        <f t="shared" si="52"/>
        <v/>
      </c>
      <c r="V464" s="24" t="str">
        <f>IF('query (2)'!K464="","NOT_SPECIFIED",IFERROR(INDEX(Cleaning_Rules!$B$32:$B$34,MATCH(TRIM(UPPER('query (2)'!K464)),Cleaning_Rules!$A$32:$A$34,0)),"UNKNOWN"))</f>
        <v>NOT_SPECIFIED</v>
      </c>
      <c r="W464" s="24" t="str">
        <f t="shared" si="53"/>
        <v>WA-893 | FACTORY2 | SB9 | SB | ASSEMBLY | 1230-SB9AI | OTHER | ROUGH WASH EQUIPMENT M/C | NOT_SPECIFIED</v>
      </c>
      <c r="X464" s="24" t="str">
        <f t="shared" si="54"/>
        <v/>
      </c>
      <c r="Y464" s="24" t="str">
        <f t="shared" si="55"/>
        <v>MISSING_STATUS; CATEGORY_NOT_USEFUL; MISSING_PRODUCTION_NAME</v>
      </c>
    </row>
    <row r="465" spans="1:25" x14ac:dyDescent="0.3">
      <c r="A465" s="24" t="str">
        <f t="shared" si="49"/>
        <v>CH-894#0464</v>
      </c>
      <c r="B465" s="24" t="str">
        <f>IF('query (2)'!B465="","",TRIM(UPPER('query (2)'!B465)))</f>
        <v>CH-894</v>
      </c>
      <c r="C465" s="25" t="str">
        <f>IF('query (2)'!B465="","",'query (2)'!B465)</f>
        <v>CH-894</v>
      </c>
      <c r="D465" s="24" t="str">
        <f t="shared" si="50"/>
        <v>CH</v>
      </c>
      <c r="E465" s="24">
        <f t="shared" si="51"/>
        <v>1</v>
      </c>
      <c r="F465" s="24">
        <f>IF('query (2)'!A465="","",IFERROR(VALUE('query (2)'!A465),""))</f>
        <v>483</v>
      </c>
      <c r="G465" s="24" t="str">
        <f>IF('query (2)'!C465="","UNKNOWN",IFERROR(INDEX(Cleaning_Rules!$B$15:$B$20,MATCH(TRIM(UPPER('query (2)'!C465)),Cleaning_Rules!$A$15:$A$20,0)),"UNKNOWN"))</f>
        <v>FACTORY2</v>
      </c>
      <c r="H465" s="25" t="str">
        <f>IF('query (2)'!C465="","",'query (2)'!C465)</f>
        <v>FACTORY2</v>
      </c>
      <c r="I465" s="24" t="str" cm="1">
        <f t="array" ref="I465">_xlfn.IFS($G465="UNKNOWN","UNKNOWN",OR($G465="FACTORY1",$G465="FACTORY2",$G465="FACTORY3"),"PLANT",TRUE,"SHARED")</f>
        <v>PLANT</v>
      </c>
      <c r="J465" s="24" t="str">
        <f>IF('query (2)'!D465="","UNKNOWN",IF(COUNTIF(Cleaning_Rules!$A$6:$A$11,TRIM('query (2)'!D465))&gt;0,"UNKNOWN",IFERROR(INDEX(Cleaning_Rules!$B$24:$B$28,MATCH(TRIM(UPPER('query (2)'!D465)),Cleaning_Rules!$A$24:$A$28,0)),TRIM(UPPER('query (2)'!D465)))))</f>
        <v>SB9</v>
      </c>
      <c r="K465" s="25" t="str">
        <f>IF('query (2)'!D465="","",'query (2)'!D465)</f>
        <v>SB9</v>
      </c>
      <c r="L465" s="24" t="str">
        <f>IF($J465="UNKNOWN","",_xlfn.TEXTBEFORE($J465,{"0","1","2","3","4","5","6","7","8","9"," ","-","."},1,,,$J465))</f>
        <v>SB</v>
      </c>
      <c r="M465" s="24" t="str">
        <f>IF('query (2)'!I465&lt;&gt;"",TRIM(UPPER('query (2)'!I465)),IF($L465="","UNKNOWN",$L465))</f>
        <v>SB</v>
      </c>
      <c r="N465" s="24" t="str">
        <f>IF('query (2)'!I465&lt;&gt;"","SOURCE",IF($L465="","UNKNOWN","DERIVED"))</f>
        <v>SOURCE</v>
      </c>
      <c r="O465" s="24" t="str">
        <f>IF('query (2)'!E465="","NOT_SPECIFIED",TRIM(UPPER('query (2)'!E465)))</f>
        <v>ASSEMBLY</v>
      </c>
      <c r="P465" s="24" t="str">
        <f>IF('query (2)'!F465="","",TRIM(UPPER('query (2)'!F465)))</f>
        <v>1230-SB9AI</v>
      </c>
      <c r="Q465" s="24" t="str">
        <f>IF('query (2)'!G465="","UNKNOWN",IFERROR(INDEX(Cleaning_Rules!$B$38:$B$46,MATCH(TRIM(UPPER('query (2)'!G465)),Cleaning_Rules!$A$38:$A$46,0)),"UNKNOWN"))</f>
        <v>OTHER</v>
      </c>
      <c r="R465" s="24" t="str">
        <f>IF('query (2)'!H465="","",TRIM(UPPER('query (2)'!H465)))</f>
        <v>AUTO RADIAL CLEARANCE M/C</v>
      </c>
      <c r="S465" s="25" t="str">
        <f>IF('query (2)'!H465="","",'query (2)'!H465)</f>
        <v>Auto radial clearance M/C</v>
      </c>
      <c r="T465" s="24" t="str">
        <f>IF('query (2)'!J465="","",TRIM(UPPER('query (2)'!J465)))</f>
        <v>R/C AUTO</v>
      </c>
      <c r="U465" s="24" t="str">
        <f t="shared" si="52"/>
        <v/>
      </c>
      <c r="V465" s="24" t="str">
        <f>IF('query (2)'!K465="","NOT_SPECIFIED",IFERROR(INDEX(Cleaning_Rules!$B$32:$B$34,MATCH(TRIM(UPPER('query (2)'!K465)),Cleaning_Rules!$A$32:$A$34,0)),"UNKNOWN"))</f>
        <v>NOT_SPECIFIED</v>
      </c>
      <c r="W465" s="24" t="str">
        <f t="shared" si="53"/>
        <v>CH-894 | FACTORY2 | SB9 | SB | ASSEMBLY | 1230-SB9AI | OTHER | AUTO RADIAL CLEARANCE M/C | R/C AUTO | NOT_SPECIFIED</v>
      </c>
      <c r="X465" s="24" t="str">
        <f t="shared" si="54"/>
        <v/>
      </c>
      <c r="Y465" s="24" t="str">
        <f t="shared" si="55"/>
        <v>MISSING_STATUS; CATEGORY_NOT_USEFUL</v>
      </c>
    </row>
    <row r="466" spans="1:25" x14ac:dyDescent="0.3">
      <c r="A466" s="24" t="str">
        <f t="shared" si="49"/>
        <v>WA-895#0465</v>
      </c>
      <c r="B466" s="24" t="str">
        <f>IF('query (2)'!B466="","",TRIM(UPPER('query (2)'!B466)))</f>
        <v>WA-895</v>
      </c>
      <c r="C466" s="25" t="str">
        <f>IF('query (2)'!B466="","",'query (2)'!B466)</f>
        <v>WA-895</v>
      </c>
      <c r="D466" s="24" t="str">
        <f t="shared" si="50"/>
        <v>WA</v>
      </c>
      <c r="E466" s="24">
        <f t="shared" si="51"/>
        <v>1</v>
      </c>
      <c r="F466" s="24">
        <f>IF('query (2)'!A466="","",IFERROR(VALUE('query (2)'!A466),""))</f>
        <v>484</v>
      </c>
      <c r="G466" s="24" t="str">
        <f>IF('query (2)'!C466="","UNKNOWN",IFERROR(INDEX(Cleaning_Rules!$B$15:$B$20,MATCH(TRIM(UPPER('query (2)'!C466)),Cleaning_Rules!$A$15:$A$20,0)),"UNKNOWN"))</f>
        <v>FACTORY2</v>
      </c>
      <c r="H466" s="25" t="str">
        <f>IF('query (2)'!C466="","",'query (2)'!C466)</f>
        <v>FACTORY2</v>
      </c>
      <c r="I466" s="24" t="str" cm="1">
        <f t="array" ref="I466">_xlfn.IFS($G466="UNKNOWN","UNKNOWN",OR($G466="FACTORY1",$G466="FACTORY2",$G466="FACTORY3"),"PLANT",TRUE,"SHARED")</f>
        <v>PLANT</v>
      </c>
      <c r="J466" s="24" t="str">
        <f>IF('query (2)'!D466="","UNKNOWN",IF(COUNTIF(Cleaning_Rules!$A$6:$A$11,TRIM('query (2)'!D466))&gt;0,"UNKNOWN",IFERROR(INDEX(Cleaning_Rules!$B$24:$B$28,MATCH(TRIM(UPPER('query (2)'!D466)),Cleaning_Rules!$A$24:$A$28,0)),TRIM(UPPER('query (2)'!D466)))))</f>
        <v>SB9</v>
      </c>
      <c r="K466" s="25" t="str">
        <f>IF('query (2)'!D466="","",'query (2)'!D466)</f>
        <v>SB9</v>
      </c>
      <c r="L466" s="24" t="str">
        <f>IF($J466="UNKNOWN","",_xlfn.TEXTBEFORE($J466,{"0","1","2","3","4","5","6","7","8","9"," ","-","."},1,,,$J466))</f>
        <v>SB</v>
      </c>
      <c r="M466" s="24" t="str">
        <f>IF('query (2)'!I466&lt;&gt;"",TRIM(UPPER('query (2)'!I466)),IF($L466="","UNKNOWN",$L466))</f>
        <v>SB</v>
      </c>
      <c r="N466" s="24" t="str">
        <f>IF('query (2)'!I466&lt;&gt;"","SOURCE",IF($L466="","UNKNOWN","DERIVED"))</f>
        <v>SOURCE</v>
      </c>
      <c r="O466" s="24" t="str">
        <f>IF('query (2)'!E466="","NOT_SPECIFIED",TRIM(UPPER('query (2)'!E466)))</f>
        <v>ASSEMBLY</v>
      </c>
      <c r="P466" s="24" t="str">
        <f>IF('query (2)'!F466="","",TRIM(UPPER('query (2)'!F466)))</f>
        <v>1230-SB9AI</v>
      </c>
      <c r="Q466" s="24" t="str">
        <f>IF('query (2)'!G466="","UNKNOWN",IFERROR(INDEX(Cleaning_Rules!$B$38:$B$46,MATCH(TRIM(UPPER('query (2)'!G466)),Cleaning_Rules!$A$38:$A$46,0)),"UNKNOWN"))</f>
        <v>OTHER</v>
      </c>
      <c r="R466" s="24" t="str">
        <f>IF('query (2)'!H466="","",TRIM(UPPER('query (2)'!H466)))</f>
        <v>FINISH WASH EQUIPMENT M/C</v>
      </c>
      <c r="S466" s="25" t="str">
        <f>IF('query (2)'!H466="","",'query (2)'!H466)</f>
        <v>Finish  wash  equipment  M/C</v>
      </c>
      <c r="T466" s="24" t="str">
        <f>IF('query (2)'!J466="","",TRIM(UPPER('query (2)'!J466)))</f>
        <v>WASHING FINISH</v>
      </c>
      <c r="U466" s="24" t="str">
        <f t="shared" si="52"/>
        <v/>
      </c>
      <c r="V466" s="24" t="str">
        <f>IF('query (2)'!K466="","NOT_SPECIFIED",IFERROR(INDEX(Cleaning_Rules!$B$32:$B$34,MATCH(TRIM(UPPER('query (2)'!K466)),Cleaning_Rules!$A$32:$A$34,0)),"UNKNOWN"))</f>
        <v>NOT_SPECIFIED</v>
      </c>
      <c r="W466" s="24" t="str">
        <f t="shared" si="53"/>
        <v>WA-895 | FACTORY2 | SB9 | SB | ASSEMBLY | 1230-SB9AI | OTHER | FINISH WASH EQUIPMENT M/C | WASHING FINISH | NOT_SPECIFIED</v>
      </c>
      <c r="X466" s="24" t="str">
        <f t="shared" si="54"/>
        <v/>
      </c>
      <c r="Y466" s="24" t="str">
        <f t="shared" si="55"/>
        <v>MISSING_STATUS; CATEGORY_NOT_USEFUL</v>
      </c>
    </row>
    <row r="467" spans="1:25" x14ac:dyDescent="0.3">
      <c r="A467" s="24" t="str">
        <f t="shared" si="49"/>
        <v>CH-896#0466</v>
      </c>
      <c r="B467" s="24" t="str">
        <f>IF('query (2)'!B467="","",TRIM(UPPER('query (2)'!B467)))</f>
        <v>CH-896</v>
      </c>
      <c r="C467" s="25" t="str">
        <f>IF('query (2)'!B467="","",'query (2)'!B467)</f>
        <v>CH-896</v>
      </c>
      <c r="D467" s="24" t="str">
        <f t="shared" si="50"/>
        <v>CH</v>
      </c>
      <c r="E467" s="24">
        <f t="shared" si="51"/>
        <v>1</v>
      </c>
      <c r="F467" s="24">
        <f>IF('query (2)'!A467="","",IFERROR(VALUE('query (2)'!A467),""))</f>
        <v>485</v>
      </c>
      <c r="G467" s="24" t="str">
        <f>IF('query (2)'!C467="","UNKNOWN",IFERROR(INDEX(Cleaning_Rules!$B$15:$B$20,MATCH(TRIM(UPPER('query (2)'!C467)),Cleaning_Rules!$A$15:$A$20,0)),"UNKNOWN"))</f>
        <v>FACTORY2</v>
      </c>
      <c r="H467" s="25" t="str">
        <f>IF('query (2)'!C467="","",'query (2)'!C467)</f>
        <v>FACTORY2</v>
      </c>
      <c r="I467" s="24" t="str" cm="1">
        <f t="array" ref="I467">_xlfn.IFS($G467="UNKNOWN","UNKNOWN",OR($G467="FACTORY1",$G467="FACTORY2",$G467="FACTORY3"),"PLANT",TRUE,"SHARED")</f>
        <v>PLANT</v>
      </c>
      <c r="J467" s="24" t="str">
        <f>IF('query (2)'!D467="","UNKNOWN",IF(COUNTIF(Cleaning_Rules!$A$6:$A$11,TRIM('query (2)'!D467))&gt;0,"UNKNOWN",IFERROR(INDEX(Cleaning_Rules!$B$24:$B$28,MATCH(TRIM(UPPER('query (2)'!D467)),Cleaning_Rules!$A$24:$A$28,0)),TRIM(UPPER('query (2)'!D467)))))</f>
        <v>SB9</v>
      </c>
      <c r="K467" s="25" t="str">
        <f>IF('query (2)'!D467="","",'query (2)'!D467)</f>
        <v>SB9</v>
      </c>
      <c r="L467" s="24" t="str">
        <f>IF($J467="UNKNOWN","",_xlfn.TEXTBEFORE($J467,{"0","1","2","3","4","5","6","7","8","9"," ","-","."},1,,,$J467))</f>
        <v>SB</v>
      </c>
      <c r="M467" s="24" t="str">
        <f>IF('query (2)'!I467&lt;&gt;"",TRIM(UPPER('query (2)'!I467)),IF($L467="","UNKNOWN",$L467))</f>
        <v>SB</v>
      </c>
      <c r="N467" s="24" t="str">
        <f>IF('query (2)'!I467&lt;&gt;"","SOURCE",IF($L467="","UNKNOWN","DERIVED"))</f>
        <v>SOURCE</v>
      </c>
      <c r="O467" s="24" t="str">
        <f>IF('query (2)'!E467="","NOT_SPECIFIED",TRIM(UPPER('query (2)'!E467)))</f>
        <v>ASSEMBLY</v>
      </c>
      <c r="P467" s="24" t="str">
        <f>IF('query (2)'!F467="","",TRIM(UPPER('query (2)'!F467)))</f>
        <v>1230-SB9AI</v>
      </c>
      <c r="Q467" s="24" t="str">
        <f>IF('query (2)'!G467="","UNKNOWN",IFERROR(INDEX(Cleaning_Rules!$B$38:$B$46,MATCH(TRIM(UPPER('query (2)'!G467)),Cleaning_Rules!$A$38:$A$46,0)),"UNKNOWN"))</f>
        <v>OTHER</v>
      </c>
      <c r="R467" s="24" t="str">
        <f>IF('query (2)'!H467="","",TRIM(UPPER('query (2)'!H467)))</f>
        <v>AUTOMATIC VIBRATION TESTING M/C.</v>
      </c>
      <c r="S467" s="25" t="str">
        <f>IF('query (2)'!H467="","",'query (2)'!H467)</f>
        <v>Automatic Vibration testing M/C.</v>
      </c>
      <c r="T467" s="24" t="str">
        <f>IF('query (2)'!J467="","",TRIM(UPPER('query (2)'!J467)))</f>
        <v>VIBRATION CHECK MC</v>
      </c>
      <c r="U467" s="24" t="str">
        <f t="shared" si="52"/>
        <v/>
      </c>
      <c r="V467" s="24" t="str">
        <f>IF('query (2)'!K467="","NOT_SPECIFIED",IFERROR(INDEX(Cleaning_Rules!$B$32:$B$34,MATCH(TRIM(UPPER('query (2)'!K467)),Cleaning_Rules!$A$32:$A$34,0)),"UNKNOWN"))</f>
        <v>NOT_SPECIFIED</v>
      </c>
      <c r="W467" s="24" t="str">
        <f t="shared" si="53"/>
        <v>CH-896 | FACTORY2 | SB9 | SB | ASSEMBLY | 1230-SB9AI | OTHER | AUTOMATIC VIBRATION TESTING M/C. | VIBRATION CHECK MC | NOT_SPECIFIED</v>
      </c>
      <c r="X467" s="24" t="str">
        <f t="shared" si="54"/>
        <v/>
      </c>
      <c r="Y467" s="24" t="str">
        <f t="shared" si="55"/>
        <v>MISSING_STATUS; CATEGORY_NOT_USEFUL</v>
      </c>
    </row>
    <row r="468" spans="1:25" x14ac:dyDescent="0.3">
      <c r="A468" s="24" t="str">
        <f t="shared" si="49"/>
        <v>CH-897#0467</v>
      </c>
      <c r="B468" s="24" t="str">
        <f>IF('query (2)'!B468="","",TRIM(UPPER('query (2)'!B468)))</f>
        <v>CH-897</v>
      </c>
      <c r="C468" s="25" t="str">
        <f>IF('query (2)'!B468="","",'query (2)'!B468)</f>
        <v>CH-897</v>
      </c>
      <c r="D468" s="24" t="str">
        <f t="shared" si="50"/>
        <v>CH</v>
      </c>
      <c r="E468" s="24">
        <f t="shared" si="51"/>
        <v>1</v>
      </c>
      <c r="F468" s="24">
        <f>IF('query (2)'!A468="","",IFERROR(VALUE('query (2)'!A468),""))</f>
        <v>486</v>
      </c>
      <c r="G468" s="24" t="str">
        <f>IF('query (2)'!C468="","UNKNOWN",IFERROR(INDEX(Cleaning_Rules!$B$15:$B$20,MATCH(TRIM(UPPER('query (2)'!C468)),Cleaning_Rules!$A$15:$A$20,0)),"UNKNOWN"))</f>
        <v>FACTORY2</v>
      </c>
      <c r="H468" s="25" t="str">
        <f>IF('query (2)'!C468="","",'query (2)'!C468)</f>
        <v>FACTORY2</v>
      </c>
      <c r="I468" s="24" t="str" cm="1">
        <f t="array" ref="I468">_xlfn.IFS($G468="UNKNOWN","UNKNOWN",OR($G468="FACTORY1",$G468="FACTORY2",$G468="FACTORY3"),"PLANT",TRUE,"SHARED")</f>
        <v>PLANT</v>
      </c>
      <c r="J468" s="24" t="str">
        <f>IF('query (2)'!D468="","UNKNOWN",IF(COUNTIF(Cleaning_Rules!$A$6:$A$11,TRIM('query (2)'!D468))&gt;0,"UNKNOWN",IFERROR(INDEX(Cleaning_Rules!$B$24:$B$28,MATCH(TRIM(UPPER('query (2)'!D468)),Cleaning_Rules!$A$24:$A$28,0)),TRIM(UPPER('query (2)'!D468)))))</f>
        <v>SB9</v>
      </c>
      <c r="K468" s="25" t="str">
        <f>IF('query (2)'!D468="","",'query (2)'!D468)</f>
        <v>SB9</v>
      </c>
      <c r="L468" s="24" t="str">
        <f>IF($J468="UNKNOWN","",_xlfn.TEXTBEFORE($J468,{"0","1","2","3","4","5","6","7","8","9"," ","-","."},1,,,$J468))</f>
        <v>SB</v>
      </c>
      <c r="M468" s="24" t="str">
        <f>IF('query (2)'!I468&lt;&gt;"",TRIM(UPPER('query (2)'!I468)),IF($L468="","UNKNOWN",$L468))</f>
        <v>SB</v>
      </c>
      <c r="N468" s="24" t="str">
        <f>IF('query (2)'!I468&lt;&gt;"","SOURCE",IF($L468="","UNKNOWN","DERIVED"))</f>
        <v>SOURCE</v>
      </c>
      <c r="O468" s="24" t="str">
        <f>IF('query (2)'!E468="","NOT_SPECIFIED",TRIM(UPPER('query (2)'!E468)))</f>
        <v>ASSEMBLY</v>
      </c>
      <c r="P468" s="24" t="str">
        <f>IF('query (2)'!F468="","",TRIM(UPPER('query (2)'!F468)))</f>
        <v>1230-SB9AI</v>
      </c>
      <c r="Q468" s="24" t="str">
        <f>IF('query (2)'!G468="","UNKNOWN",IFERROR(INDEX(Cleaning_Rules!$B$38:$B$46,MATCH(TRIM(UPPER('query (2)'!G468)),Cleaning_Rules!$A$38:$A$46,0)),"UNKNOWN"))</f>
        <v>OTHER</v>
      </c>
      <c r="R468" s="24" t="str">
        <f>IF('query (2)'!H468="","",TRIM(UPPER('query (2)'!H468)))</f>
        <v>NOISE MANUAL INSPECTION M/C.</v>
      </c>
      <c r="S468" s="25" t="str">
        <f>IF('query (2)'!H468="","",'query (2)'!H468)</f>
        <v>Noise manual inspection M/C.</v>
      </c>
      <c r="T468" s="24" t="str">
        <f>IF('query (2)'!J468="","",TRIM(UPPER('query (2)'!J468)))</f>
        <v>NOISE INSPECTION</v>
      </c>
      <c r="U468" s="24" t="str">
        <f t="shared" si="52"/>
        <v/>
      </c>
      <c r="V468" s="24" t="str">
        <f>IF('query (2)'!K468="","NOT_SPECIFIED",IFERROR(INDEX(Cleaning_Rules!$B$32:$B$34,MATCH(TRIM(UPPER('query (2)'!K468)),Cleaning_Rules!$A$32:$A$34,0)),"UNKNOWN"))</f>
        <v>NOT_SPECIFIED</v>
      </c>
      <c r="W468" s="24" t="str">
        <f t="shared" si="53"/>
        <v>CH-897 | FACTORY2 | SB9 | SB | ASSEMBLY | 1230-SB9AI | OTHER | NOISE MANUAL INSPECTION M/C. | NOISE INSPECTION | NOT_SPECIFIED</v>
      </c>
      <c r="X468" s="24" t="str">
        <f t="shared" si="54"/>
        <v/>
      </c>
      <c r="Y468" s="24" t="str">
        <f t="shared" si="55"/>
        <v>MISSING_STATUS; CATEGORY_NOT_USEFUL</v>
      </c>
    </row>
    <row r="469" spans="1:25" x14ac:dyDescent="0.3">
      <c r="A469" s="24" t="str">
        <f t="shared" si="49"/>
        <v>CH-898#0468</v>
      </c>
      <c r="B469" s="24" t="str">
        <f>IF('query (2)'!B469="","",TRIM(UPPER('query (2)'!B469)))</f>
        <v>CH-898</v>
      </c>
      <c r="C469" s="25" t="str">
        <f>IF('query (2)'!B469="","",'query (2)'!B469)</f>
        <v>CH-898</v>
      </c>
      <c r="D469" s="24" t="str">
        <f t="shared" si="50"/>
        <v>CH</v>
      </c>
      <c r="E469" s="24">
        <f t="shared" si="51"/>
        <v>1</v>
      </c>
      <c r="F469" s="24">
        <f>IF('query (2)'!A469="","",IFERROR(VALUE('query (2)'!A469),""))</f>
        <v>487</v>
      </c>
      <c r="G469" s="24" t="str">
        <f>IF('query (2)'!C469="","UNKNOWN",IFERROR(INDEX(Cleaning_Rules!$B$15:$B$20,MATCH(TRIM(UPPER('query (2)'!C469)),Cleaning_Rules!$A$15:$A$20,0)),"UNKNOWN"))</f>
        <v>FACTORY2</v>
      </c>
      <c r="H469" s="25" t="str">
        <f>IF('query (2)'!C469="","",'query (2)'!C469)</f>
        <v>FACTORY2</v>
      </c>
      <c r="I469" s="24" t="str" cm="1">
        <f t="array" ref="I469">_xlfn.IFS($G469="UNKNOWN","UNKNOWN",OR($G469="FACTORY1",$G469="FACTORY2",$G469="FACTORY3"),"PLANT",TRUE,"SHARED")</f>
        <v>PLANT</v>
      </c>
      <c r="J469" s="24" t="str">
        <f>IF('query (2)'!D469="","UNKNOWN",IF(COUNTIF(Cleaning_Rules!$A$6:$A$11,TRIM('query (2)'!D469))&gt;0,"UNKNOWN",IFERROR(INDEX(Cleaning_Rules!$B$24:$B$28,MATCH(TRIM(UPPER('query (2)'!D469)),Cleaning_Rules!$A$24:$A$28,0)),TRIM(UPPER('query (2)'!D469)))))</f>
        <v>SB9</v>
      </c>
      <c r="K469" s="25" t="str">
        <f>IF('query (2)'!D469="","",'query (2)'!D469)</f>
        <v>SB9</v>
      </c>
      <c r="L469" s="24" t="str">
        <f>IF($J469="UNKNOWN","",_xlfn.TEXTBEFORE($J469,{"0","1","2","3","4","5","6","7","8","9"," ","-","."},1,,,$J469))</f>
        <v>SB</v>
      </c>
      <c r="M469" s="24" t="str">
        <f>IF('query (2)'!I469&lt;&gt;"",TRIM(UPPER('query (2)'!I469)),IF($L469="","UNKNOWN",$L469))</f>
        <v>SB</v>
      </c>
      <c r="N469" s="24" t="str">
        <f>IF('query (2)'!I469&lt;&gt;"","SOURCE",IF($L469="","UNKNOWN","DERIVED"))</f>
        <v>SOURCE</v>
      </c>
      <c r="O469" s="24" t="str">
        <f>IF('query (2)'!E469="","NOT_SPECIFIED",TRIM(UPPER('query (2)'!E469)))</f>
        <v>ASSEMBLY</v>
      </c>
      <c r="P469" s="24" t="str">
        <f>IF('query (2)'!F469="","",TRIM(UPPER('query (2)'!F469)))</f>
        <v>1230-SB9AI</v>
      </c>
      <c r="Q469" s="24" t="str">
        <f>IF('query (2)'!G469="","UNKNOWN",IFERROR(INDEX(Cleaning_Rules!$B$38:$B$46,MATCH(TRIM(UPPER('query (2)'!G469)),Cleaning_Rules!$A$38:$A$46,0)),"UNKNOWN"))</f>
        <v>OTHER</v>
      </c>
      <c r="R469" s="24" t="str">
        <f>IF('query (2)'!H469="","",TRIM(UPPER('query (2)'!H469)))</f>
        <v>WEIGHT CHECKER M/C</v>
      </c>
      <c r="S469" s="25" t="str">
        <f>IF('query (2)'!H469="","",'query (2)'!H469)</f>
        <v>Weight  checker  M/C</v>
      </c>
      <c r="T469" s="24" t="str">
        <f>IF('query (2)'!J469="","",TRIM(UPPER('query (2)'!J469)))</f>
        <v>WEIGHT CHECKER</v>
      </c>
      <c r="U469" s="24" t="str">
        <f t="shared" si="52"/>
        <v/>
      </c>
      <c r="V469" s="24" t="str">
        <f>IF('query (2)'!K469="","NOT_SPECIFIED",IFERROR(INDEX(Cleaning_Rules!$B$32:$B$34,MATCH(TRIM(UPPER('query (2)'!K469)),Cleaning_Rules!$A$32:$A$34,0)),"UNKNOWN"))</f>
        <v>NOT_SPECIFIED</v>
      </c>
      <c r="W469" s="24" t="str">
        <f t="shared" si="53"/>
        <v>CH-898 | FACTORY2 | SB9 | SB | ASSEMBLY | 1230-SB9AI | OTHER | WEIGHT CHECKER M/C | WEIGHT CHECKER | NOT_SPECIFIED</v>
      </c>
      <c r="X469" s="24" t="str">
        <f t="shared" si="54"/>
        <v/>
      </c>
      <c r="Y469" s="24" t="str">
        <f t="shared" si="55"/>
        <v>MISSING_STATUS; CATEGORY_NOT_USEFUL</v>
      </c>
    </row>
    <row r="470" spans="1:25" x14ac:dyDescent="0.3">
      <c r="A470" s="24" t="str">
        <f t="shared" si="49"/>
        <v>MA-899#0469</v>
      </c>
      <c r="B470" s="24" t="str">
        <f>IF('query (2)'!B470="","",TRIM(UPPER('query (2)'!B470)))</f>
        <v>MA-899</v>
      </c>
      <c r="C470" s="25" t="str">
        <f>IF('query (2)'!B470="","",'query (2)'!B470)</f>
        <v>MA-899</v>
      </c>
      <c r="D470" s="24" t="str">
        <f t="shared" si="50"/>
        <v>MA</v>
      </c>
      <c r="E470" s="24">
        <f t="shared" si="51"/>
        <v>1</v>
      </c>
      <c r="F470" s="24">
        <f>IF('query (2)'!A470="","",IFERROR(VALUE('query (2)'!A470),""))</f>
        <v>488</v>
      </c>
      <c r="G470" s="24" t="str">
        <f>IF('query (2)'!C470="","UNKNOWN",IFERROR(INDEX(Cleaning_Rules!$B$15:$B$20,MATCH(TRIM(UPPER('query (2)'!C470)),Cleaning_Rules!$A$15:$A$20,0)),"UNKNOWN"))</f>
        <v>FACTORY2</v>
      </c>
      <c r="H470" s="25" t="str">
        <f>IF('query (2)'!C470="","",'query (2)'!C470)</f>
        <v>FACTORY2</v>
      </c>
      <c r="I470" s="24" t="str" cm="1">
        <f t="array" ref="I470">_xlfn.IFS($G470="UNKNOWN","UNKNOWN",OR($G470="FACTORY1",$G470="FACTORY2",$G470="FACTORY3"),"PLANT",TRUE,"SHARED")</f>
        <v>PLANT</v>
      </c>
      <c r="J470" s="24" t="str">
        <f>IF('query (2)'!D470="","UNKNOWN",IF(COUNTIF(Cleaning_Rules!$A$6:$A$11,TRIM('query (2)'!D470))&gt;0,"UNKNOWN",IFERROR(INDEX(Cleaning_Rules!$B$24:$B$28,MATCH(TRIM(UPPER('query (2)'!D470)),Cleaning_Rules!$A$24:$A$28,0)),TRIM(UPPER('query (2)'!D470)))))</f>
        <v>SB9</v>
      </c>
      <c r="K470" s="25" t="str">
        <f>IF('query (2)'!D470="","",'query (2)'!D470)</f>
        <v>SB9</v>
      </c>
      <c r="L470" s="24" t="str">
        <f>IF($J470="UNKNOWN","",_xlfn.TEXTBEFORE($J470,{"0","1","2","3","4","5","6","7","8","9"," ","-","."},1,,,$J470))</f>
        <v>SB</v>
      </c>
      <c r="M470" s="24" t="str">
        <f>IF('query (2)'!I470&lt;&gt;"",TRIM(UPPER('query (2)'!I470)),IF($L470="","UNKNOWN",$L470))</f>
        <v>SB</v>
      </c>
      <c r="N470" s="24" t="str">
        <f>IF('query (2)'!I470&lt;&gt;"","SOURCE",IF($L470="","UNKNOWN","DERIVED"))</f>
        <v>SOURCE</v>
      </c>
      <c r="O470" s="24" t="str">
        <f>IF('query (2)'!E470="","NOT_SPECIFIED",TRIM(UPPER('query (2)'!E470)))</f>
        <v>ASSEMBLY</v>
      </c>
      <c r="P470" s="24" t="str">
        <f>IF('query (2)'!F470="","",TRIM(UPPER('query (2)'!F470)))</f>
        <v>1230-SB9AI</v>
      </c>
      <c r="Q470" s="24" t="str">
        <f>IF('query (2)'!G470="","UNKNOWN",IFERROR(INDEX(Cleaning_Rules!$B$38:$B$46,MATCH(TRIM(UPPER('query (2)'!G470)),Cleaning_Rules!$A$38:$A$46,0)),"UNKNOWN"))</f>
        <v>OTHER</v>
      </c>
      <c r="R470" s="24" t="str">
        <f>IF('query (2)'!H470="","",TRIM(UPPER('query (2)'!H470)))</f>
        <v>LASER MARKER M/C.</v>
      </c>
      <c r="S470" s="25" t="str">
        <f>IF('query (2)'!H470="","",'query (2)'!H470)</f>
        <v>Laser marker M/C.</v>
      </c>
      <c r="T470" s="24" t="str">
        <f>IF('query (2)'!J470="","",TRIM(UPPER('query (2)'!J470)))</f>
        <v>LASER MARKING</v>
      </c>
      <c r="U470" s="24" t="str">
        <f t="shared" si="52"/>
        <v/>
      </c>
      <c r="V470" s="24" t="str">
        <f>IF('query (2)'!K470="","NOT_SPECIFIED",IFERROR(INDEX(Cleaning_Rules!$B$32:$B$34,MATCH(TRIM(UPPER('query (2)'!K470)),Cleaning_Rules!$A$32:$A$34,0)),"UNKNOWN"))</f>
        <v>NOT_SPECIFIED</v>
      </c>
      <c r="W470" s="24" t="str">
        <f t="shared" si="53"/>
        <v>MA-899 | FACTORY2 | SB9 | SB | ASSEMBLY | 1230-SB9AI | OTHER | LASER MARKER M/C. | LASER MARKING | NOT_SPECIFIED</v>
      </c>
      <c r="X470" s="24" t="str">
        <f t="shared" si="54"/>
        <v/>
      </c>
      <c r="Y470" s="24" t="str">
        <f t="shared" si="55"/>
        <v>MISSING_STATUS; CATEGORY_NOT_USEFUL</v>
      </c>
    </row>
    <row r="471" spans="1:25" x14ac:dyDescent="0.3">
      <c r="A471" s="24" t="str">
        <f t="shared" si="49"/>
        <v>AR-900#0470</v>
      </c>
      <c r="B471" s="24" t="str">
        <f>IF('query (2)'!B471="","",TRIM(UPPER('query (2)'!B471)))</f>
        <v>AR-900</v>
      </c>
      <c r="C471" s="25" t="str">
        <f>IF('query (2)'!B471="","",'query (2)'!B471)</f>
        <v>AR-900</v>
      </c>
      <c r="D471" s="24" t="str">
        <f t="shared" si="50"/>
        <v>AR</v>
      </c>
      <c r="E471" s="24">
        <f t="shared" si="51"/>
        <v>1</v>
      </c>
      <c r="F471" s="24">
        <f>IF('query (2)'!A471="","",IFERROR(VALUE('query (2)'!A471),""))</f>
        <v>489</v>
      </c>
      <c r="G471" s="24" t="str">
        <f>IF('query (2)'!C471="","UNKNOWN",IFERROR(INDEX(Cleaning_Rules!$B$15:$B$20,MATCH(TRIM(UPPER('query (2)'!C471)),Cleaning_Rules!$A$15:$A$20,0)),"UNKNOWN"))</f>
        <v>FACTORY2</v>
      </c>
      <c r="H471" s="25" t="str">
        <f>IF('query (2)'!C471="","",'query (2)'!C471)</f>
        <v>FACTORY2</v>
      </c>
      <c r="I471" s="24" t="str" cm="1">
        <f t="array" ref="I471">_xlfn.IFS($G471="UNKNOWN","UNKNOWN",OR($G471="FACTORY1",$G471="FACTORY2",$G471="FACTORY3"),"PLANT",TRUE,"SHARED")</f>
        <v>PLANT</v>
      </c>
      <c r="J471" s="24" t="str">
        <f>IF('query (2)'!D471="","UNKNOWN",IF(COUNTIF(Cleaning_Rules!$A$6:$A$11,TRIM('query (2)'!D471))&gt;0,"UNKNOWN",IFERROR(INDEX(Cleaning_Rules!$B$24:$B$28,MATCH(TRIM(UPPER('query (2)'!D471)),Cleaning_Rules!$A$24:$A$28,0)),TRIM(UPPER('query (2)'!D471)))))</f>
        <v>SB9</v>
      </c>
      <c r="K471" s="25" t="str">
        <f>IF('query (2)'!D471="","",'query (2)'!D471)</f>
        <v>SB9</v>
      </c>
      <c r="L471" s="24" t="str">
        <f>IF($J471="UNKNOWN","",_xlfn.TEXTBEFORE($J471,{"0","1","2","3","4","5","6","7","8","9"," ","-","."},1,,,$J471))</f>
        <v>SB</v>
      </c>
      <c r="M471" s="24" t="str">
        <f>IF('query (2)'!I471&lt;&gt;"",TRIM(UPPER('query (2)'!I471)),IF($L471="","UNKNOWN",$L471))</f>
        <v>SB</v>
      </c>
      <c r="N471" s="24" t="str">
        <f>IF('query (2)'!I471&lt;&gt;"","SOURCE",IF($L471="","UNKNOWN","DERIVED"))</f>
        <v>SOURCE</v>
      </c>
      <c r="O471" s="24" t="str">
        <f>IF('query (2)'!E471="","NOT_SPECIFIED",TRIM(UPPER('query (2)'!E471)))</f>
        <v>ASSEMBLY</v>
      </c>
      <c r="P471" s="24" t="str">
        <f>IF('query (2)'!F471="","",TRIM(UPPER('query (2)'!F471)))</f>
        <v>1230-SB9AI</v>
      </c>
      <c r="Q471" s="24" t="str">
        <f>IF('query (2)'!G471="","UNKNOWN",IFERROR(INDEX(Cleaning_Rules!$B$38:$B$46,MATCH(TRIM(UPPER('query (2)'!G471)),Cleaning_Rules!$A$38:$A$46,0)),"UNKNOWN"))</f>
        <v>OTHER</v>
      </c>
      <c r="R471" s="24" t="str">
        <f>IF('query (2)'!H471="","",TRIM(UPPER('query (2)'!H471)))</f>
        <v>AUTO ANTIRUST M/C.</v>
      </c>
      <c r="S471" s="25" t="str">
        <f>IF('query (2)'!H471="","",'query (2)'!H471)</f>
        <v>Auto Antirust M/C.</v>
      </c>
      <c r="T471" s="24" t="str">
        <f>IF('query (2)'!J471="","",TRIM(UPPER('query (2)'!J471)))</f>
        <v>ANTI RUST AUTO</v>
      </c>
      <c r="U471" s="24" t="str">
        <f t="shared" si="52"/>
        <v/>
      </c>
      <c r="V471" s="24" t="str">
        <f>IF('query (2)'!K471="","NOT_SPECIFIED",IFERROR(INDEX(Cleaning_Rules!$B$32:$B$34,MATCH(TRIM(UPPER('query (2)'!K471)),Cleaning_Rules!$A$32:$A$34,0)),"UNKNOWN"))</f>
        <v>NOT_SPECIFIED</v>
      </c>
      <c r="W471" s="24" t="str">
        <f t="shared" si="53"/>
        <v>AR-900 | FACTORY2 | SB9 | SB | ASSEMBLY | 1230-SB9AI | OTHER | AUTO ANTIRUST M/C. | ANTI RUST AUTO | NOT_SPECIFIED</v>
      </c>
      <c r="X471" s="24" t="str">
        <f t="shared" si="54"/>
        <v/>
      </c>
      <c r="Y471" s="24" t="str">
        <f t="shared" si="55"/>
        <v>MISSING_STATUS; CATEGORY_NOT_USEFUL</v>
      </c>
    </row>
    <row r="472" spans="1:25" x14ac:dyDescent="0.3">
      <c r="A472" s="24" t="str">
        <f t="shared" si="49"/>
        <v>CH-946#0471</v>
      </c>
      <c r="B472" s="24" t="str">
        <f>IF('query (2)'!B472="","",TRIM(UPPER('query (2)'!B472)))</f>
        <v>CH-946</v>
      </c>
      <c r="C472" s="25" t="str">
        <f>IF('query (2)'!B472="","",'query (2)'!B472)</f>
        <v>CH-946</v>
      </c>
      <c r="D472" s="24" t="str">
        <f t="shared" si="50"/>
        <v>CH</v>
      </c>
      <c r="E472" s="24">
        <f t="shared" si="51"/>
        <v>1</v>
      </c>
      <c r="F472" s="24">
        <f>IF('query (2)'!A472="","",IFERROR(VALUE('query (2)'!A472),""))</f>
        <v>490</v>
      </c>
      <c r="G472" s="24" t="str">
        <f>IF('query (2)'!C472="","UNKNOWN",IFERROR(INDEX(Cleaning_Rules!$B$15:$B$20,MATCH(TRIM(UPPER('query (2)'!C472)),Cleaning_Rules!$A$15:$A$20,0)),"UNKNOWN"))</f>
        <v>FACTORY2</v>
      </c>
      <c r="H472" s="25" t="str">
        <f>IF('query (2)'!C472="","",'query (2)'!C472)</f>
        <v>FACTORY2</v>
      </c>
      <c r="I472" s="24" t="str" cm="1">
        <f t="array" ref="I472">_xlfn.IFS($G472="UNKNOWN","UNKNOWN",OR($G472="FACTORY1",$G472="FACTORY2",$G472="FACTORY3"),"PLANT",TRUE,"SHARED")</f>
        <v>PLANT</v>
      </c>
      <c r="J472" s="24" t="str">
        <f>IF('query (2)'!D472="","UNKNOWN",IF(COUNTIF(Cleaning_Rules!$A$6:$A$11,TRIM('query (2)'!D472))&gt;0,"UNKNOWN",IFERROR(INDEX(Cleaning_Rules!$B$24:$B$28,MATCH(TRIM(UPPER('query (2)'!D472)),Cleaning_Rules!$A$24:$A$28,0)),TRIM(UPPER('query (2)'!D472)))))</f>
        <v>SB9</v>
      </c>
      <c r="K472" s="25" t="str">
        <f>IF('query (2)'!D472="","",'query (2)'!D472)</f>
        <v>SB9</v>
      </c>
      <c r="L472" s="24" t="str">
        <f>IF($J472="UNKNOWN","",_xlfn.TEXTBEFORE($J472,{"0","1","2","3","4","5","6","7","8","9"," ","-","."},1,,,$J472))</f>
        <v>SB</v>
      </c>
      <c r="M472" s="24" t="str">
        <f>IF('query (2)'!I472&lt;&gt;"",TRIM(UPPER('query (2)'!I472)),IF($L472="","UNKNOWN",$L472))</f>
        <v>SB</v>
      </c>
      <c r="N472" s="24" t="str">
        <f>IF('query (2)'!I472&lt;&gt;"","SOURCE",IF($L472="","UNKNOWN","DERIVED"))</f>
        <v>SOURCE</v>
      </c>
      <c r="O472" s="24" t="str">
        <f>IF('query (2)'!E472="","NOT_SPECIFIED",TRIM(UPPER('query (2)'!E472)))</f>
        <v>ASSEMBLY</v>
      </c>
      <c r="P472" s="24" t="str">
        <f>IF('query (2)'!F472="","",TRIM(UPPER('query (2)'!F472)))</f>
        <v>1230-SB9AI</v>
      </c>
      <c r="Q472" s="24" t="str">
        <f>IF('query (2)'!G472="","UNKNOWN",IFERROR(INDEX(Cleaning_Rules!$B$38:$B$46,MATCH(TRIM(UPPER('query (2)'!G472)),Cleaning_Rules!$A$38:$A$46,0)),"UNKNOWN"))</f>
        <v>OTHER</v>
      </c>
      <c r="R472" s="24" t="str">
        <f>IF('query (2)'!H472="","",TRIM(UPPER('query (2)'!H472)))</f>
        <v>ROTATION CHECK M/C</v>
      </c>
      <c r="S472" s="25" t="str">
        <f>IF('query (2)'!H472="","",'query (2)'!H472)</f>
        <v>Rotation check m/c</v>
      </c>
      <c r="T472" s="24" t="str">
        <f>IF('query (2)'!J472="","",TRIM(UPPER('query (2)'!J472)))</f>
        <v/>
      </c>
      <c r="U472" s="24" t="str">
        <f t="shared" si="52"/>
        <v/>
      </c>
      <c r="V472" s="24" t="str">
        <f>IF('query (2)'!K472="","NOT_SPECIFIED",IFERROR(INDEX(Cleaning_Rules!$B$32:$B$34,MATCH(TRIM(UPPER('query (2)'!K472)),Cleaning_Rules!$A$32:$A$34,0)),"UNKNOWN"))</f>
        <v>NOT_SPECIFIED</v>
      </c>
      <c r="W472" s="24" t="str">
        <f t="shared" si="53"/>
        <v>CH-946 | FACTORY2 | SB9 | SB | ASSEMBLY | 1230-SB9AI | OTHER | ROTATION CHECK M/C | NOT_SPECIFIED</v>
      </c>
      <c r="X472" s="24" t="str">
        <f t="shared" si="54"/>
        <v/>
      </c>
      <c r="Y472" s="24" t="str">
        <f t="shared" si="55"/>
        <v>MISSING_STATUS; CATEGORY_NOT_USEFUL; MISSING_PRODUCTION_NAME</v>
      </c>
    </row>
    <row r="473" spans="1:25" x14ac:dyDescent="0.3">
      <c r="A473" s="24" t="str">
        <f t="shared" si="49"/>
        <v>CH-1011#0472</v>
      </c>
      <c r="B473" s="24" t="str">
        <f>IF('query (2)'!B473="","",TRIM(UPPER('query (2)'!B473)))</f>
        <v>CH-1011</v>
      </c>
      <c r="C473" s="25" t="str">
        <f>IF('query (2)'!B473="","",'query (2)'!B473)</f>
        <v>CH-1011</v>
      </c>
      <c r="D473" s="24" t="str">
        <f t="shared" si="50"/>
        <v>CH</v>
      </c>
      <c r="E473" s="24">
        <f t="shared" si="51"/>
        <v>1</v>
      </c>
      <c r="F473" s="24">
        <f>IF('query (2)'!A473="","",IFERROR(VALUE('query (2)'!A473),""))</f>
        <v>491</v>
      </c>
      <c r="G473" s="24" t="str">
        <f>IF('query (2)'!C473="","UNKNOWN",IFERROR(INDEX(Cleaning_Rules!$B$15:$B$20,MATCH(TRIM(UPPER('query (2)'!C473)),Cleaning_Rules!$A$15:$A$20,0)),"UNKNOWN"))</f>
        <v>FACTORY2</v>
      </c>
      <c r="H473" s="25" t="str">
        <f>IF('query (2)'!C473="","",'query (2)'!C473)</f>
        <v>FACTORY2</v>
      </c>
      <c r="I473" s="24" t="str" cm="1">
        <f t="array" ref="I473">_xlfn.IFS($G473="UNKNOWN","UNKNOWN",OR($G473="FACTORY1",$G473="FACTORY2",$G473="FACTORY3"),"PLANT",TRUE,"SHARED")</f>
        <v>PLANT</v>
      </c>
      <c r="J473" s="24" t="str">
        <f>IF('query (2)'!D473="","UNKNOWN",IF(COUNTIF(Cleaning_Rules!$A$6:$A$11,TRIM('query (2)'!D473))&gt;0,"UNKNOWN",IFERROR(INDEX(Cleaning_Rules!$B$24:$B$28,MATCH(TRIM(UPPER('query (2)'!D473)),Cleaning_Rules!$A$24:$A$28,0)),TRIM(UPPER('query (2)'!D473)))))</f>
        <v>SB9</v>
      </c>
      <c r="K473" s="25" t="str">
        <f>IF('query (2)'!D473="","",'query (2)'!D473)</f>
        <v>SB9</v>
      </c>
      <c r="L473" s="24" t="str">
        <f>IF($J473="UNKNOWN","",_xlfn.TEXTBEFORE($J473,{"0","1","2","3","4","5","6","7","8","9"," ","-","."},1,,,$J473))</f>
        <v>SB</v>
      </c>
      <c r="M473" s="24" t="str">
        <f>IF('query (2)'!I473&lt;&gt;"",TRIM(UPPER('query (2)'!I473)),IF($L473="","UNKNOWN",$L473))</f>
        <v>SB</v>
      </c>
      <c r="N473" s="24" t="str">
        <f>IF('query (2)'!I473&lt;&gt;"","SOURCE",IF($L473="","UNKNOWN","DERIVED"))</f>
        <v>SOURCE</v>
      </c>
      <c r="O473" s="24" t="str">
        <f>IF('query (2)'!E473="","NOT_SPECIFIED",TRIM(UPPER('query (2)'!E473)))</f>
        <v>ASSEMBLY</v>
      </c>
      <c r="P473" s="24" t="str">
        <f>IF('query (2)'!F473="","",TRIM(UPPER('query (2)'!F473)))</f>
        <v>1230-SB9AI</v>
      </c>
      <c r="Q473" s="24" t="str">
        <f>IF('query (2)'!G473="","UNKNOWN",IFERROR(INDEX(Cleaning_Rules!$B$38:$B$46,MATCH(TRIM(UPPER('query (2)'!G473)),Cleaning_Rules!$A$38:$A$46,0)),"UNKNOWN"))</f>
        <v>OTHER</v>
      </c>
      <c r="R473" s="24" t="str">
        <f>IF('query (2)'!H473="","",TRIM(UPPER('query (2)'!H473)))</f>
        <v>DIMENSION CHECK M/C</v>
      </c>
      <c r="S473" s="25" t="str">
        <f>IF('query (2)'!H473="","",'query (2)'!H473)</f>
        <v>Dimension check M/C</v>
      </c>
      <c r="T473" s="24" t="str">
        <f>IF('query (2)'!J473="","",TRIM(UPPER('query (2)'!J473)))</f>
        <v>OD.CHECK AUTO</v>
      </c>
      <c r="U473" s="24" t="str">
        <f t="shared" si="52"/>
        <v/>
      </c>
      <c r="V473" s="24" t="str">
        <f>IF('query (2)'!K473="","NOT_SPECIFIED",IFERROR(INDEX(Cleaning_Rules!$B$32:$B$34,MATCH(TRIM(UPPER('query (2)'!K473)),Cleaning_Rules!$A$32:$A$34,0)),"UNKNOWN"))</f>
        <v>NOT_SPECIFIED</v>
      </c>
      <c r="W473" s="24" t="str">
        <f t="shared" si="53"/>
        <v>CH-1011 | FACTORY2 | SB9 | SB | ASSEMBLY | 1230-SB9AI | OTHER | DIMENSION CHECK M/C | OD.CHECK AUTO | NOT_SPECIFIED</v>
      </c>
      <c r="X473" s="24" t="str">
        <f t="shared" si="54"/>
        <v/>
      </c>
      <c r="Y473" s="24" t="str">
        <f t="shared" si="55"/>
        <v>MISSING_STATUS; CATEGORY_NOT_USEFUL</v>
      </c>
    </row>
    <row r="474" spans="1:25" x14ac:dyDescent="0.3">
      <c r="A474" s="24" t="str">
        <f t="shared" si="49"/>
        <v>CH-1015#0473</v>
      </c>
      <c r="B474" s="24" t="str">
        <f>IF('query (2)'!B474="","",TRIM(UPPER('query (2)'!B474)))</f>
        <v>CH-1015</v>
      </c>
      <c r="C474" s="25" t="str">
        <f>IF('query (2)'!B474="","",'query (2)'!B474)</f>
        <v>CH-1015</v>
      </c>
      <c r="D474" s="24" t="str">
        <f t="shared" si="50"/>
        <v>CH</v>
      </c>
      <c r="E474" s="24">
        <f t="shared" si="51"/>
        <v>1</v>
      </c>
      <c r="F474" s="24">
        <f>IF('query (2)'!A474="","",IFERROR(VALUE('query (2)'!A474),""))</f>
        <v>492</v>
      </c>
      <c r="G474" s="24" t="str">
        <f>IF('query (2)'!C474="","UNKNOWN",IFERROR(INDEX(Cleaning_Rules!$B$15:$B$20,MATCH(TRIM(UPPER('query (2)'!C474)),Cleaning_Rules!$A$15:$A$20,0)),"UNKNOWN"))</f>
        <v>FACTORY2</v>
      </c>
      <c r="H474" s="25" t="str">
        <f>IF('query (2)'!C474="","",'query (2)'!C474)</f>
        <v>FACTORY2</v>
      </c>
      <c r="I474" s="24" t="str" cm="1">
        <f t="array" ref="I474">_xlfn.IFS($G474="UNKNOWN","UNKNOWN",OR($G474="FACTORY1",$G474="FACTORY2",$G474="FACTORY3"),"PLANT",TRUE,"SHARED")</f>
        <v>PLANT</v>
      </c>
      <c r="J474" s="24" t="str">
        <f>IF('query (2)'!D474="","UNKNOWN",IF(COUNTIF(Cleaning_Rules!$A$6:$A$11,TRIM('query (2)'!D474))&gt;0,"UNKNOWN",IFERROR(INDEX(Cleaning_Rules!$B$24:$B$28,MATCH(TRIM(UPPER('query (2)'!D474)),Cleaning_Rules!$A$24:$A$28,0)),TRIM(UPPER('query (2)'!D474)))))</f>
        <v>SB9</v>
      </c>
      <c r="K474" s="25" t="str">
        <f>IF('query (2)'!D474="","",'query (2)'!D474)</f>
        <v>SB9</v>
      </c>
      <c r="L474" s="24" t="str">
        <f>IF($J474="UNKNOWN","",_xlfn.TEXTBEFORE($J474,{"0","1","2","3","4","5","6","7","8","9"," ","-","."},1,,,$J474))</f>
        <v>SB</v>
      </c>
      <c r="M474" s="24" t="str">
        <f>IF('query (2)'!I474&lt;&gt;"",TRIM(UPPER('query (2)'!I474)),IF($L474="","UNKNOWN",$L474))</f>
        <v>SB</v>
      </c>
      <c r="N474" s="24" t="str">
        <f>IF('query (2)'!I474&lt;&gt;"","SOURCE",IF($L474="","UNKNOWN","DERIVED"))</f>
        <v>SOURCE</v>
      </c>
      <c r="O474" s="24" t="str">
        <f>IF('query (2)'!E474="","NOT_SPECIFIED",TRIM(UPPER('query (2)'!E474)))</f>
        <v>ASSEMBLY</v>
      </c>
      <c r="P474" s="24" t="str">
        <f>IF('query (2)'!F474="","",TRIM(UPPER('query (2)'!F474)))</f>
        <v>1230-SB9AI</v>
      </c>
      <c r="Q474" s="24" t="str">
        <f>IF('query (2)'!G474="","UNKNOWN",IFERROR(INDEX(Cleaning_Rules!$B$38:$B$46,MATCH(TRIM(UPPER('query (2)'!G474)),Cleaning_Rules!$A$38:$A$46,0)),"UNKNOWN"))</f>
        <v>OTHER</v>
      </c>
      <c r="R474" s="24" t="str">
        <f>IF('query (2)'!H474="","",TRIM(UPPER('query (2)'!H474)))</f>
        <v>AUTOMATION VISUAL INSPECTION M/C</v>
      </c>
      <c r="S474" s="25" t="str">
        <f>IF('query (2)'!H474="","",'query (2)'!H474)</f>
        <v>Automation visual inspection M/C</v>
      </c>
      <c r="T474" s="24" t="str">
        <f>IF('query (2)'!J474="","",TRIM(UPPER('query (2)'!J474)))</f>
        <v/>
      </c>
      <c r="U474" s="24" t="str">
        <f t="shared" si="52"/>
        <v/>
      </c>
      <c r="V474" s="24" t="str">
        <f>IF('query (2)'!K474="","NOT_SPECIFIED",IFERROR(INDEX(Cleaning_Rules!$B$32:$B$34,MATCH(TRIM(UPPER('query (2)'!K474)),Cleaning_Rules!$A$32:$A$34,0)),"UNKNOWN"))</f>
        <v>NOT_SPECIFIED</v>
      </c>
      <c r="W474" s="24" t="str">
        <f t="shared" si="53"/>
        <v>CH-1015 | FACTORY2 | SB9 | SB | ASSEMBLY | 1230-SB9AI | OTHER | AUTOMATION VISUAL INSPECTION M/C | NOT_SPECIFIED</v>
      </c>
      <c r="X474" s="24" t="str">
        <f t="shared" si="54"/>
        <v/>
      </c>
      <c r="Y474" s="24" t="str">
        <f t="shared" si="55"/>
        <v>MISSING_STATUS; CATEGORY_NOT_USEFUL; MISSING_PRODUCTION_NAME</v>
      </c>
    </row>
    <row r="475" spans="1:25" x14ac:dyDescent="0.3">
      <c r="A475" s="24" t="str">
        <f t="shared" si="49"/>
        <v>FI-098#0474</v>
      </c>
      <c r="B475" s="24" t="str">
        <f>IF('query (2)'!B475="","",TRIM(UPPER('query (2)'!B475)))</f>
        <v>FI-098</v>
      </c>
      <c r="C475" s="25" t="str">
        <f>IF('query (2)'!B475="","",'query (2)'!B475)</f>
        <v>FI-098</v>
      </c>
      <c r="D475" s="24" t="str">
        <f t="shared" si="50"/>
        <v>FI</v>
      </c>
      <c r="E475" s="24">
        <f t="shared" si="51"/>
        <v>1</v>
      </c>
      <c r="F475" s="24">
        <f>IF('query (2)'!A475="","",IFERROR(VALUE('query (2)'!A475),""))</f>
        <v>493</v>
      </c>
      <c r="G475" s="24" t="str">
        <f>IF('query (2)'!C475="","UNKNOWN",IFERROR(INDEX(Cleaning_Rules!$B$15:$B$20,MATCH(TRIM(UPPER('query (2)'!C475)),Cleaning_Rules!$A$15:$A$20,0)),"UNKNOWN"))</f>
        <v>FACTORY2</v>
      </c>
      <c r="H475" s="25" t="str">
        <f>IF('query (2)'!C475="","",'query (2)'!C475)</f>
        <v>FACTORY2</v>
      </c>
      <c r="I475" s="24" t="str" cm="1">
        <f t="array" ref="I475">_xlfn.IFS($G475="UNKNOWN","UNKNOWN",OR($G475="FACTORY1",$G475="FACTORY2",$G475="FACTORY3"),"PLANT",TRUE,"SHARED")</f>
        <v>PLANT</v>
      </c>
      <c r="J475" s="24" t="str">
        <f>IF('query (2)'!D475="","UNKNOWN",IF(COUNTIF(Cleaning_Rules!$A$6:$A$11,TRIM('query (2)'!D475))&gt;0,"UNKNOWN",IFERROR(INDEX(Cleaning_Rules!$B$24:$B$28,MATCH(TRIM(UPPER('query (2)'!D475)),Cleaning_Rules!$A$24:$A$28,0)),TRIM(UPPER('query (2)'!D475)))))</f>
        <v>SR</v>
      </c>
      <c r="K475" s="25" t="str">
        <f>IF('query (2)'!D475="","",'query (2)'!D475)</f>
        <v>SR</v>
      </c>
      <c r="L475" s="24" t="str">
        <f>IF($J475="UNKNOWN","",_xlfn.TEXTBEFORE($J475,{"0","1","2","3","4","5","6","7","8","9"," ","-","."},1,,,$J475))</f>
        <v>SR</v>
      </c>
      <c r="M475" s="24" t="str">
        <f>IF('query (2)'!I475&lt;&gt;"",TRIM(UPPER('query (2)'!I475)),IF($L475="","UNKNOWN",$L475))</f>
        <v>SR</v>
      </c>
      <c r="N475" s="24" t="str">
        <f>IF('query (2)'!I475&lt;&gt;"","SOURCE",IF($L475="","UNKNOWN","DERIVED"))</f>
        <v>SOURCE</v>
      </c>
      <c r="O475" s="24" t="str">
        <f>IF('query (2)'!E475="","NOT_SPECIFIED",TRIM(UPPER('query (2)'!E475)))</f>
        <v>GRINDING 2</v>
      </c>
      <c r="P475" s="24" t="str">
        <f>IF('query (2)'!F475="","",TRIM(UPPER('query (2)'!F475)))</f>
        <v>3405-SR1G</v>
      </c>
      <c r="Q475" s="24" t="str">
        <f>IF('query (2)'!G475="","UNKNOWN",IFERROR(INDEX(Cleaning_Rules!$B$38:$B$46,MATCH(TRIM(UPPER('query (2)'!G475)),Cleaning_Rules!$A$38:$A$46,0)),"UNKNOWN"))</f>
        <v>OTHER</v>
      </c>
      <c r="R475" s="24" t="str">
        <f>IF('query (2)'!H475="","",TRIM(UPPER('query (2)'!H475)))</f>
        <v>MAGNET FILTER COOLANT TAMK M/C</v>
      </c>
      <c r="S475" s="25" t="str">
        <f>IF('query (2)'!H475="","",'query (2)'!H475)</f>
        <v>Magnet filter coolant tamk M/C</v>
      </c>
      <c r="T475" s="24" t="str">
        <f>IF('query (2)'!J475="","",TRIM(UPPER('query (2)'!J475)))</f>
        <v/>
      </c>
      <c r="U475" s="24" t="str">
        <f t="shared" si="52"/>
        <v/>
      </c>
      <c r="V475" s="24" t="str">
        <f>IF('query (2)'!K475="","NOT_SPECIFIED",IFERROR(INDEX(Cleaning_Rules!$B$32:$B$34,MATCH(TRIM(UPPER('query (2)'!K475)),Cleaning_Rules!$A$32:$A$34,0)),"UNKNOWN"))</f>
        <v>NOT_SPECIFIED</v>
      </c>
      <c r="W475" s="24" t="str">
        <f t="shared" si="53"/>
        <v>FI-098 | FACTORY2 | SR | SR | GRINDING 2 | 3405-SR1G | OTHER | MAGNET FILTER COOLANT TAMK M/C | NOT_SPECIFIED</v>
      </c>
      <c r="X475" s="24" t="str">
        <f t="shared" si="54"/>
        <v/>
      </c>
      <c r="Y475" s="24" t="str">
        <f t="shared" si="55"/>
        <v>MISSING_STATUS; CATEGORY_NOT_USEFUL; MISSING_PRODUCTION_NAME</v>
      </c>
    </row>
    <row r="476" spans="1:25" x14ac:dyDescent="0.3">
      <c r="A476" s="24" t="str">
        <f t="shared" si="49"/>
        <v>GR-999#0475</v>
      </c>
      <c r="B476" s="24" t="str">
        <f>IF('query (2)'!B476="","",TRIM(UPPER('query (2)'!B476)))</f>
        <v>GR-999</v>
      </c>
      <c r="C476" s="25" t="str">
        <f>IF('query (2)'!B476="","",'query (2)'!B476)</f>
        <v>GR-999</v>
      </c>
      <c r="D476" s="24" t="str">
        <f t="shared" si="50"/>
        <v>GR</v>
      </c>
      <c r="E476" s="24">
        <f t="shared" si="51"/>
        <v>1</v>
      </c>
      <c r="F476" s="24">
        <f>IF('query (2)'!A476="","",IFERROR(VALUE('query (2)'!A476),""))</f>
        <v>494</v>
      </c>
      <c r="G476" s="24" t="str">
        <f>IF('query (2)'!C476="","UNKNOWN",IFERROR(INDEX(Cleaning_Rules!$B$15:$B$20,MATCH(TRIM(UPPER('query (2)'!C476)),Cleaning_Rules!$A$15:$A$20,0)),"UNKNOWN"))</f>
        <v>FACTORY2</v>
      </c>
      <c r="H476" s="25" t="str">
        <f>IF('query (2)'!C476="","",'query (2)'!C476)</f>
        <v>FACTORY2</v>
      </c>
      <c r="I476" s="24" t="str" cm="1">
        <f t="array" ref="I476">_xlfn.IFS($G476="UNKNOWN","UNKNOWN",OR($G476="FACTORY1",$G476="FACTORY2",$G476="FACTORY3"),"PLANT",TRUE,"SHARED")</f>
        <v>PLANT</v>
      </c>
      <c r="J476" s="24" t="str">
        <f>IF('query (2)'!D476="","UNKNOWN",IF(COUNTIF(Cleaning_Rules!$A$6:$A$11,TRIM('query (2)'!D476))&gt;0,"UNKNOWN",IFERROR(INDEX(Cleaning_Rules!$B$24:$B$28,MATCH(TRIM(UPPER('query (2)'!D476)),Cleaning_Rules!$A$24:$A$28,0)),TRIM(UPPER('query (2)'!D476)))))</f>
        <v>SR</v>
      </c>
      <c r="K476" s="25" t="str">
        <f>IF('query (2)'!D476="","",'query (2)'!D476)</f>
        <v>SR</v>
      </c>
      <c r="L476" s="24" t="str">
        <f>IF($J476="UNKNOWN","",_xlfn.TEXTBEFORE($J476,{"0","1","2","3","4","5","6","7","8","9"," ","-","."},1,,,$J476))</f>
        <v>SR</v>
      </c>
      <c r="M476" s="24" t="str">
        <f>IF('query (2)'!I476&lt;&gt;"",TRIM(UPPER('query (2)'!I476)),IF($L476="","UNKNOWN",$L476))</f>
        <v>SR</v>
      </c>
      <c r="N476" s="24" t="str">
        <f>IF('query (2)'!I476&lt;&gt;"","SOURCE",IF($L476="","UNKNOWN","DERIVED"))</f>
        <v>SOURCE</v>
      </c>
      <c r="O476" s="24" t="str">
        <f>IF('query (2)'!E476="","NOT_SPECIFIED",TRIM(UPPER('query (2)'!E476)))</f>
        <v>GRINDING 2</v>
      </c>
      <c r="P476" s="24" t="str">
        <f>IF('query (2)'!F476="","",TRIM(UPPER('query (2)'!F476)))</f>
        <v>3405-SR1G</v>
      </c>
      <c r="Q476" s="24" t="str">
        <f>IF('query (2)'!G476="","UNKNOWN",IFERROR(INDEX(Cleaning_Rules!$B$38:$B$46,MATCH(TRIM(UPPER('query (2)'!G476)),Cleaning_Rules!$A$38:$A$46,0)),"UNKNOWN"))</f>
        <v>OTHER</v>
      </c>
      <c r="R476" s="24" t="str">
        <f>IF('query (2)'!H476="","",TRIM(UPPER('query (2)'!H476)))</f>
        <v>OUT SIDE GRINDING M/C</v>
      </c>
      <c r="S476" s="25" t="str">
        <f>IF('query (2)'!H476="","",'query (2)'!H476)</f>
        <v>Out side grinding  M/C</v>
      </c>
      <c r="T476" s="24" t="str">
        <f>IF('query (2)'!J476="","",TRIM(UPPER('query (2)'!J476)))</f>
        <v/>
      </c>
      <c r="U476" s="24" t="str">
        <f t="shared" si="52"/>
        <v/>
      </c>
      <c r="V476" s="24" t="str">
        <f>IF('query (2)'!K476="","NOT_SPECIFIED",IFERROR(INDEX(Cleaning_Rules!$B$32:$B$34,MATCH(TRIM(UPPER('query (2)'!K476)),Cleaning_Rules!$A$32:$A$34,0)),"UNKNOWN"))</f>
        <v>NOT_SPECIFIED</v>
      </c>
      <c r="W476" s="24" t="str">
        <f t="shared" si="53"/>
        <v>GR-999 | FACTORY2 | SR | SR | GRINDING 2 | 3405-SR1G | OTHER | OUT SIDE GRINDING M/C | NOT_SPECIFIED</v>
      </c>
      <c r="X476" s="24" t="str">
        <f t="shared" si="54"/>
        <v/>
      </c>
      <c r="Y476" s="24" t="str">
        <f t="shared" si="55"/>
        <v>MISSING_STATUS; CATEGORY_NOT_USEFUL; MISSING_PRODUCTION_NAME</v>
      </c>
    </row>
    <row r="477" spans="1:25" x14ac:dyDescent="0.3">
      <c r="A477" s="24" t="str">
        <f t="shared" si="49"/>
        <v>GR-1000#0476</v>
      </c>
      <c r="B477" s="24" t="str">
        <f>IF('query (2)'!B477="","",TRIM(UPPER('query (2)'!B477)))</f>
        <v>GR-1000</v>
      </c>
      <c r="C477" s="25" t="str">
        <f>IF('query (2)'!B477="","",'query (2)'!B477)</f>
        <v>GR-1000</v>
      </c>
      <c r="D477" s="24" t="str">
        <f t="shared" si="50"/>
        <v>GR</v>
      </c>
      <c r="E477" s="24">
        <f t="shared" si="51"/>
        <v>1</v>
      </c>
      <c r="F477" s="24">
        <f>IF('query (2)'!A477="","",IFERROR(VALUE('query (2)'!A477),""))</f>
        <v>495</v>
      </c>
      <c r="G477" s="24" t="str">
        <f>IF('query (2)'!C477="","UNKNOWN",IFERROR(INDEX(Cleaning_Rules!$B$15:$B$20,MATCH(TRIM(UPPER('query (2)'!C477)),Cleaning_Rules!$A$15:$A$20,0)),"UNKNOWN"))</f>
        <v>FACTORY2</v>
      </c>
      <c r="H477" s="25" t="str">
        <f>IF('query (2)'!C477="","",'query (2)'!C477)</f>
        <v>FACTORY2</v>
      </c>
      <c r="I477" s="24" t="str" cm="1">
        <f t="array" ref="I477">_xlfn.IFS($G477="UNKNOWN","UNKNOWN",OR($G477="FACTORY1",$G477="FACTORY2",$G477="FACTORY3"),"PLANT",TRUE,"SHARED")</f>
        <v>PLANT</v>
      </c>
      <c r="J477" s="24" t="str">
        <f>IF('query (2)'!D477="","UNKNOWN",IF(COUNTIF(Cleaning_Rules!$A$6:$A$11,TRIM('query (2)'!D477))&gt;0,"UNKNOWN",IFERROR(INDEX(Cleaning_Rules!$B$24:$B$28,MATCH(TRIM(UPPER('query (2)'!D477)),Cleaning_Rules!$A$24:$A$28,0)),TRIM(UPPER('query (2)'!D477)))))</f>
        <v>SR</v>
      </c>
      <c r="K477" s="25" t="str">
        <f>IF('query (2)'!D477="","",'query (2)'!D477)</f>
        <v>SR</v>
      </c>
      <c r="L477" s="24" t="str">
        <f>IF($J477="UNKNOWN","",_xlfn.TEXTBEFORE($J477,{"0","1","2","3","4","5","6","7","8","9"," ","-","."},1,,,$J477))</f>
        <v>SR</v>
      </c>
      <c r="M477" s="24" t="str">
        <f>IF('query (2)'!I477&lt;&gt;"",TRIM(UPPER('query (2)'!I477)),IF($L477="","UNKNOWN",$L477))</f>
        <v>SR</v>
      </c>
      <c r="N477" s="24" t="str">
        <f>IF('query (2)'!I477&lt;&gt;"","SOURCE",IF($L477="","UNKNOWN","DERIVED"))</f>
        <v>SOURCE</v>
      </c>
      <c r="O477" s="24" t="str">
        <f>IF('query (2)'!E477="","NOT_SPECIFIED",TRIM(UPPER('query (2)'!E477)))</f>
        <v>GRINDING 2</v>
      </c>
      <c r="P477" s="24" t="str">
        <f>IF('query (2)'!F477="","",TRIM(UPPER('query (2)'!F477)))</f>
        <v>3405-SR1G</v>
      </c>
      <c r="Q477" s="24" t="str">
        <f>IF('query (2)'!G477="","UNKNOWN",IFERROR(INDEX(Cleaning_Rules!$B$38:$B$46,MATCH(TRIM(UPPER('query (2)'!G477)),Cleaning_Rules!$A$38:$A$46,0)),"UNKNOWN"))</f>
        <v>OTHER</v>
      </c>
      <c r="R477" s="24" t="str">
        <f>IF('query (2)'!H477="","",TRIM(UPPER('query (2)'!H477)))</f>
        <v>INTERNAL GRINGING M/C</v>
      </c>
      <c r="S477" s="25" t="str">
        <f>IF('query (2)'!H477="","",'query (2)'!H477)</f>
        <v>Internal gringing M/C</v>
      </c>
      <c r="T477" s="24" t="str">
        <f>IF('query (2)'!J477="","",TRIM(UPPER('query (2)'!J477)))</f>
        <v/>
      </c>
      <c r="U477" s="24" t="str">
        <f t="shared" si="52"/>
        <v/>
      </c>
      <c r="V477" s="24" t="str">
        <f>IF('query (2)'!K477="","NOT_SPECIFIED",IFERROR(INDEX(Cleaning_Rules!$B$32:$B$34,MATCH(TRIM(UPPER('query (2)'!K477)),Cleaning_Rules!$A$32:$A$34,0)),"UNKNOWN"))</f>
        <v>NOT_SPECIFIED</v>
      </c>
      <c r="W477" s="24" t="str">
        <f t="shared" si="53"/>
        <v>GR-1000 | FACTORY2 | SR | SR | GRINDING 2 | 3405-SR1G | OTHER | INTERNAL GRINGING M/C | NOT_SPECIFIED</v>
      </c>
      <c r="X477" s="24" t="str">
        <f t="shared" si="54"/>
        <v/>
      </c>
      <c r="Y477" s="24" t="str">
        <f t="shared" si="55"/>
        <v>MISSING_STATUS; CATEGORY_NOT_USEFUL; MISSING_PRODUCTION_NAME</v>
      </c>
    </row>
    <row r="478" spans="1:25" x14ac:dyDescent="0.3">
      <c r="A478" s="24" t="str">
        <f t="shared" si="49"/>
        <v>DE-1001#0477</v>
      </c>
      <c r="B478" s="24" t="str">
        <f>IF('query (2)'!B478="","",TRIM(UPPER('query (2)'!B478)))</f>
        <v>DE-1001</v>
      </c>
      <c r="C478" s="25" t="str">
        <f>IF('query (2)'!B478="","",'query (2)'!B478)</f>
        <v>DE-1001</v>
      </c>
      <c r="D478" s="24" t="str">
        <f t="shared" si="50"/>
        <v>DE</v>
      </c>
      <c r="E478" s="24">
        <f t="shared" si="51"/>
        <v>1</v>
      </c>
      <c r="F478" s="24">
        <f>IF('query (2)'!A478="","",IFERROR(VALUE('query (2)'!A478),""))</f>
        <v>496</v>
      </c>
      <c r="G478" s="24" t="str">
        <f>IF('query (2)'!C478="","UNKNOWN",IFERROR(INDEX(Cleaning_Rules!$B$15:$B$20,MATCH(TRIM(UPPER('query (2)'!C478)),Cleaning_Rules!$A$15:$A$20,0)),"UNKNOWN"))</f>
        <v>FACTORY2</v>
      </c>
      <c r="H478" s="25" t="str">
        <f>IF('query (2)'!C478="","",'query (2)'!C478)</f>
        <v>FACTORY2</v>
      </c>
      <c r="I478" s="24" t="str" cm="1">
        <f t="array" ref="I478">_xlfn.IFS($G478="UNKNOWN","UNKNOWN",OR($G478="FACTORY1",$G478="FACTORY2",$G478="FACTORY3"),"PLANT",TRUE,"SHARED")</f>
        <v>PLANT</v>
      </c>
      <c r="J478" s="24" t="str">
        <f>IF('query (2)'!D478="","UNKNOWN",IF(COUNTIF(Cleaning_Rules!$A$6:$A$11,TRIM('query (2)'!D478))&gt;0,"UNKNOWN",IFERROR(INDEX(Cleaning_Rules!$B$24:$B$28,MATCH(TRIM(UPPER('query (2)'!D478)),Cleaning_Rules!$A$24:$A$28,0)),TRIM(UPPER('query (2)'!D478)))))</f>
        <v>SR</v>
      </c>
      <c r="K478" s="25" t="str">
        <f>IF('query (2)'!D478="","",'query (2)'!D478)</f>
        <v>SR</v>
      </c>
      <c r="L478" s="24" t="str">
        <f>IF($J478="UNKNOWN","",_xlfn.TEXTBEFORE($J478,{"0","1","2","3","4","5","6","7","8","9"," ","-","."},1,,,$J478))</f>
        <v>SR</v>
      </c>
      <c r="M478" s="24" t="str">
        <f>IF('query (2)'!I478&lt;&gt;"",TRIM(UPPER('query (2)'!I478)),IF($L478="","UNKNOWN",$L478))</f>
        <v>SR</v>
      </c>
      <c r="N478" s="24" t="str">
        <f>IF('query (2)'!I478&lt;&gt;"","SOURCE",IF($L478="","UNKNOWN","DERIVED"))</f>
        <v>SOURCE</v>
      </c>
      <c r="O478" s="24" t="str">
        <f>IF('query (2)'!E478="","NOT_SPECIFIED",TRIM(UPPER('query (2)'!E478)))</f>
        <v>GRINDING 2</v>
      </c>
      <c r="P478" s="24" t="str">
        <f>IF('query (2)'!F478="","",TRIM(UPPER('query (2)'!F478)))</f>
        <v>3405-SR1G</v>
      </c>
      <c r="Q478" s="24" t="str">
        <f>IF('query (2)'!G478="","UNKNOWN",IFERROR(INDEX(Cleaning_Rules!$B$38:$B$46,MATCH(TRIM(UPPER('query (2)'!G478)),Cleaning_Rules!$A$38:$A$46,0)),"UNKNOWN"))</f>
        <v>OTHER</v>
      </c>
      <c r="R478" s="24" t="str">
        <f>IF('query (2)'!H478="","",TRIM(UPPER('query (2)'!H478)))</f>
        <v>DEMAGNETIZING M/C</v>
      </c>
      <c r="S478" s="25" t="str">
        <f>IF('query (2)'!H478="","",'query (2)'!H478)</f>
        <v>Demagnetizing M/C</v>
      </c>
      <c r="T478" s="24" t="str">
        <f>IF('query (2)'!J478="","",TRIM(UPPER('query (2)'!J478)))</f>
        <v/>
      </c>
      <c r="U478" s="24" t="str">
        <f t="shared" si="52"/>
        <v/>
      </c>
      <c r="V478" s="24" t="str">
        <f>IF('query (2)'!K478="","NOT_SPECIFIED",IFERROR(INDEX(Cleaning_Rules!$B$32:$B$34,MATCH(TRIM(UPPER('query (2)'!K478)),Cleaning_Rules!$A$32:$A$34,0)),"UNKNOWN"))</f>
        <v>NOT_SPECIFIED</v>
      </c>
      <c r="W478" s="24" t="str">
        <f t="shared" si="53"/>
        <v>DE-1001 | FACTORY2 | SR | SR | GRINDING 2 | 3405-SR1G | OTHER | DEMAGNETIZING M/C | NOT_SPECIFIED</v>
      </c>
      <c r="X478" s="24" t="str">
        <f t="shared" si="54"/>
        <v/>
      </c>
      <c r="Y478" s="24" t="str">
        <f t="shared" si="55"/>
        <v>MISSING_STATUS; CATEGORY_NOT_USEFUL; MISSING_PRODUCTION_NAME</v>
      </c>
    </row>
    <row r="479" spans="1:25" x14ac:dyDescent="0.3">
      <c r="A479" s="24" t="str">
        <f t="shared" si="49"/>
        <v>CH-1002#0478</v>
      </c>
      <c r="B479" s="24" t="str">
        <f>IF('query (2)'!B479="","",TRIM(UPPER('query (2)'!B479)))</f>
        <v>CH-1002</v>
      </c>
      <c r="C479" s="25" t="str">
        <f>IF('query (2)'!B479="","",'query (2)'!B479)</f>
        <v>CH-1002</v>
      </c>
      <c r="D479" s="24" t="str">
        <f t="shared" si="50"/>
        <v>CH</v>
      </c>
      <c r="E479" s="24">
        <f t="shared" si="51"/>
        <v>1</v>
      </c>
      <c r="F479" s="24">
        <f>IF('query (2)'!A479="","",IFERROR(VALUE('query (2)'!A479),""))</f>
        <v>497</v>
      </c>
      <c r="G479" s="24" t="str">
        <f>IF('query (2)'!C479="","UNKNOWN",IFERROR(INDEX(Cleaning_Rules!$B$15:$B$20,MATCH(TRIM(UPPER('query (2)'!C479)),Cleaning_Rules!$A$15:$A$20,0)),"UNKNOWN"))</f>
        <v>FACTORY2</v>
      </c>
      <c r="H479" s="25" t="str">
        <f>IF('query (2)'!C479="","",'query (2)'!C479)</f>
        <v>FACTORY2</v>
      </c>
      <c r="I479" s="24" t="str" cm="1">
        <f t="array" ref="I479">_xlfn.IFS($G479="UNKNOWN","UNKNOWN",OR($G479="FACTORY1",$G479="FACTORY2",$G479="FACTORY3"),"PLANT",TRUE,"SHARED")</f>
        <v>PLANT</v>
      </c>
      <c r="J479" s="24" t="str">
        <f>IF('query (2)'!D479="","UNKNOWN",IF(COUNTIF(Cleaning_Rules!$A$6:$A$11,TRIM('query (2)'!D479))&gt;0,"UNKNOWN",IFERROR(INDEX(Cleaning_Rules!$B$24:$B$28,MATCH(TRIM(UPPER('query (2)'!D479)),Cleaning_Rules!$A$24:$A$28,0)),TRIM(UPPER('query (2)'!D479)))))</f>
        <v>SR</v>
      </c>
      <c r="K479" s="25" t="str">
        <f>IF('query (2)'!D479="","",'query (2)'!D479)</f>
        <v>SR</v>
      </c>
      <c r="L479" s="24" t="str">
        <f>IF($J479="UNKNOWN","",_xlfn.TEXTBEFORE($J479,{"0","1","2","3","4","5","6","7","8","9"," ","-","."},1,,,$J479))</f>
        <v>SR</v>
      </c>
      <c r="M479" s="24" t="str">
        <f>IF('query (2)'!I479&lt;&gt;"",TRIM(UPPER('query (2)'!I479)),IF($L479="","UNKNOWN",$L479))</f>
        <v>SR</v>
      </c>
      <c r="N479" s="24" t="str">
        <f>IF('query (2)'!I479&lt;&gt;"","SOURCE",IF($L479="","UNKNOWN","DERIVED"))</f>
        <v>SOURCE</v>
      </c>
      <c r="O479" s="24" t="str">
        <f>IF('query (2)'!E479="","NOT_SPECIFIED",TRIM(UPPER('query (2)'!E479)))</f>
        <v>GRINDING 2</v>
      </c>
      <c r="P479" s="24" t="str">
        <f>IF('query (2)'!F479="","",TRIM(UPPER('query (2)'!F479)))</f>
        <v>3405-SR1G</v>
      </c>
      <c r="Q479" s="24" t="str">
        <f>IF('query (2)'!G479="","UNKNOWN",IFERROR(INDEX(Cleaning_Rules!$B$38:$B$46,MATCH(TRIM(UPPER('query (2)'!G479)),Cleaning_Rules!$A$38:$A$46,0)),"UNKNOWN"))</f>
        <v>OTHER</v>
      </c>
      <c r="R479" s="24" t="str">
        <f>IF('query (2)'!H479="","",TRIM(UPPER('query (2)'!H479)))</f>
        <v>EDDY CURRENT TESTER M/C</v>
      </c>
      <c r="S479" s="25" t="str">
        <f>IF('query (2)'!H479="","",'query (2)'!H479)</f>
        <v>Eddy current tester m/c</v>
      </c>
      <c r="T479" s="24" t="str">
        <f>IF('query (2)'!J479="","",TRIM(UPPER('query (2)'!J479)))</f>
        <v/>
      </c>
      <c r="U479" s="24" t="str">
        <f t="shared" si="52"/>
        <v/>
      </c>
      <c r="V479" s="24" t="str">
        <f>IF('query (2)'!K479="","NOT_SPECIFIED",IFERROR(INDEX(Cleaning_Rules!$B$32:$B$34,MATCH(TRIM(UPPER('query (2)'!K479)),Cleaning_Rules!$A$32:$A$34,0)),"UNKNOWN"))</f>
        <v>NOT_SPECIFIED</v>
      </c>
      <c r="W479" s="24" t="str">
        <f t="shared" si="53"/>
        <v>CH-1002 | FACTORY2 | SR | SR | GRINDING 2 | 3405-SR1G | OTHER | EDDY CURRENT TESTER M/C | NOT_SPECIFIED</v>
      </c>
      <c r="X479" s="24" t="str">
        <f t="shared" si="54"/>
        <v/>
      </c>
      <c r="Y479" s="24" t="str">
        <f t="shared" si="55"/>
        <v>MISSING_STATUS; CATEGORY_NOT_USEFUL; MISSING_PRODUCTION_NAME</v>
      </c>
    </row>
    <row r="480" spans="1:25" x14ac:dyDescent="0.3">
      <c r="A480" s="24" t="str">
        <f t="shared" si="49"/>
        <v>WA-1003#0479</v>
      </c>
      <c r="B480" s="24" t="str">
        <f>IF('query (2)'!B480="","",TRIM(UPPER('query (2)'!B480)))</f>
        <v>WA-1003</v>
      </c>
      <c r="C480" s="25" t="str">
        <f>IF('query (2)'!B480="","",'query (2)'!B480)</f>
        <v>WA-1003</v>
      </c>
      <c r="D480" s="24" t="str">
        <f t="shared" si="50"/>
        <v>WA</v>
      </c>
      <c r="E480" s="24">
        <f t="shared" si="51"/>
        <v>1</v>
      </c>
      <c r="F480" s="24">
        <f>IF('query (2)'!A480="","",IFERROR(VALUE('query (2)'!A480),""))</f>
        <v>498</v>
      </c>
      <c r="G480" s="24" t="str">
        <f>IF('query (2)'!C480="","UNKNOWN",IFERROR(INDEX(Cleaning_Rules!$B$15:$B$20,MATCH(TRIM(UPPER('query (2)'!C480)),Cleaning_Rules!$A$15:$A$20,0)),"UNKNOWN"))</f>
        <v>FACTORY2</v>
      </c>
      <c r="H480" s="25" t="str">
        <f>IF('query (2)'!C480="","",'query (2)'!C480)</f>
        <v>FACTORY2</v>
      </c>
      <c r="I480" s="24" t="str" cm="1">
        <f t="array" ref="I480">_xlfn.IFS($G480="UNKNOWN","UNKNOWN",OR($G480="FACTORY1",$G480="FACTORY2",$G480="FACTORY3"),"PLANT",TRUE,"SHARED")</f>
        <v>PLANT</v>
      </c>
      <c r="J480" s="24" t="str">
        <f>IF('query (2)'!D480="","UNKNOWN",IF(COUNTIF(Cleaning_Rules!$A$6:$A$11,TRIM('query (2)'!D480))&gt;0,"UNKNOWN",IFERROR(INDEX(Cleaning_Rules!$B$24:$B$28,MATCH(TRIM(UPPER('query (2)'!D480)),Cleaning_Rules!$A$24:$A$28,0)),TRIM(UPPER('query (2)'!D480)))))</f>
        <v>SR</v>
      </c>
      <c r="K480" s="25" t="str">
        <f>IF('query (2)'!D480="","",'query (2)'!D480)</f>
        <v>SR</v>
      </c>
      <c r="L480" s="24" t="str">
        <f>IF($J480="UNKNOWN","",_xlfn.TEXTBEFORE($J480,{"0","1","2","3","4","5","6","7","8","9"," ","-","."},1,,,$J480))</f>
        <v>SR</v>
      </c>
      <c r="M480" s="24" t="str">
        <f>IF('query (2)'!I480&lt;&gt;"",TRIM(UPPER('query (2)'!I480)),IF($L480="","UNKNOWN",$L480))</f>
        <v>SR</v>
      </c>
      <c r="N480" s="24" t="str">
        <f>IF('query (2)'!I480&lt;&gt;"","SOURCE",IF($L480="","UNKNOWN","DERIVED"))</f>
        <v>SOURCE</v>
      </c>
      <c r="O480" s="24" t="str">
        <f>IF('query (2)'!E480="","NOT_SPECIFIED",TRIM(UPPER('query (2)'!E480)))</f>
        <v>GRINDING 2</v>
      </c>
      <c r="P480" s="24" t="str">
        <f>IF('query (2)'!F480="","",TRIM(UPPER('query (2)'!F480)))</f>
        <v>3405-SR1G</v>
      </c>
      <c r="Q480" s="24" t="str">
        <f>IF('query (2)'!G480="","UNKNOWN",IFERROR(INDEX(Cleaning_Rules!$B$38:$B$46,MATCH(TRIM(UPPER('query (2)'!G480)),Cleaning_Rules!$A$38:$A$46,0)),"UNKNOWN"))</f>
        <v>OTHER</v>
      </c>
      <c r="R480" s="24" t="str">
        <f>IF('query (2)'!H480="","",TRIM(UPPER('query (2)'!H480)))</f>
        <v>WASHING M/C</v>
      </c>
      <c r="S480" s="25" t="str">
        <f>IF('query (2)'!H480="","",'query (2)'!H480)</f>
        <v>Washing M/C</v>
      </c>
      <c r="T480" s="24" t="str">
        <f>IF('query (2)'!J480="","",TRIM(UPPER('query (2)'!J480)))</f>
        <v/>
      </c>
      <c r="U480" s="24" t="str">
        <f t="shared" si="52"/>
        <v/>
      </c>
      <c r="V480" s="24" t="str">
        <f>IF('query (2)'!K480="","NOT_SPECIFIED",IFERROR(INDEX(Cleaning_Rules!$B$32:$B$34,MATCH(TRIM(UPPER('query (2)'!K480)),Cleaning_Rules!$A$32:$A$34,0)),"UNKNOWN"))</f>
        <v>NOT_SPECIFIED</v>
      </c>
      <c r="W480" s="24" t="str">
        <f t="shared" si="53"/>
        <v>WA-1003 | FACTORY2 | SR | SR | GRINDING 2 | 3405-SR1G | OTHER | WASHING M/C | NOT_SPECIFIED</v>
      </c>
      <c r="X480" s="24" t="str">
        <f t="shared" si="54"/>
        <v/>
      </c>
      <c r="Y480" s="24" t="str">
        <f t="shared" si="55"/>
        <v>MISSING_STATUS; CATEGORY_NOT_USEFUL; MISSING_PRODUCTION_NAME</v>
      </c>
    </row>
    <row r="481" spans="1:25" x14ac:dyDescent="0.3">
      <c r="A481" s="24" t="str">
        <f t="shared" si="49"/>
        <v>CH-1004#0480</v>
      </c>
      <c r="B481" s="24" t="str">
        <f>IF('query (2)'!B481="","",TRIM(UPPER('query (2)'!B481)))</f>
        <v>CH-1004</v>
      </c>
      <c r="C481" s="25" t="str">
        <f>IF('query (2)'!B481="","",'query (2)'!B481)</f>
        <v>CH-1004</v>
      </c>
      <c r="D481" s="24" t="str">
        <f t="shared" si="50"/>
        <v>CH</v>
      </c>
      <c r="E481" s="24">
        <f t="shared" si="51"/>
        <v>1</v>
      </c>
      <c r="F481" s="24">
        <f>IF('query (2)'!A481="","",IFERROR(VALUE('query (2)'!A481),""))</f>
        <v>499</v>
      </c>
      <c r="G481" s="24" t="str">
        <f>IF('query (2)'!C481="","UNKNOWN",IFERROR(INDEX(Cleaning_Rules!$B$15:$B$20,MATCH(TRIM(UPPER('query (2)'!C481)),Cleaning_Rules!$A$15:$A$20,0)),"UNKNOWN"))</f>
        <v>FACTORY2</v>
      </c>
      <c r="H481" s="25" t="str">
        <f>IF('query (2)'!C481="","",'query (2)'!C481)</f>
        <v>FACTORY2</v>
      </c>
      <c r="I481" s="24" t="str" cm="1">
        <f t="array" ref="I481">_xlfn.IFS($G481="UNKNOWN","UNKNOWN",OR($G481="FACTORY1",$G481="FACTORY2",$G481="FACTORY3"),"PLANT",TRUE,"SHARED")</f>
        <v>PLANT</v>
      </c>
      <c r="J481" s="24" t="str">
        <f>IF('query (2)'!D481="","UNKNOWN",IF(COUNTIF(Cleaning_Rules!$A$6:$A$11,TRIM('query (2)'!D481))&gt;0,"UNKNOWN",IFERROR(INDEX(Cleaning_Rules!$B$24:$B$28,MATCH(TRIM(UPPER('query (2)'!D481)),Cleaning_Rules!$A$24:$A$28,0)),TRIM(UPPER('query (2)'!D481)))))</f>
        <v>SR</v>
      </c>
      <c r="K481" s="25" t="str">
        <f>IF('query (2)'!D481="","",'query (2)'!D481)</f>
        <v>SR</v>
      </c>
      <c r="L481" s="24" t="str">
        <f>IF($J481="UNKNOWN","",_xlfn.TEXTBEFORE($J481,{"0","1","2","3","4","5","6","7","8","9"," ","-","."},1,,,$J481))</f>
        <v>SR</v>
      </c>
      <c r="M481" s="24" t="str">
        <f>IF('query (2)'!I481&lt;&gt;"",TRIM(UPPER('query (2)'!I481)),IF($L481="","UNKNOWN",$L481))</f>
        <v>SR</v>
      </c>
      <c r="N481" s="24" t="str">
        <f>IF('query (2)'!I481&lt;&gt;"","SOURCE",IF($L481="","UNKNOWN","DERIVED"))</f>
        <v>SOURCE</v>
      </c>
      <c r="O481" s="24" t="str">
        <f>IF('query (2)'!E481="","NOT_SPECIFIED",TRIM(UPPER('query (2)'!E481)))</f>
        <v>ASSEMBLY</v>
      </c>
      <c r="P481" s="24" t="str">
        <f>IF('query (2)'!F481="","",TRIM(UPPER('query (2)'!F481)))</f>
        <v>3406-SR1AI</v>
      </c>
      <c r="Q481" s="24" t="str">
        <f>IF('query (2)'!G481="","UNKNOWN",IFERROR(INDEX(Cleaning_Rules!$B$38:$B$46,MATCH(TRIM(UPPER('query (2)'!G481)),Cleaning_Rules!$A$38:$A$46,0)),"UNKNOWN"))</f>
        <v>OTHER</v>
      </c>
      <c r="R481" s="24" t="str">
        <f>IF('query (2)'!H481="","",TRIM(UPPER('query (2)'!H481)))</f>
        <v>OUT SIDE DIAMETER &amp; INSIDE DIAMETER &amp; HIGHTCHECKER</v>
      </c>
      <c r="S481" s="25" t="str">
        <f>IF('query (2)'!H481="","",'query (2)'!H481)</f>
        <v>Out side diameter &amp; Inside diameter &amp; Hightchecker</v>
      </c>
      <c r="T481" s="24" t="str">
        <f>IF('query (2)'!J481="","",TRIM(UPPER('query (2)'!J481)))</f>
        <v/>
      </c>
      <c r="U481" s="24" t="str">
        <f t="shared" si="52"/>
        <v/>
      </c>
      <c r="V481" s="24" t="str">
        <f>IF('query (2)'!K481="","NOT_SPECIFIED",IFERROR(INDEX(Cleaning_Rules!$B$32:$B$34,MATCH(TRIM(UPPER('query (2)'!K481)),Cleaning_Rules!$A$32:$A$34,0)),"UNKNOWN"))</f>
        <v>NOT_SPECIFIED</v>
      </c>
      <c r="W481" s="24" t="str">
        <f t="shared" si="53"/>
        <v>CH-1004 | FACTORY2 | SR | SR | ASSEMBLY | 3406-SR1AI | OTHER | OUT SIDE DIAMETER &amp; INSIDE DIAMETER &amp; HIGHTCHECKER | NOT_SPECIFIED</v>
      </c>
      <c r="X481" s="24" t="str">
        <f t="shared" si="54"/>
        <v/>
      </c>
      <c r="Y481" s="24" t="str">
        <f t="shared" si="55"/>
        <v>MISSING_STATUS; CATEGORY_NOT_USEFUL; MISSING_PRODUCTION_NAME</v>
      </c>
    </row>
    <row r="482" spans="1:25" x14ac:dyDescent="0.3">
      <c r="A482" s="24" t="str">
        <f t="shared" si="49"/>
        <v>CH-1005#0481</v>
      </c>
      <c r="B482" s="24" t="str">
        <f>IF('query (2)'!B482="","",TRIM(UPPER('query (2)'!B482)))</f>
        <v>CH-1005</v>
      </c>
      <c r="C482" s="25" t="str">
        <f>IF('query (2)'!B482="","",'query (2)'!B482)</f>
        <v>CH-1005</v>
      </c>
      <c r="D482" s="24" t="str">
        <f t="shared" si="50"/>
        <v>CH</v>
      </c>
      <c r="E482" s="24">
        <f t="shared" si="51"/>
        <v>1</v>
      </c>
      <c r="F482" s="24">
        <f>IF('query (2)'!A482="","",IFERROR(VALUE('query (2)'!A482),""))</f>
        <v>500</v>
      </c>
      <c r="G482" s="24" t="str">
        <f>IF('query (2)'!C482="","UNKNOWN",IFERROR(INDEX(Cleaning_Rules!$B$15:$B$20,MATCH(TRIM(UPPER('query (2)'!C482)),Cleaning_Rules!$A$15:$A$20,0)),"UNKNOWN"))</f>
        <v>FACTORY2</v>
      </c>
      <c r="H482" s="25" t="str">
        <f>IF('query (2)'!C482="","",'query (2)'!C482)</f>
        <v>FACTORY2</v>
      </c>
      <c r="I482" s="24" t="str" cm="1">
        <f t="array" ref="I482">_xlfn.IFS($G482="UNKNOWN","UNKNOWN",OR($G482="FACTORY1",$G482="FACTORY2",$G482="FACTORY3"),"PLANT",TRUE,"SHARED")</f>
        <v>PLANT</v>
      </c>
      <c r="J482" s="24" t="str">
        <f>IF('query (2)'!D482="","UNKNOWN",IF(COUNTIF(Cleaning_Rules!$A$6:$A$11,TRIM('query (2)'!D482))&gt;0,"UNKNOWN",IFERROR(INDEX(Cleaning_Rules!$B$24:$B$28,MATCH(TRIM(UPPER('query (2)'!D482)),Cleaning_Rules!$A$24:$A$28,0)),TRIM(UPPER('query (2)'!D482)))))</f>
        <v>SR</v>
      </c>
      <c r="K482" s="25" t="str">
        <f>IF('query (2)'!D482="","",'query (2)'!D482)</f>
        <v>SR</v>
      </c>
      <c r="L482" s="24" t="str">
        <f>IF($J482="UNKNOWN","",_xlfn.TEXTBEFORE($J482,{"0","1","2","3","4","5","6","7","8","9"," ","-","."},1,,,$J482))</f>
        <v>SR</v>
      </c>
      <c r="M482" s="24" t="str">
        <f>IF('query (2)'!I482&lt;&gt;"",TRIM(UPPER('query (2)'!I482)),IF($L482="","UNKNOWN",$L482))</f>
        <v>SR</v>
      </c>
      <c r="N482" s="24" t="str">
        <f>IF('query (2)'!I482&lt;&gt;"","SOURCE",IF($L482="","UNKNOWN","DERIVED"))</f>
        <v>SOURCE</v>
      </c>
      <c r="O482" s="24" t="str">
        <f>IF('query (2)'!E482="","NOT_SPECIFIED",TRIM(UPPER('query (2)'!E482)))</f>
        <v>ASSEMBLY</v>
      </c>
      <c r="P482" s="24" t="str">
        <f>IF('query (2)'!F482="","",TRIM(UPPER('query (2)'!F482)))</f>
        <v>3406-SR1AI</v>
      </c>
      <c r="Q482" s="24" t="str">
        <f>IF('query (2)'!G482="","UNKNOWN",IFERROR(INDEX(Cleaning_Rules!$B$38:$B$46,MATCH(TRIM(UPPER('query (2)'!G482)),Cleaning_Rules!$A$38:$A$46,0)),"UNKNOWN"))</f>
        <v>OTHER</v>
      </c>
      <c r="R482" s="24" t="str">
        <f>IF('query (2)'!H482="","",TRIM(UPPER('query (2)'!H482)))</f>
        <v>ROUNDESS &amp; TAB WIDTH INSPEETION EQUIPMENT</v>
      </c>
      <c r="S482" s="25" t="str">
        <f>IF('query (2)'!H482="","",'query (2)'!H482)</f>
        <v>Roundess &amp; Tab width Inspeetion Equipment</v>
      </c>
      <c r="T482" s="24" t="str">
        <f>IF('query (2)'!J482="","",TRIM(UPPER('query (2)'!J482)))</f>
        <v/>
      </c>
      <c r="U482" s="24" t="str">
        <f t="shared" si="52"/>
        <v/>
      </c>
      <c r="V482" s="24" t="str">
        <f>IF('query (2)'!K482="","NOT_SPECIFIED",IFERROR(INDEX(Cleaning_Rules!$B$32:$B$34,MATCH(TRIM(UPPER('query (2)'!K482)),Cleaning_Rules!$A$32:$A$34,0)),"UNKNOWN"))</f>
        <v>NOT_SPECIFIED</v>
      </c>
      <c r="W482" s="24" t="str">
        <f t="shared" si="53"/>
        <v>CH-1005 | FACTORY2 | SR | SR | ASSEMBLY | 3406-SR1AI | OTHER | ROUNDESS &amp; TAB WIDTH INSPEETION EQUIPMENT | NOT_SPECIFIED</v>
      </c>
      <c r="X482" s="24" t="str">
        <f t="shared" si="54"/>
        <v/>
      </c>
      <c r="Y482" s="24" t="str">
        <f t="shared" si="55"/>
        <v>MISSING_STATUS; CATEGORY_NOT_USEFUL; MISSING_PRODUCTION_NAME</v>
      </c>
    </row>
    <row r="483" spans="1:25" x14ac:dyDescent="0.3">
      <c r="A483" s="24" t="str">
        <f t="shared" si="49"/>
        <v>AS-196#0482</v>
      </c>
      <c r="B483" s="24" t="str">
        <f>IF('query (2)'!B483="","",TRIM(UPPER('query (2)'!B483)))</f>
        <v>AS-196</v>
      </c>
      <c r="C483" s="25" t="str">
        <f>IF('query (2)'!B483="","",'query (2)'!B483)</f>
        <v>AS-196</v>
      </c>
      <c r="D483" s="24" t="str">
        <f t="shared" si="50"/>
        <v>AS</v>
      </c>
      <c r="E483" s="24">
        <f t="shared" si="51"/>
        <v>1</v>
      </c>
      <c r="F483" s="24">
        <f>IF('query (2)'!A483="","",IFERROR(VALUE('query (2)'!A483),""))</f>
        <v>501</v>
      </c>
      <c r="G483" s="24" t="str">
        <f>IF('query (2)'!C483="","UNKNOWN",IFERROR(INDEX(Cleaning_Rules!$B$15:$B$20,MATCH(TRIM(UPPER('query (2)'!C483)),Cleaning_Rules!$A$15:$A$20,0)),"UNKNOWN"))</f>
        <v>FACTORY2</v>
      </c>
      <c r="H483" s="25" t="str">
        <f>IF('query (2)'!C483="","",'query (2)'!C483)</f>
        <v>FACTORY2</v>
      </c>
      <c r="I483" s="24" t="str" cm="1">
        <f t="array" ref="I483">_xlfn.IFS($G483="UNKNOWN","UNKNOWN",OR($G483="FACTORY1",$G483="FACTORY2",$G483="FACTORY3"),"PLANT",TRUE,"SHARED")</f>
        <v>PLANT</v>
      </c>
      <c r="J483" s="24" t="str">
        <f>IF('query (2)'!D483="","UNKNOWN",IF(COUNTIF(Cleaning_Rules!$A$6:$A$11,TRIM('query (2)'!D483))&gt;0,"UNKNOWN",IFERROR(INDEX(Cleaning_Rules!$B$24:$B$28,MATCH(TRIM(UPPER('query (2)'!D483)),Cleaning_Rules!$A$24:$A$28,0)),TRIM(UPPER('query (2)'!D483)))))</f>
        <v>TP1</v>
      </c>
      <c r="K483" s="25" t="str">
        <f>IF('query (2)'!D483="","",'query (2)'!D483)</f>
        <v>TP1</v>
      </c>
      <c r="L483" s="24" t="str">
        <f>IF($J483="UNKNOWN","",_xlfn.TEXTBEFORE($J483,{"0","1","2","3","4","5","6","7","8","9"," ","-","."},1,,,$J483))</f>
        <v>TP</v>
      </c>
      <c r="M483" s="24" t="str">
        <f>IF('query (2)'!I483&lt;&gt;"",TRIM(UPPER('query (2)'!I483)),IF($L483="","UNKNOWN",$L483))</f>
        <v>TP</v>
      </c>
      <c r="N483" s="24" t="str">
        <f>IF('query (2)'!I483&lt;&gt;"","SOURCE",IF($L483="","UNKNOWN","DERIVED"))</f>
        <v>SOURCE</v>
      </c>
      <c r="O483" s="24" t="str">
        <f>IF('query (2)'!E483="","NOT_SPECIFIED",TRIM(UPPER('query (2)'!E483)))</f>
        <v>ASSEMBLY</v>
      </c>
      <c r="P483" s="24" t="str">
        <f>IF('query (2)'!F483="","",TRIM(UPPER('query (2)'!F483)))</f>
        <v>1702-TP1</v>
      </c>
      <c r="Q483" s="24" t="str">
        <f>IF('query (2)'!G483="","UNKNOWN",IFERROR(INDEX(Cleaning_Rules!$B$38:$B$46,MATCH(TRIM(UPPER('query (2)'!G483)),Cleaning_Rules!$A$38:$A$46,0)),"UNKNOWN"))</f>
        <v>OTHER</v>
      </c>
      <c r="R483" s="24" t="str">
        <f>IF('query (2)'!H483="","",TRIM(UPPER('query (2)'!H483)))</f>
        <v>BUSH PRESS M/C (LINE1)</v>
      </c>
      <c r="S483" s="25" t="str">
        <f>IF('query (2)'!H483="","",'query (2)'!H483)</f>
        <v>Bush  Press  M/C (Line1)</v>
      </c>
      <c r="T483" s="24" t="str">
        <f>IF('query (2)'!J483="","",TRIM(UPPER('query (2)'!J483)))</f>
        <v/>
      </c>
      <c r="U483" s="24" t="str">
        <f t="shared" si="52"/>
        <v/>
      </c>
      <c r="V483" s="24" t="str">
        <f>IF('query (2)'!K483="","NOT_SPECIFIED",IFERROR(INDEX(Cleaning_Rules!$B$32:$B$34,MATCH(TRIM(UPPER('query (2)'!K483)),Cleaning_Rules!$A$32:$A$34,0)),"UNKNOWN"))</f>
        <v>NOT_SPECIFIED</v>
      </c>
      <c r="W483" s="24" t="str">
        <f t="shared" si="53"/>
        <v>AS-196 | FACTORY2 | TP1 | TP | ASSEMBLY | 1702-TP1 | OTHER | BUSH PRESS M/C (LINE1) | NOT_SPECIFIED</v>
      </c>
      <c r="X483" s="24" t="str">
        <f t="shared" si="54"/>
        <v/>
      </c>
      <c r="Y483" s="24" t="str">
        <f t="shared" si="55"/>
        <v>MISSING_STATUS; CATEGORY_NOT_USEFUL; MISSING_PRODUCTION_NAME</v>
      </c>
    </row>
    <row r="484" spans="1:25" x14ac:dyDescent="0.3">
      <c r="A484" s="24" t="str">
        <f t="shared" si="49"/>
        <v>CH-197#0483</v>
      </c>
      <c r="B484" s="24" t="str">
        <f>IF('query (2)'!B484="","",TRIM(UPPER('query (2)'!B484)))</f>
        <v>CH-197</v>
      </c>
      <c r="C484" s="25" t="str">
        <f>IF('query (2)'!B484="","",'query (2)'!B484)</f>
        <v>CH-197</v>
      </c>
      <c r="D484" s="24" t="str">
        <f t="shared" si="50"/>
        <v>CH</v>
      </c>
      <c r="E484" s="24">
        <f t="shared" si="51"/>
        <v>1</v>
      </c>
      <c r="F484" s="24">
        <f>IF('query (2)'!A484="","",IFERROR(VALUE('query (2)'!A484),""))</f>
        <v>502</v>
      </c>
      <c r="G484" s="24" t="str">
        <f>IF('query (2)'!C484="","UNKNOWN",IFERROR(INDEX(Cleaning_Rules!$B$15:$B$20,MATCH(TRIM(UPPER('query (2)'!C484)),Cleaning_Rules!$A$15:$A$20,0)),"UNKNOWN"))</f>
        <v>FACTORY2</v>
      </c>
      <c r="H484" s="25" t="str">
        <f>IF('query (2)'!C484="","",'query (2)'!C484)</f>
        <v>FACTORY2</v>
      </c>
      <c r="I484" s="24" t="str" cm="1">
        <f t="array" ref="I484">_xlfn.IFS($G484="UNKNOWN","UNKNOWN",OR($G484="FACTORY1",$G484="FACTORY2",$G484="FACTORY3"),"PLANT",TRUE,"SHARED")</f>
        <v>PLANT</v>
      </c>
      <c r="J484" s="24" t="str">
        <f>IF('query (2)'!D484="","UNKNOWN",IF(COUNTIF(Cleaning_Rules!$A$6:$A$11,TRIM('query (2)'!D484))&gt;0,"UNKNOWN",IFERROR(INDEX(Cleaning_Rules!$B$24:$B$28,MATCH(TRIM(UPPER('query (2)'!D484)),Cleaning_Rules!$A$24:$A$28,0)),TRIM(UPPER('query (2)'!D484)))))</f>
        <v>TP1</v>
      </c>
      <c r="K484" s="25" t="str">
        <f>IF('query (2)'!D484="","",'query (2)'!D484)</f>
        <v>TP1</v>
      </c>
      <c r="L484" s="24" t="str">
        <f>IF($J484="UNKNOWN","",_xlfn.TEXTBEFORE($J484,{"0","1","2","3","4","5","6","7","8","9"," ","-","."},1,,,$J484))</f>
        <v>TP</v>
      </c>
      <c r="M484" s="24" t="str">
        <f>IF('query (2)'!I484&lt;&gt;"",TRIM(UPPER('query (2)'!I484)),IF($L484="","UNKNOWN",$L484))</f>
        <v>TP</v>
      </c>
      <c r="N484" s="24" t="str">
        <f>IF('query (2)'!I484&lt;&gt;"","SOURCE",IF($L484="","UNKNOWN","DERIVED"))</f>
        <v>SOURCE</v>
      </c>
      <c r="O484" s="24" t="str">
        <f>IF('query (2)'!E484="","NOT_SPECIFIED",TRIM(UPPER('query (2)'!E484)))</f>
        <v>ASSEMBLY</v>
      </c>
      <c r="P484" s="24" t="str">
        <f>IF('query (2)'!F484="","",TRIM(UPPER('query (2)'!F484)))</f>
        <v>1702-TP1</v>
      </c>
      <c r="Q484" s="24" t="str">
        <f>IF('query (2)'!G484="","UNKNOWN",IFERROR(INDEX(Cleaning_Rules!$B$38:$B$46,MATCH(TRIM(UPPER('query (2)'!G484)),Cleaning_Rules!$A$38:$A$46,0)),"UNKNOWN"))</f>
        <v>OTHER</v>
      </c>
      <c r="R484" s="24" t="str">
        <f>IF('query (2)'!H484="","",TRIM(UPPER('query (2)'!H484)))</f>
        <v>BUSH &amp; PIN CHECKER M/C (LINE 1)</v>
      </c>
      <c r="S484" s="25" t="str">
        <f>IF('query (2)'!H484="","",'query (2)'!H484)</f>
        <v>Bush &amp; Pin  checker  M/C  (Line 1)</v>
      </c>
      <c r="T484" s="24" t="str">
        <f>IF('query (2)'!J484="","",TRIM(UPPER('query (2)'!J484)))</f>
        <v/>
      </c>
      <c r="U484" s="24" t="str">
        <f t="shared" si="52"/>
        <v/>
      </c>
      <c r="V484" s="24" t="str">
        <f>IF('query (2)'!K484="","NOT_SPECIFIED",IFERROR(INDEX(Cleaning_Rules!$B$32:$B$34,MATCH(TRIM(UPPER('query (2)'!K484)),Cleaning_Rules!$A$32:$A$34,0)),"UNKNOWN"))</f>
        <v>NOT_SPECIFIED</v>
      </c>
      <c r="W484" s="24" t="str">
        <f t="shared" si="53"/>
        <v>CH-197 | FACTORY2 | TP1 | TP | ASSEMBLY | 1702-TP1 | OTHER | BUSH &amp; PIN CHECKER M/C (LINE 1) | NOT_SPECIFIED</v>
      </c>
      <c r="X484" s="24" t="str">
        <f t="shared" si="54"/>
        <v/>
      </c>
      <c r="Y484" s="24" t="str">
        <f t="shared" si="55"/>
        <v>MISSING_STATUS; CATEGORY_NOT_USEFUL; MISSING_PRODUCTION_NAME</v>
      </c>
    </row>
    <row r="485" spans="1:25" x14ac:dyDescent="0.3">
      <c r="A485" s="24" t="str">
        <f t="shared" si="49"/>
        <v>AS-243#0484</v>
      </c>
      <c r="B485" s="24" t="str">
        <f>IF('query (2)'!B485="","",TRIM(UPPER('query (2)'!B485)))</f>
        <v>AS-243</v>
      </c>
      <c r="C485" s="25" t="str">
        <f>IF('query (2)'!B485="","",'query (2)'!B485)</f>
        <v>AS-243</v>
      </c>
      <c r="D485" s="24" t="str">
        <f t="shared" si="50"/>
        <v>AS</v>
      </c>
      <c r="E485" s="24">
        <f t="shared" si="51"/>
        <v>1</v>
      </c>
      <c r="F485" s="24">
        <f>IF('query (2)'!A485="","",IFERROR(VALUE('query (2)'!A485),""))</f>
        <v>503</v>
      </c>
      <c r="G485" s="24" t="str">
        <f>IF('query (2)'!C485="","UNKNOWN",IFERROR(INDEX(Cleaning_Rules!$B$15:$B$20,MATCH(TRIM(UPPER('query (2)'!C485)),Cleaning_Rules!$A$15:$A$20,0)),"UNKNOWN"))</f>
        <v>FACTORY2</v>
      </c>
      <c r="H485" s="25" t="str">
        <f>IF('query (2)'!C485="","",'query (2)'!C485)</f>
        <v>FACTORY2</v>
      </c>
      <c r="I485" s="24" t="str" cm="1">
        <f t="array" ref="I485">_xlfn.IFS($G485="UNKNOWN","UNKNOWN",OR($G485="FACTORY1",$G485="FACTORY2",$G485="FACTORY3"),"PLANT",TRUE,"SHARED")</f>
        <v>PLANT</v>
      </c>
      <c r="J485" s="24" t="str">
        <f>IF('query (2)'!D485="","UNKNOWN",IF(COUNTIF(Cleaning_Rules!$A$6:$A$11,TRIM('query (2)'!D485))&gt;0,"UNKNOWN",IFERROR(INDEX(Cleaning_Rules!$B$24:$B$28,MATCH(TRIM(UPPER('query (2)'!D485)),Cleaning_Rules!$A$24:$A$28,0)),TRIM(UPPER('query (2)'!D485)))))</f>
        <v>TP1</v>
      </c>
      <c r="K485" s="25" t="str">
        <f>IF('query (2)'!D485="","",'query (2)'!D485)</f>
        <v>TP1</v>
      </c>
      <c r="L485" s="24" t="str">
        <f>IF($J485="UNKNOWN","",_xlfn.TEXTBEFORE($J485,{"0","1","2","3","4","5","6","7","8","9"," ","-","."},1,,,$J485))</f>
        <v>TP</v>
      </c>
      <c r="M485" s="24" t="str">
        <f>IF('query (2)'!I485&lt;&gt;"",TRIM(UPPER('query (2)'!I485)),IF($L485="","UNKNOWN",$L485))</f>
        <v>TP</v>
      </c>
      <c r="N485" s="24" t="str">
        <f>IF('query (2)'!I485&lt;&gt;"","SOURCE",IF($L485="","UNKNOWN","DERIVED"))</f>
        <v>SOURCE</v>
      </c>
      <c r="O485" s="24" t="str">
        <f>IF('query (2)'!E485="","NOT_SPECIFIED",TRIM(UPPER('query (2)'!E485)))</f>
        <v>ASSEMBLY</v>
      </c>
      <c r="P485" s="24" t="str">
        <f>IF('query (2)'!F485="","",TRIM(UPPER('query (2)'!F485)))</f>
        <v>1702-TP1</v>
      </c>
      <c r="Q485" s="24" t="str">
        <f>IF('query (2)'!G485="","UNKNOWN",IFERROR(INDEX(Cleaning_Rules!$B$38:$B$46,MATCH(TRIM(UPPER('query (2)'!G485)),Cleaning_Rules!$A$38:$A$46,0)),"UNKNOWN"))</f>
        <v>OTHER</v>
      </c>
      <c r="R485" s="24" t="str">
        <f>IF('query (2)'!H485="","",TRIM(UPPER('query (2)'!H485)))</f>
        <v>STOPPER PIN PRESS M/C (LINE 1)</v>
      </c>
      <c r="S485" s="25" t="str">
        <f>IF('query (2)'!H485="","",'query (2)'!H485)</f>
        <v>Stopper  Pin  Press  M/C  (Line 1)</v>
      </c>
      <c r="T485" s="24" t="str">
        <f>IF('query (2)'!J485="","",TRIM(UPPER('query (2)'!J485)))</f>
        <v/>
      </c>
      <c r="U485" s="24" t="str">
        <f t="shared" si="52"/>
        <v/>
      </c>
      <c r="V485" s="24" t="str">
        <f>IF('query (2)'!K485="","NOT_SPECIFIED",IFERROR(INDEX(Cleaning_Rules!$B$32:$B$34,MATCH(TRIM(UPPER('query (2)'!K485)),Cleaning_Rules!$A$32:$A$34,0)),"UNKNOWN"))</f>
        <v>NOT_SPECIFIED</v>
      </c>
      <c r="W485" s="24" t="str">
        <f t="shared" si="53"/>
        <v>AS-243 | FACTORY2 | TP1 | TP | ASSEMBLY | 1702-TP1 | OTHER | STOPPER PIN PRESS M/C (LINE 1) | NOT_SPECIFIED</v>
      </c>
      <c r="X485" s="24" t="str">
        <f t="shared" si="54"/>
        <v/>
      </c>
      <c r="Y485" s="24" t="str">
        <f t="shared" si="55"/>
        <v>MISSING_STATUS; CATEGORY_NOT_USEFUL; MISSING_PRODUCTION_NAME</v>
      </c>
    </row>
    <row r="486" spans="1:25" x14ac:dyDescent="0.3">
      <c r="A486" s="24" t="str">
        <f t="shared" si="49"/>
        <v>AS-173#0485</v>
      </c>
      <c r="B486" s="24" t="str">
        <f>IF('query (2)'!B486="","",TRIM(UPPER('query (2)'!B486)))</f>
        <v>AS-173</v>
      </c>
      <c r="C486" s="25" t="str">
        <f>IF('query (2)'!B486="","",'query (2)'!B486)</f>
        <v>AS-173</v>
      </c>
      <c r="D486" s="24" t="str">
        <f t="shared" si="50"/>
        <v>AS</v>
      </c>
      <c r="E486" s="24">
        <f t="shared" si="51"/>
        <v>1</v>
      </c>
      <c r="F486" s="24">
        <f>IF('query (2)'!A486="","",IFERROR(VALUE('query (2)'!A486),""))</f>
        <v>504</v>
      </c>
      <c r="G486" s="24" t="str">
        <f>IF('query (2)'!C486="","UNKNOWN",IFERROR(INDEX(Cleaning_Rules!$B$15:$B$20,MATCH(TRIM(UPPER('query (2)'!C486)),Cleaning_Rules!$A$15:$A$20,0)),"UNKNOWN"))</f>
        <v>FACTORY2</v>
      </c>
      <c r="H486" s="25" t="str">
        <f>IF('query (2)'!C486="","",'query (2)'!C486)</f>
        <v>FACTORY2</v>
      </c>
      <c r="I486" s="24" t="str" cm="1">
        <f t="array" ref="I486">_xlfn.IFS($G486="UNKNOWN","UNKNOWN",OR($G486="FACTORY1",$G486="FACTORY2",$G486="FACTORY3"),"PLANT",TRUE,"SHARED")</f>
        <v>PLANT</v>
      </c>
      <c r="J486" s="24" t="str">
        <f>IF('query (2)'!D486="","UNKNOWN",IF(COUNTIF(Cleaning_Rules!$A$6:$A$11,TRIM('query (2)'!D486))&gt;0,"UNKNOWN",IFERROR(INDEX(Cleaning_Rules!$B$24:$B$28,MATCH(TRIM(UPPER('query (2)'!D486)),Cleaning_Rules!$A$24:$A$28,0)),TRIM(UPPER('query (2)'!D486)))))</f>
        <v>TP2</v>
      </c>
      <c r="K486" s="25" t="str">
        <f>IF('query (2)'!D486="","",'query (2)'!D486)</f>
        <v>TP2</v>
      </c>
      <c r="L486" s="24" t="str">
        <f>IF($J486="UNKNOWN","",_xlfn.TEXTBEFORE($J486,{"0","1","2","3","4","5","6","7","8","9"," ","-","."},1,,,$J486))</f>
        <v>TP</v>
      </c>
      <c r="M486" s="24" t="str">
        <f>IF('query (2)'!I486&lt;&gt;"",TRIM(UPPER('query (2)'!I486)),IF($L486="","UNKNOWN",$L486))</f>
        <v>TP</v>
      </c>
      <c r="N486" s="24" t="str">
        <f>IF('query (2)'!I486&lt;&gt;"","SOURCE",IF($L486="","UNKNOWN","DERIVED"))</f>
        <v>SOURCE</v>
      </c>
      <c r="O486" s="24" t="str">
        <f>IF('query (2)'!E486="","NOT_SPECIFIED",TRIM(UPPER('query (2)'!E486)))</f>
        <v>ASSEMBLY</v>
      </c>
      <c r="P486" s="24" t="str">
        <f>IF('query (2)'!F486="","",TRIM(UPPER('query (2)'!F486)))</f>
        <v>1703-TP2</v>
      </c>
      <c r="Q486" s="24" t="str">
        <f>IF('query (2)'!G486="","UNKNOWN",IFERROR(INDEX(Cleaning_Rules!$B$38:$B$46,MATCH(TRIM(UPPER('query (2)'!G486)),Cleaning_Rules!$A$38:$A$46,0)),"UNKNOWN"))</f>
        <v>OTHER</v>
      </c>
      <c r="R486" s="24" t="str">
        <f>IF('query (2)'!H486="","",TRIM(UPPER('query (2)'!H486)))</f>
        <v>TENSION PULLEY PRESS M/C (LINE 2)</v>
      </c>
      <c r="S486" s="25" t="str">
        <f>IF('query (2)'!H486="","",'query (2)'!H486)</f>
        <v>Tension  Pulley  Press  M/C  (Line 2)</v>
      </c>
      <c r="T486" s="24" t="str">
        <f>IF('query (2)'!J486="","",TRIM(UPPER('query (2)'!J486)))</f>
        <v/>
      </c>
      <c r="U486" s="24" t="str">
        <f t="shared" si="52"/>
        <v/>
      </c>
      <c r="V486" s="24" t="str">
        <f>IF('query (2)'!K486="","NOT_SPECIFIED",IFERROR(INDEX(Cleaning_Rules!$B$32:$B$34,MATCH(TRIM(UPPER('query (2)'!K486)),Cleaning_Rules!$A$32:$A$34,0)),"UNKNOWN"))</f>
        <v>NOT_SPECIFIED</v>
      </c>
      <c r="W486" s="24" t="str">
        <f t="shared" si="53"/>
        <v>AS-173 | FACTORY2 | TP2 | TP | ASSEMBLY | 1703-TP2 | OTHER | TENSION PULLEY PRESS M/C (LINE 2) | NOT_SPECIFIED</v>
      </c>
      <c r="X486" s="24" t="str">
        <f t="shared" si="54"/>
        <v/>
      </c>
      <c r="Y486" s="24" t="str">
        <f t="shared" si="55"/>
        <v>MISSING_STATUS; CATEGORY_NOT_USEFUL; MISSING_PRODUCTION_NAME</v>
      </c>
    </row>
    <row r="487" spans="1:25" x14ac:dyDescent="0.3">
      <c r="A487" s="24" t="str">
        <f t="shared" si="49"/>
        <v>AS-244#0486</v>
      </c>
      <c r="B487" s="24" t="str">
        <f>IF('query (2)'!B487="","",TRIM(UPPER('query (2)'!B487)))</f>
        <v>AS-244</v>
      </c>
      <c r="C487" s="25" t="str">
        <f>IF('query (2)'!B487="","",'query (2)'!B487)</f>
        <v>AS-244</v>
      </c>
      <c r="D487" s="24" t="str">
        <f t="shared" si="50"/>
        <v>AS</v>
      </c>
      <c r="E487" s="24">
        <f t="shared" si="51"/>
        <v>1</v>
      </c>
      <c r="F487" s="24">
        <f>IF('query (2)'!A487="","",IFERROR(VALUE('query (2)'!A487),""))</f>
        <v>505</v>
      </c>
      <c r="G487" s="24" t="str">
        <f>IF('query (2)'!C487="","UNKNOWN",IFERROR(INDEX(Cleaning_Rules!$B$15:$B$20,MATCH(TRIM(UPPER('query (2)'!C487)),Cleaning_Rules!$A$15:$A$20,0)),"UNKNOWN"))</f>
        <v>FACTORY2</v>
      </c>
      <c r="H487" s="25" t="str">
        <f>IF('query (2)'!C487="","",'query (2)'!C487)</f>
        <v>FACTORY2</v>
      </c>
      <c r="I487" s="24" t="str" cm="1">
        <f t="array" ref="I487">_xlfn.IFS($G487="UNKNOWN","UNKNOWN",OR($G487="FACTORY1",$G487="FACTORY2",$G487="FACTORY3"),"PLANT",TRUE,"SHARED")</f>
        <v>PLANT</v>
      </c>
      <c r="J487" s="24" t="str">
        <f>IF('query (2)'!D487="","UNKNOWN",IF(COUNTIF(Cleaning_Rules!$A$6:$A$11,TRIM('query (2)'!D487))&gt;0,"UNKNOWN",IFERROR(INDEX(Cleaning_Rules!$B$24:$B$28,MATCH(TRIM(UPPER('query (2)'!D487)),Cleaning_Rules!$A$24:$A$28,0)),TRIM(UPPER('query (2)'!D487)))))</f>
        <v>TP2</v>
      </c>
      <c r="K487" s="25" t="str">
        <f>IF('query (2)'!D487="","",'query (2)'!D487)</f>
        <v>TP2</v>
      </c>
      <c r="L487" s="24" t="str">
        <f>IF($J487="UNKNOWN","",_xlfn.TEXTBEFORE($J487,{"0","1","2","3","4","5","6","7","8","9"," ","-","."},1,,,$J487))</f>
        <v>TP</v>
      </c>
      <c r="M487" s="24" t="str">
        <f>IF('query (2)'!I487&lt;&gt;"",TRIM(UPPER('query (2)'!I487)),IF($L487="","UNKNOWN",$L487))</f>
        <v>TP</v>
      </c>
      <c r="N487" s="24" t="str">
        <f>IF('query (2)'!I487&lt;&gt;"","SOURCE",IF($L487="","UNKNOWN","DERIVED"))</f>
        <v>SOURCE</v>
      </c>
      <c r="O487" s="24" t="str">
        <f>IF('query (2)'!E487="","NOT_SPECIFIED",TRIM(UPPER('query (2)'!E487)))</f>
        <v>ASSEMBLY</v>
      </c>
      <c r="P487" s="24" t="str">
        <f>IF('query (2)'!F487="","",TRIM(UPPER('query (2)'!F487)))</f>
        <v>1703-TP2</v>
      </c>
      <c r="Q487" s="24" t="str">
        <f>IF('query (2)'!G487="","UNKNOWN",IFERROR(INDEX(Cleaning_Rules!$B$38:$B$46,MATCH(TRIM(UPPER('query (2)'!G487)),Cleaning_Rules!$A$38:$A$46,0)),"UNKNOWN"))</f>
        <v>OTHER</v>
      </c>
      <c r="R487" s="24" t="str">
        <f>IF('query (2)'!H487="","",TRIM(UPPER('query (2)'!H487)))</f>
        <v>JIG ASSY (LINE 2)</v>
      </c>
      <c r="S487" s="25" t="str">
        <f>IF('query (2)'!H487="","",'query (2)'!H487)</f>
        <v>Jig  Assy  (Line 2)</v>
      </c>
      <c r="T487" s="24" t="str">
        <f>IF('query (2)'!J487="","",TRIM(UPPER('query (2)'!J487)))</f>
        <v/>
      </c>
      <c r="U487" s="24" t="str">
        <f t="shared" si="52"/>
        <v/>
      </c>
      <c r="V487" s="24" t="str">
        <f>IF('query (2)'!K487="","NOT_SPECIFIED",IFERROR(INDEX(Cleaning_Rules!$B$32:$B$34,MATCH(TRIM(UPPER('query (2)'!K487)),Cleaning_Rules!$A$32:$A$34,0)),"UNKNOWN"))</f>
        <v>NOT_SPECIFIED</v>
      </c>
      <c r="W487" s="24" t="str">
        <f t="shared" si="53"/>
        <v>AS-244 | FACTORY2 | TP2 | TP | ASSEMBLY | 1703-TP2 | OTHER | JIG ASSY (LINE 2) | NOT_SPECIFIED</v>
      </c>
      <c r="X487" s="24" t="str">
        <f t="shared" si="54"/>
        <v/>
      </c>
      <c r="Y487" s="24" t="str">
        <f t="shared" si="55"/>
        <v>MISSING_STATUS; CATEGORY_NOT_USEFUL; MISSING_PRODUCTION_NAME</v>
      </c>
    </row>
    <row r="488" spans="1:25" x14ac:dyDescent="0.3">
      <c r="A488" s="24" t="str">
        <f t="shared" si="49"/>
        <v>CH-571#0487</v>
      </c>
      <c r="B488" s="24" t="str">
        <f>IF('query (2)'!B488="","",TRIM(UPPER('query (2)'!B488)))</f>
        <v>CH-571</v>
      </c>
      <c r="C488" s="25" t="str">
        <f>IF('query (2)'!B488="","",'query (2)'!B488)</f>
        <v>CH-571</v>
      </c>
      <c r="D488" s="24" t="str">
        <f t="shared" si="50"/>
        <v>CH</v>
      </c>
      <c r="E488" s="24">
        <f t="shared" si="51"/>
        <v>1</v>
      </c>
      <c r="F488" s="24">
        <f>IF('query (2)'!A488="","",IFERROR(VALUE('query (2)'!A488),""))</f>
        <v>506</v>
      </c>
      <c r="G488" s="24" t="str">
        <f>IF('query (2)'!C488="","UNKNOWN",IFERROR(INDEX(Cleaning_Rules!$B$15:$B$20,MATCH(TRIM(UPPER('query (2)'!C488)),Cleaning_Rules!$A$15:$A$20,0)),"UNKNOWN"))</f>
        <v>FACTORY2</v>
      </c>
      <c r="H488" s="25" t="str">
        <f>IF('query (2)'!C488="","",'query (2)'!C488)</f>
        <v>FACTORY2</v>
      </c>
      <c r="I488" s="24" t="str" cm="1">
        <f t="array" ref="I488">_xlfn.IFS($G488="UNKNOWN","UNKNOWN",OR($G488="FACTORY1",$G488="FACTORY2",$G488="FACTORY3"),"PLANT",TRUE,"SHARED")</f>
        <v>PLANT</v>
      </c>
      <c r="J488" s="24" t="str">
        <f>IF('query (2)'!D488="","UNKNOWN",IF(COUNTIF(Cleaning_Rules!$A$6:$A$11,TRIM('query (2)'!D488))&gt;0,"UNKNOWN",IFERROR(INDEX(Cleaning_Rules!$B$24:$B$28,MATCH(TRIM(UPPER('query (2)'!D488)),Cleaning_Rules!$A$24:$A$28,0)),TRIM(UPPER('query (2)'!D488)))))</f>
        <v>TP2</v>
      </c>
      <c r="K488" s="25" t="str">
        <f>IF('query (2)'!D488="","",'query (2)'!D488)</f>
        <v>TP2</v>
      </c>
      <c r="L488" s="24" t="str">
        <f>IF($J488="UNKNOWN","",_xlfn.TEXTBEFORE($J488,{"0","1","2","3","4","5","6","7","8","9"," ","-","."},1,,,$J488))</f>
        <v>TP</v>
      </c>
      <c r="M488" s="24" t="str">
        <f>IF('query (2)'!I488&lt;&gt;"",TRIM(UPPER('query (2)'!I488)),IF($L488="","UNKNOWN",$L488))</f>
        <v>TP</v>
      </c>
      <c r="N488" s="24" t="str">
        <f>IF('query (2)'!I488&lt;&gt;"","SOURCE",IF($L488="","UNKNOWN","DERIVED"))</f>
        <v>SOURCE</v>
      </c>
      <c r="O488" s="24" t="str">
        <f>IF('query (2)'!E488="","NOT_SPECIFIED",TRIM(UPPER('query (2)'!E488)))</f>
        <v>ASSEMBLY</v>
      </c>
      <c r="P488" s="24" t="str">
        <f>IF('query (2)'!F488="","",TRIM(UPPER('query (2)'!F488)))</f>
        <v>1703-TP2</v>
      </c>
      <c r="Q488" s="24" t="str">
        <f>IF('query (2)'!G488="","UNKNOWN",IFERROR(INDEX(Cleaning_Rules!$B$38:$B$46,MATCH(TRIM(UPPER('query (2)'!G488)),Cleaning_Rules!$A$38:$A$46,0)),"UNKNOWN"))</f>
        <v>OTHER</v>
      </c>
      <c r="R488" s="24" t="str">
        <f>IF('query (2)'!H488="","",TRIM(UPPER('query (2)'!H488)))</f>
        <v>NOISE MANUAL INSPECTION MACHINE</v>
      </c>
      <c r="S488" s="25" t="str">
        <f>IF('query (2)'!H488="","",'query (2)'!H488)</f>
        <v>Noise manual inspection machine</v>
      </c>
      <c r="T488" s="24" t="str">
        <f>IF('query (2)'!J488="","",TRIM(UPPER('query (2)'!J488)))</f>
        <v/>
      </c>
      <c r="U488" s="24" t="str">
        <f t="shared" si="52"/>
        <v/>
      </c>
      <c r="V488" s="24" t="str">
        <f>IF('query (2)'!K488="","NOT_SPECIFIED",IFERROR(INDEX(Cleaning_Rules!$B$32:$B$34,MATCH(TRIM(UPPER('query (2)'!K488)),Cleaning_Rules!$A$32:$A$34,0)),"UNKNOWN"))</f>
        <v>NOT_SPECIFIED</v>
      </c>
      <c r="W488" s="24" t="str">
        <f t="shared" si="53"/>
        <v>CH-571 | FACTORY2 | TP2 | TP | ASSEMBLY | 1703-TP2 | OTHER | NOISE MANUAL INSPECTION MACHINE | NOT_SPECIFIED</v>
      </c>
      <c r="X488" s="24" t="str">
        <f t="shared" si="54"/>
        <v/>
      </c>
      <c r="Y488" s="24" t="str">
        <f t="shared" si="55"/>
        <v>MISSING_STATUS; CATEGORY_NOT_USEFUL; MISSING_PRODUCTION_NAME</v>
      </c>
    </row>
    <row r="489" spans="1:25" x14ac:dyDescent="0.3">
      <c r="A489" s="24" t="str">
        <f t="shared" si="49"/>
        <v>AS-206#0488</v>
      </c>
      <c r="B489" s="24" t="str">
        <f>IF('query (2)'!B489="","",TRIM(UPPER('query (2)'!B489)))</f>
        <v>AS-206</v>
      </c>
      <c r="C489" s="25" t="str">
        <f>IF('query (2)'!B489="","",'query (2)'!B489)</f>
        <v>AS-206</v>
      </c>
      <c r="D489" s="24" t="str">
        <f t="shared" si="50"/>
        <v>AS</v>
      </c>
      <c r="E489" s="24">
        <f t="shared" si="51"/>
        <v>1</v>
      </c>
      <c r="F489" s="24">
        <f>IF('query (2)'!A489="","",IFERROR(VALUE('query (2)'!A489),""))</f>
        <v>507</v>
      </c>
      <c r="G489" s="24" t="str">
        <f>IF('query (2)'!C489="","UNKNOWN",IFERROR(INDEX(Cleaning_Rules!$B$15:$B$20,MATCH(TRIM(UPPER('query (2)'!C489)),Cleaning_Rules!$A$15:$A$20,0)),"UNKNOWN"))</f>
        <v>FACTORY2</v>
      </c>
      <c r="H489" s="25" t="str">
        <f>IF('query (2)'!C489="","",'query (2)'!C489)</f>
        <v>FACTORY2</v>
      </c>
      <c r="I489" s="24" t="str" cm="1">
        <f t="array" ref="I489">_xlfn.IFS($G489="UNKNOWN","UNKNOWN",OR($G489="FACTORY1",$G489="FACTORY2",$G489="FACTORY3"),"PLANT",TRUE,"SHARED")</f>
        <v>PLANT</v>
      </c>
      <c r="J489" s="24" t="str">
        <f>IF('query (2)'!D489="","UNKNOWN",IF(COUNTIF(Cleaning_Rules!$A$6:$A$11,TRIM('query (2)'!D489))&gt;0,"UNKNOWN",IFERROR(INDEX(Cleaning_Rules!$B$24:$B$28,MATCH(TRIM(UPPER('query (2)'!D489)),Cleaning_Rules!$A$24:$A$28,0)),TRIM(UPPER('query (2)'!D489)))))</f>
        <v>TP2</v>
      </c>
      <c r="K489" s="25" t="str">
        <f>IF('query (2)'!D489="","",'query (2)'!D489)</f>
        <v>TP2</v>
      </c>
      <c r="L489" s="24" t="str">
        <f>IF($J489="UNKNOWN","",_xlfn.TEXTBEFORE($J489,{"0","1","2","3","4","5","6","7","8","9"," ","-","."},1,,,$J489))</f>
        <v>TP</v>
      </c>
      <c r="M489" s="24" t="str">
        <f>IF('query (2)'!I489&lt;&gt;"",TRIM(UPPER('query (2)'!I489)),IF($L489="","UNKNOWN",$L489))</f>
        <v>TP</v>
      </c>
      <c r="N489" s="24" t="str">
        <f>IF('query (2)'!I489&lt;&gt;"","SOURCE",IF($L489="","UNKNOWN","DERIVED"))</f>
        <v>SOURCE</v>
      </c>
      <c r="O489" s="24" t="str">
        <f>IF('query (2)'!E489="","NOT_SPECIFIED",TRIM(UPPER('query (2)'!E489)))</f>
        <v>ASSEMBLY</v>
      </c>
      <c r="P489" s="24" t="str">
        <f>IF('query (2)'!F489="","",TRIM(UPPER('query (2)'!F489)))</f>
        <v>1703-TP2</v>
      </c>
      <c r="Q489" s="24" t="str">
        <f>IF('query (2)'!G489="","UNKNOWN",IFERROR(INDEX(Cleaning_Rules!$B$38:$B$46,MATCH(TRIM(UPPER('query (2)'!G489)),Cleaning_Rules!$A$38:$A$46,0)),"UNKNOWN"))</f>
        <v>OTHER</v>
      </c>
      <c r="R489" s="24" t="str">
        <f>IF('query (2)'!H489="","",TRIM(UPPER('query (2)'!H489)))</f>
        <v>DUST COVER PRESS M/C</v>
      </c>
      <c r="S489" s="25" t="str">
        <f>IF('query (2)'!H489="","",'query (2)'!H489)</f>
        <v>Dust cover press m/c</v>
      </c>
      <c r="T489" s="24" t="str">
        <f>IF('query (2)'!J489="","",TRIM(UPPER('query (2)'!J489)))</f>
        <v/>
      </c>
      <c r="U489" s="24" t="str">
        <f t="shared" si="52"/>
        <v/>
      </c>
      <c r="V489" s="24" t="str">
        <f>IF('query (2)'!K489="","NOT_SPECIFIED",IFERROR(INDEX(Cleaning_Rules!$B$32:$B$34,MATCH(TRIM(UPPER('query (2)'!K489)),Cleaning_Rules!$A$32:$A$34,0)),"UNKNOWN"))</f>
        <v>NOT_SPECIFIED</v>
      </c>
      <c r="W489" s="24" t="str">
        <f t="shared" si="53"/>
        <v>AS-206 | FACTORY2 | TP2 | TP | ASSEMBLY | 1703-TP2 | OTHER | DUST COVER PRESS M/C | NOT_SPECIFIED</v>
      </c>
      <c r="X489" s="24" t="str">
        <f t="shared" si="54"/>
        <v/>
      </c>
      <c r="Y489" s="24" t="str">
        <f t="shared" si="55"/>
        <v>MISSING_STATUS; CATEGORY_NOT_USEFUL; MISSING_PRODUCTION_NAME</v>
      </c>
    </row>
    <row r="490" spans="1:25" x14ac:dyDescent="0.3">
      <c r="A490" s="24" t="str">
        <f t="shared" si="49"/>
        <v>AS-209#0489</v>
      </c>
      <c r="B490" s="24" t="str">
        <f>IF('query (2)'!B490="","",TRIM(UPPER('query (2)'!B490)))</f>
        <v>AS-209</v>
      </c>
      <c r="C490" s="25" t="str">
        <f>IF('query (2)'!B490="","",'query (2)'!B490)</f>
        <v>AS-209</v>
      </c>
      <c r="D490" s="24" t="str">
        <f t="shared" si="50"/>
        <v>AS</v>
      </c>
      <c r="E490" s="24">
        <f t="shared" si="51"/>
        <v>1</v>
      </c>
      <c r="F490" s="24">
        <f>IF('query (2)'!A490="","",IFERROR(VALUE('query (2)'!A490),""))</f>
        <v>508</v>
      </c>
      <c r="G490" s="24" t="str">
        <f>IF('query (2)'!C490="","UNKNOWN",IFERROR(INDEX(Cleaning_Rules!$B$15:$B$20,MATCH(TRIM(UPPER('query (2)'!C490)),Cleaning_Rules!$A$15:$A$20,0)),"UNKNOWN"))</f>
        <v>FACTORY2</v>
      </c>
      <c r="H490" s="25" t="str">
        <f>IF('query (2)'!C490="","",'query (2)'!C490)</f>
        <v>FACTORY2</v>
      </c>
      <c r="I490" s="24" t="str" cm="1">
        <f t="array" ref="I490">_xlfn.IFS($G490="UNKNOWN","UNKNOWN",OR($G490="FACTORY1",$G490="FACTORY2",$G490="FACTORY3"),"PLANT",TRUE,"SHARED")</f>
        <v>PLANT</v>
      </c>
      <c r="J490" s="24" t="str">
        <f>IF('query (2)'!D490="","UNKNOWN",IF(COUNTIF(Cleaning_Rules!$A$6:$A$11,TRIM('query (2)'!D490))&gt;0,"UNKNOWN",IFERROR(INDEX(Cleaning_Rules!$B$24:$B$28,MATCH(TRIM(UPPER('query (2)'!D490)),Cleaning_Rules!$A$24:$A$28,0)),TRIM(UPPER('query (2)'!D490)))))</f>
        <v>TP2</v>
      </c>
      <c r="K490" s="25" t="str">
        <f>IF('query (2)'!D490="","",'query (2)'!D490)</f>
        <v>TP2</v>
      </c>
      <c r="L490" s="24" t="str">
        <f>IF($J490="UNKNOWN","",_xlfn.TEXTBEFORE($J490,{"0","1","2","3","4","5","6","7","8","9"," ","-","."},1,,,$J490))</f>
        <v>TP</v>
      </c>
      <c r="M490" s="24" t="str">
        <f>IF('query (2)'!I490&lt;&gt;"",TRIM(UPPER('query (2)'!I490)),IF($L490="","UNKNOWN",$L490))</f>
        <v>TP</v>
      </c>
      <c r="N490" s="24" t="str">
        <f>IF('query (2)'!I490&lt;&gt;"","SOURCE",IF($L490="","UNKNOWN","DERIVED"))</f>
        <v>SOURCE</v>
      </c>
      <c r="O490" s="24" t="str">
        <f>IF('query (2)'!E490="","NOT_SPECIFIED",TRIM(UPPER('query (2)'!E490)))</f>
        <v>ASSEMBLY</v>
      </c>
      <c r="P490" s="24" t="str">
        <f>IF('query (2)'!F490="","",TRIM(UPPER('query (2)'!F490)))</f>
        <v>1703-TP2</v>
      </c>
      <c r="Q490" s="24" t="str">
        <f>IF('query (2)'!G490="","UNKNOWN",IFERROR(INDEX(Cleaning_Rules!$B$38:$B$46,MATCH(TRIM(UPPER('query (2)'!G490)),Cleaning_Rules!$A$38:$A$46,0)),"UNKNOWN"))</f>
        <v>OTHER</v>
      </c>
      <c r="R490" s="24" t="str">
        <f>IF('query (2)'!H490="","",TRIM(UPPER('query (2)'!H490)))</f>
        <v>PRESS MACHINE FOR BEARING NO.2</v>
      </c>
      <c r="S490" s="25" t="str">
        <f>IF('query (2)'!H490="","",'query (2)'!H490)</f>
        <v>Press machine for bearing no.2</v>
      </c>
      <c r="T490" s="24" t="str">
        <f>IF('query (2)'!J490="","",TRIM(UPPER('query (2)'!J490)))</f>
        <v/>
      </c>
      <c r="U490" s="24" t="str">
        <f t="shared" si="52"/>
        <v/>
      </c>
      <c r="V490" s="24" t="str">
        <f>IF('query (2)'!K490="","NOT_SPECIFIED",IFERROR(INDEX(Cleaning_Rules!$B$32:$B$34,MATCH(TRIM(UPPER('query (2)'!K490)),Cleaning_Rules!$A$32:$A$34,0)),"UNKNOWN"))</f>
        <v>NOT_SPECIFIED</v>
      </c>
      <c r="W490" s="24" t="str">
        <f t="shared" si="53"/>
        <v>AS-209 | FACTORY2 | TP2 | TP | ASSEMBLY | 1703-TP2 | OTHER | PRESS MACHINE FOR BEARING NO.2 | NOT_SPECIFIED</v>
      </c>
      <c r="X490" s="24" t="str">
        <f t="shared" si="54"/>
        <v/>
      </c>
      <c r="Y490" s="24" t="str">
        <f t="shared" si="55"/>
        <v>MISSING_STATUS; CATEGORY_NOT_USEFUL; MISSING_PRODUCTION_NAME</v>
      </c>
    </row>
    <row r="491" spans="1:25" x14ac:dyDescent="0.3">
      <c r="A491" s="24" t="str">
        <f t="shared" si="49"/>
        <v>MA-623#0490</v>
      </c>
      <c r="B491" s="24" t="str">
        <f>IF('query (2)'!B491="","",TRIM(UPPER('query (2)'!B491)))</f>
        <v>MA-623</v>
      </c>
      <c r="C491" s="25" t="str">
        <f>IF('query (2)'!B491="","",'query (2)'!B491)</f>
        <v>MA-623</v>
      </c>
      <c r="D491" s="24" t="str">
        <f t="shared" si="50"/>
        <v>MA</v>
      </c>
      <c r="E491" s="24">
        <f t="shared" si="51"/>
        <v>1</v>
      </c>
      <c r="F491" s="24">
        <f>IF('query (2)'!A491="","",IFERROR(VALUE('query (2)'!A491),""))</f>
        <v>509</v>
      </c>
      <c r="G491" s="24" t="str">
        <f>IF('query (2)'!C491="","UNKNOWN",IFERROR(INDEX(Cleaning_Rules!$B$15:$B$20,MATCH(TRIM(UPPER('query (2)'!C491)),Cleaning_Rules!$A$15:$A$20,0)),"UNKNOWN"))</f>
        <v>FACTORY2</v>
      </c>
      <c r="H491" s="25" t="str">
        <f>IF('query (2)'!C491="","",'query (2)'!C491)</f>
        <v>FACTORY2</v>
      </c>
      <c r="I491" s="24" t="str" cm="1">
        <f t="array" ref="I491">_xlfn.IFS($G491="UNKNOWN","UNKNOWN",OR($G491="FACTORY1",$G491="FACTORY2",$G491="FACTORY3"),"PLANT",TRUE,"SHARED")</f>
        <v>PLANT</v>
      </c>
      <c r="J491" s="24" t="str">
        <f>IF('query (2)'!D491="","UNKNOWN",IF(COUNTIF(Cleaning_Rules!$A$6:$A$11,TRIM('query (2)'!D491))&gt;0,"UNKNOWN",IFERROR(INDEX(Cleaning_Rules!$B$24:$B$28,MATCH(TRIM(UPPER('query (2)'!D491)),Cleaning_Rules!$A$24:$A$28,0)),TRIM(UPPER('query (2)'!D491)))))</f>
        <v>TP3</v>
      </c>
      <c r="K491" s="25" t="str">
        <f>IF('query (2)'!D491="","",'query (2)'!D491)</f>
        <v>TP3</v>
      </c>
      <c r="L491" s="24" t="str">
        <f>IF($J491="UNKNOWN","",_xlfn.TEXTBEFORE($J491,{"0","1","2","3","4","5","6","7","8","9"," ","-","."},1,,,$J491))</f>
        <v>TP</v>
      </c>
      <c r="M491" s="24" t="str">
        <f>IF('query (2)'!I491&lt;&gt;"",TRIM(UPPER('query (2)'!I491)),IF($L491="","UNKNOWN",$L491))</f>
        <v>TP</v>
      </c>
      <c r="N491" s="24" t="str">
        <f>IF('query (2)'!I491&lt;&gt;"","SOURCE",IF($L491="","UNKNOWN","DERIVED"))</f>
        <v>SOURCE</v>
      </c>
      <c r="O491" s="24" t="str">
        <f>IF('query (2)'!E491="","NOT_SPECIFIED",TRIM(UPPER('query (2)'!E491)))</f>
        <v>ASSEMBLY</v>
      </c>
      <c r="P491" s="24" t="str">
        <f>IF('query (2)'!F491="","",TRIM(UPPER('query (2)'!F491)))</f>
        <v>1700-TP</v>
      </c>
      <c r="Q491" s="24" t="str">
        <f>IF('query (2)'!G491="","UNKNOWN",IFERROR(INDEX(Cleaning_Rules!$B$38:$B$46,MATCH(TRIM(UPPER('query (2)'!G491)),Cleaning_Rules!$A$38:$A$46,0)),"UNKNOWN"))</f>
        <v>OTHER</v>
      </c>
      <c r="R491" s="24" t="str">
        <f>IF('query (2)'!H491="","",TRIM(UPPER('query (2)'!H491)))</f>
        <v>LASER MARK M/C</v>
      </c>
      <c r="S491" s="25" t="str">
        <f>IF('query (2)'!H491="","",'query (2)'!H491)</f>
        <v>Laser Mark M/C</v>
      </c>
      <c r="T491" s="24" t="str">
        <f>IF('query (2)'!J491="","",TRIM(UPPER('query (2)'!J491)))</f>
        <v/>
      </c>
      <c r="U491" s="24" t="str">
        <f t="shared" si="52"/>
        <v/>
      </c>
      <c r="V491" s="24" t="str">
        <f>IF('query (2)'!K491="","NOT_SPECIFIED",IFERROR(INDEX(Cleaning_Rules!$B$32:$B$34,MATCH(TRIM(UPPER('query (2)'!K491)),Cleaning_Rules!$A$32:$A$34,0)),"UNKNOWN"))</f>
        <v>NOT_SPECIFIED</v>
      </c>
      <c r="W491" s="24" t="str">
        <f t="shared" si="53"/>
        <v>MA-623 | FACTORY2 | TP3 | TP | ASSEMBLY | 1700-TP | OTHER | LASER MARK M/C | NOT_SPECIFIED</v>
      </c>
      <c r="X491" s="24" t="str">
        <f t="shared" si="54"/>
        <v/>
      </c>
      <c r="Y491" s="24" t="str">
        <f t="shared" si="55"/>
        <v>MISSING_STATUS; CATEGORY_NOT_USEFUL; MISSING_PRODUCTION_NAME</v>
      </c>
    </row>
    <row r="492" spans="1:25" x14ac:dyDescent="0.3">
      <c r="A492" s="24" t="str">
        <f t="shared" si="49"/>
        <v>MA-635#0491</v>
      </c>
      <c r="B492" s="24" t="str">
        <f>IF('query (2)'!B492="","",TRIM(UPPER('query (2)'!B492)))</f>
        <v>MA-635</v>
      </c>
      <c r="C492" s="25" t="str">
        <f>IF('query (2)'!B492="","",'query (2)'!B492)</f>
        <v>MA-635</v>
      </c>
      <c r="D492" s="24" t="str">
        <f t="shared" si="50"/>
        <v>MA</v>
      </c>
      <c r="E492" s="24">
        <f t="shared" si="51"/>
        <v>2</v>
      </c>
      <c r="F492" s="24">
        <f>IF('query (2)'!A492="","",IFERROR(VALUE('query (2)'!A492),""))</f>
        <v>510</v>
      </c>
      <c r="G492" s="24" t="str">
        <f>IF('query (2)'!C492="","UNKNOWN",IFERROR(INDEX(Cleaning_Rules!$B$15:$B$20,MATCH(TRIM(UPPER('query (2)'!C492)),Cleaning_Rules!$A$15:$A$20,0)),"UNKNOWN"))</f>
        <v>FACTORY2</v>
      </c>
      <c r="H492" s="25" t="str">
        <f>IF('query (2)'!C492="","",'query (2)'!C492)</f>
        <v>FACTORY2</v>
      </c>
      <c r="I492" s="24" t="str" cm="1">
        <f t="array" ref="I492">_xlfn.IFS($G492="UNKNOWN","UNKNOWN",OR($G492="FACTORY1",$G492="FACTORY2",$G492="FACTORY3"),"PLANT",TRUE,"SHARED")</f>
        <v>PLANT</v>
      </c>
      <c r="J492" s="24" t="str">
        <f>IF('query (2)'!D492="","UNKNOWN",IF(COUNTIF(Cleaning_Rules!$A$6:$A$11,TRIM('query (2)'!D492))&gt;0,"UNKNOWN",IFERROR(INDEX(Cleaning_Rules!$B$24:$B$28,MATCH(TRIM(UPPER('query (2)'!D492)),Cleaning_Rules!$A$24:$A$28,0)),TRIM(UPPER('query (2)'!D492)))))</f>
        <v>TP2</v>
      </c>
      <c r="K492" s="25" t="str">
        <f>IF('query (2)'!D492="","",'query (2)'!D492)</f>
        <v>TP2</v>
      </c>
      <c r="L492" s="24" t="str">
        <f>IF($J492="UNKNOWN","",_xlfn.TEXTBEFORE($J492,{"0","1","2","3","4","5","6","7","8","9"," ","-","."},1,,,$J492))</f>
        <v>TP</v>
      </c>
      <c r="M492" s="24" t="str">
        <f>IF('query (2)'!I492&lt;&gt;"",TRIM(UPPER('query (2)'!I492)),IF($L492="","UNKNOWN",$L492))</f>
        <v>TP</v>
      </c>
      <c r="N492" s="24" t="str">
        <f>IF('query (2)'!I492&lt;&gt;"","SOURCE",IF($L492="","UNKNOWN","DERIVED"))</f>
        <v>SOURCE</v>
      </c>
      <c r="O492" s="24" t="str">
        <f>IF('query (2)'!E492="","NOT_SPECIFIED",TRIM(UPPER('query (2)'!E492)))</f>
        <v>ASSEMBLY</v>
      </c>
      <c r="P492" s="24" t="str">
        <f>IF('query (2)'!F492="","",TRIM(UPPER('query (2)'!F492)))</f>
        <v>2410-PSP</v>
      </c>
      <c r="Q492" s="24" t="str">
        <f>IF('query (2)'!G492="","UNKNOWN",IFERROR(INDEX(Cleaning_Rules!$B$38:$B$46,MATCH(TRIM(UPPER('query (2)'!G492)),Cleaning_Rules!$A$38:$A$46,0)),"UNKNOWN"))</f>
        <v>OTHER</v>
      </c>
      <c r="R492" s="24" t="str">
        <f>IF('query (2)'!H492="","",TRIM(UPPER('query (2)'!H492)))</f>
        <v>INK JET MARKING #FAC.3</v>
      </c>
      <c r="S492" s="25" t="str">
        <f>IF('query (2)'!H492="","",'query (2)'!H492)</f>
        <v>Ink jet marking  #Fac.3</v>
      </c>
      <c r="T492" s="24" t="str">
        <f>IF('query (2)'!J492="","",TRIM(UPPER('query (2)'!J492)))</f>
        <v/>
      </c>
      <c r="U492" s="24" t="str">
        <f t="shared" si="52"/>
        <v/>
      </c>
      <c r="V492" s="24" t="str">
        <f>IF('query (2)'!K492="","NOT_SPECIFIED",IFERROR(INDEX(Cleaning_Rules!$B$32:$B$34,MATCH(TRIM(UPPER('query (2)'!K492)),Cleaning_Rules!$A$32:$A$34,0)),"UNKNOWN"))</f>
        <v>NOT_SPECIFIED</v>
      </c>
      <c r="W492" s="24" t="str">
        <f t="shared" si="53"/>
        <v>MA-635 | FACTORY2 | TP2 | TP | ASSEMBLY | 2410-PSP | OTHER | INK JET MARKING #FAC.3 | NOT_SPECIFIED</v>
      </c>
      <c r="X492" s="24" t="str">
        <f t="shared" si="54"/>
        <v>DUPLICATE_QR</v>
      </c>
      <c r="Y492" s="24" t="str">
        <f t="shared" si="55"/>
        <v>MISSING_STATUS; CATEGORY_NOT_USEFUL; MISSING_PRODUCTION_NAME</v>
      </c>
    </row>
    <row r="493" spans="1:25" x14ac:dyDescent="0.3">
      <c r="A493" s="24" t="str">
        <f t="shared" si="49"/>
        <v>MA-622#0492</v>
      </c>
      <c r="B493" s="24" t="str">
        <f>IF('query (2)'!B493="","",TRIM(UPPER('query (2)'!B493)))</f>
        <v>MA-622</v>
      </c>
      <c r="C493" s="25" t="str">
        <f>IF('query (2)'!B493="","",'query (2)'!B493)</f>
        <v>MA-622</v>
      </c>
      <c r="D493" s="24" t="str">
        <f t="shared" si="50"/>
        <v>MA</v>
      </c>
      <c r="E493" s="24">
        <f t="shared" si="51"/>
        <v>1</v>
      </c>
      <c r="F493" s="24">
        <f>IF('query (2)'!A493="","",IFERROR(VALUE('query (2)'!A493),""))</f>
        <v>511</v>
      </c>
      <c r="G493" s="24" t="str">
        <f>IF('query (2)'!C493="","UNKNOWN",IFERROR(INDEX(Cleaning_Rules!$B$15:$B$20,MATCH(TRIM(UPPER('query (2)'!C493)),Cleaning_Rules!$A$15:$A$20,0)),"UNKNOWN"))</f>
        <v>FACTORY3</v>
      </c>
      <c r="H493" s="25" t="str">
        <f>IF('query (2)'!C493="","",'query (2)'!C493)</f>
        <v>FACTORY3</v>
      </c>
      <c r="I493" s="24" t="str" cm="1">
        <f t="array" ref="I493">_xlfn.IFS($G493="UNKNOWN","UNKNOWN",OR($G493="FACTORY1",$G493="FACTORY2",$G493="FACTORY3"),"PLANT",TRUE,"SHARED")</f>
        <v>PLANT</v>
      </c>
      <c r="J493" s="24" t="str">
        <f>IF('query (2)'!D493="","UNKNOWN",IF(COUNTIF(Cleaning_Rules!$A$6:$A$11,TRIM('query (2)'!D493))&gt;0,"UNKNOWN",IFERROR(INDEX(Cleaning_Rules!$B$24:$B$28,MATCH(TRIM(UPPER('query (2)'!D493)),Cleaning_Rules!$A$24:$A$28,0)),TRIM(UPPER('query (2)'!D493)))))</f>
        <v>PACKING-FAC3</v>
      </c>
      <c r="K493" s="25" t="str">
        <f>IF('query (2)'!D493="","",'query (2)'!D493)</f>
        <v>Packing-FAC3</v>
      </c>
      <c r="L493" s="24" t="str">
        <f>IF($J493="UNKNOWN","",_xlfn.TEXTBEFORE($J493,{"0","1","2","3","4","5","6","7","8","9"," ","-","."},1,,,$J493))</f>
        <v>PACKING</v>
      </c>
      <c r="M493" s="24" t="str">
        <f>IF('query (2)'!I493&lt;&gt;"",TRIM(UPPER('query (2)'!I493)),IF($L493="","UNKNOWN",$L493))</f>
        <v>PACKING</v>
      </c>
      <c r="N493" s="24" t="str">
        <f>IF('query (2)'!I493&lt;&gt;"","SOURCE",IF($L493="","UNKNOWN","DERIVED"))</f>
        <v>SOURCE</v>
      </c>
      <c r="O493" s="24" t="str">
        <f>IF('query (2)'!E493="","NOT_SPECIFIED",TRIM(UPPER('query (2)'!E493)))</f>
        <v>ASSEMBLY</v>
      </c>
      <c r="P493" s="24" t="str">
        <f>IF('query (2)'!F493="","",TRIM(UPPER('query (2)'!F493)))</f>
        <v>2410-PSP</v>
      </c>
      <c r="Q493" s="24" t="str">
        <f>IF('query (2)'!G493="","UNKNOWN",IFERROR(INDEX(Cleaning_Rules!$B$38:$B$46,MATCH(TRIM(UPPER('query (2)'!G493)),Cleaning_Rules!$A$38:$A$46,0)),"UNKNOWN"))</f>
        <v>OTHER</v>
      </c>
      <c r="R493" s="24" t="str">
        <f>IF('query (2)'!H493="","",TRIM(UPPER('query (2)'!H493)))</f>
        <v>INK JET MARKING MACHINE</v>
      </c>
      <c r="S493" s="25" t="str">
        <f>IF('query (2)'!H493="","",'query (2)'!H493)</f>
        <v>Ink jet marking machine</v>
      </c>
      <c r="T493" s="24" t="str">
        <f>IF('query (2)'!J493="","",TRIM(UPPER('query (2)'!J493)))</f>
        <v/>
      </c>
      <c r="U493" s="24" t="str">
        <f t="shared" si="52"/>
        <v/>
      </c>
      <c r="V493" s="24" t="str">
        <f>IF('query (2)'!K493="","NOT_SPECIFIED",IFERROR(INDEX(Cleaning_Rules!$B$32:$B$34,MATCH(TRIM(UPPER('query (2)'!K493)),Cleaning_Rules!$A$32:$A$34,0)),"UNKNOWN"))</f>
        <v>NOT_SPECIFIED</v>
      </c>
      <c r="W493" s="24" t="str">
        <f t="shared" si="53"/>
        <v>MA-622 | FACTORY3 | PACKING-FAC3 | PACKING | ASSEMBLY | 2410-PSP | OTHER | INK JET MARKING MACHINE | NOT_SPECIFIED</v>
      </c>
      <c r="X493" s="24" t="str">
        <f t="shared" si="54"/>
        <v/>
      </c>
      <c r="Y493" s="24" t="str">
        <f t="shared" si="55"/>
        <v>MISSING_STATUS; CATEGORY_NOT_USEFUL; MISSING_PRODUCTION_NAME</v>
      </c>
    </row>
    <row r="494" spans="1:25" x14ac:dyDescent="0.3">
      <c r="A494" s="24" t="str">
        <f t="shared" si="49"/>
        <v>AS-969#0493</v>
      </c>
      <c r="B494" s="24" t="str">
        <f>IF('query (2)'!B494="","",TRIM(UPPER('query (2)'!B494)))</f>
        <v>AS-969</v>
      </c>
      <c r="C494" s="25" t="str">
        <f>IF('query (2)'!B494="","",'query (2)'!B494)</f>
        <v>AS-969</v>
      </c>
      <c r="D494" s="24" t="str">
        <f t="shared" si="50"/>
        <v>AS</v>
      </c>
      <c r="E494" s="24">
        <f t="shared" si="51"/>
        <v>1</v>
      </c>
      <c r="F494" s="24">
        <f>IF('query (2)'!A494="","",IFERROR(VALUE('query (2)'!A494),""))</f>
        <v>512</v>
      </c>
      <c r="G494" s="24" t="str">
        <f>IF('query (2)'!C494="","UNKNOWN",IFERROR(INDEX(Cleaning_Rules!$B$15:$B$20,MATCH(TRIM(UPPER('query (2)'!C494)),Cleaning_Rules!$A$15:$A$20,0)),"UNKNOWN"))</f>
        <v>FACTORY2</v>
      </c>
      <c r="H494" s="25" t="str">
        <f>IF('query (2)'!C494="","",'query (2)'!C494)</f>
        <v>FACTORY2</v>
      </c>
      <c r="I494" s="24" t="str" cm="1">
        <f t="array" ref="I494">_xlfn.IFS($G494="UNKNOWN","UNKNOWN",OR($G494="FACTORY1",$G494="FACTORY2",$G494="FACTORY3"),"PLANT",TRUE,"SHARED")</f>
        <v>PLANT</v>
      </c>
      <c r="J494" s="24" t="str">
        <f>IF('query (2)'!D494="","UNKNOWN",IF(COUNTIF(Cleaning_Rules!$A$6:$A$11,TRIM('query (2)'!D494))&gt;0,"UNKNOWN",IFERROR(INDEX(Cleaning_Rules!$B$24:$B$28,MATCH(TRIM(UPPER('query (2)'!D494)),Cleaning_Rules!$A$24:$A$28,0)),TRIM(UPPER('query (2)'!D494)))))</f>
        <v>TP3</v>
      </c>
      <c r="K494" s="25" t="str">
        <f>IF('query (2)'!D494="","",'query (2)'!D494)</f>
        <v>TP3</v>
      </c>
      <c r="L494" s="24" t="str">
        <f>IF($J494="UNKNOWN","",_xlfn.TEXTBEFORE($J494,{"0","1","2","3","4","5","6","7","8","9"," ","-","."},1,,,$J494))</f>
        <v>TP</v>
      </c>
      <c r="M494" s="24" t="str">
        <f>IF('query (2)'!I494&lt;&gt;"",TRIM(UPPER('query (2)'!I494)),IF($L494="","UNKNOWN",$L494))</f>
        <v>TP</v>
      </c>
      <c r="N494" s="24" t="str">
        <f>IF('query (2)'!I494&lt;&gt;"","SOURCE",IF($L494="","UNKNOWN","DERIVED"))</f>
        <v>SOURCE</v>
      </c>
      <c r="O494" s="24" t="str">
        <f>IF('query (2)'!E494="","NOT_SPECIFIED",TRIM(UPPER('query (2)'!E494)))</f>
        <v>ASSEMBLY</v>
      </c>
      <c r="P494" s="24" t="str">
        <f>IF('query (2)'!F494="","",TRIM(UPPER('query (2)'!F494)))</f>
        <v>1700-TP</v>
      </c>
      <c r="Q494" s="24" t="str">
        <f>IF('query (2)'!G494="","UNKNOWN",IFERROR(INDEX(Cleaning_Rules!$B$38:$B$46,MATCH(TRIM(UPPER('query (2)'!G494)),Cleaning_Rules!$A$38:$A$46,0)),"UNKNOWN"))</f>
        <v>OTHER</v>
      </c>
      <c r="R494" s="24" t="str">
        <f>IF('query (2)'!H494="","",TRIM(UPPER('query (2)'!H494)))</f>
        <v>BEARING PRESS M/C (MA-448)</v>
      </c>
      <c r="S494" s="25" t="str">
        <f>IF('query (2)'!H494="","",'query (2)'!H494)</f>
        <v>Bearing press m/c   (MA-448)</v>
      </c>
      <c r="T494" s="24" t="str">
        <f>IF('query (2)'!J494="","",TRIM(UPPER('query (2)'!J494)))</f>
        <v/>
      </c>
      <c r="U494" s="24" t="str">
        <f t="shared" si="52"/>
        <v>MA-448</v>
      </c>
      <c r="V494" s="24" t="str">
        <f>IF('query (2)'!K494="","NOT_SPECIFIED",IFERROR(INDEX(Cleaning_Rules!$B$32:$B$34,MATCH(TRIM(UPPER('query (2)'!K494)),Cleaning_Rules!$A$32:$A$34,0)),"UNKNOWN"))</f>
        <v>NOT_SPECIFIED</v>
      </c>
      <c r="W494" s="24" t="str">
        <f t="shared" si="53"/>
        <v>AS-969 | FACTORY2 | TP3 | TP | ASSEMBLY | 1700-TP | OTHER | BEARING PRESS M/C (MA-448) | NOT_SPECIFIED</v>
      </c>
      <c r="X494" s="24" t="str">
        <f t="shared" si="54"/>
        <v/>
      </c>
      <c r="Y494" s="24" t="str">
        <f t="shared" si="55"/>
        <v>MISSING_STATUS; CATEGORY_NOT_USEFUL; MISSING_PRODUCTION_NAME</v>
      </c>
    </row>
    <row r="495" spans="1:25" x14ac:dyDescent="0.3">
      <c r="A495" s="24" t="str">
        <f t="shared" si="49"/>
        <v>AS-970#0494</v>
      </c>
      <c r="B495" s="24" t="str">
        <f>IF('query (2)'!B495="","",TRIM(UPPER('query (2)'!B495)))</f>
        <v>AS-970</v>
      </c>
      <c r="C495" s="25" t="str">
        <f>IF('query (2)'!B495="","",'query (2)'!B495)</f>
        <v>AS-970</v>
      </c>
      <c r="D495" s="24" t="str">
        <f t="shared" si="50"/>
        <v>AS</v>
      </c>
      <c r="E495" s="24">
        <f t="shared" si="51"/>
        <v>1</v>
      </c>
      <c r="F495" s="24">
        <f>IF('query (2)'!A495="","",IFERROR(VALUE('query (2)'!A495),""))</f>
        <v>513</v>
      </c>
      <c r="G495" s="24" t="str">
        <f>IF('query (2)'!C495="","UNKNOWN",IFERROR(INDEX(Cleaning_Rules!$B$15:$B$20,MATCH(TRIM(UPPER('query (2)'!C495)),Cleaning_Rules!$A$15:$A$20,0)),"UNKNOWN"))</f>
        <v>FACTORY2</v>
      </c>
      <c r="H495" s="25" t="str">
        <f>IF('query (2)'!C495="","",'query (2)'!C495)</f>
        <v>FACTORY2</v>
      </c>
      <c r="I495" s="24" t="str" cm="1">
        <f t="array" ref="I495">_xlfn.IFS($G495="UNKNOWN","UNKNOWN",OR($G495="FACTORY1",$G495="FACTORY2",$G495="FACTORY3"),"PLANT",TRUE,"SHARED")</f>
        <v>PLANT</v>
      </c>
      <c r="J495" s="24" t="str">
        <f>IF('query (2)'!D495="","UNKNOWN",IF(COUNTIF(Cleaning_Rules!$A$6:$A$11,TRIM('query (2)'!D495))&gt;0,"UNKNOWN",IFERROR(INDEX(Cleaning_Rules!$B$24:$B$28,MATCH(TRIM(UPPER('query (2)'!D495)),Cleaning_Rules!$A$24:$A$28,0)),TRIM(UPPER('query (2)'!D495)))))</f>
        <v>TP3</v>
      </c>
      <c r="K495" s="25" t="str">
        <f>IF('query (2)'!D495="","",'query (2)'!D495)</f>
        <v>TP3</v>
      </c>
      <c r="L495" s="24" t="str">
        <f>IF($J495="UNKNOWN","",_xlfn.TEXTBEFORE($J495,{"0","1","2","3","4","5","6","7","8","9"," ","-","."},1,,,$J495))</f>
        <v>TP</v>
      </c>
      <c r="M495" s="24" t="str">
        <f>IF('query (2)'!I495&lt;&gt;"",TRIM(UPPER('query (2)'!I495)),IF($L495="","UNKNOWN",$L495))</f>
        <v>TP</v>
      </c>
      <c r="N495" s="24" t="str">
        <f>IF('query (2)'!I495&lt;&gt;"","SOURCE",IF($L495="","UNKNOWN","DERIVED"))</f>
        <v>SOURCE</v>
      </c>
      <c r="O495" s="24" t="str">
        <f>IF('query (2)'!E495="","NOT_SPECIFIED",TRIM(UPPER('query (2)'!E495)))</f>
        <v>ASSEMBLY</v>
      </c>
      <c r="P495" s="24" t="str">
        <f>IF('query (2)'!F495="","",TRIM(UPPER('query (2)'!F495)))</f>
        <v>1700-TP</v>
      </c>
      <c r="Q495" s="24" t="str">
        <f>IF('query (2)'!G495="","UNKNOWN",IFERROR(INDEX(Cleaning_Rules!$B$38:$B$46,MATCH(TRIM(UPPER('query (2)'!G495)),Cleaning_Rules!$A$38:$A$46,0)),"UNKNOWN"))</f>
        <v>OTHER</v>
      </c>
      <c r="R495" s="24" t="str">
        <f>IF('query (2)'!H495="","",TRIM(UPPER('query (2)'!H495)))</f>
        <v>JIG ASSEMBLY M/C</v>
      </c>
      <c r="S495" s="25" t="str">
        <f>IF('query (2)'!H495="","",'query (2)'!H495)</f>
        <v>Jig assembly  m/c</v>
      </c>
      <c r="T495" s="24" t="str">
        <f>IF('query (2)'!J495="","",TRIM(UPPER('query (2)'!J495)))</f>
        <v/>
      </c>
      <c r="U495" s="24" t="str">
        <f t="shared" si="52"/>
        <v/>
      </c>
      <c r="V495" s="24" t="str">
        <f>IF('query (2)'!K495="","NOT_SPECIFIED",IFERROR(INDEX(Cleaning_Rules!$B$32:$B$34,MATCH(TRIM(UPPER('query (2)'!K495)),Cleaning_Rules!$A$32:$A$34,0)),"UNKNOWN"))</f>
        <v>NOT_SPECIFIED</v>
      </c>
      <c r="W495" s="24" t="str">
        <f t="shared" si="53"/>
        <v>AS-970 | FACTORY2 | TP3 | TP | ASSEMBLY | 1700-TP | OTHER | JIG ASSEMBLY M/C | NOT_SPECIFIED</v>
      </c>
      <c r="X495" s="24" t="str">
        <f t="shared" si="54"/>
        <v/>
      </c>
      <c r="Y495" s="24" t="str">
        <f t="shared" si="55"/>
        <v>MISSING_STATUS; CATEGORY_NOT_USEFUL; MISSING_PRODUCTION_NAME</v>
      </c>
    </row>
    <row r="496" spans="1:25" x14ac:dyDescent="0.3">
      <c r="A496" s="24" t="str">
        <f t="shared" si="49"/>
        <v>CH-086#0495</v>
      </c>
      <c r="B496" s="24" t="str">
        <f>IF('query (2)'!B496="","",TRIM(UPPER('query (2)'!B496)))</f>
        <v>CH-086</v>
      </c>
      <c r="C496" s="25" t="str">
        <f>IF('query (2)'!B496="","",'query (2)'!B496)</f>
        <v>CH-086</v>
      </c>
      <c r="D496" s="24" t="str">
        <f t="shared" si="50"/>
        <v>CH</v>
      </c>
      <c r="E496" s="24">
        <f t="shared" si="51"/>
        <v>1</v>
      </c>
      <c r="F496" s="24">
        <f>IF('query (2)'!A496="","",IFERROR(VALUE('query (2)'!A496),""))</f>
        <v>514</v>
      </c>
      <c r="G496" s="24" t="str">
        <f>IF('query (2)'!C496="","UNKNOWN",IFERROR(INDEX(Cleaning_Rules!$B$15:$B$20,MATCH(TRIM(UPPER('query (2)'!C496)),Cleaning_Rules!$A$15:$A$20,0)),"UNKNOWN"))</f>
        <v>FACTORY2</v>
      </c>
      <c r="H496" s="25" t="str">
        <f>IF('query (2)'!C496="","",'query (2)'!C496)</f>
        <v>FACTORY2</v>
      </c>
      <c r="I496" s="24" t="str" cm="1">
        <f t="array" ref="I496">_xlfn.IFS($G496="UNKNOWN","UNKNOWN",OR($G496="FACTORY1",$G496="FACTORY2",$G496="FACTORY3"),"PLANT",TRUE,"SHARED")</f>
        <v>PLANT</v>
      </c>
      <c r="J496" s="24" t="str">
        <f>IF('query (2)'!D496="","UNKNOWN",IF(COUNTIF(Cleaning_Rules!$A$6:$A$11,TRIM('query (2)'!D496))&gt;0,"UNKNOWN",IFERROR(INDEX(Cleaning_Rules!$B$24:$B$28,MATCH(TRIM(UPPER('query (2)'!D496)),Cleaning_Rules!$A$24:$A$28,0)),TRIM(UPPER('query (2)'!D496)))))</f>
        <v>WP ASSEMBLY1</v>
      </c>
      <c r="K496" s="25" t="str">
        <f>IF('query (2)'!D496="","",'query (2)'!D496)</f>
        <v>WP Assambly1</v>
      </c>
      <c r="L496" s="24" t="str">
        <f>IF($J496="UNKNOWN","",_xlfn.TEXTBEFORE($J496,{"0","1","2","3","4","5","6","7","8","9"," ","-","."},1,,,$J496))</f>
        <v>WP</v>
      </c>
      <c r="M496" s="24" t="str">
        <f>IF('query (2)'!I496&lt;&gt;"",TRIM(UPPER('query (2)'!I496)),IF($L496="","UNKNOWN",$L496))</f>
        <v>WP</v>
      </c>
      <c r="N496" s="24" t="str">
        <f>IF('query (2)'!I496&lt;&gt;"","SOURCE",IF($L496="","UNKNOWN","DERIVED"))</f>
        <v>SOURCE</v>
      </c>
      <c r="O496" s="24" t="str">
        <f>IF('query (2)'!E496="","NOT_SPECIFIED",TRIM(UPPER('query (2)'!E496)))</f>
        <v>ASSEMBLY</v>
      </c>
      <c r="P496" s="24" t="str">
        <f>IF('query (2)'!F496="","",TRIM(UPPER('query (2)'!F496)))</f>
        <v>1409-WP1AI</v>
      </c>
      <c r="Q496" s="24" t="str">
        <f>IF('query (2)'!G496="","UNKNOWN",IFERROR(INDEX(Cleaning_Rules!$B$38:$B$46,MATCH(TRIM(UPPER('query (2)'!G496)),Cleaning_Rules!$A$38:$A$46,0)),"UNKNOWN"))</f>
        <v>OTHER</v>
      </c>
      <c r="R496" s="24" t="str">
        <f>IF('query (2)'!H496="","",TRIM(UPPER('query (2)'!H496)))</f>
        <v>E.C.T. (SHAFT HARDNESS)</v>
      </c>
      <c r="S496" s="25" t="str">
        <f>IF('query (2)'!H496="","",'query (2)'!H496)</f>
        <v>E.C.T. (Shaft  hardness)</v>
      </c>
      <c r="T496" s="24" t="str">
        <f>IF('query (2)'!J496="","",TRIM(UPPER('query (2)'!J496)))</f>
        <v/>
      </c>
      <c r="U496" s="24" t="str">
        <f t="shared" si="52"/>
        <v/>
      </c>
      <c r="V496" s="24" t="str">
        <f>IF('query (2)'!K496="","NOT_SPECIFIED",IFERROR(INDEX(Cleaning_Rules!$B$32:$B$34,MATCH(TRIM(UPPER('query (2)'!K496)),Cleaning_Rules!$A$32:$A$34,0)),"UNKNOWN"))</f>
        <v>NOT_SPECIFIED</v>
      </c>
      <c r="W496" s="24" t="str">
        <f t="shared" si="53"/>
        <v>CH-086 | FACTORY2 | WP ASSEMBLY1 | WP | ASSEMBLY | 1409-WP1AI | OTHER | E.C.T. (SHAFT HARDNESS) | NOT_SPECIFIED</v>
      </c>
      <c r="X496" s="24" t="str">
        <f t="shared" si="54"/>
        <v/>
      </c>
      <c r="Y496" s="24" t="str">
        <f t="shared" si="55"/>
        <v>MISSING_STATUS; CATEGORY_NOT_USEFUL; MISSING_PRODUCTION_NAME</v>
      </c>
    </row>
    <row r="497" spans="1:25" x14ac:dyDescent="0.3">
      <c r="A497" s="24" t="str">
        <f t="shared" si="49"/>
        <v>CH-087#0496</v>
      </c>
      <c r="B497" s="24" t="str">
        <f>IF('query (2)'!B497="","",TRIM(UPPER('query (2)'!B497)))</f>
        <v>CH-087</v>
      </c>
      <c r="C497" s="25" t="str">
        <f>IF('query (2)'!B497="","",'query (2)'!B497)</f>
        <v>CH-087</v>
      </c>
      <c r="D497" s="24" t="str">
        <f t="shared" si="50"/>
        <v>CH</v>
      </c>
      <c r="E497" s="24">
        <f t="shared" si="51"/>
        <v>1</v>
      </c>
      <c r="F497" s="24">
        <f>IF('query (2)'!A497="","",IFERROR(VALUE('query (2)'!A497),""))</f>
        <v>515</v>
      </c>
      <c r="G497" s="24" t="str">
        <f>IF('query (2)'!C497="","UNKNOWN",IFERROR(INDEX(Cleaning_Rules!$B$15:$B$20,MATCH(TRIM(UPPER('query (2)'!C497)),Cleaning_Rules!$A$15:$A$20,0)),"UNKNOWN"))</f>
        <v>FACTORY2</v>
      </c>
      <c r="H497" s="25" t="str">
        <f>IF('query (2)'!C497="","",'query (2)'!C497)</f>
        <v>FACTORY2</v>
      </c>
      <c r="I497" s="24" t="str" cm="1">
        <f t="array" ref="I497">_xlfn.IFS($G497="UNKNOWN","UNKNOWN",OR($G497="FACTORY1",$G497="FACTORY2",$G497="FACTORY3"),"PLANT",TRUE,"SHARED")</f>
        <v>PLANT</v>
      </c>
      <c r="J497" s="24" t="str">
        <f>IF('query (2)'!D497="","UNKNOWN",IF(COUNTIF(Cleaning_Rules!$A$6:$A$11,TRIM('query (2)'!D497))&gt;0,"UNKNOWN",IFERROR(INDEX(Cleaning_Rules!$B$24:$B$28,MATCH(TRIM(UPPER('query (2)'!D497)),Cleaning_Rules!$A$24:$A$28,0)),TRIM(UPPER('query (2)'!D497)))))</f>
        <v>WP ASSEMBLY1</v>
      </c>
      <c r="K497" s="25" t="str">
        <f>IF('query (2)'!D497="","",'query (2)'!D497)</f>
        <v>WP Assambly1</v>
      </c>
      <c r="L497" s="24" t="str">
        <f>IF($J497="UNKNOWN","",_xlfn.TEXTBEFORE($J497,{"0","1","2","3","4","5","6","7","8","9"," ","-","."},1,,,$J497))</f>
        <v>WP</v>
      </c>
      <c r="M497" s="24" t="str">
        <f>IF('query (2)'!I497&lt;&gt;"",TRIM(UPPER('query (2)'!I497)),IF($L497="","UNKNOWN",$L497))</f>
        <v>WP</v>
      </c>
      <c r="N497" s="24" t="str">
        <f>IF('query (2)'!I497&lt;&gt;"","SOURCE",IF($L497="","UNKNOWN","DERIVED"))</f>
        <v>SOURCE</v>
      </c>
      <c r="O497" s="24" t="str">
        <f>IF('query (2)'!E497="","NOT_SPECIFIED",TRIM(UPPER('query (2)'!E497)))</f>
        <v>ASSEMBLY</v>
      </c>
      <c r="P497" s="24" t="str">
        <f>IF('query (2)'!F497="","",TRIM(UPPER('query (2)'!F497)))</f>
        <v>1409-WP1AI</v>
      </c>
      <c r="Q497" s="24" t="str">
        <f>IF('query (2)'!G497="","UNKNOWN",IFERROR(INDEX(Cleaning_Rules!$B$38:$B$46,MATCH(TRIM(UPPER('query (2)'!G497)),Cleaning_Rules!$A$38:$A$46,0)),"UNKNOWN"))</f>
        <v>OTHER</v>
      </c>
      <c r="R497" s="24" t="str">
        <f>IF('query (2)'!H497="","",TRIM(UPPER('query (2)'!H497)))</f>
        <v>E.C.T. (OUTER- RING HARDNESS)</v>
      </c>
      <c r="S497" s="25" t="str">
        <f>IF('query (2)'!H497="","",'query (2)'!H497)</f>
        <v>E.C.T. (Outer- ring  hardness)</v>
      </c>
      <c r="T497" s="24" t="str">
        <f>IF('query (2)'!J497="","",TRIM(UPPER('query (2)'!J497)))</f>
        <v/>
      </c>
      <c r="U497" s="24" t="str">
        <f t="shared" si="52"/>
        <v/>
      </c>
      <c r="V497" s="24" t="str">
        <f>IF('query (2)'!K497="","NOT_SPECIFIED",IFERROR(INDEX(Cleaning_Rules!$B$32:$B$34,MATCH(TRIM(UPPER('query (2)'!K497)),Cleaning_Rules!$A$32:$A$34,0)),"UNKNOWN"))</f>
        <v>NOT_SPECIFIED</v>
      </c>
      <c r="W497" s="24" t="str">
        <f t="shared" si="53"/>
        <v>CH-087 | FACTORY2 | WP ASSEMBLY1 | WP | ASSEMBLY | 1409-WP1AI | OTHER | E.C.T. (OUTER- RING HARDNESS) | NOT_SPECIFIED</v>
      </c>
      <c r="X497" s="24" t="str">
        <f t="shared" si="54"/>
        <v/>
      </c>
      <c r="Y497" s="24" t="str">
        <f t="shared" si="55"/>
        <v>MISSING_STATUS; CATEGORY_NOT_USEFUL; MISSING_PRODUCTION_NAME</v>
      </c>
    </row>
    <row r="498" spans="1:25" x14ac:dyDescent="0.3">
      <c r="A498" s="24" t="str">
        <f t="shared" si="49"/>
        <v>CH-604#0497</v>
      </c>
      <c r="B498" s="24" t="str">
        <f>IF('query (2)'!B498="","",TRIM(UPPER('query (2)'!B498)))</f>
        <v>CH-604</v>
      </c>
      <c r="C498" s="25" t="str">
        <f>IF('query (2)'!B498="","",'query (2)'!B498)</f>
        <v>CH-604</v>
      </c>
      <c r="D498" s="24" t="str">
        <f t="shared" si="50"/>
        <v>CH</v>
      </c>
      <c r="E498" s="24">
        <f t="shared" si="51"/>
        <v>1</v>
      </c>
      <c r="F498" s="24">
        <f>IF('query (2)'!A498="","",IFERROR(VALUE('query (2)'!A498),""))</f>
        <v>516</v>
      </c>
      <c r="G498" s="24" t="str">
        <f>IF('query (2)'!C498="","UNKNOWN",IFERROR(INDEX(Cleaning_Rules!$B$15:$B$20,MATCH(TRIM(UPPER('query (2)'!C498)),Cleaning_Rules!$A$15:$A$20,0)),"UNKNOWN"))</f>
        <v>FACTORY2</v>
      </c>
      <c r="H498" s="25" t="str">
        <f>IF('query (2)'!C498="","",'query (2)'!C498)</f>
        <v>FACTORY2</v>
      </c>
      <c r="I498" s="24" t="str" cm="1">
        <f t="array" ref="I498">_xlfn.IFS($G498="UNKNOWN","UNKNOWN",OR($G498="FACTORY1",$G498="FACTORY2",$G498="FACTORY3"),"PLANT",TRUE,"SHARED")</f>
        <v>PLANT</v>
      </c>
      <c r="J498" s="24" t="str">
        <f>IF('query (2)'!D498="","UNKNOWN",IF(COUNTIF(Cleaning_Rules!$A$6:$A$11,TRIM('query (2)'!D498))&gt;0,"UNKNOWN",IFERROR(INDEX(Cleaning_Rules!$B$24:$B$28,MATCH(TRIM(UPPER('query (2)'!D498)),Cleaning_Rules!$A$24:$A$28,0)),TRIM(UPPER('query (2)'!D498)))))</f>
        <v>WP ASSEMBLY1</v>
      </c>
      <c r="K498" s="25" t="str">
        <f>IF('query (2)'!D498="","",'query (2)'!D498)</f>
        <v>WP Assambly1</v>
      </c>
      <c r="L498" s="24" t="str">
        <f>IF($J498="UNKNOWN","",_xlfn.TEXTBEFORE($J498,{"0","1","2","3","4","5","6","7","8","9"," ","-","."},1,,,$J498))</f>
        <v>WP</v>
      </c>
      <c r="M498" s="24" t="str">
        <f>IF('query (2)'!I498&lt;&gt;"",TRIM(UPPER('query (2)'!I498)),IF($L498="","UNKNOWN",$L498))</f>
        <v>WP</v>
      </c>
      <c r="N498" s="24" t="str">
        <f>IF('query (2)'!I498&lt;&gt;"","SOURCE",IF($L498="","UNKNOWN","DERIVED"))</f>
        <v>SOURCE</v>
      </c>
      <c r="O498" s="24" t="str">
        <f>IF('query (2)'!E498="","NOT_SPECIFIED",TRIM(UPPER('query (2)'!E498)))</f>
        <v>ASSEMBLY</v>
      </c>
      <c r="P498" s="24" t="str">
        <f>IF('query (2)'!F498="","",TRIM(UPPER('query (2)'!F498)))</f>
        <v>1409-WP1AI</v>
      </c>
      <c r="Q498" s="24" t="str">
        <f>IF('query (2)'!G498="","UNKNOWN",IFERROR(INDEX(Cleaning_Rules!$B$38:$B$46,MATCH(TRIM(UPPER('query (2)'!G498)),Cleaning_Rules!$A$38:$A$46,0)),"UNKNOWN"))</f>
        <v>OTHER</v>
      </c>
      <c r="R498" s="24" t="str">
        <f>IF('query (2)'!H498="","",TRIM(UPPER('query (2)'!H498)))</f>
        <v>A/B RACEWAY DIAMETER MEASUREMENT M/C</v>
      </c>
      <c r="S498" s="25" t="str">
        <f>IF('query (2)'!H498="","",'query (2)'!H498)</f>
        <v>A/B raceway diameter measurement M/C</v>
      </c>
      <c r="T498" s="24" t="str">
        <f>IF('query (2)'!J498="","",TRIM(UPPER('query (2)'!J498)))</f>
        <v/>
      </c>
      <c r="U498" s="24" t="str">
        <f t="shared" si="52"/>
        <v/>
      </c>
      <c r="V498" s="24" t="str">
        <f>IF('query (2)'!K498="","NOT_SPECIFIED",IFERROR(INDEX(Cleaning_Rules!$B$32:$B$34,MATCH(TRIM(UPPER('query (2)'!K498)),Cleaning_Rules!$A$32:$A$34,0)),"UNKNOWN"))</f>
        <v>NOT_SPECIFIED</v>
      </c>
      <c r="W498" s="24" t="str">
        <f t="shared" si="53"/>
        <v>CH-604 | FACTORY2 | WP ASSEMBLY1 | WP | ASSEMBLY | 1409-WP1AI | OTHER | A/B RACEWAY DIAMETER MEASUREMENT M/C | NOT_SPECIFIED</v>
      </c>
      <c r="X498" s="24" t="str">
        <f t="shared" si="54"/>
        <v/>
      </c>
      <c r="Y498" s="24" t="str">
        <f t="shared" si="55"/>
        <v>MISSING_STATUS; CATEGORY_NOT_USEFUL; MISSING_PRODUCTION_NAME</v>
      </c>
    </row>
    <row r="499" spans="1:25" x14ac:dyDescent="0.3">
      <c r="A499" s="24" t="str">
        <f t="shared" si="49"/>
        <v>AS-083#0498</v>
      </c>
      <c r="B499" s="24" t="str">
        <f>IF('query (2)'!B499="","",TRIM(UPPER('query (2)'!B499)))</f>
        <v>AS-083</v>
      </c>
      <c r="C499" s="25" t="str">
        <f>IF('query (2)'!B499="","",'query (2)'!B499)</f>
        <v>AS-083</v>
      </c>
      <c r="D499" s="24" t="str">
        <f t="shared" si="50"/>
        <v>AS</v>
      </c>
      <c r="E499" s="24">
        <f t="shared" si="51"/>
        <v>1</v>
      </c>
      <c r="F499" s="24">
        <f>IF('query (2)'!A499="","",IFERROR(VALUE('query (2)'!A499),""))</f>
        <v>517</v>
      </c>
      <c r="G499" s="24" t="str">
        <f>IF('query (2)'!C499="","UNKNOWN",IFERROR(INDEX(Cleaning_Rules!$B$15:$B$20,MATCH(TRIM(UPPER('query (2)'!C499)),Cleaning_Rules!$A$15:$A$20,0)),"UNKNOWN"))</f>
        <v>FACTORY2</v>
      </c>
      <c r="H499" s="25" t="str">
        <f>IF('query (2)'!C499="","",'query (2)'!C499)</f>
        <v>FACTORY2</v>
      </c>
      <c r="I499" s="24" t="str" cm="1">
        <f t="array" ref="I499">_xlfn.IFS($G499="UNKNOWN","UNKNOWN",OR($G499="FACTORY1",$G499="FACTORY2",$G499="FACTORY3"),"PLANT",TRUE,"SHARED")</f>
        <v>PLANT</v>
      </c>
      <c r="J499" s="24" t="str">
        <f>IF('query (2)'!D499="","UNKNOWN",IF(COUNTIF(Cleaning_Rules!$A$6:$A$11,TRIM('query (2)'!D499))&gt;0,"UNKNOWN",IFERROR(INDEX(Cleaning_Rules!$B$24:$B$28,MATCH(TRIM(UPPER('query (2)'!D499)),Cleaning_Rules!$A$24:$A$28,0)),TRIM(UPPER('query (2)'!D499)))))</f>
        <v>WP ASSEMBLY1</v>
      </c>
      <c r="K499" s="25" t="str">
        <f>IF('query (2)'!D499="","",'query (2)'!D499)</f>
        <v>WP Assambly1</v>
      </c>
      <c r="L499" s="24" t="str">
        <f>IF($J499="UNKNOWN","",_xlfn.TEXTBEFORE($J499,{"0","1","2","3","4","5","6","7","8","9"," ","-","."},1,,,$J499))</f>
        <v>WP</v>
      </c>
      <c r="M499" s="24" t="str">
        <f>IF('query (2)'!I499&lt;&gt;"",TRIM(UPPER('query (2)'!I499)),IF($L499="","UNKNOWN",$L499))</f>
        <v>WP</v>
      </c>
      <c r="N499" s="24" t="str">
        <f>IF('query (2)'!I499&lt;&gt;"","SOURCE",IF($L499="","UNKNOWN","DERIVED"))</f>
        <v>SOURCE</v>
      </c>
      <c r="O499" s="24" t="str">
        <f>IF('query (2)'!E499="","NOT_SPECIFIED",TRIM(UPPER('query (2)'!E499)))</f>
        <v>ASSEMBLY</v>
      </c>
      <c r="P499" s="24" t="str">
        <f>IF('query (2)'!F499="","",TRIM(UPPER('query (2)'!F499)))</f>
        <v>1409-WP1AI</v>
      </c>
      <c r="Q499" s="24" t="str">
        <f>IF('query (2)'!G499="","UNKNOWN",IFERROR(INDEX(Cleaning_Rules!$B$38:$B$46,MATCH(TRIM(UPPER('query (2)'!G499)),Cleaning_Rules!$A$38:$A$46,0)),"UNKNOWN"))</f>
        <v>OTHER</v>
      </c>
      <c r="R499" s="24" t="str">
        <f>IF('query (2)'!H499="","",TRIM(UPPER('query (2)'!H499)))</f>
        <v>MATCHING &amp; BALL FILLING M/C</v>
      </c>
      <c r="S499" s="25" t="str">
        <f>IF('query (2)'!H499="","",'query (2)'!H499)</f>
        <v>Matching  &amp;  Ball  filling  M/C</v>
      </c>
      <c r="T499" s="24" t="str">
        <f>IF('query (2)'!J499="","",TRIM(UPPER('query (2)'!J499)))</f>
        <v/>
      </c>
      <c r="U499" s="24" t="str">
        <f t="shared" si="52"/>
        <v/>
      </c>
      <c r="V499" s="24" t="str">
        <f>IF('query (2)'!K499="","NOT_SPECIFIED",IFERROR(INDEX(Cleaning_Rules!$B$32:$B$34,MATCH(TRIM(UPPER('query (2)'!K499)),Cleaning_Rules!$A$32:$A$34,0)),"UNKNOWN"))</f>
        <v>NOT_SPECIFIED</v>
      </c>
      <c r="W499" s="24" t="str">
        <f t="shared" si="53"/>
        <v>AS-083 | FACTORY2 | WP ASSEMBLY1 | WP | ASSEMBLY | 1409-WP1AI | OTHER | MATCHING &amp; BALL FILLING M/C | NOT_SPECIFIED</v>
      </c>
      <c r="X499" s="24" t="str">
        <f t="shared" si="54"/>
        <v/>
      </c>
      <c r="Y499" s="24" t="str">
        <f t="shared" si="55"/>
        <v>MISSING_STATUS; CATEGORY_NOT_USEFUL; MISSING_PRODUCTION_NAME</v>
      </c>
    </row>
    <row r="500" spans="1:25" x14ac:dyDescent="0.3">
      <c r="A500" s="24" t="str">
        <f t="shared" si="49"/>
        <v>AS-085#0499</v>
      </c>
      <c r="B500" s="24" t="str">
        <f>IF('query (2)'!B500="","",TRIM(UPPER('query (2)'!B500)))</f>
        <v>AS-085</v>
      </c>
      <c r="C500" s="25" t="str">
        <f>IF('query (2)'!B500="","",'query (2)'!B500)</f>
        <v>AS-085</v>
      </c>
      <c r="D500" s="24" t="str">
        <f t="shared" si="50"/>
        <v>AS</v>
      </c>
      <c r="E500" s="24">
        <f t="shared" si="51"/>
        <v>1</v>
      </c>
      <c r="F500" s="24">
        <f>IF('query (2)'!A500="","",IFERROR(VALUE('query (2)'!A500),""))</f>
        <v>518</v>
      </c>
      <c r="G500" s="24" t="str">
        <f>IF('query (2)'!C500="","UNKNOWN",IFERROR(INDEX(Cleaning_Rules!$B$15:$B$20,MATCH(TRIM(UPPER('query (2)'!C500)),Cleaning_Rules!$A$15:$A$20,0)),"UNKNOWN"))</f>
        <v>FACTORY2</v>
      </c>
      <c r="H500" s="25" t="str">
        <f>IF('query (2)'!C500="","",'query (2)'!C500)</f>
        <v>FACTORY2</v>
      </c>
      <c r="I500" s="24" t="str" cm="1">
        <f t="array" ref="I500">_xlfn.IFS($G500="UNKNOWN","UNKNOWN",OR($G500="FACTORY1",$G500="FACTORY2",$G500="FACTORY3"),"PLANT",TRUE,"SHARED")</f>
        <v>PLANT</v>
      </c>
      <c r="J500" s="24" t="str">
        <f>IF('query (2)'!D500="","UNKNOWN",IF(COUNTIF(Cleaning_Rules!$A$6:$A$11,TRIM('query (2)'!D500))&gt;0,"UNKNOWN",IFERROR(INDEX(Cleaning_Rules!$B$24:$B$28,MATCH(TRIM(UPPER('query (2)'!D500)),Cleaning_Rules!$A$24:$A$28,0)),TRIM(UPPER('query (2)'!D500)))))</f>
        <v>WP ASSEMBLY1</v>
      </c>
      <c r="K500" s="25" t="str">
        <f>IF('query (2)'!D500="","",'query (2)'!D500)</f>
        <v>WP Assambly1</v>
      </c>
      <c r="L500" s="24" t="str">
        <f>IF($J500="UNKNOWN","",_xlfn.TEXTBEFORE($J500,{"0","1","2","3","4","5","6","7","8","9"," ","-","."},1,,,$J500))</f>
        <v>WP</v>
      </c>
      <c r="M500" s="24" t="str">
        <f>IF('query (2)'!I500&lt;&gt;"",TRIM(UPPER('query (2)'!I500)),IF($L500="","UNKNOWN",$L500))</f>
        <v>WP</v>
      </c>
      <c r="N500" s="24" t="str">
        <f>IF('query (2)'!I500&lt;&gt;"","SOURCE",IF($L500="","UNKNOWN","DERIVED"))</f>
        <v>SOURCE</v>
      </c>
      <c r="O500" s="24" t="str">
        <f>IF('query (2)'!E500="","NOT_SPECIFIED",TRIM(UPPER('query (2)'!E500)))</f>
        <v>ASSEMBLY</v>
      </c>
      <c r="P500" s="24" t="str">
        <f>IF('query (2)'!F500="","",TRIM(UPPER('query (2)'!F500)))</f>
        <v>1409-WP1AI</v>
      </c>
      <c r="Q500" s="24" t="str">
        <f>IF('query (2)'!G500="","UNKNOWN",IFERROR(INDEX(Cleaning_Rules!$B$38:$B$46,MATCH(TRIM(UPPER('query (2)'!G500)),Cleaning_Rules!$A$38:$A$46,0)),"UNKNOWN"))</f>
        <v>OTHER</v>
      </c>
      <c r="R500" s="24" t="str">
        <f>IF('query (2)'!H500="","",TRIM(UPPER('query (2)'!H500)))</f>
        <v>CAGE PRESS &amp; BALL DIVIDING M/C</v>
      </c>
      <c r="S500" s="25" t="str">
        <f>IF('query (2)'!H500="","",'query (2)'!H500)</f>
        <v>Cage  press &amp; Ball  dividing  M/C</v>
      </c>
      <c r="T500" s="24" t="str">
        <f>IF('query (2)'!J500="","",TRIM(UPPER('query (2)'!J500)))</f>
        <v/>
      </c>
      <c r="U500" s="24" t="str">
        <f t="shared" si="52"/>
        <v/>
      </c>
      <c r="V500" s="24" t="str">
        <f>IF('query (2)'!K500="","NOT_SPECIFIED",IFERROR(INDEX(Cleaning_Rules!$B$32:$B$34,MATCH(TRIM(UPPER('query (2)'!K500)),Cleaning_Rules!$A$32:$A$34,0)),"UNKNOWN"))</f>
        <v>NOT_SPECIFIED</v>
      </c>
      <c r="W500" s="24" t="str">
        <f t="shared" si="53"/>
        <v>AS-085 | FACTORY2 | WP ASSEMBLY1 | WP | ASSEMBLY | 1409-WP1AI | OTHER | CAGE PRESS &amp; BALL DIVIDING M/C | NOT_SPECIFIED</v>
      </c>
      <c r="X500" s="24" t="str">
        <f t="shared" si="54"/>
        <v/>
      </c>
      <c r="Y500" s="24" t="str">
        <f t="shared" si="55"/>
        <v>MISSING_STATUS; CATEGORY_NOT_USEFUL; MISSING_PRODUCTION_NAME</v>
      </c>
    </row>
    <row r="501" spans="1:25" x14ac:dyDescent="0.3">
      <c r="A501" s="24" t="str">
        <f t="shared" si="49"/>
        <v>CH-084#0500</v>
      </c>
      <c r="B501" s="24" t="str">
        <f>IF('query (2)'!B501="","",TRIM(UPPER('query (2)'!B501)))</f>
        <v>CH-084</v>
      </c>
      <c r="C501" s="25" t="str">
        <f>IF('query (2)'!B501="","",'query (2)'!B501)</f>
        <v>CH-084</v>
      </c>
      <c r="D501" s="24" t="str">
        <f t="shared" si="50"/>
        <v>CH</v>
      </c>
      <c r="E501" s="24">
        <f t="shared" si="51"/>
        <v>1</v>
      </c>
      <c r="F501" s="24">
        <f>IF('query (2)'!A501="","",IFERROR(VALUE('query (2)'!A501),""))</f>
        <v>519</v>
      </c>
      <c r="G501" s="24" t="str">
        <f>IF('query (2)'!C501="","UNKNOWN",IFERROR(INDEX(Cleaning_Rules!$B$15:$B$20,MATCH(TRIM(UPPER('query (2)'!C501)),Cleaning_Rules!$A$15:$A$20,0)),"UNKNOWN"))</f>
        <v>FACTORY2</v>
      </c>
      <c r="H501" s="25" t="str">
        <f>IF('query (2)'!C501="","",'query (2)'!C501)</f>
        <v>FACTORY2</v>
      </c>
      <c r="I501" s="24" t="str" cm="1">
        <f t="array" ref="I501">_xlfn.IFS($G501="UNKNOWN","UNKNOWN",OR($G501="FACTORY1",$G501="FACTORY2",$G501="FACTORY3"),"PLANT",TRUE,"SHARED")</f>
        <v>PLANT</v>
      </c>
      <c r="J501" s="24" t="str">
        <f>IF('query (2)'!D501="","UNKNOWN",IF(COUNTIF(Cleaning_Rules!$A$6:$A$11,TRIM('query (2)'!D501))&gt;0,"UNKNOWN",IFERROR(INDEX(Cleaning_Rules!$B$24:$B$28,MATCH(TRIM(UPPER('query (2)'!D501)),Cleaning_Rules!$A$24:$A$28,0)),TRIM(UPPER('query (2)'!D501)))))</f>
        <v>WP ASSEMBLY1</v>
      </c>
      <c r="K501" s="25" t="str">
        <f>IF('query (2)'!D501="","",'query (2)'!D501)</f>
        <v>WP Assambly1</v>
      </c>
      <c r="L501" s="24" t="str">
        <f>IF($J501="UNKNOWN","",_xlfn.TEXTBEFORE($J501,{"0","1","2","3","4","5","6","7","8","9"," ","-","."},1,,,$J501))</f>
        <v>WP</v>
      </c>
      <c r="M501" s="24" t="str">
        <f>IF('query (2)'!I501&lt;&gt;"",TRIM(UPPER('query (2)'!I501)),IF($L501="","UNKNOWN",$L501))</f>
        <v>WP</v>
      </c>
      <c r="N501" s="24" t="str">
        <f>IF('query (2)'!I501&lt;&gt;"","SOURCE",IF($L501="","UNKNOWN","DERIVED"))</f>
        <v>SOURCE</v>
      </c>
      <c r="O501" s="24" t="str">
        <f>IF('query (2)'!E501="","NOT_SPECIFIED",TRIM(UPPER('query (2)'!E501)))</f>
        <v>ASSEMBLY</v>
      </c>
      <c r="P501" s="24" t="str">
        <f>IF('query (2)'!F501="","",TRIM(UPPER('query (2)'!F501)))</f>
        <v>1409-WP1AI</v>
      </c>
      <c r="Q501" s="24" t="str">
        <f>IF('query (2)'!G501="","UNKNOWN",IFERROR(INDEX(Cleaning_Rules!$B$38:$B$46,MATCH(TRIM(UPPER('query (2)'!G501)),Cleaning_Rules!$A$38:$A$46,0)),"UNKNOWN"))</f>
        <v>OTHER</v>
      </c>
      <c r="R501" s="24" t="str">
        <f>IF('query (2)'!H501="","",TRIM(UPPER('query (2)'!H501)))</f>
        <v>SHAFT OD&amp;LENGTH INSPECTION M/C</v>
      </c>
      <c r="S501" s="25" t="str">
        <f>IF('query (2)'!H501="","",'query (2)'!H501)</f>
        <v>Shaft OD&amp;Length inspection M/C</v>
      </c>
      <c r="T501" s="24" t="str">
        <f>IF('query (2)'!J501="","",TRIM(UPPER('query (2)'!J501)))</f>
        <v/>
      </c>
      <c r="U501" s="24" t="str">
        <f t="shared" si="52"/>
        <v/>
      </c>
      <c r="V501" s="24" t="str">
        <f>IF('query (2)'!K501="","NOT_SPECIFIED",IFERROR(INDEX(Cleaning_Rules!$B$32:$B$34,MATCH(TRIM(UPPER('query (2)'!K501)),Cleaning_Rules!$A$32:$A$34,0)),"UNKNOWN"))</f>
        <v>NOT_SPECIFIED</v>
      </c>
      <c r="W501" s="24" t="str">
        <f t="shared" si="53"/>
        <v>CH-084 | FACTORY2 | WP ASSEMBLY1 | WP | ASSEMBLY | 1409-WP1AI | OTHER | SHAFT OD&amp;LENGTH INSPECTION M/C | NOT_SPECIFIED</v>
      </c>
      <c r="X501" s="24" t="str">
        <f t="shared" si="54"/>
        <v/>
      </c>
      <c r="Y501" s="24" t="str">
        <f t="shared" si="55"/>
        <v>MISSING_STATUS; CATEGORY_NOT_USEFUL; MISSING_PRODUCTION_NAME</v>
      </c>
    </row>
    <row r="502" spans="1:25" x14ac:dyDescent="0.3">
      <c r="A502" s="24" t="str">
        <f t="shared" si="49"/>
        <v>WA-656#0501</v>
      </c>
      <c r="B502" s="24" t="str">
        <f>IF('query (2)'!B502="","",TRIM(UPPER('query (2)'!B502)))</f>
        <v>WA-656</v>
      </c>
      <c r="C502" s="25" t="str">
        <f>IF('query (2)'!B502="","",'query (2)'!B502)</f>
        <v>WA-656</v>
      </c>
      <c r="D502" s="24" t="str">
        <f t="shared" si="50"/>
        <v>WA</v>
      </c>
      <c r="E502" s="24">
        <f t="shared" si="51"/>
        <v>1</v>
      </c>
      <c r="F502" s="24">
        <f>IF('query (2)'!A502="","",IFERROR(VALUE('query (2)'!A502),""))</f>
        <v>520</v>
      </c>
      <c r="G502" s="24" t="str">
        <f>IF('query (2)'!C502="","UNKNOWN",IFERROR(INDEX(Cleaning_Rules!$B$15:$B$20,MATCH(TRIM(UPPER('query (2)'!C502)),Cleaning_Rules!$A$15:$A$20,0)),"UNKNOWN"))</f>
        <v>FACTORY2</v>
      </c>
      <c r="H502" s="25" t="str">
        <f>IF('query (2)'!C502="","",'query (2)'!C502)</f>
        <v>FACTORY2</v>
      </c>
      <c r="I502" s="24" t="str" cm="1">
        <f t="array" ref="I502">_xlfn.IFS($G502="UNKNOWN","UNKNOWN",OR($G502="FACTORY1",$G502="FACTORY2",$G502="FACTORY3"),"PLANT",TRUE,"SHARED")</f>
        <v>PLANT</v>
      </c>
      <c r="J502" s="24" t="str">
        <f>IF('query (2)'!D502="","UNKNOWN",IF(COUNTIF(Cleaning_Rules!$A$6:$A$11,TRIM('query (2)'!D502))&gt;0,"UNKNOWN",IFERROR(INDEX(Cleaning_Rules!$B$24:$B$28,MATCH(TRIM(UPPER('query (2)'!D502)),Cleaning_Rules!$A$24:$A$28,0)),TRIM(UPPER('query (2)'!D502)))))</f>
        <v>WP ASSEMBLY1</v>
      </c>
      <c r="K502" s="25" t="str">
        <f>IF('query (2)'!D502="","",'query (2)'!D502)</f>
        <v>WP Assambly1</v>
      </c>
      <c r="L502" s="24" t="str">
        <f>IF($J502="UNKNOWN","",_xlfn.TEXTBEFORE($J502,{"0","1","2","3","4","5","6","7","8","9"," ","-","."},1,,,$J502))</f>
        <v>WP</v>
      </c>
      <c r="M502" s="24" t="str">
        <f>IF('query (2)'!I502&lt;&gt;"",TRIM(UPPER('query (2)'!I502)),IF($L502="","UNKNOWN",$L502))</f>
        <v>WP</v>
      </c>
      <c r="N502" s="24" t="str">
        <f>IF('query (2)'!I502&lt;&gt;"","SOURCE",IF($L502="","UNKNOWN","DERIVED"))</f>
        <v>SOURCE</v>
      </c>
      <c r="O502" s="24" t="str">
        <f>IF('query (2)'!E502="","NOT_SPECIFIED",TRIM(UPPER('query (2)'!E502)))</f>
        <v>ASSEMBLY</v>
      </c>
      <c r="P502" s="24" t="str">
        <f>IF('query (2)'!F502="","",TRIM(UPPER('query (2)'!F502)))</f>
        <v>1409-WP1AI</v>
      </c>
      <c r="Q502" s="24" t="str">
        <f>IF('query (2)'!G502="","UNKNOWN",IFERROR(INDEX(Cleaning_Rules!$B$38:$B$46,MATCH(TRIM(UPPER('query (2)'!G502)),Cleaning_Rules!$A$38:$A$46,0)),"UNKNOWN"))</f>
        <v>OTHER</v>
      </c>
      <c r="R502" s="24" t="str">
        <f>IF('query (2)'!H502="","",TRIM(UPPER('query (2)'!H502)))</f>
        <v>FINISH WASHING M/C</v>
      </c>
      <c r="S502" s="25" t="str">
        <f>IF('query (2)'!H502="","",'query (2)'!H502)</f>
        <v>Finish  washing  M/C</v>
      </c>
      <c r="T502" s="24" t="str">
        <f>IF('query (2)'!J502="","",TRIM(UPPER('query (2)'!J502)))</f>
        <v/>
      </c>
      <c r="U502" s="24" t="str">
        <f t="shared" si="52"/>
        <v/>
      </c>
      <c r="V502" s="24" t="str">
        <f>IF('query (2)'!K502="","NOT_SPECIFIED",IFERROR(INDEX(Cleaning_Rules!$B$32:$B$34,MATCH(TRIM(UPPER('query (2)'!K502)),Cleaning_Rules!$A$32:$A$34,0)),"UNKNOWN"))</f>
        <v>NOT_SPECIFIED</v>
      </c>
      <c r="W502" s="24" t="str">
        <f t="shared" si="53"/>
        <v>WA-656 | FACTORY2 | WP ASSEMBLY1 | WP | ASSEMBLY | 1409-WP1AI | OTHER | FINISH WASHING M/C | NOT_SPECIFIED</v>
      </c>
      <c r="X502" s="24" t="str">
        <f t="shared" si="54"/>
        <v/>
      </c>
      <c r="Y502" s="24" t="str">
        <f t="shared" si="55"/>
        <v>MISSING_STATUS; CATEGORY_NOT_USEFUL; MISSING_PRODUCTION_NAME</v>
      </c>
    </row>
    <row r="503" spans="1:25" x14ac:dyDescent="0.3">
      <c r="A503" s="24" t="str">
        <f t="shared" si="49"/>
        <v>CH-043#0502</v>
      </c>
      <c r="B503" s="24" t="str">
        <f>IF('query (2)'!B503="","",TRIM(UPPER('query (2)'!B503)))</f>
        <v>CH-043</v>
      </c>
      <c r="C503" s="25" t="str">
        <f>IF('query (2)'!B503="","",'query (2)'!B503)</f>
        <v>CH-043</v>
      </c>
      <c r="D503" s="24" t="str">
        <f t="shared" si="50"/>
        <v>CH</v>
      </c>
      <c r="E503" s="24">
        <f t="shared" si="51"/>
        <v>1</v>
      </c>
      <c r="F503" s="24">
        <f>IF('query (2)'!A503="","",IFERROR(VALUE('query (2)'!A503),""))</f>
        <v>521</v>
      </c>
      <c r="G503" s="24" t="str">
        <f>IF('query (2)'!C503="","UNKNOWN",IFERROR(INDEX(Cleaning_Rules!$B$15:$B$20,MATCH(TRIM(UPPER('query (2)'!C503)),Cleaning_Rules!$A$15:$A$20,0)),"UNKNOWN"))</f>
        <v>FACTORY2</v>
      </c>
      <c r="H503" s="25" t="str">
        <f>IF('query (2)'!C503="","",'query (2)'!C503)</f>
        <v>FACTORY2</v>
      </c>
      <c r="I503" s="24" t="str" cm="1">
        <f t="array" ref="I503">_xlfn.IFS($G503="UNKNOWN","UNKNOWN",OR($G503="FACTORY1",$G503="FACTORY2",$G503="FACTORY3"),"PLANT",TRUE,"SHARED")</f>
        <v>PLANT</v>
      </c>
      <c r="J503" s="24" t="str">
        <f>IF('query (2)'!D503="","UNKNOWN",IF(COUNTIF(Cleaning_Rules!$A$6:$A$11,TRIM('query (2)'!D503))&gt;0,"UNKNOWN",IFERROR(INDEX(Cleaning_Rules!$B$24:$B$28,MATCH(TRIM(UPPER('query (2)'!D503)),Cleaning_Rules!$A$24:$A$28,0)),TRIM(UPPER('query (2)'!D503)))))</f>
        <v>WP ASSEMBLY1</v>
      </c>
      <c r="K503" s="25" t="str">
        <f>IF('query (2)'!D503="","",'query (2)'!D503)</f>
        <v>WP Assambly1</v>
      </c>
      <c r="L503" s="24" t="str">
        <f>IF($J503="UNKNOWN","",_xlfn.TEXTBEFORE($J503,{"0","1","2","3","4","5","6","7","8","9"," ","-","."},1,,,$J503))</f>
        <v>WP</v>
      </c>
      <c r="M503" s="24" t="str">
        <f>IF('query (2)'!I503&lt;&gt;"",TRIM(UPPER('query (2)'!I503)),IF($L503="","UNKNOWN",$L503))</f>
        <v>WP</v>
      </c>
      <c r="N503" s="24" t="str">
        <f>IF('query (2)'!I503&lt;&gt;"","SOURCE",IF($L503="","UNKNOWN","DERIVED"))</f>
        <v>SOURCE</v>
      </c>
      <c r="O503" s="24" t="str">
        <f>IF('query (2)'!E503="","NOT_SPECIFIED",TRIM(UPPER('query (2)'!E503)))</f>
        <v>ASSEMBLY</v>
      </c>
      <c r="P503" s="24" t="str">
        <f>IF('query (2)'!F503="","",TRIM(UPPER('query (2)'!F503)))</f>
        <v>1409-WP1AI</v>
      </c>
      <c r="Q503" s="24" t="str">
        <f>IF('query (2)'!G503="","UNKNOWN",IFERROR(INDEX(Cleaning_Rules!$B$38:$B$46,MATCH(TRIM(UPPER('query (2)'!G503)),Cleaning_Rules!$A$38:$A$46,0)),"UNKNOWN"))</f>
        <v>OTHER</v>
      </c>
      <c r="R503" s="24" t="str">
        <f>IF('query (2)'!H503="","",TRIM(UPPER('query (2)'!H503)))</f>
        <v>NOISE INSPECTION (2 SPINDLE) M/C</v>
      </c>
      <c r="S503" s="25" t="str">
        <f>IF('query (2)'!H503="","",'query (2)'!H503)</f>
        <v>Noise  inspection  (2 spindle) M/C</v>
      </c>
      <c r="T503" s="24" t="str">
        <f>IF('query (2)'!J503="","",TRIM(UPPER('query (2)'!J503)))</f>
        <v/>
      </c>
      <c r="U503" s="24" t="str">
        <f t="shared" si="52"/>
        <v/>
      </c>
      <c r="V503" s="24" t="str">
        <f>IF('query (2)'!K503="","NOT_SPECIFIED",IFERROR(INDEX(Cleaning_Rules!$B$32:$B$34,MATCH(TRIM(UPPER('query (2)'!K503)),Cleaning_Rules!$A$32:$A$34,0)),"UNKNOWN"))</f>
        <v>NOT_SPECIFIED</v>
      </c>
      <c r="W503" s="24" t="str">
        <f t="shared" si="53"/>
        <v>CH-043 | FACTORY2 | WP ASSEMBLY1 | WP | ASSEMBLY | 1409-WP1AI | OTHER | NOISE INSPECTION (2 SPINDLE) M/C | NOT_SPECIFIED</v>
      </c>
      <c r="X503" s="24" t="str">
        <f t="shared" si="54"/>
        <v/>
      </c>
      <c r="Y503" s="24" t="str">
        <f t="shared" si="55"/>
        <v>MISSING_STATUS; CATEGORY_NOT_USEFUL; MISSING_PRODUCTION_NAME</v>
      </c>
    </row>
    <row r="504" spans="1:25" x14ac:dyDescent="0.3">
      <c r="A504" s="24" t="str">
        <f t="shared" si="49"/>
        <v>AS-605#0503</v>
      </c>
      <c r="B504" s="24" t="str">
        <f>IF('query (2)'!B504="","",TRIM(UPPER('query (2)'!B504)))</f>
        <v>AS-605</v>
      </c>
      <c r="C504" s="25" t="str">
        <f>IF('query (2)'!B504="","",'query (2)'!B504)</f>
        <v>AS-605</v>
      </c>
      <c r="D504" s="24" t="str">
        <f t="shared" si="50"/>
        <v>AS</v>
      </c>
      <c r="E504" s="24">
        <f t="shared" si="51"/>
        <v>1</v>
      </c>
      <c r="F504" s="24">
        <f>IF('query (2)'!A504="","",IFERROR(VALUE('query (2)'!A504),""))</f>
        <v>522</v>
      </c>
      <c r="G504" s="24" t="str">
        <f>IF('query (2)'!C504="","UNKNOWN",IFERROR(INDEX(Cleaning_Rules!$B$15:$B$20,MATCH(TRIM(UPPER('query (2)'!C504)),Cleaning_Rules!$A$15:$A$20,0)),"UNKNOWN"))</f>
        <v>FACTORY2</v>
      </c>
      <c r="H504" s="25" t="str">
        <f>IF('query (2)'!C504="","",'query (2)'!C504)</f>
        <v>FACTORY2</v>
      </c>
      <c r="I504" s="24" t="str" cm="1">
        <f t="array" ref="I504">_xlfn.IFS($G504="UNKNOWN","UNKNOWN",OR($G504="FACTORY1",$G504="FACTORY2",$G504="FACTORY3"),"PLANT",TRUE,"SHARED")</f>
        <v>PLANT</v>
      </c>
      <c r="J504" s="24" t="str">
        <f>IF('query (2)'!D504="","UNKNOWN",IF(COUNTIF(Cleaning_Rules!$A$6:$A$11,TRIM('query (2)'!D504))&gt;0,"UNKNOWN",IFERROR(INDEX(Cleaning_Rules!$B$24:$B$28,MATCH(TRIM(UPPER('query (2)'!D504)),Cleaning_Rules!$A$24:$A$28,0)),TRIM(UPPER('query (2)'!D504)))))</f>
        <v>WP ASSEMBLY1</v>
      </c>
      <c r="K504" s="25" t="str">
        <f>IF('query (2)'!D504="","",'query (2)'!D504)</f>
        <v>WP Assambly1</v>
      </c>
      <c r="L504" s="24" t="str">
        <f>IF($J504="UNKNOWN","",_xlfn.TEXTBEFORE($J504,{"0","1","2","3","4","5","6","7","8","9"," ","-","."},1,,,$J504))</f>
        <v>WP</v>
      </c>
      <c r="M504" s="24" t="str">
        <f>IF('query (2)'!I504&lt;&gt;"",TRIM(UPPER('query (2)'!I504)),IF($L504="","UNKNOWN",$L504))</f>
        <v>WP</v>
      </c>
      <c r="N504" s="24" t="str">
        <f>IF('query (2)'!I504&lt;&gt;"","SOURCE",IF($L504="","UNKNOWN","DERIVED"))</f>
        <v>SOURCE</v>
      </c>
      <c r="O504" s="24" t="str">
        <f>IF('query (2)'!E504="","NOT_SPECIFIED",TRIM(UPPER('query (2)'!E504)))</f>
        <v>ASSEMBLY</v>
      </c>
      <c r="P504" s="24" t="str">
        <f>IF('query (2)'!F504="","",TRIM(UPPER('query (2)'!F504)))</f>
        <v>1409-WP1AI</v>
      </c>
      <c r="Q504" s="24" t="str">
        <f>IF('query (2)'!G504="","UNKNOWN",IFERROR(INDEX(Cleaning_Rules!$B$38:$B$46,MATCH(TRIM(UPPER('query (2)'!G504)),Cleaning_Rules!$A$38:$A$46,0)),"UNKNOWN"))</f>
        <v>OTHER</v>
      </c>
      <c r="R504" s="24" t="str">
        <f>IF('query (2)'!H504="","",TRIM(UPPER('query (2)'!H504)))</f>
        <v>AUTO GREASE INJECTION M/C</v>
      </c>
      <c r="S504" s="25" t="str">
        <f>IF('query (2)'!H504="","",'query (2)'!H504)</f>
        <v>Auto grease  injection  M/C</v>
      </c>
      <c r="T504" s="24" t="str">
        <f>IF('query (2)'!J504="","",TRIM(UPPER('query (2)'!J504)))</f>
        <v/>
      </c>
      <c r="U504" s="24" t="str">
        <f t="shared" si="52"/>
        <v/>
      </c>
      <c r="V504" s="24" t="str">
        <f>IF('query (2)'!K504="","NOT_SPECIFIED",IFERROR(INDEX(Cleaning_Rules!$B$32:$B$34,MATCH(TRIM(UPPER('query (2)'!K504)),Cleaning_Rules!$A$32:$A$34,0)),"UNKNOWN"))</f>
        <v>NOT_SPECIFIED</v>
      </c>
      <c r="W504" s="24" t="str">
        <f t="shared" si="53"/>
        <v>AS-605 | FACTORY2 | WP ASSEMBLY1 | WP | ASSEMBLY | 1409-WP1AI | OTHER | AUTO GREASE INJECTION M/C | NOT_SPECIFIED</v>
      </c>
      <c r="X504" s="24" t="str">
        <f t="shared" si="54"/>
        <v/>
      </c>
      <c r="Y504" s="24" t="str">
        <f t="shared" si="55"/>
        <v>MISSING_STATUS; CATEGORY_NOT_USEFUL; MISSING_PRODUCTION_NAME</v>
      </c>
    </row>
    <row r="505" spans="1:25" x14ac:dyDescent="0.3">
      <c r="A505" s="24" t="str">
        <f t="shared" si="49"/>
        <v>CH-046#0504</v>
      </c>
      <c r="B505" s="24" t="str">
        <f>IF('query (2)'!B505="","",TRIM(UPPER('query (2)'!B505)))</f>
        <v>CH-046</v>
      </c>
      <c r="C505" s="25" t="str">
        <f>IF('query (2)'!B505="","",'query (2)'!B505)</f>
        <v>CH-046</v>
      </c>
      <c r="D505" s="24" t="str">
        <f t="shared" si="50"/>
        <v>CH</v>
      </c>
      <c r="E505" s="24">
        <f t="shared" si="51"/>
        <v>1</v>
      </c>
      <c r="F505" s="24">
        <f>IF('query (2)'!A505="","",IFERROR(VALUE('query (2)'!A505),""))</f>
        <v>523</v>
      </c>
      <c r="G505" s="24" t="str">
        <f>IF('query (2)'!C505="","UNKNOWN",IFERROR(INDEX(Cleaning_Rules!$B$15:$B$20,MATCH(TRIM(UPPER('query (2)'!C505)),Cleaning_Rules!$A$15:$A$20,0)),"UNKNOWN"))</f>
        <v>FACTORY2</v>
      </c>
      <c r="H505" s="25" t="str">
        <f>IF('query (2)'!C505="","",'query (2)'!C505)</f>
        <v>FACTORY2</v>
      </c>
      <c r="I505" s="24" t="str" cm="1">
        <f t="array" ref="I505">_xlfn.IFS($G505="UNKNOWN","UNKNOWN",OR($G505="FACTORY1",$G505="FACTORY2",$G505="FACTORY3"),"PLANT",TRUE,"SHARED")</f>
        <v>PLANT</v>
      </c>
      <c r="J505" s="24" t="str">
        <f>IF('query (2)'!D505="","UNKNOWN",IF(COUNTIF(Cleaning_Rules!$A$6:$A$11,TRIM('query (2)'!D505))&gt;0,"UNKNOWN",IFERROR(INDEX(Cleaning_Rules!$B$24:$B$28,MATCH(TRIM(UPPER('query (2)'!D505)),Cleaning_Rules!$A$24:$A$28,0)),TRIM(UPPER('query (2)'!D505)))))</f>
        <v>WP ASSEMBLY1</v>
      </c>
      <c r="K505" s="25" t="str">
        <f>IF('query (2)'!D505="","",'query (2)'!D505)</f>
        <v>WP Assambly1</v>
      </c>
      <c r="L505" s="24" t="str">
        <f>IF($J505="UNKNOWN","",_xlfn.TEXTBEFORE($J505,{"0","1","2","3","4","5","6","7","8","9"," ","-","."},1,,,$J505))</f>
        <v>WP</v>
      </c>
      <c r="M505" s="24" t="str">
        <f>IF('query (2)'!I505&lt;&gt;"",TRIM(UPPER('query (2)'!I505)),IF($L505="","UNKNOWN",$L505))</f>
        <v>WP</v>
      </c>
      <c r="N505" s="24" t="str">
        <f>IF('query (2)'!I505&lt;&gt;"","SOURCE",IF($L505="","UNKNOWN","DERIVED"))</f>
        <v>SOURCE</v>
      </c>
      <c r="O505" s="24" t="str">
        <f>IF('query (2)'!E505="","NOT_SPECIFIED",TRIM(UPPER('query (2)'!E505)))</f>
        <v>ASSEMBLY</v>
      </c>
      <c r="P505" s="24" t="str">
        <f>IF('query (2)'!F505="","",TRIM(UPPER('query (2)'!F505)))</f>
        <v>1409-WP1AI</v>
      </c>
      <c r="Q505" s="24" t="str">
        <f>IF('query (2)'!G505="","UNKNOWN",IFERROR(INDEX(Cleaning_Rules!$B$38:$B$46,MATCH(TRIM(UPPER('query (2)'!G505)),Cleaning_Rules!$A$38:$A$46,0)),"UNKNOWN"))</f>
        <v>OTHER</v>
      </c>
      <c r="R505" s="24" t="str">
        <f>IF('query (2)'!H505="","",TRIM(UPPER('query (2)'!H505)))</f>
        <v>SEAL &amp; TORQUE CHECK M/C</v>
      </c>
      <c r="S505" s="25" t="str">
        <f>IF('query (2)'!H505="","",'query (2)'!H505)</f>
        <v>Seal &amp; Torque  check  M/C</v>
      </c>
      <c r="T505" s="24" t="str">
        <f>IF('query (2)'!J505="","",TRIM(UPPER('query (2)'!J505)))</f>
        <v/>
      </c>
      <c r="U505" s="24" t="str">
        <f t="shared" si="52"/>
        <v/>
      </c>
      <c r="V505" s="24" t="str">
        <f>IF('query (2)'!K505="","NOT_SPECIFIED",IFERROR(INDEX(Cleaning_Rules!$B$32:$B$34,MATCH(TRIM(UPPER('query (2)'!K505)),Cleaning_Rules!$A$32:$A$34,0)),"UNKNOWN"))</f>
        <v>NOT_SPECIFIED</v>
      </c>
      <c r="W505" s="24" t="str">
        <f t="shared" si="53"/>
        <v>CH-046 | FACTORY2 | WP ASSEMBLY1 | WP | ASSEMBLY | 1409-WP1AI | OTHER | SEAL &amp; TORQUE CHECK M/C | NOT_SPECIFIED</v>
      </c>
      <c r="X505" s="24" t="str">
        <f t="shared" si="54"/>
        <v/>
      </c>
      <c r="Y505" s="24" t="str">
        <f t="shared" si="55"/>
        <v>MISSING_STATUS; CATEGORY_NOT_USEFUL; MISSING_PRODUCTION_NAME</v>
      </c>
    </row>
    <row r="506" spans="1:25" x14ac:dyDescent="0.3">
      <c r="A506" s="24" t="str">
        <f t="shared" si="49"/>
        <v>CH-093#0505</v>
      </c>
      <c r="B506" s="24" t="str">
        <f>IF('query (2)'!B506="","",TRIM(UPPER('query (2)'!B506)))</f>
        <v>CH-093</v>
      </c>
      <c r="C506" s="25" t="str">
        <f>IF('query (2)'!B506="","",'query (2)'!B506)</f>
        <v>CH-093</v>
      </c>
      <c r="D506" s="24" t="str">
        <f t="shared" si="50"/>
        <v>CH</v>
      </c>
      <c r="E506" s="24">
        <f t="shared" si="51"/>
        <v>2</v>
      </c>
      <c r="F506" s="24">
        <f>IF('query (2)'!A506="","",IFERROR(VALUE('query (2)'!A506),""))</f>
        <v>524</v>
      </c>
      <c r="G506" s="24" t="str">
        <f>IF('query (2)'!C506="","UNKNOWN",IFERROR(INDEX(Cleaning_Rules!$B$15:$B$20,MATCH(TRIM(UPPER('query (2)'!C506)),Cleaning_Rules!$A$15:$A$20,0)),"UNKNOWN"))</f>
        <v>FACTORY2</v>
      </c>
      <c r="H506" s="25" t="str">
        <f>IF('query (2)'!C506="","",'query (2)'!C506)</f>
        <v>FACTORY2</v>
      </c>
      <c r="I506" s="24" t="str" cm="1">
        <f t="array" ref="I506">_xlfn.IFS($G506="UNKNOWN","UNKNOWN",OR($G506="FACTORY1",$G506="FACTORY2",$G506="FACTORY3"),"PLANT",TRUE,"SHARED")</f>
        <v>PLANT</v>
      </c>
      <c r="J506" s="24" t="str">
        <f>IF('query (2)'!D506="","UNKNOWN",IF(COUNTIF(Cleaning_Rules!$A$6:$A$11,TRIM('query (2)'!D506))&gt;0,"UNKNOWN",IFERROR(INDEX(Cleaning_Rules!$B$24:$B$28,MATCH(TRIM(UPPER('query (2)'!D506)),Cleaning_Rules!$A$24:$A$28,0)),TRIM(UPPER('query (2)'!D506)))))</f>
        <v>WP ASSEMBLY1</v>
      </c>
      <c r="K506" s="25" t="str">
        <f>IF('query (2)'!D506="","",'query (2)'!D506)</f>
        <v>WP Assambly1</v>
      </c>
      <c r="L506" s="24" t="str">
        <f>IF($J506="UNKNOWN","",_xlfn.TEXTBEFORE($J506,{"0","1","2","3","4","5","6","7","8","9"," ","-","."},1,,,$J506))</f>
        <v>WP</v>
      </c>
      <c r="M506" s="24" t="str">
        <f>IF('query (2)'!I506&lt;&gt;"",TRIM(UPPER('query (2)'!I506)),IF($L506="","UNKNOWN",$L506))</f>
        <v>WP</v>
      </c>
      <c r="N506" s="24" t="str">
        <f>IF('query (2)'!I506&lt;&gt;"","SOURCE",IF($L506="","UNKNOWN","DERIVED"))</f>
        <v>SOURCE</v>
      </c>
      <c r="O506" s="24" t="str">
        <f>IF('query (2)'!E506="","NOT_SPECIFIED",TRIM(UPPER('query (2)'!E506)))</f>
        <v>ASSEMBLY</v>
      </c>
      <c r="P506" s="24" t="str">
        <f>IF('query (2)'!F506="","",TRIM(UPPER('query (2)'!F506)))</f>
        <v>1409-WP1AI</v>
      </c>
      <c r="Q506" s="24" t="str">
        <f>IF('query (2)'!G506="","UNKNOWN",IFERROR(INDEX(Cleaning_Rules!$B$38:$B$46,MATCH(TRIM(UPPER('query (2)'!G506)),Cleaning_Rules!$A$38:$A$46,0)),"UNKNOWN"))</f>
        <v>OTHER</v>
      </c>
      <c r="R506" s="24" t="str">
        <f>IF('query (2)'!H506="","",TRIM(UPPER('query (2)'!H506)))</f>
        <v>NOISE INSPECTION ( 1 SPINDLE ) M/C</v>
      </c>
      <c r="S506" s="25" t="str">
        <f>IF('query (2)'!H506="","",'query (2)'!H506)</f>
        <v>Noise  inspection ( 1 spindle ) M/C</v>
      </c>
      <c r="T506" s="24" t="str">
        <f>IF('query (2)'!J506="","",TRIM(UPPER('query (2)'!J506)))</f>
        <v/>
      </c>
      <c r="U506" s="24" t="str">
        <f t="shared" si="52"/>
        <v/>
      </c>
      <c r="V506" s="24" t="str">
        <f>IF('query (2)'!K506="","NOT_SPECIFIED",IFERROR(INDEX(Cleaning_Rules!$B$32:$B$34,MATCH(TRIM(UPPER('query (2)'!K506)),Cleaning_Rules!$A$32:$A$34,0)),"UNKNOWN"))</f>
        <v>NOT_SPECIFIED</v>
      </c>
      <c r="W506" s="24" t="str">
        <f t="shared" si="53"/>
        <v>CH-093 | FACTORY2 | WP ASSEMBLY1 | WP | ASSEMBLY | 1409-WP1AI | OTHER | NOISE INSPECTION ( 1 SPINDLE ) M/C | NOT_SPECIFIED</v>
      </c>
      <c r="X506" s="24" t="str">
        <f t="shared" si="54"/>
        <v>DUPLICATE_QR</v>
      </c>
      <c r="Y506" s="24" t="str">
        <f t="shared" si="55"/>
        <v>MISSING_STATUS; CATEGORY_NOT_USEFUL; MISSING_PRODUCTION_NAME</v>
      </c>
    </row>
    <row r="507" spans="1:25" x14ac:dyDescent="0.3">
      <c r="A507" s="24" t="str">
        <f t="shared" si="49"/>
        <v>CH-047#0506</v>
      </c>
      <c r="B507" s="24" t="str">
        <f>IF('query (2)'!B507="","",TRIM(UPPER('query (2)'!B507)))</f>
        <v>CH-047</v>
      </c>
      <c r="C507" s="25" t="str">
        <f>IF('query (2)'!B507="","",'query (2)'!B507)</f>
        <v>CH-047</v>
      </c>
      <c r="D507" s="24" t="str">
        <f t="shared" si="50"/>
        <v>CH</v>
      </c>
      <c r="E507" s="24">
        <f t="shared" si="51"/>
        <v>1</v>
      </c>
      <c r="F507" s="24">
        <f>IF('query (2)'!A507="","",IFERROR(VALUE('query (2)'!A507),""))</f>
        <v>525</v>
      </c>
      <c r="G507" s="24" t="str">
        <f>IF('query (2)'!C507="","UNKNOWN",IFERROR(INDEX(Cleaning_Rules!$B$15:$B$20,MATCH(TRIM(UPPER('query (2)'!C507)),Cleaning_Rules!$A$15:$A$20,0)),"UNKNOWN"))</f>
        <v>FACTORY2</v>
      </c>
      <c r="H507" s="25" t="str">
        <f>IF('query (2)'!C507="","",'query (2)'!C507)</f>
        <v>FACTORY2</v>
      </c>
      <c r="I507" s="24" t="str" cm="1">
        <f t="array" ref="I507">_xlfn.IFS($G507="UNKNOWN","UNKNOWN",OR($G507="FACTORY1",$G507="FACTORY2",$G507="FACTORY3"),"PLANT",TRUE,"SHARED")</f>
        <v>PLANT</v>
      </c>
      <c r="J507" s="24" t="str">
        <f>IF('query (2)'!D507="","UNKNOWN",IF(COUNTIF(Cleaning_Rules!$A$6:$A$11,TRIM('query (2)'!D507))&gt;0,"UNKNOWN",IFERROR(INDEX(Cleaning_Rules!$B$24:$B$28,MATCH(TRIM(UPPER('query (2)'!D507)),Cleaning_Rules!$A$24:$A$28,0)),TRIM(UPPER('query (2)'!D507)))))</f>
        <v>WP ASSEMBLY1</v>
      </c>
      <c r="K507" s="25" t="str">
        <f>IF('query (2)'!D507="","",'query (2)'!D507)</f>
        <v>WP Assambly1</v>
      </c>
      <c r="L507" s="24" t="str">
        <f>IF($J507="UNKNOWN","",_xlfn.TEXTBEFORE($J507,{"0","1","2","3","4","5","6","7","8","9"," ","-","."},1,,,$J507))</f>
        <v>WP</v>
      </c>
      <c r="M507" s="24" t="str">
        <f>IF('query (2)'!I507&lt;&gt;"",TRIM(UPPER('query (2)'!I507)),IF($L507="","UNKNOWN",$L507))</f>
        <v>WP</v>
      </c>
      <c r="N507" s="24" t="str">
        <f>IF('query (2)'!I507&lt;&gt;"","SOURCE",IF($L507="","UNKNOWN","DERIVED"))</f>
        <v>SOURCE</v>
      </c>
      <c r="O507" s="24" t="str">
        <f>IF('query (2)'!E507="","NOT_SPECIFIED",TRIM(UPPER('query (2)'!E507)))</f>
        <v>ASSEMBLY</v>
      </c>
      <c r="P507" s="24" t="str">
        <f>IF('query (2)'!F507="","",TRIM(UPPER('query (2)'!F507)))</f>
        <v>1409-WP1AI</v>
      </c>
      <c r="Q507" s="24" t="str">
        <f>IF('query (2)'!G507="","UNKNOWN",IFERROR(INDEX(Cleaning_Rules!$B$38:$B$46,MATCH(TRIM(UPPER('query (2)'!G507)),Cleaning_Rules!$A$38:$A$46,0)),"UNKNOWN"))</f>
        <v>OTHER</v>
      </c>
      <c r="R507" s="24" t="str">
        <f>IF('query (2)'!H507="","",TRIM(UPPER('query (2)'!H507)))</f>
        <v>WEIGHT CHECKER M/C</v>
      </c>
      <c r="S507" s="25" t="str">
        <f>IF('query (2)'!H507="","",'query (2)'!H507)</f>
        <v>Weight  checker  M/C</v>
      </c>
      <c r="T507" s="24" t="str">
        <f>IF('query (2)'!J507="","",TRIM(UPPER('query (2)'!J507)))</f>
        <v/>
      </c>
      <c r="U507" s="24" t="str">
        <f t="shared" si="52"/>
        <v/>
      </c>
      <c r="V507" s="24" t="str">
        <f>IF('query (2)'!K507="","NOT_SPECIFIED",IFERROR(INDEX(Cleaning_Rules!$B$32:$B$34,MATCH(TRIM(UPPER('query (2)'!K507)),Cleaning_Rules!$A$32:$A$34,0)),"UNKNOWN"))</f>
        <v>NOT_SPECIFIED</v>
      </c>
      <c r="W507" s="24" t="str">
        <f t="shared" si="53"/>
        <v>CH-047 | FACTORY2 | WP ASSEMBLY1 | WP | ASSEMBLY | 1409-WP1AI | OTHER | WEIGHT CHECKER M/C | NOT_SPECIFIED</v>
      </c>
      <c r="X507" s="24" t="str">
        <f t="shared" si="54"/>
        <v/>
      </c>
      <c r="Y507" s="24" t="str">
        <f t="shared" si="55"/>
        <v>MISSING_STATUS; CATEGORY_NOT_USEFUL; MISSING_PRODUCTION_NAME</v>
      </c>
    </row>
    <row r="508" spans="1:25" x14ac:dyDescent="0.3">
      <c r="A508" s="24" t="str">
        <f t="shared" si="49"/>
        <v>PA-621#0507</v>
      </c>
      <c r="B508" s="24" t="str">
        <f>IF('query (2)'!B508="","",TRIM(UPPER('query (2)'!B508)))</f>
        <v>PA-621</v>
      </c>
      <c r="C508" s="25" t="str">
        <f>IF('query (2)'!B508="","",'query (2)'!B508)</f>
        <v>PA-621</v>
      </c>
      <c r="D508" s="24" t="str">
        <f t="shared" si="50"/>
        <v>PA</v>
      </c>
      <c r="E508" s="24">
        <f t="shared" si="51"/>
        <v>1</v>
      </c>
      <c r="F508" s="24">
        <f>IF('query (2)'!A508="","",IFERROR(VALUE('query (2)'!A508),""))</f>
        <v>526</v>
      </c>
      <c r="G508" s="24" t="str">
        <f>IF('query (2)'!C508="","UNKNOWN",IFERROR(INDEX(Cleaning_Rules!$B$15:$B$20,MATCH(TRIM(UPPER('query (2)'!C508)),Cleaning_Rules!$A$15:$A$20,0)),"UNKNOWN"))</f>
        <v>FACTORY2</v>
      </c>
      <c r="H508" s="25" t="str">
        <f>IF('query (2)'!C508="","",'query (2)'!C508)</f>
        <v>FACTORY2</v>
      </c>
      <c r="I508" s="24" t="str" cm="1">
        <f t="array" ref="I508">_xlfn.IFS($G508="UNKNOWN","UNKNOWN",OR($G508="FACTORY1",$G508="FACTORY2",$G508="FACTORY3"),"PLANT",TRUE,"SHARED")</f>
        <v>PLANT</v>
      </c>
      <c r="J508" s="24" t="str">
        <f>IF('query (2)'!D508="","UNKNOWN",IF(COUNTIF(Cleaning_Rules!$A$6:$A$11,TRIM('query (2)'!D508))&gt;0,"UNKNOWN",IFERROR(INDEX(Cleaning_Rules!$B$24:$B$28,MATCH(TRIM(UPPER('query (2)'!D508)),Cleaning_Rules!$A$24:$A$28,0)),TRIM(UPPER('query (2)'!D508)))))</f>
        <v>WP ASSEMBLY1</v>
      </c>
      <c r="K508" s="25" t="str">
        <f>IF('query (2)'!D508="","",'query (2)'!D508)</f>
        <v>WP Assambly1</v>
      </c>
      <c r="L508" s="24" t="str">
        <f>IF($J508="UNKNOWN","",_xlfn.TEXTBEFORE($J508,{"0","1","2","3","4","5","6","7","8","9"," ","-","."},1,,,$J508))</f>
        <v>WP</v>
      </c>
      <c r="M508" s="24" t="str">
        <f>IF('query (2)'!I508&lt;&gt;"",TRIM(UPPER('query (2)'!I508)),IF($L508="","UNKNOWN",$L508))</f>
        <v>WP</v>
      </c>
      <c r="N508" s="24" t="str">
        <f>IF('query (2)'!I508&lt;&gt;"","SOURCE",IF($L508="","UNKNOWN","DERIVED"))</f>
        <v>SOURCE</v>
      </c>
      <c r="O508" s="24" t="str">
        <f>IF('query (2)'!E508="","NOT_SPECIFIED",TRIM(UPPER('query (2)'!E508)))</f>
        <v>ASSEMBLY</v>
      </c>
      <c r="P508" s="24" t="str">
        <f>IF('query (2)'!F508="","",TRIM(UPPER('query (2)'!F508)))</f>
        <v>1409-WP1AI</v>
      </c>
      <c r="Q508" s="24" t="str">
        <f>IF('query (2)'!G508="","UNKNOWN",IFERROR(INDEX(Cleaning_Rules!$B$38:$B$46,MATCH(TRIM(UPPER('query (2)'!G508)),Cleaning_Rules!$A$38:$A$46,0)),"UNKNOWN"))</f>
        <v>OTHER</v>
      </c>
      <c r="R508" s="24" t="str">
        <f>IF('query (2)'!H508="","",TRIM(UPPER('query (2)'!H508)))</f>
        <v>AUTO PART ARRANGE PACKING EQUIPMENT M/C</v>
      </c>
      <c r="S508" s="25" t="str">
        <f>IF('query (2)'!H508="","",'query (2)'!H508)</f>
        <v>Auto part arrange packing equipment M/C</v>
      </c>
      <c r="T508" s="24" t="str">
        <f>IF('query (2)'!J508="","",TRIM(UPPER('query (2)'!J508)))</f>
        <v/>
      </c>
      <c r="U508" s="24" t="str">
        <f t="shared" si="52"/>
        <v/>
      </c>
      <c r="V508" s="24" t="str">
        <f>IF('query (2)'!K508="","NOT_SPECIFIED",IFERROR(INDEX(Cleaning_Rules!$B$32:$B$34,MATCH(TRIM(UPPER('query (2)'!K508)),Cleaning_Rules!$A$32:$A$34,0)),"UNKNOWN"))</f>
        <v>NOT_SPECIFIED</v>
      </c>
      <c r="W508" s="24" t="str">
        <f t="shared" si="53"/>
        <v>PA-621 | FACTORY2 | WP ASSEMBLY1 | WP | ASSEMBLY | 1409-WP1AI | OTHER | AUTO PART ARRANGE PACKING EQUIPMENT M/C | NOT_SPECIFIED</v>
      </c>
      <c r="X508" s="24" t="str">
        <f t="shared" si="54"/>
        <v/>
      </c>
      <c r="Y508" s="24" t="str">
        <f t="shared" si="55"/>
        <v>MISSING_STATUS; CATEGORY_NOT_USEFUL; MISSING_PRODUCTION_NAME</v>
      </c>
    </row>
    <row r="509" spans="1:25" x14ac:dyDescent="0.3">
      <c r="A509" s="24" t="str">
        <f t="shared" si="49"/>
        <v>CH-624#0508</v>
      </c>
      <c r="B509" s="24" t="str">
        <f>IF('query (2)'!B509="","",TRIM(UPPER('query (2)'!B509)))</f>
        <v>CH-624</v>
      </c>
      <c r="C509" s="25" t="str">
        <f>IF('query (2)'!B509="","",'query (2)'!B509)</f>
        <v>CH-624</v>
      </c>
      <c r="D509" s="24" t="str">
        <f t="shared" si="50"/>
        <v>CH</v>
      </c>
      <c r="E509" s="24">
        <f t="shared" si="51"/>
        <v>1</v>
      </c>
      <c r="F509" s="24">
        <f>IF('query (2)'!A509="","",IFERROR(VALUE('query (2)'!A509),""))</f>
        <v>527</v>
      </c>
      <c r="G509" s="24" t="str">
        <f>IF('query (2)'!C509="","UNKNOWN",IFERROR(INDEX(Cleaning_Rules!$B$15:$B$20,MATCH(TRIM(UPPER('query (2)'!C509)),Cleaning_Rules!$A$15:$A$20,0)),"UNKNOWN"))</f>
        <v>FACTORY2</v>
      </c>
      <c r="H509" s="25" t="str">
        <f>IF('query (2)'!C509="","",'query (2)'!C509)</f>
        <v>FACTORY2</v>
      </c>
      <c r="I509" s="24" t="str" cm="1">
        <f t="array" ref="I509">_xlfn.IFS($G509="UNKNOWN","UNKNOWN",OR($G509="FACTORY1",$G509="FACTORY2",$G509="FACTORY3"),"PLANT",TRUE,"SHARED")</f>
        <v>PLANT</v>
      </c>
      <c r="J509" s="24" t="str">
        <f>IF('query (2)'!D509="","UNKNOWN",IF(COUNTIF(Cleaning_Rules!$A$6:$A$11,TRIM('query (2)'!D509))&gt;0,"UNKNOWN",IFERROR(INDEX(Cleaning_Rules!$B$24:$B$28,MATCH(TRIM(UPPER('query (2)'!D509)),Cleaning_Rules!$A$24:$A$28,0)),TRIM(UPPER('query (2)'!D509)))))</f>
        <v>WP ASSEMBLY1</v>
      </c>
      <c r="K509" s="25" t="str">
        <f>IF('query (2)'!D509="","",'query (2)'!D509)</f>
        <v>WP Assambly1</v>
      </c>
      <c r="L509" s="24" t="str">
        <f>IF($J509="UNKNOWN","",_xlfn.TEXTBEFORE($J509,{"0","1","2","3","4","5","6","7","8","9"," ","-","."},1,,,$J509))</f>
        <v>WP</v>
      </c>
      <c r="M509" s="24" t="str">
        <f>IF('query (2)'!I509&lt;&gt;"",TRIM(UPPER('query (2)'!I509)),IF($L509="","UNKNOWN",$L509))</f>
        <v>WP</v>
      </c>
      <c r="N509" s="24" t="str">
        <f>IF('query (2)'!I509&lt;&gt;"","SOURCE",IF($L509="","UNKNOWN","DERIVED"))</f>
        <v>SOURCE</v>
      </c>
      <c r="O509" s="24" t="str">
        <f>IF('query (2)'!E509="","NOT_SPECIFIED",TRIM(UPPER('query (2)'!E509)))</f>
        <v>ASSEMBLY</v>
      </c>
      <c r="P509" s="24" t="str">
        <f>IF('query (2)'!F509="","",TRIM(UPPER('query (2)'!F509)))</f>
        <v>1409-WP1AI</v>
      </c>
      <c r="Q509" s="24" t="str">
        <f>IF('query (2)'!G509="","UNKNOWN",IFERROR(INDEX(Cleaning_Rules!$B$38:$B$46,MATCH(TRIM(UPPER('query (2)'!G509)),Cleaning_Rules!$A$38:$A$46,0)),"UNKNOWN"))</f>
        <v>OTHER</v>
      </c>
      <c r="R509" s="24" t="str">
        <f>IF('query (2)'!H509="","",TRIM(UPPER('query (2)'!H509)))</f>
        <v>OD. SHAFT CHECKER</v>
      </c>
      <c r="S509" s="25" t="str">
        <f>IF('query (2)'!H509="","",'query (2)'!H509)</f>
        <v>OD. Shaft checker</v>
      </c>
      <c r="T509" s="24" t="str">
        <f>IF('query (2)'!J509="","",TRIM(UPPER('query (2)'!J509)))</f>
        <v/>
      </c>
      <c r="U509" s="24" t="str">
        <f t="shared" si="52"/>
        <v/>
      </c>
      <c r="V509" s="24" t="str">
        <f>IF('query (2)'!K509="","NOT_SPECIFIED",IFERROR(INDEX(Cleaning_Rules!$B$32:$B$34,MATCH(TRIM(UPPER('query (2)'!K509)),Cleaning_Rules!$A$32:$A$34,0)),"UNKNOWN"))</f>
        <v>NOT_SPECIFIED</v>
      </c>
      <c r="W509" s="24" t="str">
        <f t="shared" si="53"/>
        <v>CH-624 | FACTORY2 | WP ASSEMBLY1 | WP | ASSEMBLY | 1409-WP1AI | OTHER | OD. SHAFT CHECKER | NOT_SPECIFIED</v>
      </c>
      <c r="X509" s="24" t="str">
        <f t="shared" si="54"/>
        <v/>
      </c>
      <c r="Y509" s="24" t="str">
        <f t="shared" si="55"/>
        <v>MISSING_STATUS; CATEGORY_NOT_USEFUL; MISSING_PRODUCTION_NAME</v>
      </c>
    </row>
    <row r="510" spans="1:25" x14ac:dyDescent="0.3">
      <c r="A510" s="24" t="str">
        <f t="shared" si="49"/>
        <v>AR-647#0509</v>
      </c>
      <c r="B510" s="24" t="str">
        <f>IF('query (2)'!B510="","",TRIM(UPPER('query (2)'!B510)))</f>
        <v>AR-647</v>
      </c>
      <c r="C510" s="25" t="str">
        <f>IF('query (2)'!B510="","",'query (2)'!B510)</f>
        <v>AR-647</v>
      </c>
      <c r="D510" s="24" t="str">
        <f t="shared" si="50"/>
        <v>AR</v>
      </c>
      <c r="E510" s="24">
        <f t="shared" si="51"/>
        <v>1</v>
      </c>
      <c r="F510" s="24">
        <f>IF('query (2)'!A510="","",IFERROR(VALUE('query (2)'!A510),""))</f>
        <v>528</v>
      </c>
      <c r="G510" s="24" t="str">
        <f>IF('query (2)'!C510="","UNKNOWN",IFERROR(INDEX(Cleaning_Rules!$B$15:$B$20,MATCH(TRIM(UPPER('query (2)'!C510)),Cleaning_Rules!$A$15:$A$20,0)),"UNKNOWN"))</f>
        <v>FACTORY2</v>
      </c>
      <c r="H510" s="25" t="str">
        <f>IF('query (2)'!C510="","",'query (2)'!C510)</f>
        <v>FACTORY2</v>
      </c>
      <c r="I510" s="24" t="str" cm="1">
        <f t="array" ref="I510">_xlfn.IFS($G510="UNKNOWN","UNKNOWN",OR($G510="FACTORY1",$G510="FACTORY2",$G510="FACTORY3"),"PLANT",TRUE,"SHARED")</f>
        <v>PLANT</v>
      </c>
      <c r="J510" s="24" t="str">
        <f>IF('query (2)'!D510="","UNKNOWN",IF(COUNTIF(Cleaning_Rules!$A$6:$A$11,TRIM('query (2)'!D510))&gt;0,"UNKNOWN",IFERROR(INDEX(Cleaning_Rules!$B$24:$B$28,MATCH(TRIM(UPPER('query (2)'!D510)),Cleaning_Rules!$A$24:$A$28,0)),TRIM(UPPER('query (2)'!D510)))))</f>
        <v>WP ASSEMBLY1</v>
      </c>
      <c r="K510" s="25" t="str">
        <f>IF('query (2)'!D510="","",'query (2)'!D510)</f>
        <v>WP Assambly1</v>
      </c>
      <c r="L510" s="24" t="str">
        <f>IF($J510="UNKNOWN","",_xlfn.TEXTBEFORE($J510,{"0","1","2","3","4","5","6","7","8","9"," ","-","."},1,,,$J510))</f>
        <v>WP</v>
      </c>
      <c r="M510" s="24" t="str">
        <f>IF('query (2)'!I510&lt;&gt;"",TRIM(UPPER('query (2)'!I510)),IF($L510="","UNKNOWN",$L510))</f>
        <v>WP</v>
      </c>
      <c r="N510" s="24" t="str">
        <f>IF('query (2)'!I510&lt;&gt;"","SOURCE",IF($L510="","UNKNOWN","DERIVED"))</f>
        <v>SOURCE</v>
      </c>
      <c r="O510" s="24" t="str">
        <f>IF('query (2)'!E510="","NOT_SPECIFIED",TRIM(UPPER('query (2)'!E510)))</f>
        <v>ASSEMBLY</v>
      </c>
      <c r="P510" s="24" t="str">
        <f>IF('query (2)'!F510="","",TRIM(UPPER('query (2)'!F510)))</f>
        <v>1409-WP1AI</v>
      </c>
      <c r="Q510" s="24" t="str">
        <f>IF('query (2)'!G510="","UNKNOWN",IFERROR(INDEX(Cleaning_Rules!$B$38:$B$46,MATCH(TRIM(UPPER('query (2)'!G510)),Cleaning_Rules!$A$38:$A$46,0)),"UNKNOWN"))</f>
        <v>OTHER</v>
      </c>
      <c r="R510" s="24" t="str">
        <f>IF('query (2)'!H510="","",TRIM(UPPER('query (2)'!H510)))</f>
        <v>AUTO ANTIRUST M/C</v>
      </c>
      <c r="S510" s="25" t="str">
        <f>IF('query (2)'!H510="","",'query (2)'!H510)</f>
        <v>Auto antirust M/C</v>
      </c>
      <c r="T510" s="24" t="str">
        <f>IF('query (2)'!J510="","",TRIM(UPPER('query (2)'!J510)))</f>
        <v/>
      </c>
      <c r="U510" s="24" t="str">
        <f t="shared" si="52"/>
        <v/>
      </c>
      <c r="V510" s="24" t="str">
        <f>IF('query (2)'!K510="","NOT_SPECIFIED",IFERROR(INDEX(Cleaning_Rules!$B$32:$B$34,MATCH(TRIM(UPPER('query (2)'!K510)),Cleaning_Rules!$A$32:$A$34,0)),"UNKNOWN"))</f>
        <v>NOT_SPECIFIED</v>
      </c>
      <c r="W510" s="24" t="str">
        <f t="shared" si="53"/>
        <v>AR-647 | FACTORY2 | WP ASSEMBLY1 | WP | ASSEMBLY | 1409-WP1AI | OTHER | AUTO ANTIRUST M/C | NOT_SPECIFIED</v>
      </c>
      <c r="X510" s="24" t="str">
        <f t="shared" si="54"/>
        <v/>
      </c>
      <c r="Y510" s="24" t="str">
        <f t="shared" si="55"/>
        <v>MISSING_STATUS; CATEGORY_NOT_USEFUL; MISSING_PRODUCTION_NAME</v>
      </c>
    </row>
    <row r="511" spans="1:25" x14ac:dyDescent="0.3">
      <c r="A511" s="24" t="str">
        <f t="shared" si="49"/>
        <v>AS-082#0510</v>
      </c>
      <c r="B511" s="24" t="str">
        <f>IF('query (2)'!B511="","",TRIM(UPPER('query (2)'!B511)))</f>
        <v>AS-082</v>
      </c>
      <c r="C511" s="25" t="str">
        <f>IF('query (2)'!B511="","",'query (2)'!B511)</f>
        <v>AS-082</v>
      </c>
      <c r="D511" s="24" t="str">
        <f t="shared" si="50"/>
        <v>AS</v>
      </c>
      <c r="E511" s="24">
        <f t="shared" si="51"/>
        <v>1</v>
      </c>
      <c r="F511" s="24">
        <f>IF('query (2)'!A511="","",IFERROR(VALUE('query (2)'!A511),""))</f>
        <v>529</v>
      </c>
      <c r="G511" s="24" t="str">
        <f>IF('query (2)'!C511="","UNKNOWN",IFERROR(INDEX(Cleaning_Rules!$B$15:$B$20,MATCH(TRIM(UPPER('query (2)'!C511)),Cleaning_Rules!$A$15:$A$20,0)),"UNKNOWN"))</f>
        <v>FACTORY2</v>
      </c>
      <c r="H511" s="25" t="str">
        <f>IF('query (2)'!C511="","",'query (2)'!C511)</f>
        <v>FACTORY2</v>
      </c>
      <c r="I511" s="24" t="str" cm="1">
        <f t="array" ref="I511">_xlfn.IFS($G511="UNKNOWN","UNKNOWN",OR($G511="FACTORY1",$G511="FACTORY2",$G511="FACTORY3"),"PLANT",TRUE,"SHARED")</f>
        <v>PLANT</v>
      </c>
      <c r="J511" s="24" t="str">
        <f>IF('query (2)'!D511="","UNKNOWN",IF(COUNTIF(Cleaning_Rules!$A$6:$A$11,TRIM('query (2)'!D511))&gt;0,"UNKNOWN",IFERROR(INDEX(Cleaning_Rules!$B$24:$B$28,MATCH(TRIM(UPPER('query (2)'!D511)),Cleaning_Rules!$A$24:$A$28,0)),TRIM(UPPER('query (2)'!D511)))))</f>
        <v>WP ASSEMBLY1</v>
      </c>
      <c r="K511" s="25" t="str">
        <f>IF('query (2)'!D511="","",'query (2)'!D511)</f>
        <v>WP Assambly1</v>
      </c>
      <c r="L511" s="24" t="str">
        <f>IF($J511="UNKNOWN","",_xlfn.TEXTBEFORE($J511,{"0","1","2","3","4","5","6","7","8","9"," ","-","."},1,,,$J511))</f>
        <v>WP</v>
      </c>
      <c r="M511" s="24" t="str">
        <f>IF('query (2)'!I511&lt;&gt;"",TRIM(UPPER('query (2)'!I511)),IF($L511="","UNKNOWN",$L511))</f>
        <v>WP</v>
      </c>
      <c r="N511" s="24" t="str">
        <f>IF('query (2)'!I511&lt;&gt;"","SOURCE",IF($L511="","UNKNOWN","DERIVED"))</f>
        <v>SOURCE</v>
      </c>
      <c r="O511" s="24" t="str">
        <f>IF('query (2)'!E511="","NOT_SPECIFIED",TRIM(UPPER('query (2)'!E511)))</f>
        <v>ASSEMBLY</v>
      </c>
      <c r="P511" s="24" t="str">
        <f>IF('query (2)'!F511="","",TRIM(UPPER('query (2)'!F511)))</f>
        <v>1409-WP1AI</v>
      </c>
      <c r="Q511" s="24" t="str">
        <f>IF('query (2)'!G511="","UNKNOWN",IFERROR(INDEX(Cleaning_Rules!$B$38:$B$46,MATCH(TRIM(UPPER('query (2)'!G511)),Cleaning_Rules!$A$38:$A$46,0)),"UNKNOWN"))</f>
        <v>OTHER</v>
      </c>
      <c r="R511" s="24" t="str">
        <f>IF('query (2)'!H511="","",TRIM(UPPER('query (2)'!H511)))</f>
        <v>ROLLER ASSEMBLY</v>
      </c>
      <c r="S511" s="25" t="str">
        <f>IF('query (2)'!H511="","",'query (2)'!H511)</f>
        <v>Roller Assembly</v>
      </c>
      <c r="T511" s="24" t="str">
        <f>IF('query (2)'!J511="","",TRIM(UPPER('query (2)'!J511)))</f>
        <v/>
      </c>
      <c r="U511" s="24" t="str">
        <f t="shared" si="52"/>
        <v/>
      </c>
      <c r="V511" s="24" t="str">
        <f>IF('query (2)'!K511="","NOT_SPECIFIED",IFERROR(INDEX(Cleaning_Rules!$B$32:$B$34,MATCH(TRIM(UPPER('query (2)'!K511)),Cleaning_Rules!$A$32:$A$34,0)),"UNKNOWN"))</f>
        <v>NOT_SPECIFIED</v>
      </c>
      <c r="W511" s="24" t="str">
        <f t="shared" si="53"/>
        <v>AS-082 | FACTORY2 | WP ASSEMBLY1 | WP | ASSEMBLY | 1409-WP1AI | OTHER | ROLLER ASSEMBLY | NOT_SPECIFIED</v>
      </c>
      <c r="X511" s="24" t="str">
        <f t="shared" si="54"/>
        <v/>
      </c>
      <c r="Y511" s="24" t="str">
        <f t="shared" si="55"/>
        <v>MISSING_STATUS; CATEGORY_NOT_USEFUL; MISSING_PRODUCTION_NAME</v>
      </c>
    </row>
    <row r="512" spans="1:25" x14ac:dyDescent="0.3">
      <c r="A512" s="24" t="str">
        <f t="shared" si="49"/>
        <v>AS-957#0511</v>
      </c>
      <c r="B512" s="24" t="str">
        <f>IF('query (2)'!B512="","",TRIM(UPPER('query (2)'!B512)))</f>
        <v>AS-957</v>
      </c>
      <c r="C512" s="25" t="str">
        <f>IF('query (2)'!B512="","",'query (2)'!B512)</f>
        <v>AS-957</v>
      </c>
      <c r="D512" s="24" t="str">
        <f t="shared" si="50"/>
        <v>AS</v>
      </c>
      <c r="E512" s="24">
        <f t="shared" si="51"/>
        <v>1</v>
      </c>
      <c r="F512" s="24">
        <f>IF('query (2)'!A512="","",IFERROR(VALUE('query (2)'!A512),""))</f>
        <v>530</v>
      </c>
      <c r="G512" s="24" t="str">
        <f>IF('query (2)'!C512="","UNKNOWN",IFERROR(INDEX(Cleaning_Rules!$B$15:$B$20,MATCH(TRIM(UPPER('query (2)'!C512)),Cleaning_Rules!$A$15:$A$20,0)),"UNKNOWN"))</f>
        <v>FACTORY2</v>
      </c>
      <c r="H512" s="25" t="str">
        <f>IF('query (2)'!C512="","",'query (2)'!C512)</f>
        <v>FACTORY2</v>
      </c>
      <c r="I512" s="24" t="str" cm="1">
        <f t="array" ref="I512">_xlfn.IFS($G512="UNKNOWN","UNKNOWN",OR($G512="FACTORY1",$G512="FACTORY2",$G512="FACTORY3"),"PLANT",TRUE,"SHARED")</f>
        <v>PLANT</v>
      </c>
      <c r="J512" s="24" t="str">
        <f>IF('query (2)'!D512="","UNKNOWN",IF(COUNTIF(Cleaning_Rules!$A$6:$A$11,TRIM('query (2)'!D512))&gt;0,"UNKNOWN",IFERROR(INDEX(Cleaning_Rules!$B$24:$B$28,MATCH(TRIM(UPPER('query (2)'!D512)),Cleaning_Rules!$A$24:$A$28,0)),TRIM(UPPER('query (2)'!D512)))))</f>
        <v>WP ASSEMBLY1</v>
      </c>
      <c r="K512" s="25" t="str">
        <f>IF('query (2)'!D512="","",'query (2)'!D512)</f>
        <v>WP Assambly1</v>
      </c>
      <c r="L512" s="24" t="str">
        <f>IF($J512="UNKNOWN","",_xlfn.TEXTBEFORE($J512,{"0","1","2","3","4","5","6","7","8","9"," ","-","."},1,,,$J512))</f>
        <v>WP</v>
      </c>
      <c r="M512" s="24" t="str">
        <f>IF('query (2)'!I512&lt;&gt;"",TRIM(UPPER('query (2)'!I512)),IF($L512="","UNKNOWN",$L512))</f>
        <v>WP</v>
      </c>
      <c r="N512" s="24" t="str">
        <f>IF('query (2)'!I512&lt;&gt;"","SOURCE",IF($L512="","UNKNOWN","DERIVED"))</f>
        <v>SOURCE</v>
      </c>
      <c r="O512" s="24" t="str">
        <f>IF('query (2)'!E512="","NOT_SPECIFIED",TRIM(UPPER('query (2)'!E512)))</f>
        <v>ASSEMBLY</v>
      </c>
      <c r="P512" s="24" t="str">
        <f>IF('query (2)'!F512="","",TRIM(UPPER('query (2)'!F512)))</f>
        <v>1409-WP1AI</v>
      </c>
      <c r="Q512" s="24" t="str">
        <f>IF('query (2)'!G512="","UNKNOWN",IFERROR(INDEX(Cleaning_Rules!$B$38:$B$46,MATCH(TRIM(UPPER('query (2)'!G512)),Cleaning_Rules!$A$38:$A$46,0)),"UNKNOWN"))</f>
        <v>OTHER</v>
      </c>
      <c r="R512" s="24" t="str">
        <f>IF('query (2)'!H512="","",TRIM(UPPER('query (2)'!H512)))</f>
        <v>SEAL PRESS MACHINE (2 HEAL)</v>
      </c>
      <c r="S512" s="25" t="str">
        <f>IF('query (2)'!H512="","",'query (2)'!H512)</f>
        <v>Seal press machine (2 Heal)</v>
      </c>
      <c r="T512" s="24" t="str">
        <f>IF('query (2)'!J512="","",TRIM(UPPER('query (2)'!J512)))</f>
        <v/>
      </c>
      <c r="U512" s="24" t="str">
        <f t="shared" si="52"/>
        <v/>
      </c>
      <c r="V512" s="24" t="str">
        <f>IF('query (2)'!K512="","NOT_SPECIFIED",IFERROR(INDEX(Cleaning_Rules!$B$32:$B$34,MATCH(TRIM(UPPER('query (2)'!K512)),Cleaning_Rules!$A$32:$A$34,0)),"UNKNOWN"))</f>
        <v>NOT_SPECIFIED</v>
      </c>
      <c r="W512" s="24" t="str">
        <f t="shared" si="53"/>
        <v>AS-957 | FACTORY2 | WP ASSEMBLY1 | WP | ASSEMBLY | 1409-WP1AI | OTHER | SEAL PRESS MACHINE (2 HEAL) | NOT_SPECIFIED</v>
      </c>
      <c r="X512" s="24" t="str">
        <f t="shared" si="54"/>
        <v/>
      </c>
      <c r="Y512" s="24" t="str">
        <f t="shared" si="55"/>
        <v>MISSING_STATUS; CATEGORY_NOT_USEFUL; MISSING_PRODUCTION_NAME</v>
      </c>
    </row>
    <row r="513" spans="1:25" x14ac:dyDescent="0.3">
      <c r="A513" s="24" t="str">
        <f t="shared" si="49"/>
        <v>CH-174#0512</v>
      </c>
      <c r="B513" s="24" t="str">
        <f>IF('query (2)'!B513="","",TRIM(UPPER('query (2)'!B513)))</f>
        <v>CH-174</v>
      </c>
      <c r="C513" s="25" t="str">
        <f>IF('query (2)'!B513="","",'query (2)'!B513)</f>
        <v>CH-174</v>
      </c>
      <c r="D513" s="24" t="str">
        <f t="shared" si="50"/>
        <v>CH</v>
      </c>
      <c r="E513" s="24">
        <f t="shared" si="51"/>
        <v>1</v>
      </c>
      <c r="F513" s="24">
        <f>IF('query (2)'!A513="","",IFERROR(VALUE('query (2)'!A513),""))</f>
        <v>531</v>
      </c>
      <c r="G513" s="24" t="str">
        <f>IF('query (2)'!C513="","UNKNOWN",IFERROR(INDEX(Cleaning_Rules!$B$15:$B$20,MATCH(TRIM(UPPER('query (2)'!C513)),Cleaning_Rules!$A$15:$A$20,0)),"UNKNOWN"))</f>
        <v>FACTORY2</v>
      </c>
      <c r="H513" s="25" t="str">
        <f>IF('query (2)'!C513="","",'query (2)'!C513)</f>
        <v>FACTORY2</v>
      </c>
      <c r="I513" s="24" t="str" cm="1">
        <f t="array" ref="I513">_xlfn.IFS($G513="UNKNOWN","UNKNOWN",OR($G513="FACTORY1",$G513="FACTORY2",$G513="FACTORY3"),"PLANT",TRUE,"SHARED")</f>
        <v>PLANT</v>
      </c>
      <c r="J513" s="24" t="str">
        <f>IF('query (2)'!D513="","UNKNOWN",IF(COUNTIF(Cleaning_Rules!$A$6:$A$11,TRIM('query (2)'!D513))&gt;0,"UNKNOWN",IFERROR(INDEX(Cleaning_Rules!$B$24:$B$28,MATCH(TRIM(UPPER('query (2)'!D513)),Cleaning_Rules!$A$24:$A$28,0)),TRIM(UPPER('query (2)'!D513)))))</f>
        <v>WP ASSEMBLY2</v>
      </c>
      <c r="K513" s="25" t="str">
        <f>IF('query (2)'!D513="","",'query (2)'!D513)</f>
        <v>WP Assambly2</v>
      </c>
      <c r="L513" s="24" t="str">
        <f>IF($J513="UNKNOWN","",_xlfn.TEXTBEFORE($J513,{"0","1","2","3","4","5","6","7","8","9"," ","-","."},1,,,$J513))</f>
        <v>WP</v>
      </c>
      <c r="M513" s="24" t="str">
        <f>IF('query (2)'!I513&lt;&gt;"",TRIM(UPPER('query (2)'!I513)),IF($L513="","UNKNOWN",$L513))</f>
        <v>WP</v>
      </c>
      <c r="N513" s="24" t="str">
        <f>IF('query (2)'!I513&lt;&gt;"","SOURCE",IF($L513="","UNKNOWN","DERIVED"))</f>
        <v>SOURCE</v>
      </c>
      <c r="O513" s="24" t="str">
        <f>IF('query (2)'!E513="","NOT_SPECIFIED",TRIM(UPPER('query (2)'!E513)))</f>
        <v>ASSEMBLY</v>
      </c>
      <c r="P513" s="24" t="str">
        <f>IF('query (2)'!F513="","",TRIM(UPPER('query (2)'!F513)))</f>
        <v>1410-WP2AI</v>
      </c>
      <c r="Q513" s="24" t="str">
        <f>IF('query (2)'!G513="","UNKNOWN",IFERROR(INDEX(Cleaning_Rules!$B$38:$B$46,MATCH(TRIM(UPPER('query (2)'!G513)),Cleaning_Rules!$A$38:$A$46,0)),"UNKNOWN"))</f>
        <v>OTHER</v>
      </c>
      <c r="R513" s="24" t="str">
        <f>IF('query (2)'!H513="","",TRIM(UPPER('query (2)'!H513)))</f>
        <v>ECT. (INNER RING HARDNESS)</v>
      </c>
      <c r="S513" s="25" t="str">
        <f>IF('query (2)'!H513="","",'query (2)'!H513)</f>
        <v>ECT. (Inner ring hardness)</v>
      </c>
      <c r="T513" s="24" t="str">
        <f>IF('query (2)'!J513="","",TRIM(UPPER('query (2)'!J513)))</f>
        <v/>
      </c>
      <c r="U513" s="24" t="str">
        <f t="shared" si="52"/>
        <v/>
      </c>
      <c r="V513" s="24" t="str">
        <f>IF('query (2)'!K513="","NOT_SPECIFIED",IFERROR(INDEX(Cleaning_Rules!$B$32:$B$34,MATCH(TRIM(UPPER('query (2)'!K513)),Cleaning_Rules!$A$32:$A$34,0)),"UNKNOWN"))</f>
        <v>NOT_SPECIFIED</v>
      </c>
      <c r="W513" s="24" t="str">
        <f t="shared" si="53"/>
        <v>CH-174 | FACTORY2 | WP ASSEMBLY2 | WP | ASSEMBLY | 1410-WP2AI | OTHER | ECT. (INNER RING HARDNESS) | NOT_SPECIFIED</v>
      </c>
      <c r="X513" s="24" t="str">
        <f t="shared" si="54"/>
        <v/>
      </c>
      <c r="Y513" s="24" t="str">
        <f t="shared" si="55"/>
        <v>MISSING_STATUS; CATEGORY_NOT_USEFUL; MISSING_PRODUCTION_NAME</v>
      </c>
    </row>
    <row r="514" spans="1:25" x14ac:dyDescent="0.3">
      <c r="A514" s="24" t="str">
        <f t="shared" si="49"/>
        <v>CH-175#0513</v>
      </c>
      <c r="B514" s="24" t="str">
        <f>IF('query (2)'!B514="","",TRIM(UPPER('query (2)'!B514)))</f>
        <v>CH-175</v>
      </c>
      <c r="C514" s="25" t="str">
        <f>IF('query (2)'!B514="","",'query (2)'!B514)</f>
        <v>CH-175</v>
      </c>
      <c r="D514" s="24" t="str">
        <f t="shared" si="50"/>
        <v>CH</v>
      </c>
      <c r="E514" s="24">
        <f t="shared" si="51"/>
        <v>1</v>
      </c>
      <c r="F514" s="24">
        <f>IF('query (2)'!A514="","",IFERROR(VALUE('query (2)'!A514),""))</f>
        <v>532</v>
      </c>
      <c r="G514" s="24" t="str">
        <f>IF('query (2)'!C514="","UNKNOWN",IFERROR(INDEX(Cleaning_Rules!$B$15:$B$20,MATCH(TRIM(UPPER('query (2)'!C514)),Cleaning_Rules!$A$15:$A$20,0)),"UNKNOWN"))</f>
        <v>FACTORY2</v>
      </c>
      <c r="H514" s="25" t="str">
        <f>IF('query (2)'!C514="","",'query (2)'!C514)</f>
        <v>FACTORY2</v>
      </c>
      <c r="I514" s="24" t="str" cm="1">
        <f t="array" ref="I514">_xlfn.IFS($G514="UNKNOWN","UNKNOWN",OR($G514="FACTORY1",$G514="FACTORY2",$G514="FACTORY3"),"PLANT",TRUE,"SHARED")</f>
        <v>PLANT</v>
      </c>
      <c r="J514" s="24" t="str">
        <f>IF('query (2)'!D514="","UNKNOWN",IF(COUNTIF(Cleaning_Rules!$A$6:$A$11,TRIM('query (2)'!D514))&gt;0,"UNKNOWN",IFERROR(INDEX(Cleaning_Rules!$B$24:$B$28,MATCH(TRIM(UPPER('query (2)'!D514)),Cleaning_Rules!$A$24:$A$28,0)),TRIM(UPPER('query (2)'!D514)))))</f>
        <v>WP ASSEMBLY2</v>
      </c>
      <c r="K514" s="25" t="str">
        <f>IF('query (2)'!D514="","",'query (2)'!D514)</f>
        <v>WP Assambly2</v>
      </c>
      <c r="L514" s="24" t="str">
        <f>IF($J514="UNKNOWN","",_xlfn.TEXTBEFORE($J514,{"0","1","2","3","4","5","6","7","8","9"," ","-","."},1,,,$J514))</f>
        <v>WP</v>
      </c>
      <c r="M514" s="24" t="str">
        <f>IF('query (2)'!I514&lt;&gt;"",TRIM(UPPER('query (2)'!I514)),IF($L514="","UNKNOWN",$L514))</f>
        <v>WP</v>
      </c>
      <c r="N514" s="24" t="str">
        <f>IF('query (2)'!I514&lt;&gt;"","SOURCE",IF($L514="","UNKNOWN","DERIVED"))</f>
        <v>SOURCE</v>
      </c>
      <c r="O514" s="24" t="str">
        <f>IF('query (2)'!E514="","NOT_SPECIFIED",TRIM(UPPER('query (2)'!E514)))</f>
        <v>ASSEMBLY</v>
      </c>
      <c r="P514" s="24" t="str">
        <f>IF('query (2)'!F514="","",TRIM(UPPER('query (2)'!F514)))</f>
        <v>1410-WP2AI</v>
      </c>
      <c r="Q514" s="24" t="str">
        <f>IF('query (2)'!G514="","UNKNOWN",IFERROR(INDEX(Cleaning_Rules!$B$38:$B$46,MATCH(TRIM(UPPER('query (2)'!G514)),Cleaning_Rules!$A$38:$A$46,0)),"UNKNOWN"))</f>
        <v>OTHER</v>
      </c>
      <c r="R514" s="24" t="str">
        <f>IF('query (2)'!H514="","",TRIM(UPPER('query (2)'!H514)))</f>
        <v>ECT. (OUTER RING HARDNESS)</v>
      </c>
      <c r="S514" s="25" t="str">
        <f>IF('query (2)'!H514="","",'query (2)'!H514)</f>
        <v>ECT. (Outer ring hardness)</v>
      </c>
      <c r="T514" s="24" t="str">
        <f>IF('query (2)'!J514="","",TRIM(UPPER('query (2)'!J514)))</f>
        <v/>
      </c>
      <c r="U514" s="24" t="str">
        <f t="shared" si="52"/>
        <v/>
      </c>
      <c r="V514" s="24" t="str">
        <f>IF('query (2)'!K514="","NOT_SPECIFIED",IFERROR(INDEX(Cleaning_Rules!$B$32:$B$34,MATCH(TRIM(UPPER('query (2)'!K514)),Cleaning_Rules!$A$32:$A$34,0)),"UNKNOWN"))</f>
        <v>NOT_SPECIFIED</v>
      </c>
      <c r="W514" s="24" t="str">
        <f t="shared" si="53"/>
        <v>CH-175 | FACTORY2 | WP ASSEMBLY2 | WP | ASSEMBLY | 1410-WP2AI | OTHER | ECT. (OUTER RING HARDNESS) | NOT_SPECIFIED</v>
      </c>
      <c r="X514" s="24" t="str">
        <f t="shared" si="54"/>
        <v/>
      </c>
      <c r="Y514" s="24" t="str">
        <f t="shared" si="55"/>
        <v>MISSING_STATUS; CATEGORY_NOT_USEFUL; MISSING_PRODUCTION_NAME</v>
      </c>
    </row>
    <row r="515" spans="1:25" x14ac:dyDescent="0.3">
      <c r="A515" s="24" t="str">
        <f t="shared" ref="A515:A578" si="56">IF($B515="","NO_QR#"&amp;TEXT(ROW()-1,"0000"),$B515&amp;"#"&amp;TEXT(ROW()-1,"0000"))</f>
        <v>CH-176#0514</v>
      </c>
      <c r="B515" s="24" t="str">
        <f>IF('query (2)'!B515="","",TRIM(UPPER('query (2)'!B515)))</f>
        <v>CH-176</v>
      </c>
      <c r="C515" s="25" t="str">
        <f>IF('query (2)'!B515="","",'query (2)'!B515)</f>
        <v>CH-176</v>
      </c>
      <c r="D515" s="24" t="str">
        <f t="shared" ref="D515:D578" si="57">IF($B515="","",IFERROR(_xlfn.TEXTBEFORE($B515,"-"),"NO_PREFIX"))</f>
        <v>CH</v>
      </c>
      <c r="E515" s="24">
        <f t="shared" ref="E515:E578" si="58">IF($B515="","",COUNTIF($B$2:$B$974,$B515))</f>
        <v>1</v>
      </c>
      <c r="F515" s="24">
        <f>IF('query (2)'!A515="","",IFERROR(VALUE('query (2)'!A515),""))</f>
        <v>533</v>
      </c>
      <c r="G515" s="24" t="str">
        <f>IF('query (2)'!C515="","UNKNOWN",IFERROR(INDEX(Cleaning_Rules!$B$15:$B$20,MATCH(TRIM(UPPER('query (2)'!C515)),Cleaning_Rules!$A$15:$A$20,0)),"UNKNOWN"))</f>
        <v>FACTORY2</v>
      </c>
      <c r="H515" s="25" t="str">
        <f>IF('query (2)'!C515="","",'query (2)'!C515)</f>
        <v>FACTORY2</v>
      </c>
      <c r="I515" s="24" t="str" cm="1">
        <f t="array" ref="I515">_xlfn.IFS($G515="UNKNOWN","UNKNOWN",OR($G515="FACTORY1",$G515="FACTORY2",$G515="FACTORY3"),"PLANT",TRUE,"SHARED")</f>
        <v>PLANT</v>
      </c>
      <c r="J515" s="24" t="str">
        <f>IF('query (2)'!D515="","UNKNOWN",IF(COUNTIF(Cleaning_Rules!$A$6:$A$11,TRIM('query (2)'!D515))&gt;0,"UNKNOWN",IFERROR(INDEX(Cleaning_Rules!$B$24:$B$28,MATCH(TRIM(UPPER('query (2)'!D515)),Cleaning_Rules!$A$24:$A$28,0)),TRIM(UPPER('query (2)'!D515)))))</f>
        <v>WP ASSEMBLY2</v>
      </c>
      <c r="K515" s="25" t="str">
        <f>IF('query (2)'!D515="","",'query (2)'!D515)</f>
        <v>WP Assambly2</v>
      </c>
      <c r="L515" s="24" t="str">
        <f>IF($J515="UNKNOWN","",_xlfn.TEXTBEFORE($J515,{"0","1","2","3","4","5","6","7","8","9"," ","-","."},1,,,$J515))</f>
        <v>WP</v>
      </c>
      <c r="M515" s="24" t="str">
        <f>IF('query (2)'!I515&lt;&gt;"",TRIM(UPPER('query (2)'!I515)),IF($L515="","UNKNOWN",$L515))</f>
        <v>WP</v>
      </c>
      <c r="N515" s="24" t="str">
        <f>IF('query (2)'!I515&lt;&gt;"","SOURCE",IF($L515="","UNKNOWN","DERIVED"))</f>
        <v>SOURCE</v>
      </c>
      <c r="O515" s="24" t="str">
        <f>IF('query (2)'!E515="","NOT_SPECIFIED",TRIM(UPPER('query (2)'!E515)))</f>
        <v>ASSEMBLY</v>
      </c>
      <c r="P515" s="24" t="str">
        <f>IF('query (2)'!F515="","",TRIM(UPPER('query (2)'!F515)))</f>
        <v>1410-WP2AI</v>
      </c>
      <c r="Q515" s="24" t="str">
        <f>IF('query (2)'!G515="","UNKNOWN",IFERROR(INDEX(Cleaning_Rules!$B$38:$B$46,MATCH(TRIM(UPPER('query (2)'!G515)),Cleaning_Rules!$A$38:$A$46,0)),"UNKNOWN"))</f>
        <v>OTHER</v>
      </c>
      <c r="R515" s="24" t="str">
        <f>IF('query (2)'!H515="","",TRIM(UPPER('query (2)'!H515)))</f>
        <v>A/B RACEWAY DIAMETER MEASUREMENT M/C</v>
      </c>
      <c r="S515" s="25" t="str">
        <f>IF('query (2)'!H515="","",'query (2)'!H515)</f>
        <v>A/B raceway diameter measurement M/C</v>
      </c>
      <c r="T515" s="24" t="str">
        <f>IF('query (2)'!J515="","",TRIM(UPPER('query (2)'!J515)))</f>
        <v/>
      </c>
      <c r="U515" s="24" t="str">
        <f t="shared" ref="U515:U578" si="59">IFERROR(IF(ISNUMBER(VALUE(MID($R515,SEARCH("(??-???)",$R515)+4,3))),MID($R515,SEARCH("(??-???)",$R515)+1,6),""),"")</f>
        <v/>
      </c>
      <c r="V515" s="24" t="str">
        <f>IF('query (2)'!K515="","NOT_SPECIFIED",IFERROR(INDEX(Cleaning_Rules!$B$32:$B$34,MATCH(TRIM(UPPER('query (2)'!K515)),Cleaning_Rules!$A$32:$A$34,0)),"UNKNOWN"))</f>
        <v>NOT_SPECIFIED</v>
      </c>
      <c r="W515" s="24" t="str">
        <f t="shared" ref="W515:W578" si="60">_xlfn.TEXTJOIN(" | ",TRUE,$B515,$G515,$J515,$M515,$O515,$P515,$Q515,$R515,$T515,$V515)</f>
        <v>CH-176 | FACTORY2 | WP ASSEMBLY2 | WP | ASSEMBLY | 1410-WP2AI | OTHER | A/B RACEWAY DIAMETER MEASUREMENT M/C | NOT_SPECIFIED</v>
      </c>
      <c r="X515" s="24" t="str">
        <f t="shared" ref="X515:X578" si="61">_xlfn.TEXTJOIN("; ",TRUE,IF($B515="","MISSING_QR",""),IF(N($E515)&gt;1,"DUPLICATE_QR",""),IF($F515="","MISSING_NO",""),IF($G515="UNKNOWN","MISSING_LOCATION",""),IF($J515="UNKNOWN","MISSING_DEPARTMENT",""),IF($N515="UNKNOWN","MISSING_SECTION",""),IF($O515="NOT_SPECIFIED","MISSING_RESPONSIBLE",""),IF($P515="","MISSING_COST_CENTER",""),IF($Q515="UNKNOWN","MISSING_CATEGORY",""),IF($R515="","MISSING_DESCRIPTION",""))</f>
        <v/>
      </c>
      <c r="Y515" s="24" t="str">
        <f t="shared" ref="Y515:Y578" si="62">_xlfn.TEXTJOIN("; ",TRUE,IF($V515="NOT_SPECIFIED","MISSING_STATUS",""),IF($Q515="OTHER","CATEGORY_NOT_USEFUL",""),IF($T515="","MISSING_PRODUCTION_NAME",""),IF($N515="DERIVED","SECTION_DERIVED",""))</f>
        <v>MISSING_STATUS; CATEGORY_NOT_USEFUL; MISSING_PRODUCTION_NAME</v>
      </c>
    </row>
    <row r="516" spans="1:25" x14ac:dyDescent="0.3">
      <c r="A516" s="24" t="str">
        <f t="shared" si="56"/>
        <v>AS-177#0515</v>
      </c>
      <c r="B516" s="24" t="str">
        <f>IF('query (2)'!B516="","",TRIM(UPPER('query (2)'!B516)))</f>
        <v>AS-177</v>
      </c>
      <c r="C516" s="25" t="str">
        <f>IF('query (2)'!B516="","",'query (2)'!B516)</f>
        <v>AS-177</v>
      </c>
      <c r="D516" s="24" t="str">
        <f t="shared" si="57"/>
        <v>AS</v>
      </c>
      <c r="E516" s="24">
        <f t="shared" si="58"/>
        <v>1</v>
      </c>
      <c r="F516" s="24">
        <f>IF('query (2)'!A516="","",IFERROR(VALUE('query (2)'!A516),""))</f>
        <v>534</v>
      </c>
      <c r="G516" s="24" t="str">
        <f>IF('query (2)'!C516="","UNKNOWN",IFERROR(INDEX(Cleaning_Rules!$B$15:$B$20,MATCH(TRIM(UPPER('query (2)'!C516)),Cleaning_Rules!$A$15:$A$20,0)),"UNKNOWN"))</f>
        <v>FACTORY2</v>
      </c>
      <c r="H516" s="25" t="str">
        <f>IF('query (2)'!C516="","",'query (2)'!C516)</f>
        <v>FACTORY2</v>
      </c>
      <c r="I516" s="24" t="str" cm="1">
        <f t="array" ref="I516">_xlfn.IFS($G516="UNKNOWN","UNKNOWN",OR($G516="FACTORY1",$G516="FACTORY2",$G516="FACTORY3"),"PLANT",TRUE,"SHARED")</f>
        <v>PLANT</v>
      </c>
      <c r="J516" s="24" t="str">
        <f>IF('query (2)'!D516="","UNKNOWN",IF(COUNTIF(Cleaning_Rules!$A$6:$A$11,TRIM('query (2)'!D516))&gt;0,"UNKNOWN",IFERROR(INDEX(Cleaning_Rules!$B$24:$B$28,MATCH(TRIM(UPPER('query (2)'!D516)),Cleaning_Rules!$A$24:$A$28,0)),TRIM(UPPER('query (2)'!D516)))))</f>
        <v>WP ASSEMBLY2</v>
      </c>
      <c r="K516" s="25" t="str">
        <f>IF('query (2)'!D516="","",'query (2)'!D516)</f>
        <v>WP Assambly2</v>
      </c>
      <c r="L516" s="24" t="str">
        <f>IF($J516="UNKNOWN","",_xlfn.TEXTBEFORE($J516,{"0","1","2","3","4","5","6","7","8","9"," ","-","."},1,,,$J516))</f>
        <v>WP</v>
      </c>
      <c r="M516" s="24" t="str">
        <f>IF('query (2)'!I516&lt;&gt;"",TRIM(UPPER('query (2)'!I516)),IF($L516="","UNKNOWN",$L516))</f>
        <v>WP</v>
      </c>
      <c r="N516" s="24" t="str">
        <f>IF('query (2)'!I516&lt;&gt;"","SOURCE",IF($L516="","UNKNOWN","DERIVED"))</f>
        <v>SOURCE</v>
      </c>
      <c r="O516" s="24" t="str">
        <f>IF('query (2)'!E516="","NOT_SPECIFIED",TRIM(UPPER('query (2)'!E516)))</f>
        <v>ASSEMBLY</v>
      </c>
      <c r="P516" s="24" t="str">
        <f>IF('query (2)'!F516="","",TRIM(UPPER('query (2)'!F516)))</f>
        <v>1410-WP2AI</v>
      </c>
      <c r="Q516" s="24" t="str">
        <f>IF('query (2)'!G516="","UNKNOWN",IFERROR(INDEX(Cleaning_Rules!$B$38:$B$46,MATCH(TRIM(UPPER('query (2)'!G516)),Cleaning_Rules!$A$38:$A$46,0)),"UNKNOWN"))</f>
        <v>OTHER</v>
      </c>
      <c r="R516" s="24" t="str">
        <f>IF('query (2)'!H516="","",TRIM(UPPER('query (2)'!H516)))</f>
        <v>MATCHING &amp; BALL FILLING M/C</v>
      </c>
      <c r="S516" s="25" t="str">
        <f>IF('query (2)'!H516="","",'query (2)'!H516)</f>
        <v>Matching &amp; Ball filling M/C</v>
      </c>
      <c r="T516" s="24" t="str">
        <f>IF('query (2)'!J516="","",TRIM(UPPER('query (2)'!J516)))</f>
        <v/>
      </c>
      <c r="U516" s="24" t="str">
        <f t="shared" si="59"/>
        <v/>
      </c>
      <c r="V516" s="24" t="str">
        <f>IF('query (2)'!K516="","NOT_SPECIFIED",IFERROR(INDEX(Cleaning_Rules!$B$32:$B$34,MATCH(TRIM(UPPER('query (2)'!K516)),Cleaning_Rules!$A$32:$A$34,0)),"UNKNOWN"))</f>
        <v>NOT_SPECIFIED</v>
      </c>
      <c r="W516" s="24" t="str">
        <f t="shared" si="60"/>
        <v>AS-177 | FACTORY2 | WP ASSEMBLY2 | WP | ASSEMBLY | 1410-WP2AI | OTHER | MATCHING &amp; BALL FILLING M/C | NOT_SPECIFIED</v>
      </c>
      <c r="X516" s="24" t="str">
        <f t="shared" si="61"/>
        <v/>
      </c>
      <c r="Y516" s="24" t="str">
        <f t="shared" si="62"/>
        <v>MISSING_STATUS; CATEGORY_NOT_USEFUL; MISSING_PRODUCTION_NAME</v>
      </c>
    </row>
    <row r="517" spans="1:25" x14ac:dyDescent="0.3">
      <c r="A517" s="24" t="str">
        <f t="shared" si="56"/>
        <v>AS-178#0516</v>
      </c>
      <c r="B517" s="24" t="str">
        <f>IF('query (2)'!B517="","",TRIM(UPPER('query (2)'!B517)))</f>
        <v>AS-178</v>
      </c>
      <c r="C517" s="25" t="str">
        <f>IF('query (2)'!B517="","",'query (2)'!B517)</f>
        <v>AS-178</v>
      </c>
      <c r="D517" s="24" t="str">
        <f t="shared" si="57"/>
        <v>AS</v>
      </c>
      <c r="E517" s="24">
        <f t="shared" si="58"/>
        <v>1</v>
      </c>
      <c r="F517" s="24">
        <f>IF('query (2)'!A517="","",IFERROR(VALUE('query (2)'!A517),""))</f>
        <v>535</v>
      </c>
      <c r="G517" s="24" t="str">
        <f>IF('query (2)'!C517="","UNKNOWN",IFERROR(INDEX(Cleaning_Rules!$B$15:$B$20,MATCH(TRIM(UPPER('query (2)'!C517)),Cleaning_Rules!$A$15:$A$20,0)),"UNKNOWN"))</f>
        <v>FACTORY2</v>
      </c>
      <c r="H517" s="25" t="str">
        <f>IF('query (2)'!C517="","",'query (2)'!C517)</f>
        <v>FACTORY2</v>
      </c>
      <c r="I517" s="24" t="str" cm="1">
        <f t="array" ref="I517">_xlfn.IFS($G517="UNKNOWN","UNKNOWN",OR($G517="FACTORY1",$G517="FACTORY2",$G517="FACTORY3"),"PLANT",TRUE,"SHARED")</f>
        <v>PLANT</v>
      </c>
      <c r="J517" s="24" t="str">
        <f>IF('query (2)'!D517="","UNKNOWN",IF(COUNTIF(Cleaning_Rules!$A$6:$A$11,TRIM('query (2)'!D517))&gt;0,"UNKNOWN",IFERROR(INDEX(Cleaning_Rules!$B$24:$B$28,MATCH(TRIM(UPPER('query (2)'!D517)),Cleaning_Rules!$A$24:$A$28,0)),TRIM(UPPER('query (2)'!D517)))))</f>
        <v>WP ASSEMBLY2</v>
      </c>
      <c r="K517" s="25" t="str">
        <f>IF('query (2)'!D517="","",'query (2)'!D517)</f>
        <v>WP Assambly2</v>
      </c>
      <c r="L517" s="24" t="str">
        <f>IF($J517="UNKNOWN","",_xlfn.TEXTBEFORE($J517,{"0","1","2","3","4","5","6","7","8","9"," ","-","."},1,,,$J517))</f>
        <v>WP</v>
      </c>
      <c r="M517" s="24" t="str">
        <f>IF('query (2)'!I517&lt;&gt;"",TRIM(UPPER('query (2)'!I517)),IF($L517="","UNKNOWN",$L517))</f>
        <v>WP</v>
      </c>
      <c r="N517" s="24" t="str">
        <f>IF('query (2)'!I517&lt;&gt;"","SOURCE",IF($L517="","UNKNOWN","DERIVED"))</f>
        <v>SOURCE</v>
      </c>
      <c r="O517" s="24" t="str">
        <f>IF('query (2)'!E517="","NOT_SPECIFIED",TRIM(UPPER('query (2)'!E517)))</f>
        <v>ASSEMBLY</v>
      </c>
      <c r="P517" s="24" t="str">
        <f>IF('query (2)'!F517="","",TRIM(UPPER('query (2)'!F517)))</f>
        <v>1410-WP2AI</v>
      </c>
      <c r="Q517" s="24" t="str">
        <f>IF('query (2)'!G517="","UNKNOWN",IFERROR(INDEX(Cleaning_Rules!$B$38:$B$46,MATCH(TRIM(UPPER('query (2)'!G517)),Cleaning_Rules!$A$38:$A$46,0)),"UNKNOWN"))</f>
        <v>OTHER</v>
      </c>
      <c r="R517" s="24" t="str">
        <f>IF('query (2)'!H517="","",TRIM(UPPER('query (2)'!H517)))</f>
        <v>CAGE PRESS M/C</v>
      </c>
      <c r="S517" s="25" t="str">
        <f>IF('query (2)'!H517="","",'query (2)'!H517)</f>
        <v>Cage press M/C</v>
      </c>
      <c r="T517" s="24" t="str">
        <f>IF('query (2)'!J517="","",TRIM(UPPER('query (2)'!J517)))</f>
        <v/>
      </c>
      <c r="U517" s="24" t="str">
        <f t="shared" si="59"/>
        <v/>
      </c>
      <c r="V517" s="24" t="str">
        <f>IF('query (2)'!K517="","NOT_SPECIFIED",IFERROR(INDEX(Cleaning_Rules!$B$32:$B$34,MATCH(TRIM(UPPER('query (2)'!K517)),Cleaning_Rules!$A$32:$A$34,0)),"UNKNOWN"))</f>
        <v>NOT_SPECIFIED</v>
      </c>
      <c r="W517" s="24" t="str">
        <f t="shared" si="60"/>
        <v>AS-178 | FACTORY2 | WP ASSEMBLY2 | WP | ASSEMBLY | 1410-WP2AI | OTHER | CAGE PRESS M/C | NOT_SPECIFIED</v>
      </c>
      <c r="X517" s="24" t="str">
        <f t="shared" si="61"/>
        <v/>
      </c>
      <c r="Y517" s="24" t="str">
        <f t="shared" si="62"/>
        <v>MISSING_STATUS; CATEGORY_NOT_USEFUL; MISSING_PRODUCTION_NAME</v>
      </c>
    </row>
    <row r="518" spans="1:25" x14ac:dyDescent="0.3">
      <c r="A518" s="24" t="str">
        <f t="shared" si="56"/>
        <v>CH-181#0517</v>
      </c>
      <c r="B518" s="24" t="str">
        <f>IF('query (2)'!B518="","",TRIM(UPPER('query (2)'!B518)))</f>
        <v>CH-181</v>
      </c>
      <c r="C518" s="25" t="str">
        <f>IF('query (2)'!B518="","",'query (2)'!B518)</f>
        <v>CH-181</v>
      </c>
      <c r="D518" s="24" t="str">
        <f t="shared" si="57"/>
        <v>CH</v>
      </c>
      <c r="E518" s="24">
        <f t="shared" si="58"/>
        <v>1</v>
      </c>
      <c r="F518" s="24">
        <f>IF('query (2)'!A518="","",IFERROR(VALUE('query (2)'!A518),""))</f>
        <v>536</v>
      </c>
      <c r="G518" s="24" t="str">
        <f>IF('query (2)'!C518="","UNKNOWN",IFERROR(INDEX(Cleaning_Rules!$B$15:$B$20,MATCH(TRIM(UPPER('query (2)'!C518)),Cleaning_Rules!$A$15:$A$20,0)),"UNKNOWN"))</f>
        <v>FACTORY2</v>
      </c>
      <c r="H518" s="25" t="str">
        <f>IF('query (2)'!C518="","",'query (2)'!C518)</f>
        <v>FACTORY2</v>
      </c>
      <c r="I518" s="24" t="str" cm="1">
        <f t="array" ref="I518">_xlfn.IFS($G518="UNKNOWN","UNKNOWN",OR($G518="FACTORY1",$G518="FACTORY2",$G518="FACTORY3"),"PLANT",TRUE,"SHARED")</f>
        <v>PLANT</v>
      </c>
      <c r="J518" s="24" t="str">
        <f>IF('query (2)'!D518="","UNKNOWN",IF(COUNTIF(Cleaning_Rules!$A$6:$A$11,TRIM('query (2)'!D518))&gt;0,"UNKNOWN",IFERROR(INDEX(Cleaning_Rules!$B$24:$B$28,MATCH(TRIM(UPPER('query (2)'!D518)),Cleaning_Rules!$A$24:$A$28,0)),TRIM(UPPER('query (2)'!D518)))))</f>
        <v>WP ASSEMBLY2</v>
      </c>
      <c r="K518" s="25" t="str">
        <f>IF('query (2)'!D518="","",'query (2)'!D518)</f>
        <v>WP Assambly2</v>
      </c>
      <c r="L518" s="24" t="str">
        <f>IF($J518="UNKNOWN","",_xlfn.TEXTBEFORE($J518,{"0","1","2","3","4","5","6","7","8","9"," ","-","."},1,,,$J518))</f>
        <v>WP</v>
      </c>
      <c r="M518" s="24" t="str">
        <f>IF('query (2)'!I518&lt;&gt;"",TRIM(UPPER('query (2)'!I518)),IF($L518="","UNKNOWN",$L518))</f>
        <v>WP</v>
      </c>
      <c r="N518" s="24" t="str">
        <f>IF('query (2)'!I518&lt;&gt;"","SOURCE",IF($L518="","UNKNOWN","DERIVED"))</f>
        <v>SOURCE</v>
      </c>
      <c r="O518" s="24" t="str">
        <f>IF('query (2)'!E518="","NOT_SPECIFIED",TRIM(UPPER('query (2)'!E518)))</f>
        <v>ASSEMBLY</v>
      </c>
      <c r="P518" s="24" t="str">
        <f>IF('query (2)'!F518="","",TRIM(UPPER('query (2)'!F518)))</f>
        <v>1410-WP2AI</v>
      </c>
      <c r="Q518" s="24" t="str">
        <f>IF('query (2)'!G518="","UNKNOWN",IFERROR(INDEX(Cleaning_Rules!$B$38:$B$46,MATCH(TRIM(UPPER('query (2)'!G518)),Cleaning_Rules!$A$38:$A$46,0)),"UNKNOWN"))</f>
        <v>OTHER</v>
      </c>
      <c r="R518" s="24" t="str">
        <f>IF('query (2)'!H518="","",TRIM(UPPER('query (2)'!H518)))</f>
        <v>SHAFT OD&amp;LENGTH INSPECTION M/C</v>
      </c>
      <c r="S518" s="25" t="str">
        <f>IF('query (2)'!H518="","",'query (2)'!H518)</f>
        <v>Shaft OD&amp;Length inspection M/C</v>
      </c>
      <c r="T518" s="24" t="str">
        <f>IF('query (2)'!J518="","",TRIM(UPPER('query (2)'!J518)))</f>
        <v/>
      </c>
      <c r="U518" s="24" t="str">
        <f t="shared" si="59"/>
        <v/>
      </c>
      <c r="V518" s="24" t="str">
        <f>IF('query (2)'!K518="","NOT_SPECIFIED",IFERROR(INDEX(Cleaning_Rules!$B$32:$B$34,MATCH(TRIM(UPPER('query (2)'!K518)),Cleaning_Rules!$A$32:$A$34,0)),"UNKNOWN"))</f>
        <v>NOT_SPECIFIED</v>
      </c>
      <c r="W518" s="24" t="str">
        <f t="shared" si="60"/>
        <v>CH-181 | FACTORY2 | WP ASSEMBLY2 | WP | ASSEMBLY | 1410-WP2AI | OTHER | SHAFT OD&amp;LENGTH INSPECTION M/C | NOT_SPECIFIED</v>
      </c>
      <c r="X518" s="24" t="str">
        <f t="shared" si="61"/>
        <v/>
      </c>
      <c r="Y518" s="24" t="str">
        <f t="shared" si="62"/>
        <v>MISSING_STATUS; CATEGORY_NOT_USEFUL; MISSING_PRODUCTION_NAME</v>
      </c>
    </row>
    <row r="519" spans="1:25" x14ac:dyDescent="0.3">
      <c r="A519" s="24" t="str">
        <f t="shared" si="56"/>
        <v>CH-184#0518</v>
      </c>
      <c r="B519" s="24" t="str">
        <f>IF('query (2)'!B519="","",TRIM(UPPER('query (2)'!B519)))</f>
        <v>CH-184</v>
      </c>
      <c r="C519" s="25" t="str">
        <f>IF('query (2)'!B519="","",'query (2)'!B519)</f>
        <v>CH-184</v>
      </c>
      <c r="D519" s="24" t="str">
        <f t="shared" si="57"/>
        <v>CH</v>
      </c>
      <c r="E519" s="24">
        <f t="shared" si="58"/>
        <v>1</v>
      </c>
      <c r="F519" s="24">
        <f>IF('query (2)'!A519="","",IFERROR(VALUE('query (2)'!A519),""))</f>
        <v>537</v>
      </c>
      <c r="G519" s="24" t="str">
        <f>IF('query (2)'!C519="","UNKNOWN",IFERROR(INDEX(Cleaning_Rules!$B$15:$B$20,MATCH(TRIM(UPPER('query (2)'!C519)),Cleaning_Rules!$A$15:$A$20,0)),"UNKNOWN"))</f>
        <v>FACTORY2</v>
      </c>
      <c r="H519" s="25" t="str">
        <f>IF('query (2)'!C519="","",'query (2)'!C519)</f>
        <v>FACTORY2</v>
      </c>
      <c r="I519" s="24" t="str" cm="1">
        <f t="array" ref="I519">_xlfn.IFS($G519="UNKNOWN","UNKNOWN",OR($G519="FACTORY1",$G519="FACTORY2",$G519="FACTORY3"),"PLANT",TRUE,"SHARED")</f>
        <v>PLANT</v>
      </c>
      <c r="J519" s="24" t="str">
        <f>IF('query (2)'!D519="","UNKNOWN",IF(COUNTIF(Cleaning_Rules!$A$6:$A$11,TRIM('query (2)'!D519))&gt;0,"UNKNOWN",IFERROR(INDEX(Cleaning_Rules!$B$24:$B$28,MATCH(TRIM(UPPER('query (2)'!D519)),Cleaning_Rules!$A$24:$A$28,0)),TRIM(UPPER('query (2)'!D519)))))</f>
        <v>WP ASSEMBLY2</v>
      </c>
      <c r="K519" s="25" t="str">
        <f>IF('query (2)'!D519="","",'query (2)'!D519)</f>
        <v>WP Assambly2</v>
      </c>
      <c r="L519" s="24" t="str">
        <f>IF($J519="UNKNOWN","",_xlfn.TEXTBEFORE($J519,{"0","1","2","3","4","5","6","7","8","9"," ","-","."},1,,,$J519))</f>
        <v>WP</v>
      </c>
      <c r="M519" s="24" t="str">
        <f>IF('query (2)'!I519&lt;&gt;"",TRIM(UPPER('query (2)'!I519)),IF($L519="","UNKNOWN",$L519))</f>
        <v>WP</v>
      </c>
      <c r="N519" s="24" t="str">
        <f>IF('query (2)'!I519&lt;&gt;"","SOURCE",IF($L519="","UNKNOWN","DERIVED"))</f>
        <v>SOURCE</v>
      </c>
      <c r="O519" s="24" t="str">
        <f>IF('query (2)'!E519="","NOT_SPECIFIED",TRIM(UPPER('query (2)'!E519)))</f>
        <v>ASSEMBLY</v>
      </c>
      <c r="P519" s="24" t="str">
        <f>IF('query (2)'!F519="","",TRIM(UPPER('query (2)'!F519)))</f>
        <v>1410-WP2AI</v>
      </c>
      <c r="Q519" s="24" t="str">
        <f>IF('query (2)'!G519="","UNKNOWN",IFERROR(INDEX(Cleaning_Rules!$B$38:$B$46,MATCH(TRIM(UPPER('query (2)'!G519)),Cleaning_Rules!$A$38:$A$46,0)),"UNKNOWN"))</f>
        <v>OTHER</v>
      </c>
      <c r="R519" s="24" t="str">
        <f>IF('query (2)'!H519="","",TRIM(UPPER('query (2)'!H519)))</f>
        <v>NOISE INSPECTION ( 2 SPINDLE ) M/C</v>
      </c>
      <c r="S519" s="25" t="str">
        <f>IF('query (2)'!H519="","",'query (2)'!H519)</f>
        <v>Noise inspection ( 2 spindle ) M/C</v>
      </c>
      <c r="T519" s="24" t="str">
        <f>IF('query (2)'!J519="","",TRIM(UPPER('query (2)'!J519)))</f>
        <v/>
      </c>
      <c r="U519" s="24" t="str">
        <f t="shared" si="59"/>
        <v/>
      </c>
      <c r="V519" s="24" t="str">
        <f>IF('query (2)'!K519="","NOT_SPECIFIED",IFERROR(INDEX(Cleaning_Rules!$B$32:$B$34,MATCH(TRIM(UPPER('query (2)'!K519)),Cleaning_Rules!$A$32:$A$34,0)),"UNKNOWN"))</f>
        <v>NOT_SPECIFIED</v>
      </c>
      <c r="W519" s="24" t="str">
        <f t="shared" si="60"/>
        <v>CH-184 | FACTORY2 | WP ASSEMBLY2 | WP | ASSEMBLY | 1410-WP2AI | OTHER | NOISE INSPECTION ( 2 SPINDLE ) M/C | NOT_SPECIFIED</v>
      </c>
      <c r="X519" s="24" t="str">
        <f t="shared" si="61"/>
        <v/>
      </c>
      <c r="Y519" s="24" t="str">
        <f t="shared" si="62"/>
        <v>MISSING_STATUS; CATEGORY_NOT_USEFUL; MISSING_PRODUCTION_NAME</v>
      </c>
    </row>
    <row r="520" spans="1:25" x14ac:dyDescent="0.3">
      <c r="A520" s="24" t="str">
        <f t="shared" si="56"/>
        <v>AS-616#0519</v>
      </c>
      <c r="B520" s="24" t="str">
        <f>IF('query (2)'!B520="","",TRIM(UPPER('query (2)'!B520)))</f>
        <v>AS-616</v>
      </c>
      <c r="C520" s="25" t="str">
        <f>IF('query (2)'!B520="","",'query (2)'!B520)</f>
        <v>AS-616</v>
      </c>
      <c r="D520" s="24" t="str">
        <f t="shared" si="57"/>
        <v>AS</v>
      </c>
      <c r="E520" s="24">
        <f t="shared" si="58"/>
        <v>1</v>
      </c>
      <c r="F520" s="24">
        <f>IF('query (2)'!A520="","",IFERROR(VALUE('query (2)'!A520),""))</f>
        <v>538</v>
      </c>
      <c r="G520" s="24" t="str">
        <f>IF('query (2)'!C520="","UNKNOWN",IFERROR(INDEX(Cleaning_Rules!$B$15:$B$20,MATCH(TRIM(UPPER('query (2)'!C520)),Cleaning_Rules!$A$15:$A$20,0)),"UNKNOWN"))</f>
        <v>FACTORY2</v>
      </c>
      <c r="H520" s="25" t="str">
        <f>IF('query (2)'!C520="","",'query (2)'!C520)</f>
        <v>FACTORY2</v>
      </c>
      <c r="I520" s="24" t="str" cm="1">
        <f t="array" ref="I520">_xlfn.IFS($G520="UNKNOWN","UNKNOWN",OR($G520="FACTORY1",$G520="FACTORY2",$G520="FACTORY3"),"PLANT",TRUE,"SHARED")</f>
        <v>PLANT</v>
      </c>
      <c r="J520" s="24" t="str">
        <f>IF('query (2)'!D520="","UNKNOWN",IF(COUNTIF(Cleaning_Rules!$A$6:$A$11,TRIM('query (2)'!D520))&gt;0,"UNKNOWN",IFERROR(INDEX(Cleaning_Rules!$B$24:$B$28,MATCH(TRIM(UPPER('query (2)'!D520)),Cleaning_Rules!$A$24:$A$28,0)),TRIM(UPPER('query (2)'!D520)))))</f>
        <v>WP ASSEMBLY2</v>
      </c>
      <c r="K520" s="25" t="str">
        <f>IF('query (2)'!D520="","",'query (2)'!D520)</f>
        <v>WP Assambly2</v>
      </c>
      <c r="L520" s="24" t="str">
        <f>IF($J520="UNKNOWN","",_xlfn.TEXTBEFORE($J520,{"0","1","2","3","4","5","6","7","8","9"," ","-","."},1,,,$J520))</f>
        <v>WP</v>
      </c>
      <c r="M520" s="24" t="str">
        <f>IF('query (2)'!I520&lt;&gt;"",TRIM(UPPER('query (2)'!I520)),IF($L520="","UNKNOWN",$L520))</f>
        <v>WP</v>
      </c>
      <c r="N520" s="24" t="str">
        <f>IF('query (2)'!I520&lt;&gt;"","SOURCE",IF($L520="","UNKNOWN","DERIVED"))</f>
        <v>SOURCE</v>
      </c>
      <c r="O520" s="24" t="str">
        <f>IF('query (2)'!E520="","NOT_SPECIFIED",TRIM(UPPER('query (2)'!E520)))</f>
        <v>ASSEMBLY</v>
      </c>
      <c r="P520" s="24" t="str">
        <f>IF('query (2)'!F520="","",TRIM(UPPER('query (2)'!F520)))</f>
        <v>1410-WP2AI</v>
      </c>
      <c r="Q520" s="24" t="str">
        <f>IF('query (2)'!G520="","UNKNOWN",IFERROR(INDEX(Cleaning_Rules!$B$38:$B$46,MATCH(TRIM(UPPER('query (2)'!G520)),Cleaning_Rules!$A$38:$A$46,0)),"UNKNOWN"))</f>
        <v>OTHER</v>
      </c>
      <c r="R520" s="24" t="str">
        <f>IF('query (2)'!H520="","",TRIM(UPPER('query (2)'!H520)))</f>
        <v>AUTO GREASE INJECTION M/C</v>
      </c>
      <c r="S520" s="25" t="str">
        <f>IF('query (2)'!H520="","",'query (2)'!H520)</f>
        <v>Auto grease injection M/C</v>
      </c>
      <c r="T520" s="24" t="str">
        <f>IF('query (2)'!J520="","",TRIM(UPPER('query (2)'!J520)))</f>
        <v/>
      </c>
      <c r="U520" s="24" t="str">
        <f t="shared" si="59"/>
        <v/>
      </c>
      <c r="V520" s="24" t="str">
        <f>IF('query (2)'!K520="","NOT_SPECIFIED",IFERROR(INDEX(Cleaning_Rules!$B$32:$B$34,MATCH(TRIM(UPPER('query (2)'!K520)),Cleaning_Rules!$A$32:$A$34,0)),"UNKNOWN"))</f>
        <v>NOT_SPECIFIED</v>
      </c>
      <c r="W520" s="24" t="str">
        <f t="shared" si="60"/>
        <v>AS-616 | FACTORY2 | WP ASSEMBLY2 | WP | ASSEMBLY | 1410-WP2AI | OTHER | AUTO GREASE INJECTION M/C | NOT_SPECIFIED</v>
      </c>
      <c r="X520" s="24" t="str">
        <f t="shared" si="61"/>
        <v/>
      </c>
      <c r="Y520" s="24" t="str">
        <f t="shared" si="62"/>
        <v>MISSING_STATUS; CATEGORY_NOT_USEFUL; MISSING_PRODUCTION_NAME</v>
      </c>
    </row>
    <row r="521" spans="1:25" x14ac:dyDescent="0.3">
      <c r="A521" s="24" t="str">
        <f t="shared" si="56"/>
        <v>CH-188#0520</v>
      </c>
      <c r="B521" s="24" t="str">
        <f>IF('query (2)'!B521="","",TRIM(UPPER('query (2)'!B521)))</f>
        <v>CH-188</v>
      </c>
      <c r="C521" s="25" t="str">
        <f>IF('query (2)'!B521="","",'query (2)'!B521)</f>
        <v>CH-188</v>
      </c>
      <c r="D521" s="24" t="str">
        <f t="shared" si="57"/>
        <v>CH</v>
      </c>
      <c r="E521" s="24">
        <f t="shared" si="58"/>
        <v>1</v>
      </c>
      <c r="F521" s="24">
        <f>IF('query (2)'!A521="","",IFERROR(VALUE('query (2)'!A521),""))</f>
        <v>539</v>
      </c>
      <c r="G521" s="24" t="str">
        <f>IF('query (2)'!C521="","UNKNOWN",IFERROR(INDEX(Cleaning_Rules!$B$15:$B$20,MATCH(TRIM(UPPER('query (2)'!C521)),Cleaning_Rules!$A$15:$A$20,0)),"UNKNOWN"))</f>
        <v>FACTORY2</v>
      </c>
      <c r="H521" s="25" t="str">
        <f>IF('query (2)'!C521="","",'query (2)'!C521)</f>
        <v>FACTORY2</v>
      </c>
      <c r="I521" s="24" t="str" cm="1">
        <f t="array" ref="I521">_xlfn.IFS($G521="UNKNOWN","UNKNOWN",OR($G521="FACTORY1",$G521="FACTORY2",$G521="FACTORY3"),"PLANT",TRUE,"SHARED")</f>
        <v>PLANT</v>
      </c>
      <c r="J521" s="24" t="str">
        <f>IF('query (2)'!D521="","UNKNOWN",IF(COUNTIF(Cleaning_Rules!$A$6:$A$11,TRIM('query (2)'!D521))&gt;0,"UNKNOWN",IFERROR(INDEX(Cleaning_Rules!$B$24:$B$28,MATCH(TRIM(UPPER('query (2)'!D521)),Cleaning_Rules!$A$24:$A$28,0)),TRIM(UPPER('query (2)'!D521)))))</f>
        <v>WP ASSEMBLY2</v>
      </c>
      <c r="K521" s="25" t="str">
        <f>IF('query (2)'!D521="","",'query (2)'!D521)</f>
        <v>WP Assambly2</v>
      </c>
      <c r="L521" s="24" t="str">
        <f>IF($J521="UNKNOWN","",_xlfn.TEXTBEFORE($J521,{"0","1","2","3","4","5","6","7","8","9"," ","-","."},1,,,$J521))</f>
        <v>WP</v>
      </c>
      <c r="M521" s="24" t="str">
        <f>IF('query (2)'!I521&lt;&gt;"",TRIM(UPPER('query (2)'!I521)),IF($L521="","UNKNOWN",$L521))</f>
        <v>WP</v>
      </c>
      <c r="N521" s="24" t="str">
        <f>IF('query (2)'!I521&lt;&gt;"","SOURCE",IF($L521="","UNKNOWN","DERIVED"))</f>
        <v>SOURCE</v>
      </c>
      <c r="O521" s="24" t="str">
        <f>IF('query (2)'!E521="","NOT_SPECIFIED",TRIM(UPPER('query (2)'!E521)))</f>
        <v>ASSEMBLY</v>
      </c>
      <c r="P521" s="24" t="str">
        <f>IF('query (2)'!F521="","",TRIM(UPPER('query (2)'!F521)))</f>
        <v>1410-WP2AI</v>
      </c>
      <c r="Q521" s="24" t="str">
        <f>IF('query (2)'!G521="","UNKNOWN",IFERROR(INDEX(Cleaning_Rules!$B$38:$B$46,MATCH(TRIM(UPPER('query (2)'!G521)),Cleaning_Rules!$A$38:$A$46,0)),"UNKNOWN"))</f>
        <v>OTHER</v>
      </c>
      <c r="R521" s="24" t="str">
        <f>IF('query (2)'!H521="","",TRIM(UPPER('query (2)'!H521)))</f>
        <v>SEAL HIGHT CHECK M/C</v>
      </c>
      <c r="S521" s="25" t="str">
        <f>IF('query (2)'!H521="","",'query (2)'!H521)</f>
        <v>Seal hight check M/C</v>
      </c>
      <c r="T521" s="24" t="str">
        <f>IF('query (2)'!J521="","",TRIM(UPPER('query (2)'!J521)))</f>
        <v/>
      </c>
      <c r="U521" s="24" t="str">
        <f t="shared" si="59"/>
        <v/>
      </c>
      <c r="V521" s="24" t="str">
        <f>IF('query (2)'!K521="","NOT_SPECIFIED",IFERROR(INDEX(Cleaning_Rules!$B$32:$B$34,MATCH(TRIM(UPPER('query (2)'!K521)),Cleaning_Rules!$A$32:$A$34,0)),"UNKNOWN"))</f>
        <v>NOT_SPECIFIED</v>
      </c>
      <c r="W521" s="24" t="str">
        <f t="shared" si="60"/>
        <v>CH-188 | FACTORY2 | WP ASSEMBLY2 | WP | ASSEMBLY | 1410-WP2AI | OTHER | SEAL HIGHT CHECK M/C | NOT_SPECIFIED</v>
      </c>
      <c r="X521" s="24" t="str">
        <f t="shared" si="61"/>
        <v/>
      </c>
      <c r="Y521" s="24" t="str">
        <f t="shared" si="62"/>
        <v>MISSING_STATUS; CATEGORY_NOT_USEFUL; MISSING_PRODUCTION_NAME</v>
      </c>
    </row>
    <row r="522" spans="1:25" x14ac:dyDescent="0.3">
      <c r="A522" s="24" t="str">
        <f t="shared" si="56"/>
        <v>CH-189#0521</v>
      </c>
      <c r="B522" s="24" t="str">
        <f>IF('query (2)'!B522="","",TRIM(UPPER('query (2)'!B522)))</f>
        <v>CH-189</v>
      </c>
      <c r="C522" s="25" t="str">
        <f>IF('query (2)'!B522="","",'query (2)'!B522)</f>
        <v>CH-189</v>
      </c>
      <c r="D522" s="24" t="str">
        <f t="shared" si="57"/>
        <v>CH</v>
      </c>
      <c r="E522" s="24">
        <f t="shared" si="58"/>
        <v>1</v>
      </c>
      <c r="F522" s="24">
        <f>IF('query (2)'!A522="","",IFERROR(VALUE('query (2)'!A522),""))</f>
        <v>540</v>
      </c>
      <c r="G522" s="24" t="str">
        <f>IF('query (2)'!C522="","UNKNOWN",IFERROR(INDEX(Cleaning_Rules!$B$15:$B$20,MATCH(TRIM(UPPER('query (2)'!C522)),Cleaning_Rules!$A$15:$A$20,0)),"UNKNOWN"))</f>
        <v>FACTORY2</v>
      </c>
      <c r="H522" s="25" t="str">
        <f>IF('query (2)'!C522="","",'query (2)'!C522)</f>
        <v>FACTORY2</v>
      </c>
      <c r="I522" s="24" t="str" cm="1">
        <f t="array" ref="I522">_xlfn.IFS($G522="UNKNOWN","UNKNOWN",OR($G522="FACTORY1",$G522="FACTORY2",$G522="FACTORY3"),"PLANT",TRUE,"SHARED")</f>
        <v>PLANT</v>
      </c>
      <c r="J522" s="24" t="str">
        <f>IF('query (2)'!D522="","UNKNOWN",IF(COUNTIF(Cleaning_Rules!$A$6:$A$11,TRIM('query (2)'!D522))&gt;0,"UNKNOWN",IFERROR(INDEX(Cleaning_Rules!$B$24:$B$28,MATCH(TRIM(UPPER('query (2)'!D522)),Cleaning_Rules!$A$24:$A$28,0)),TRIM(UPPER('query (2)'!D522)))))</f>
        <v>WP ASSEMBLY2</v>
      </c>
      <c r="K522" s="25" t="str">
        <f>IF('query (2)'!D522="","",'query (2)'!D522)</f>
        <v>WP Assambly2</v>
      </c>
      <c r="L522" s="24" t="str">
        <f>IF($J522="UNKNOWN","",_xlfn.TEXTBEFORE($J522,{"0","1","2","3","4","5","6","7","8","9"," ","-","."},1,,,$J522))</f>
        <v>WP</v>
      </c>
      <c r="M522" s="24" t="str">
        <f>IF('query (2)'!I522&lt;&gt;"",TRIM(UPPER('query (2)'!I522)),IF($L522="","UNKNOWN",$L522))</f>
        <v>WP</v>
      </c>
      <c r="N522" s="24" t="str">
        <f>IF('query (2)'!I522&lt;&gt;"","SOURCE",IF($L522="","UNKNOWN","DERIVED"))</f>
        <v>SOURCE</v>
      </c>
      <c r="O522" s="24" t="str">
        <f>IF('query (2)'!E522="","NOT_SPECIFIED",TRIM(UPPER('query (2)'!E522)))</f>
        <v>ASSEMBLY</v>
      </c>
      <c r="P522" s="24" t="str">
        <f>IF('query (2)'!F522="","",TRIM(UPPER('query (2)'!F522)))</f>
        <v>1410-WP2AI</v>
      </c>
      <c r="Q522" s="24" t="str">
        <f>IF('query (2)'!G522="","UNKNOWN",IFERROR(INDEX(Cleaning_Rules!$B$38:$B$46,MATCH(TRIM(UPPER('query (2)'!G522)),Cleaning_Rules!$A$38:$A$46,0)),"UNKNOWN"))</f>
        <v>OTHER</v>
      </c>
      <c r="R522" s="24" t="str">
        <f>IF('query (2)'!H522="","",TRIM(UPPER('query (2)'!H522)))</f>
        <v>NOISE INSPECTION M/C</v>
      </c>
      <c r="S522" s="25" t="str">
        <f>IF('query (2)'!H522="","",'query (2)'!H522)</f>
        <v>Noise inspection M/C</v>
      </c>
      <c r="T522" s="24" t="str">
        <f>IF('query (2)'!J522="","",TRIM(UPPER('query (2)'!J522)))</f>
        <v/>
      </c>
      <c r="U522" s="24" t="str">
        <f t="shared" si="59"/>
        <v/>
      </c>
      <c r="V522" s="24" t="str">
        <f>IF('query (2)'!K522="","NOT_SPECIFIED",IFERROR(INDEX(Cleaning_Rules!$B$32:$B$34,MATCH(TRIM(UPPER('query (2)'!K522)),Cleaning_Rules!$A$32:$A$34,0)),"UNKNOWN"))</f>
        <v>NOT_SPECIFIED</v>
      </c>
      <c r="W522" s="24" t="str">
        <f t="shared" si="60"/>
        <v>CH-189 | FACTORY2 | WP ASSEMBLY2 | WP | ASSEMBLY | 1410-WP2AI | OTHER | NOISE INSPECTION M/C | NOT_SPECIFIED</v>
      </c>
      <c r="X522" s="24" t="str">
        <f t="shared" si="61"/>
        <v/>
      </c>
      <c r="Y522" s="24" t="str">
        <f t="shared" si="62"/>
        <v>MISSING_STATUS; CATEGORY_NOT_USEFUL; MISSING_PRODUCTION_NAME</v>
      </c>
    </row>
    <row r="523" spans="1:25" x14ac:dyDescent="0.3">
      <c r="A523" s="24" t="str">
        <f t="shared" si="56"/>
        <v>CH-190#0522</v>
      </c>
      <c r="B523" s="24" t="str">
        <f>IF('query (2)'!B523="","",TRIM(UPPER('query (2)'!B523)))</f>
        <v>CH-190</v>
      </c>
      <c r="C523" s="25" t="str">
        <f>IF('query (2)'!B523="","",'query (2)'!B523)</f>
        <v>CH-190</v>
      </c>
      <c r="D523" s="24" t="str">
        <f t="shared" si="57"/>
        <v>CH</v>
      </c>
      <c r="E523" s="24">
        <f t="shared" si="58"/>
        <v>1</v>
      </c>
      <c r="F523" s="24">
        <f>IF('query (2)'!A523="","",IFERROR(VALUE('query (2)'!A523),""))</f>
        <v>541</v>
      </c>
      <c r="G523" s="24" t="str">
        <f>IF('query (2)'!C523="","UNKNOWN",IFERROR(INDEX(Cleaning_Rules!$B$15:$B$20,MATCH(TRIM(UPPER('query (2)'!C523)),Cleaning_Rules!$A$15:$A$20,0)),"UNKNOWN"))</f>
        <v>FACTORY2</v>
      </c>
      <c r="H523" s="25" t="str">
        <f>IF('query (2)'!C523="","",'query (2)'!C523)</f>
        <v>FACTORY2</v>
      </c>
      <c r="I523" s="24" t="str" cm="1">
        <f t="array" ref="I523">_xlfn.IFS($G523="UNKNOWN","UNKNOWN",OR($G523="FACTORY1",$G523="FACTORY2",$G523="FACTORY3"),"PLANT",TRUE,"SHARED")</f>
        <v>PLANT</v>
      </c>
      <c r="J523" s="24" t="str">
        <f>IF('query (2)'!D523="","UNKNOWN",IF(COUNTIF(Cleaning_Rules!$A$6:$A$11,TRIM('query (2)'!D523))&gt;0,"UNKNOWN",IFERROR(INDEX(Cleaning_Rules!$B$24:$B$28,MATCH(TRIM(UPPER('query (2)'!D523)),Cleaning_Rules!$A$24:$A$28,0)),TRIM(UPPER('query (2)'!D523)))))</f>
        <v>WP ASSEMBLY2</v>
      </c>
      <c r="K523" s="25" t="str">
        <f>IF('query (2)'!D523="","",'query (2)'!D523)</f>
        <v>WP Assambly2</v>
      </c>
      <c r="L523" s="24" t="str">
        <f>IF($J523="UNKNOWN","",_xlfn.TEXTBEFORE($J523,{"0","1","2","3","4","5","6","7","8","9"," ","-","."},1,,,$J523))</f>
        <v>WP</v>
      </c>
      <c r="M523" s="24" t="str">
        <f>IF('query (2)'!I523&lt;&gt;"",TRIM(UPPER('query (2)'!I523)),IF($L523="","UNKNOWN",$L523))</f>
        <v>WP</v>
      </c>
      <c r="N523" s="24" t="str">
        <f>IF('query (2)'!I523&lt;&gt;"","SOURCE",IF($L523="","UNKNOWN","DERIVED"))</f>
        <v>SOURCE</v>
      </c>
      <c r="O523" s="24" t="str">
        <f>IF('query (2)'!E523="","NOT_SPECIFIED",TRIM(UPPER('query (2)'!E523)))</f>
        <v>ASSEMBLY</v>
      </c>
      <c r="P523" s="24" t="str">
        <f>IF('query (2)'!F523="","",TRIM(UPPER('query (2)'!F523)))</f>
        <v>1410-WP2AI</v>
      </c>
      <c r="Q523" s="24" t="str">
        <f>IF('query (2)'!G523="","UNKNOWN",IFERROR(INDEX(Cleaning_Rules!$B$38:$B$46,MATCH(TRIM(UPPER('query (2)'!G523)),Cleaning_Rules!$A$38:$A$46,0)),"UNKNOWN"))</f>
        <v>OTHER</v>
      </c>
      <c r="R523" s="24" t="str">
        <f>IF('query (2)'!H523="","",TRIM(UPPER('query (2)'!H523)))</f>
        <v>WEIGHT CHECK M/C</v>
      </c>
      <c r="S523" s="25" t="str">
        <f>IF('query (2)'!H523="","",'query (2)'!H523)</f>
        <v>Weight check M/C</v>
      </c>
      <c r="T523" s="24" t="str">
        <f>IF('query (2)'!J523="","",TRIM(UPPER('query (2)'!J523)))</f>
        <v/>
      </c>
      <c r="U523" s="24" t="str">
        <f t="shared" si="59"/>
        <v/>
      </c>
      <c r="V523" s="24" t="str">
        <f>IF('query (2)'!K523="","NOT_SPECIFIED",IFERROR(INDEX(Cleaning_Rules!$B$32:$B$34,MATCH(TRIM(UPPER('query (2)'!K523)),Cleaning_Rules!$A$32:$A$34,0)),"UNKNOWN"))</f>
        <v>NOT_SPECIFIED</v>
      </c>
      <c r="W523" s="24" t="str">
        <f t="shared" si="60"/>
        <v>CH-190 | FACTORY2 | WP ASSEMBLY2 | WP | ASSEMBLY | 1410-WP2AI | OTHER | WEIGHT CHECK M/C | NOT_SPECIFIED</v>
      </c>
      <c r="X523" s="24" t="str">
        <f t="shared" si="61"/>
        <v/>
      </c>
      <c r="Y523" s="24" t="str">
        <f t="shared" si="62"/>
        <v>MISSING_STATUS; CATEGORY_NOT_USEFUL; MISSING_PRODUCTION_NAME</v>
      </c>
    </row>
    <row r="524" spans="1:25" x14ac:dyDescent="0.3">
      <c r="A524" s="24" t="str">
        <f t="shared" si="56"/>
        <v>CH-625#0523</v>
      </c>
      <c r="B524" s="24" t="str">
        <f>IF('query (2)'!B524="","",TRIM(UPPER('query (2)'!B524)))</f>
        <v>CH-625</v>
      </c>
      <c r="C524" s="25" t="str">
        <f>IF('query (2)'!B524="","",'query (2)'!B524)</f>
        <v>CH-625</v>
      </c>
      <c r="D524" s="24" t="str">
        <f t="shared" si="57"/>
        <v>CH</v>
      </c>
      <c r="E524" s="24">
        <f t="shared" si="58"/>
        <v>1</v>
      </c>
      <c r="F524" s="24">
        <f>IF('query (2)'!A524="","",IFERROR(VALUE('query (2)'!A524),""))</f>
        <v>542</v>
      </c>
      <c r="G524" s="24" t="str">
        <f>IF('query (2)'!C524="","UNKNOWN",IFERROR(INDEX(Cleaning_Rules!$B$15:$B$20,MATCH(TRIM(UPPER('query (2)'!C524)),Cleaning_Rules!$A$15:$A$20,0)),"UNKNOWN"))</f>
        <v>FACTORY2</v>
      </c>
      <c r="H524" s="25" t="str">
        <f>IF('query (2)'!C524="","",'query (2)'!C524)</f>
        <v>FACTORY2</v>
      </c>
      <c r="I524" s="24" t="str" cm="1">
        <f t="array" ref="I524">_xlfn.IFS($G524="UNKNOWN","UNKNOWN",OR($G524="FACTORY1",$G524="FACTORY2",$G524="FACTORY3"),"PLANT",TRUE,"SHARED")</f>
        <v>PLANT</v>
      </c>
      <c r="J524" s="24" t="str">
        <f>IF('query (2)'!D524="","UNKNOWN",IF(COUNTIF(Cleaning_Rules!$A$6:$A$11,TRIM('query (2)'!D524))&gt;0,"UNKNOWN",IFERROR(INDEX(Cleaning_Rules!$B$24:$B$28,MATCH(TRIM(UPPER('query (2)'!D524)),Cleaning_Rules!$A$24:$A$28,0)),TRIM(UPPER('query (2)'!D524)))))</f>
        <v>WP ASSEMBLY2</v>
      </c>
      <c r="K524" s="25" t="str">
        <f>IF('query (2)'!D524="","",'query (2)'!D524)</f>
        <v>WP Assambly2</v>
      </c>
      <c r="L524" s="24" t="str">
        <f>IF($J524="UNKNOWN","",_xlfn.TEXTBEFORE($J524,{"0","1","2","3","4","5","6","7","8","9"," ","-","."},1,,,$J524))</f>
        <v>WP</v>
      </c>
      <c r="M524" s="24" t="str">
        <f>IF('query (2)'!I524&lt;&gt;"",TRIM(UPPER('query (2)'!I524)),IF($L524="","UNKNOWN",$L524))</f>
        <v>WP</v>
      </c>
      <c r="N524" s="24" t="str">
        <f>IF('query (2)'!I524&lt;&gt;"","SOURCE",IF($L524="","UNKNOWN","DERIVED"))</f>
        <v>SOURCE</v>
      </c>
      <c r="O524" s="24" t="str">
        <f>IF('query (2)'!E524="","NOT_SPECIFIED",TRIM(UPPER('query (2)'!E524)))</f>
        <v>ASSEMBLY</v>
      </c>
      <c r="P524" s="24" t="str">
        <f>IF('query (2)'!F524="","",TRIM(UPPER('query (2)'!F524)))</f>
        <v>1410-WP2AI</v>
      </c>
      <c r="Q524" s="24" t="str">
        <f>IF('query (2)'!G524="","UNKNOWN",IFERROR(INDEX(Cleaning_Rules!$B$38:$B$46,MATCH(TRIM(UPPER('query (2)'!G524)),Cleaning_Rules!$A$38:$A$46,0)),"UNKNOWN"))</f>
        <v>OTHER</v>
      </c>
      <c r="R524" s="24" t="str">
        <f>IF('query (2)'!H524="","",TRIM(UPPER('query (2)'!H524)))</f>
        <v>OD SHAFT CHECKER</v>
      </c>
      <c r="S524" s="25" t="str">
        <f>IF('query (2)'!H524="","",'query (2)'!H524)</f>
        <v>OD shaft checker</v>
      </c>
      <c r="T524" s="24" t="str">
        <f>IF('query (2)'!J524="","",TRIM(UPPER('query (2)'!J524)))</f>
        <v/>
      </c>
      <c r="U524" s="24" t="str">
        <f t="shared" si="59"/>
        <v/>
      </c>
      <c r="V524" s="24" t="str">
        <f>IF('query (2)'!K524="","NOT_SPECIFIED",IFERROR(INDEX(Cleaning_Rules!$B$32:$B$34,MATCH(TRIM(UPPER('query (2)'!K524)),Cleaning_Rules!$A$32:$A$34,0)),"UNKNOWN"))</f>
        <v>NOT_SPECIFIED</v>
      </c>
      <c r="W524" s="24" t="str">
        <f t="shared" si="60"/>
        <v>CH-625 | FACTORY2 | WP ASSEMBLY2 | WP | ASSEMBLY | 1410-WP2AI | OTHER | OD SHAFT CHECKER | NOT_SPECIFIED</v>
      </c>
      <c r="X524" s="24" t="str">
        <f t="shared" si="61"/>
        <v/>
      </c>
      <c r="Y524" s="24" t="str">
        <f t="shared" si="62"/>
        <v>MISSING_STATUS; CATEGORY_NOT_USEFUL; MISSING_PRODUCTION_NAME</v>
      </c>
    </row>
    <row r="525" spans="1:25" x14ac:dyDescent="0.3">
      <c r="A525" s="24" t="str">
        <f t="shared" si="56"/>
        <v>AR-648#0524</v>
      </c>
      <c r="B525" s="24" t="str">
        <f>IF('query (2)'!B525="","",TRIM(UPPER('query (2)'!B525)))</f>
        <v>AR-648</v>
      </c>
      <c r="C525" s="25" t="str">
        <f>IF('query (2)'!B525="","",'query (2)'!B525)</f>
        <v>AR-648</v>
      </c>
      <c r="D525" s="24" t="str">
        <f t="shared" si="57"/>
        <v>AR</v>
      </c>
      <c r="E525" s="24">
        <f t="shared" si="58"/>
        <v>1</v>
      </c>
      <c r="F525" s="24">
        <f>IF('query (2)'!A525="","",IFERROR(VALUE('query (2)'!A525),""))</f>
        <v>543</v>
      </c>
      <c r="G525" s="24" t="str">
        <f>IF('query (2)'!C525="","UNKNOWN",IFERROR(INDEX(Cleaning_Rules!$B$15:$B$20,MATCH(TRIM(UPPER('query (2)'!C525)),Cleaning_Rules!$A$15:$A$20,0)),"UNKNOWN"))</f>
        <v>FACTORY2</v>
      </c>
      <c r="H525" s="25" t="str">
        <f>IF('query (2)'!C525="","",'query (2)'!C525)</f>
        <v>FACTORY2</v>
      </c>
      <c r="I525" s="24" t="str" cm="1">
        <f t="array" ref="I525">_xlfn.IFS($G525="UNKNOWN","UNKNOWN",OR($G525="FACTORY1",$G525="FACTORY2",$G525="FACTORY3"),"PLANT",TRUE,"SHARED")</f>
        <v>PLANT</v>
      </c>
      <c r="J525" s="24" t="str">
        <f>IF('query (2)'!D525="","UNKNOWN",IF(COUNTIF(Cleaning_Rules!$A$6:$A$11,TRIM('query (2)'!D525))&gt;0,"UNKNOWN",IFERROR(INDEX(Cleaning_Rules!$B$24:$B$28,MATCH(TRIM(UPPER('query (2)'!D525)),Cleaning_Rules!$A$24:$A$28,0)),TRIM(UPPER('query (2)'!D525)))))</f>
        <v>WP ASSEMBLY2</v>
      </c>
      <c r="K525" s="25" t="str">
        <f>IF('query (2)'!D525="","",'query (2)'!D525)</f>
        <v>WP Assambly2</v>
      </c>
      <c r="L525" s="24" t="str">
        <f>IF($J525="UNKNOWN","",_xlfn.TEXTBEFORE($J525,{"0","1","2","3","4","5","6","7","8","9"," ","-","."},1,,,$J525))</f>
        <v>WP</v>
      </c>
      <c r="M525" s="24" t="str">
        <f>IF('query (2)'!I525&lt;&gt;"",TRIM(UPPER('query (2)'!I525)),IF($L525="","UNKNOWN",$L525))</f>
        <v>WP</v>
      </c>
      <c r="N525" s="24" t="str">
        <f>IF('query (2)'!I525&lt;&gt;"","SOURCE",IF($L525="","UNKNOWN","DERIVED"))</f>
        <v>SOURCE</v>
      </c>
      <c r="O525" s="24" t="str">
        <f>IF('query (2)'!E525="","NOT_SPECIFIED",TRIM(UPPER('query (2)'!E525)))</f>
        <v>ASSEMBLY</v>
      </c>
      <c r="P525" s="24" t="str">
        <f>IF('query (2)'!F525="","",TRIM(UPPER('query (2)'!F525)))</f>
        <v>1410-WP2AI</v>
      </c>
      <c r="Q525" s="24" t="str">
        <f>IF('query (2)'!G525="","UNKNOWN",IFERROR(INDEX(Cleaning_Rules!$B$38:$B$46,MATCH(TRIM(UPPER('query (2)'!G525)),Cleaning_Rules!$A$38:$A$46,0)),"UNKNOWN"))</f>
        <v>OTHER</v>
      </c>
      <c r="R525" s="24" t="str">
        <f>IF('query (2)'!H525="","",TRIM(UPPER('query (2)'!H525)))</f>
        <v>AUTO ANTIRUST M/C</v>
      </c>
      <c r="S525" s="25" t="str">
        <f>IF('query (2)'!H525="","",'query (2)'!H525)</f>
        <v>Auto antirust M/C</v>
      </c>
      <c r="T525" s="24" t="str">
        <f>IF('query (2)'!J525="","",TRIM(UPPER('query (2)'!J525)))</f>
        <v/>
      </c>
      <c r="U525" s="24" t="str">
        <f t="shared" si="59"/>
        <v/>
      </c>
      <c r="V525" s="24" t="str">
        <f>IF('query (2)'!K525="","NOT_SPECIFIED",IFERROR(INDEX(Cleaning_Rules!$B$32:$B$34,MATCH(TRIM(UPPER('query (2)'!K525)),Cleaning_Rules!$A$32:$A$34,0)),"UNKNOWN"))</f>
        <v>NOT_SPECIFIED</v>
      </c>
      <c r="W525" s="24" t="str">
        <f t="shared" si="60"/>
        <v>AR-648 | FACTORY2 | WP ASSEMBLY2 | WP | ASSEMBLY | 1410-WP2AI | OTHER | AUTO ANTIRUST M/C | NOT_SPECIFIED</v>
      </c>
      <c r="X525" s="24" t="str">
        <f t="shared" si="61"/>
        <v/>
      </c>
      <c r="Y525" s="24" t="str">
        <f t="shared" si="62"/>
        <v>MISSING_STATUS; CATEGORY_NOT_USEFUL; MISSING_PRODUCTION_NAME</v>
      </c>
    </row>
    <row r="526" spans="1:25" x14ac:dyDescent="0.3">
      <c r="A526" s="24" t="str">
        <f t="shared" si="56"/>
        <v>PA-651#0525</v>
      </c>
      <c r="B526" s="24" t="str">
        <f>IF('query (2)'!B526="","",TRIM(UPPER('query (2)'!B526)))</f>
        <v>PA-651</v>
      </c>
      <c r="C526" s="25" t="str">
        <f>IF('query (2)'!B526="","",'query (2)'!B526)</f>
        <v>PA-651</v>
      </c>
      <c r="D526" s="24" t="str">
        <f t="shared" si="57"/>
        <v>PA</v>
      </c>
      <c r="E526" s="24">
        <f t="shared" si="58"/>
        <v>1</v>
      </c>
      <c r="F526" s="24">
        <f>IF('query (2)'!A526="","",IFERROR(VALUE('query (2)'!A526),""))</f>
        <v>544</v>
      </c>
      <c r="G526" s="24" t="str">
        <f>IF('query (2)'!C526="","UNKNOWN",IFERROR(INDEX(Cleaning_Rules!$B$15:$B$20,MATCH(TRIM(UPPER('query (2)'!C526)),Cleaning_Rules!$A$15:$A$20,0)),"UNKNOWN"))</f>
        <v>FACTORY2</v>
      </c>
      <c r="H526" s="25" t="str">
        <f>IF('query (2)'!C526="","",'query (2)'!C526)</f>
        <v>FACTORY2</v>
      </c>
      <c r="I526" s="24" t="str" cm="1">
        <f t="array" ref="I526">_xlfn.IFS($G526="UNKNOWN","UNKNOWN",OR($G526="FACTORY1",$G526="FACTORY2",$G526="FACTORY3"),"PLANT",TRUE,"SHARED")</f>
        <v>PLANT</v>
      </c>
      <c r="J526" s="24" t="str">
        <f>IF('query (2)'!D526="","UNKNOWN",IF(COUNTIF(Cleaning_Rules!$A$6:$A$11,TRIM('query (2)'!D526))&gt;0,"UNKNOWN",IFERROR(INDEX(Cleaning_Rules!$B$24:$B$28,MATCH(TRIM(UPPER('query (2)'!D526)),Cleaning_Rules!$A$24:$A$28,0)),TRIM(UPPER('query (2)'!D526)))))</f>
        <v>WP ASSEMBLY2</v>
      </c>
      <c r="K526" s="25" t="str">
        <f>IF('query (2)'!D526="","",'query (2)'!D526)</f>
        <v>WP Assambly2</v>
      </c>
      <c r="L526" s="24" t="str">
        <f>IF($J526="UNKNOWN","",_xlfn.TEXTBEFORE($J526,{"0","1","2","3","4","5","6","7","8","9"," ","-","."},1,,,$J526))</f>
        <v>WP</v>
      </c>
      <c r="M526" s="24" t="str">
        <f>IF('query (2)'!I526&lt;&gt;"",TRIM(UPPER('query (2)'!I526)),IF($L526="","UNKNOWN",$L526))</f>
        <v>WP</v>
      </c>
      <c r="N526" s="24" t="str">
        <f>IF('query (2)'!I526&lt;&gt;"","SOURCE",IF($L526="","UNKNOWN","DERIVED"))</f>
        <v>SOURCE</v>
      </c>
      <c r="O526" s="24" t="str">
        <f>IF('query (2)'!E526="","NOT_SPECIFIED",TRIM(UPPER('query (2)'!E526)))</f>
        <v>ASSEMBLY</v>
      </c>
      <c r="P526" s="24" t="str">
        <f>IF('query (2)'!F526="","",TRIM(UPPER('query (2)'!F526)))</f>
        <v>1410-WP2AI</v>
      </c>
      <c r="Q526" s="24" t="str">
        <f>IF('query (2)'!G526="","UNKNOWN",IFERROR(INDEX(Cleaning_Rules!$B$38:$B$46,MATCH(TRIM(UPPER('query (2)'!G526)),Cleaning_Rules!$A$38:$A$46,0)),"UNKNOWN"))</f>
        <v>OTHER</v>
      </c>
      <c r="R526" s="24" t="str">
        <f>IF('query (2)'!H526="","",TRIM(UPPER('query (2)'!H526)))</f>
        <v>AUTO PART ARRANGE PACKING EQUIPMENT M/C</v>
      </c>
      <c r="S526" s="25" t="str">
        <f>IF('query (2)'!H526="","",'query (2)'!H526)</f>
        <v>Auto part arrange packing equipment M/C</v>
      </c>
      <c r="T526" s="24" t="str">
        <f>IF('query (2)'!J526="","",TRIM(UPPER('query (2)'!J526)))</f>
        <v/>
      </c>
      <c r="U526" s="24" t="str">
        <f t="shared" si="59"/>
        <v/>
      </c>
      <c r="V526" s="24" t="str">
        <f>IF('query (2)'!K526="","NOT_SPECIFIED",IFERROR(INDEX(Cleaning_Rules!$B$32:$B$34,MATCH(TRIM(UPPER('query (2)'!K526)),Cleaning_Rules!$A$32:$A$34,0)),"UNKNOWN"))</f>
        <v>NOT_SPECIFIED</v>
      </c>
      <c r="W526" s="24" t="str">
        <f t="shared" si="60"/>
        <v>PA-651 | FACTORY2 | WP ASSEMBLY2 | WP | ASSEMBLY | 1410-WP2AI | OTHER | AUTO PART ARRANGE PACKING EQUIPMENT M/C | NOT_SPECIFIED</v>
      </c>
      <c r="X526" s="24" t="str">
        <f t="shared" si="61"/>
        <v/>
      </c>
      <c r="Y526" s="24" t="str">
        <f t="shared" si="62"/>
        <v>MISSING_STATUS; CATEGORY_NOT_USEFUL; MISSING_PRODUCTION_NAME</v>
      </c>
    </row>
    <row r="527" spans="1:25" x14ac:dyDescent="0.3">
      <c r="A527" s="24" t="str">
        <f t="shared" si="56"/>
        <v>WA-657#0526</v>
      </c>
      <c r="B527" s="24" t="str">
        <f>IF('query (2)'!B527="","",TRIM(UPPER('query (2)'!B527)))</f>
        <v>WA-657</v>
      </c>
      <c r="C527" s="25" t="str">
        <f>IF('query (2)'!B527="","",'query (2)'!B527)</f>
        <v>WA-657</v>
      </c>
      <c r="D527" s="24" t="str">
        <f t="shared" si="57"/>
        <v>WA</v>
      </c>
      <c r="E527" s="24">
        <f t="shared" si="58"/>
        <v>1</v>
      </c>
      <c r="F527" s="24">
        <f>IF('query (2)'!A527="","",IFERROR(VALUE('query (2)'!A527),""))</f>
        <v>545</v>
      </c>
      <c r="G527" s="24" t="str">
        <f>IF('query (2)'!C527="","UNKNOWN",IFERROR(INDEX(Cleaning_Rules!$B$15:$B$20,MATCH(TRIM(UPPER('query (2)'!C527)),Cleaning_Rules!$A$15:$A$20,0)),"UNKNOWN"))</f>
        <v>FACTORY2</v>
      </c>
      <c r="H527" s="25" t="str">
        <f>IF('query (2)'!C527="","",'query (2)'!C527)</f>
        <v>FACTORY2</v>
      </c>
      <c r="I527" s="24" t="str" cm="1">
        <f t="array" ref="I527">_xlfn.IFS($G527="UNKNOWN","UNKNOWN",OR($G527="FACTORY1",$G527="FACTORY2",$G527="FACTORY3"),"PLANT",TRUE,"SHARED")</f>
        <v>PLANT</v>
      </c>
      <c r="J527" s="24" t="str">
        <f>IF('query (2)'!D527="","UNKNOWN",IF(COUNTIF(Cleaning_Rules!$A$6:$A$11,TRIM('query (2)'!D527))&gt;0,"UNKNOWN",IFERROR(INDEX(Cleaning_Rules!$B$24:$B$28,MATCH(TRIM(UPPER('query (2)'!D527)),Cleaning_Rules!$A$24:$A$28,0)),TRIM(UPPER('query (2)'!D527)))))</f>
        <v>WP ASSEMBLY2</v>
      </c>
      <c r="K527" s="25" t="str">
        <f>IF('query (2)'!D527="","",'query (2)'!D527)</f>
        <v>WP Assambly2</v>
      </c>
      <c r="L527" s="24" t="str">
        <f>IF($J527="UNKNOWN","",_xlfn.TEXTBEFORE($J527,{"0","1","2","3","4","5","6","7","8","9"," ","-","."},1,,,$J527))</f>
        <v>WP</v>
      </c>
      <c r="M527" s="24" t="str">
        <f>IF('query (2)'!I527&lt;&gt;"",TRIM(UPPER('query (2)'!I527)),IF($L527="","UNKNOWN",$L527))</f>
        <v>WP</v>
      </c>
      <c r="N527" s="24" t="str">
        <f>IF('query (2)'!I527&lt;&gt;"","SOURCE",IF($L527="","UNKNOWN","DERIVED"))</f>
        <v>SOURCE</v>
      </c>
      <c r="O527" s="24" t="str">
        <f>IF('query (2)'!E527="","NOT_SPECIFIED",TRIM(UPPER('query (2)'!E527)))</f>
        <v>ASSEMBLY</v>
      </c>
      <c r="P527" s="24" t="str">
        <f>IF('query (2)'!F527="","",TRIM(UPPER('query (2)'!F527)))</f>
        <v>1410-WP2AI</v>
      </c>
      <c r="Q527" s="24" t="str">
        <f>IF('query (2)'!G527="","UNKNOWN",IFERROR(INDEX(Cleaning_Rules!$B$38:$B$46,MATCH(TRIM(UPPER('query (2)'!G527)),Cleaning_Rules!$A$38:$A$46,0)),"UNKNOWN"))</f>
        <v>OTHER</v>
      </c>
      <c r="R527" s="24" t="str">
        <f>IF('query (2)'!H527="","",TRIM(UPPER('query (2)'!H527)))</f>
        <v>FINISH WASHING</v>
      </c>
      <c r="S527" s="25" t="str">
        <f>IF('query (2)'!H527="","",'query (2)'!H527)</f>
        <v>Finish washing</v>
      </c>
      <c r="T527" s="24" t="str">
        <f>IF('query (2)'!J527="","",TRIM(UPPER('query (2)'!J527)))</f>
        <v/>
      </c>
      <c r="U527" s="24" t="str">
        <f t="shared" si="59"/>
        <v/>
      </c>
      <c r="V527" s="24" t="str">
        <f>IF('query (2)'!K527="","NOT_SPECIFIED",IFERROR(INDEX(Cleaning_Rules!$B$32:$B$34,MATCH(TRIM(UPPER('query (2)'!K527)),Cleaning_Rules!$A$32:$A$34,0)),"UNKNOWN"))</f>
        <v>NOT_SPECIFIED</v>
      </c>
      <c r="W527" s="24" t="str">
        <f t="shared" si="60"/>
        <v>WA-657 | FACTORY2 | WP ASSEMBLY2 | WP | ASSEMBLY | 1410-WP2AI | OTHER | FINISH WASHING | NOT_SPECIFIED</v>
      </c>
      <c r="X527" s="24" t="str">
        <f t="shared" si="61"/>
        <v/>
      </c>
      <c r="Y527" s="24" t="str">
        <f t="shared" si="62"/>
        <v>MISSING_STATUS; CATEGORY_NOT_USEFUL; MISSING_PRODUCTION_NAME</v>
      </c>
    </row>
    <row r="528" spans="1:25" x14ac:dyDescent="0.3">
      <c r="A528" s="24" t="str">
        <f t="shared" si="56"/>
        <v>AS-857#0527</v>
      </c>
      <c r="B528" s="24" t="str">
        <f>IF('query (2)'!B528="","",TRIM(UPPER('query (2)'!B528)))</f>
        <v>AS-857</v>
      </c>
      <c r="C528" s="25" t="str">
        <f>IF('query (2)'!B528="","",'query (2)'!B528)</f>
        <v>AS-857</v>
      </c>
      <c r="D528" s="24" t="str">
        <f t="shared" si="57"/>
        <v>AS</v>
      </c>
      <c r="E528" s="24">
        <f t="shared" si="58"/>
        <v>1</v>
      </c>
      <c r="F528" s="24">
        <f>IF('query (2)'!A528="","",IFERROR(VALUE('query (2)'!A528),""))</f>
        <v>546</v>
      </c>
      <c r="G528" s="24" t="str">
        <f>IF('query (2)'!C528="","UNKNOWN",IFERROR(INDEX(Cleaning_Rules!$B$15:$B$20,MATCH(TRIM(UPPER('query (2)'!C528)),Cleaning_Rules!$A$15:$A$20,0)),"UNKNOWN"))</f>
        <v>FACTORY2</v>
      </c>
      <c r="H528" s="25" t="str">
        <f>IF('query (2)'!C528="","",'query (2)'!C528)</f>
        <v>FACTORY2</v>
      </c>
      <c r="I528" s="24" t="str" cm="1">
        <f t="array" ref="I528">_xlfn.IFS($G528="UNKNOWN","UNKNOWN",OR($G528="FACTORY1",$G528="FACTORY2",$G528="FACTORY3"),"PLANT",TRUE,"SHARED")</f>
        <v>PLANT</v>
      </c>
      <c r="J528" s="24" t="str">
        <f>IF('query (2)'!D528="","UNKNOWN",IF(COUNTIF(Cleaning_Rules!$A$6:$A$11,TRIM('query (2)'!D528))&gt;0,"UNKNOWN",IFERROR(INDEX(Cleaning_Rules!$B$24:$B$28,MATCH(TRIM(UPPER('query (2)'!D528)),Cleaning_Rules!$A$24:$A$28,0)),TRIM(UPPER('query (2)'!D528)))))</f>
        <v>WP ASSEMBLY2</v>
      </c>
      <c r="K528" s="25" t="str">
        <f>IF('query (2)'!D528="","",'query (2)'!D528)</f>
        <v>WP Assambly2</v>
      </c>
      <c r="L528" s="24" t="str">
        <f>IF($J528="UNKNOWN","",_xlfn.TEXTBEFORE($J528,{"0","1","2","3","4","5","6","7","8","9"," ","-","."},1,,,$J528))</f>
        <v>WP</v>
      </c>
      <c r="M528" s="24" t="str">
        <f>IF('query (2)'!I528&lt;&gt;"",TRIM(UPPER('query (2)'!I528)),IF($L528="","UNKNOWN",$L528))</f>
        <v>WP</v>
      </c>
      <c r="N528" s="24" t="str">
        <f>IF('query (2)'!I528&lt;&gt;"","SOURCE",IF($L528="","UNKNOWN","DERIVED"))</f>
        <v>SOURCE</v>
      </c>
      <c r="O528" s="24" t="str">
        <f>IF('query (2)'!E528="","NOT_SPECIFIED",TRIM(UPPER('query (2)'!E528)))</f>
        <v>ASSEMBLY</v>
      </c>
      <c r="P528" s="24" t="str">
        <f>IF('query (2)'!F528="","",TRIM(UPPER('query (2)'!F528)))</f>
        <v>1410-WP2AI</v>
      </c>
      <c r="Q528" s="24" t="str">
        <f>IF('query (2)'!G528="","UNKNOWN",IFERROR(INDEX(Cleaning_Rules!$B$38:$B$46,MATCH(TRIM(UPPER('query (2)'!G528)),Cleaning_Rules!$A$38:$A$46,0)),"UNKNOWN"))</f>
        <v>OTHER</v>
      </c>
      <c r="R528" s="24" t="str">
        <f>IF('query (2)'!H528="","",TRIM(UPPER('query (2)'!H528)))</f>
        <v>SEAL PRESS MACHINE. (2 HEAD)</v>
      </c>
      <c r="S528" s="25" t="str">
        <f>IF('query (2)'!H528="","",'query (2)'!H528)</f>
        <v>Seal press machine. (2 Head)</v>
      </c>
      <c r="T528" s="24" t="str">
        <f>IF('query (2)'!J528="","",TRIM(UPPER('query (2)'!J528)))</f>
        <v/>
      </c>
      <c r="U528" s="24" t="str">
        <f t="shared" si="59"/>
        <v/>
      </c>
      <c r="V528" s="24" t="str">
        <f>IF('query (2)'!K528="","NOT_SPECIFIED",IFERROR(INDEX(Cleaning_Rules!$B$32:$B$34,MATCH(TRIM(UPPER('query (2)'!K528)),Cleaning_Rules!$A$32:$A$34,0)),"UNKNOWN"))</f>
        <v>NOT_SPECIFIED</v>
      </c>
      <c r="W528" s="24" t="str">
        <f t="shared" si="60"/>
        <v>AS-857 | FACTORY2 | WP ASSEMBLY2 | WP | ASSEMBLY | 1410-WP2AI | OTHER | SEAL PRESS MACHINE. (2 HEAD) | NOT_SPECIFIED</v>
      </c>
      <c r="X528" s="24" t="str">
        <f t="shared" si="61"/>
        <v/>
      </c>
      <c r="Y528" s="24" t="str">
        <f t="shared" si="62"/>
        <v>MISSING_STATUS; CATEGORY_NOT_USEFUL; MISSING_PRODUCTION_NAME</v>
      </c>
    </row>
    <row r="529" spans="1:25" x14ac:dyDescent="0.3">
      <c r="A529" s="24" t="str">
        <f t="shared" si="56"/>
        <v>AS-180#0528</v>
      </c>
      <c r="B529" s="24" t="str">
        <f>IF('query (2)'!B529="","",TRIM(UPPER('query (2)'!B529)))</f>
        <v>AS-180</v>
      </c>
      <c r="C529" s="25" t="str">
        <f>IF('query (2)'!B529="","",'query (2)'!B529)</f>
        <v>AS-180</v>
      </c>
      <c r="D529" s="24" t="str">
        <f t="shared" si="57"/>
        <v>AS</v>
      </c>
      <c r="E529" s="24">
        <f t="shared" si="58"/>
        <v>1</v>
      </c>
      <c r="F529" s="24">
        <f>IF('query (2)'!A529="","",IFERROR(VALUE('query (2)'!A529),""))</f>
        <v>547</v>
      </c>
      <c r="G529" s="24" t="str">
        <f>IF('query (2)'!C529="","UNKNOWN",IFERROR(INDEX(Cleaning_Rules!$B$15:$B$20,MATCH(TRIM(UPPER('query (2)'!C529)),Cleaning_Rules!$A$15:$A$20,0)),"UNKNOWN"))</f>
        <v>FACTORY2</v>
      </c>
      <c r="H529" s="25" t="str">
        <f>IF('query (2)'!C529="","",'query (2)'!C529)</f>
        <v>FACTORY2</v>
      </c>
      <c r="I529" s="24" t="str" cm="1">
        <f t="array" ref="I529">_xlfn.IFS($G529="UNKNOWN","UNKNOWN",OR($G529="FACTORY1",$G529="FACTORY2",$G529="FACTORY3"),"PLANT",TRUE,"SHARED")</f>
        <v>PLANT</v>
      </c>
      <c r="J529" s="24" t="str">
        <f>IF('query (2)'!D529="","UNKNOWN",IF(COUNTIF(Cleaning_Rules!$A$6:$A$11,TRIM('query (2)'!D529))&gt;0,"UNKNOWN",IFERROR(INDEX(Cleaning_Rules!$B$24:$B$28,MATCH(TRIM(UPPER('query (2)'!D529)),Cleaning_Rules!$A$24:$A$28,0)),TRIM(UPPER('query (2)'!D529)))))</f>
        <v>WP ASSEMBLY2</v>
      </c>
      <c r="K529" s="25" t="str">
        <f>IF('query (2)'!D529="","",'query (2)'!D529)</f>
        <v>WP Assambly2</v>
      </c>
      <c r="L529" s="24" t="str">
        <f>IF($J529="UNKNOWN","",_xlfn.TEXTBEFORE($J529,{"0","1","2","3","4","5","6","7","8","9"," ","-","."},1,,,$J529))</f>
        <v>WP</v>
      </c>
      <c r="M529" s="24" t="str">
        <f>IF('query (2)'!I529&lt;&gt;"",TRIM(UPPER('query (2)'!I529)),IF($L529="","UNKNOWN",$L529))</f>
        <v>WP</v>
      </c>
      <c r="N529" s="24" t="str">
        <f>IF('query (2)'!I529&lt;&gt;"","SOURCE",IF($L529="","UNKNOWN","DERIVED"))</f>
        <v>SOURCE</v>
      </c>
      <c r="O529" s="24" t="str">
        <f>IF('query (2)'!E529="","NOT_SPECIFIED",TRIM(UPPER('query (2)'!E529)))</f>
        <v>ASSEMBLY</v>
      </c>
      <c r="P529" s="24" t="str">
        <f>IF('query (2)'!F529="","",TRIM(UPPER('query (2)'!F529)))</f>
        <v>1410-WP2AI</v>
      </c>
      <c r="Q529" s="24" t="str">
        <f>IF('query (2)'!G529="","UNKNOWN",IFERROR(INDEX(Cleaning_Rules!$B$38:$B$46,MATCH(TRIM(UPPER('query (2)'!G529)),Cleaning_Rules!$A$38:$A$46,0)),"UNKNOWN"))</f>
        <v>OTHER</v>
      </c>
      <c r="R529" s="24" t="str">
        <f>IF('query (2)'!H529="","",TRIM(UPPER('query (2)'!H529)))</f>
        <v>ROLLER ASSEMBLY</v>
      </c>
      <c r="S529" s="25" t="str">
        <f>IF('query (2)'!H529="","",'query (2)'!H529)</f>
        <v>Roller assembly</v>
      </c>
      <c r="T529" s="24" t="str">
        <f>IF('query (2)'!J529="","",TRIM(UPPER('query (2)'!J529)))</f>
        <v/>
      </c>
      <c r="U529" s="24" t="str">
        <f t="shared" si="59"/>
        <v/>
      </c>
      <c r="V529" s="24" t="str">
        <f>IF('query (2)'!K529="","NOT_SPECIFIED",IFERROR(INDEX(Cleaning_Rules!$B$32:$B$34,MATCH(TRIM(UPPER('query (2)'!K529)),Cleaning_Rules!$A$32:$A$34,0)),"UNKNOWN"))</f>
        <v>NOT_SPECIFIED</v>
      </c>
      <c r="W529" s="24" t="str">
        <f t="shared" si="60"/>
        <v>AS-180 | FACTORY2 | WP ASSEMBLY2 | WP | ASSEMBLY | 1410-WP2AI | OTHER | ROLLER ASSEMBLY | NOT_SPECIFIED</v>
      </c>
      <c r="X529" s="24" t="str">
        <f t="shared" si="61"/>
        <v/>
      </c>
      <c r="Y529" s="24" t="str">
        <f t="shared" si="62"/>
        <v>MISSING_STATUS; CATEGORY_NOT_USEFUL; MISSING_PRODUCTION_NAME</v>
      </c>
    </row>
    <row r="530" spans="1:25" x14ac:dyDescent="0.3">
      <c r="A530" s="24" t="str">
        <f t="shared" si="56"/>
        <v>GR-238#0529</v>
      </c>
      <c r="B530" s="24" t="str">
        <f>IF('query (2)'!B530="","",TRIM(UPPER('query (2)'!B530)))</f>
        <v>GR-238</v>
      </c>
      <c r="C530" s="25" t="str">
        <f>IF('query (2)'!B530="","",'query (2)'!B530)</f>
        <v>GR-238</v>
      </c>
      <c r="D530" s="24" t="str">
        <f t="shared" si="57"/>
        <v>GR</v>
      </c>
      <c r="E530" s="24">
        <f t="shared" si="58"/>
        <v>1</v>
      </c>
      <c r="F530" s="24">
        <f>IF('query (2)'!A530="","",IFERROR(VALUE('query (2)'!A530),""))</f>
        <v>548</v>
      </c>
      <c r="G530" s="24" t="str">
        <f>IF('query (2)'!C530="","UNKNOWN",IFERROR(INDEX(Cleaning_Rules!$B$15:$B$20,MATCH(TRIM(UPPER('query (2)'!C530)),Cleaning_Rules!$A$15:$A$20,0)),"UNKNOWN"))</f>
        <v>FACTORY2</v>
      </c>
      <c r="H530" s="25" t="str">
        <f>IF('query (2)'!C530="","",'query (2)'!C530)</f>
        <v>FACTORY2</v>
      </c>
      <c r="I530" s="24" t="str" cm="1">
        <f t="array" ref="I530">_xlfn.IFS($G530="UNKNOWN","UNKNOWN",OR($G530="FACTORY1",$G530="FACTORY2",$G530="FACTORY3"),"PLANT",TRUE,"SHARED")</f>
        <v>PLANT</v>
      </c>
      <c r="J530" s="24" t="str">
        <f>IF('query (2)'!D530="","UNKNOWN",IF(COUNTIF(Cleaning_Rules!$A$6:$A$11,TRIM('query (2)'!D530))&gt;0,"UNKNOWN",IFERROR(INDEX(Cleaning_Rules!$B$24:$B$28,MATCH(TRIM(UPPER('query (2)'!D530)),Cleaning_Rules!$A$24:$A$28,0)),TRIM(UPPER('query (2)'!D530)))))</f>
        <v>WP GRINDING1</v>
      </c>
      <c r="K530" s="25" t="str">
        <f>IF('query (2)'!D530="","",'query (2)'!D530)</f>
        <v>WP Grinding1</v>
      </c>
      <c r="L530" s="24" t="str">
        <f>IF($J530="UNKNOWN","",_xlfn.TEXTBEFORE($J530,{"0","1","2","3","4","5","6","7","8","9"," ","-","."},1,,,$J530))</f>
        <v>WP</v>
      </c>
      <c r="M530" s="24" t="str">
        <f>IF('query (2)'!I530&lt;&gt;"",TRIM(UPPER('query (2)'!I530)),IF($L530="","UNKNOWN",$L530))</f>
        <v>WP</v>
      </c>
      <c r="N530" s="24" t="str">
        <f>IF('query (2)'!I530&lt;&gt;"","SOURCE",IF($L530="","UNKNOWN","DERIVED"))</f>
        <v>SOURCE</v>
      </c>
      <c r="O530" s="24" t="str">
        <f>IF('query (2)'!E530="","NOT_SPECIFIED",TRIM(UPPER('query (2)'!E530)))</f>
        <v>GRINDING 2</v>
      </c>
      <c r="P530" s="24" t="str">
        <f>IF('query (2)'!F530="","",TRIM(UPPER('query (2)'!F530)))</f>
        <v>1406-WP1G</v>
      </c>
      <c r="Q530" s="24" t="str">
        <f>IF('query (2)'!G530="","UNKNOWN",IFERROR(INDEX(Cleaning_Rules!$B$38:$B$46,MATCH(TRIM(UPPER('query (2)'!G530)),Cleaning_Rules!$A$38:$A$46,0)),"UNKNOWN"))</f>
        <v>OTHER</v>
      </c>
      <c r="R530" s="24" t="str">
        <f>IF('query (2)'!H530="","",TRIM(UPPER('query (2)'!H530)))</f>
        <v>REAR O.D. GRINDING M/C</v>
      </c>
      <c r="S530" s="25" t="str">
        <f>IF('query (2)'!H530="","",'query (2)'!H530)</f>
        <v>Rear  O.D.  Grinding  M/C</v>
      </c>
      <c r="T530" s="24" t="str">
        <f>IF('query (2)'!J530="","",TRIM(UPPER('query (2)'!J530)))</f>
        <v/>
      </c>
      <c r="U530" s="24" t="str">
        <f t="shared" si="59"/>
        <v/>
      </c>
      <c r="V530" s="24" t="str">
        <f>IF('query (2)'!K530="","NOT_SPECIFIED",IFERROR(INDEX(Cleaning_Rules!$B$32:$B$34,MATCH(TRIM(UPPER('query (2)'!K530)),Cleaning_Rules!$A$32:$A$34,0)),"UNKNOWN"))</f>
        <v>NOT_SPECIFIED</v>
      </c>
      <c r="W530" s="24" t="str">
        <f t="shared" si="60"/>
        <v>GR-238 | FACTORY2 | WP GRINDING1 | WP | GRINDING 2 | 1406-WP1G | OTHER | REAR O.D. GRINDING M/C | NOT_SPECIFIED</v>
      </c>
      <c r="X530" s="24" t="str">
        <f t="shared" si="61"/>
        <v/>
      </c>
      <c r="Y530" s="24" t="str">
        <f t="shared" si="62"/>
        <v>MISSING_STATUS; CATEGORY_NOT_USEFUL; MISSING_PRODUCTION_NAME</v>
      </c>
    </row>
    <row r="531" spans="1:25" x14ac:dyDescent="0.3">
      <c r="A531" s="24" t="str">
        <f t="shared" si="56"/>
        <v>GR-239#0530</v>
      </c>
      <c r="B531" s="24" t="str">
        <f>IF('query (2)'!B531="","",TRIM(UPPER('query (2)'!B531)))</f>
        <v>GR-239</v>
      </c>
      <c r="C531" s="25" t="str">
        <f>IF('query (2)'!B531="","",'query (2)'!B531)</f>
        <v>GR-239</v>
      </c>
      <c r="D531" s="24" t="str">
        <f t="shared" si="57"/>
        <v>GR</v>
      </c>
      <c r="E531" s="24">
        <f t="shared" si="58"/>
        <v>1</v>
      </c>
      <c r="F531" s="24">
        <f>IF('query (2)'!A531="","",IFERROR(VALUE('query (2)'!A531),""))</f>
        <v>549</v>
      </c>
      <c r="G531" s="24" t="str">
        <f>IF('query (2)'!C531="","UNKNOWN",IFERROR(INDEX(Cleaning_Rules!$B$15:$B$20,MATCH(TRIM(UPPER('query (2)'!C531)),Cleaning_Rules!$A$15:$A$20,0)),"UNKNOWN"))</f>
        <v>FACTORY2</v>
      </c>
      <c r="H531" s="25" t="str">
        <f>IF('query (2)'!C531="","",'query (2)'!C531)</f>
        <v>FACTORY2</v>
      </c>
      <c r="I531" s="24" t="str" cm="1">
        <f t="array" ref="I531">_xlfn.IFS($G531="UNKNOWN","UNKNOWN",OR($G531="FACTORY1",$G531="FACTORY2",$G531="FACTORY3"),"PLANT",TRUE,"SHARED")</f>
        <v>PLANT</v>
      </c>
      <c r="J531" s="24" t="str">
        <f>IF('query (2)'!D531="","UNKNOWN",IF(COUNTIF(Cleaning_Rules!$A$6:$A$11,TRIM('query (2)'!D531))&gt;0,"UNKNOWN",IFERROR(INDEX(Cleaning_Rules!$B$24:$B$28,MATCH(TRIM(UPPER('query (2)'!D531)),Cleaning_Rules!$A$24:$A$28,0)),TRIM(UPPER('query (2)'!D531)))))</f>
        <v>WP GRINDING1</v>
      </c>
      <c r="K531" s="25" t="str">
        <f>IF('query (2)'!D531="","",'query (2)'!D531)</f>
        <v>WP Grinding1</v>
      </c>
      <c r="L531" s="24" t="str">
        <f>IF($J531="UNKNOWN","",_xlfn.TEXTBEFORE($J531,{"0","1","2","3","4","5","6","7","8","9"," ","-","."},1,,,$J531))</f>
        <v>WP</v>
      </c>
      <c r="M531" s="24" t="str">
        <f>IF('query (2)'!I531&lt;&gt;"",TRIM(UPPER('query (2)'!I531)),IF($L531="","UNKNOWN",$L531))</f>
        <v>WP</v>
      </c>
      <c r="N531" s="24" t="str">
        <f>IF('query (2)'!I531&lt;&gt;"","SOURCE",IF($L531="","UNKNOWN","DERIVED"))</f>
        <v>SOURCE</v>
      </c>
      <c r="O531" s="24" t="str">
        <f>IF('query (2)'!E531="","NOT_SPECIFIED",TRIM(UPPER('query (2)'!E531)))</f>
        <v>GRINDING 2</v>
      </c>
      <c r="P531" s="24" t="str">
        <f>IF('query (2)'!F531="","",TRIM(UPPER('query (2)'!F531)))</f>
        <v>1406-WP1G</v>
      </c>
      <c r="Q531" s="24" t="str">
        <f>IF('query (2)'!G531="","UNKNOWN",IFERROR(INDEX(Cleaning_Rules!$B$38:$B$46,MATCH(TRIM(UPPER('query (2)'!G531)),Cleaning_Rules!$A$38:$A$46,0)),"UNKNOWN"))</f>
        <v>OTHER</v>
      </c>
      <c r="R531" s="24" t="str">
        <f>IF('query (2)'!H531="","",TRIM(UPPER('query (2)'!H531)))</f>
        <v>SHAFT RACEWAY GRINDING M/C</v>
      </c>
      <c r="S531" s="25" t="str">
        <f>IF('query (2)'!H531="","",'query (2)'!H531)</f>
        <v>Shaft  raceway  grinding M/C</v>
      </c>
      <c r="T531" s="24" t="str">
        <f>IF('query (2)'!J531="","",TRIM(UPPER('query (2)'!J531)))</f>
        <v/>
      </c>
      <c r="U531" s="24" t="str">
        <f t="shared" si="59"/>
        <v/>
      </c>
      <c r="V531" s="24" t="str">
        <f>IF('query (2)'!K531="","NOT_SPECIFIED",IFERROR(INDEX(Cleaning_Rules!$B$32:$B$34,MATCH(TRIM(UPPER('query (2)'!K531)),Cleaning_Rules!$A$32:$A$34,0)),"UNKNOWN"))</f>
        <v>NOT_SPECIFIED</v>
      </c>
      <c r="W531" s="24" t="str">
        <f t="shared" si="60"/>
        <v>GR-239 | FACTORY2 | WP GRINDING1 | WP | GRINDING 2 | 1406-WP1G | OTHER | SHAFT RACEWAY GRINDING M/C | NOT_SPECIFIED</v>
      </c>
      <c r="X531" s="24" t="str">
        <f t="shared" si="61"/>
        <v/>
      </c>
      <c r="Y531" s="24" t="str">
        <f t="shared" si="62"/>
        <v>MISSING_STATUS; CATEGORY_NOT_USEFUL; MISSING_PRODUCTION_NAME</v>
      </c>
    </row>
    <row r="532" spans="1:25" x14ac:dyDescent="0.3">
      <c r="A532" s="24" t="str">
        <f t="shared" si="56"/>
        <v>GR-240#0531</v>
      </c>
      <c r="B532" s="24" t="str">
        <f>IF('query (2)'!B532="","",TRIM(UPPER('query (2)'!B532)))</f>
        <v>GR-240</v>
      </c>
      <c r="C532" s="25" t="str">
        <f>IF('query (2)'!B532="","",'query (2)'!B532)</f>
        <v>GR-240</v>
      </c>
      <c r="D532" s="24" t="str">
        <f t="shared" si="57"/>
        <v>GR</v>
      </c>
      <c r="E532" s="24">
        <f t="shared" si="58"/>
        <v>1</v>
      </c>
      <c r="F532" s="24">
        <f>IF('query (2)'!A532="","",IFERROR(VALUE('query (2)'!A532),""))</f>
        <v>550</v>
      </c>
      <c r="G532" s="24" t="str">
        <f>IF('query (2)'!C532="","UNKNOWN",IFERROR(INDEX(Cleaning_Rules!$B$15:$B$20,MATCH(TRIM(UPPER('query (2)'!C532)),Cleaning_Rules!$A$15:$A$20,0)),"UNKNOWN"))</f>
        <v>FACTORY2</v>
      </c>
      <c r="H532" s="25" t="str">
        <f>IF('query (2)'!C532="","",'query (2)'!C532)</f>
        <v>FACTORY2</v>
      </c>
      <c r="I532" s="24" t="str" cm="1">
        <f t="array" ref="I532">_xlfn.IFS($G532="UNKNOWN","UNKNOWN",OR($G532="FACTORY1",$G532="FACTORY2",$G532="FACTORY3"),"PLANT",TRUE,"SHARED")</f>
        <v>PLANT</v>
      </c>
      <c r="J532" s="24" t="str">
        <f>IF('query (2)'!D532="","UNKNOWN",IF(COUNTIF(Cleaning_Rules!$A$6:$A$11,TRIM('query (2)'!D532))&gt;0,"UNKNOWN",IFERROR(INDEX(Cleaning_Rules!$B$24:$B$28,MATCH(TRIM(UPPER('query (2)'!D532)),Cleaning_Rules!$A$24:$A$28,0)),TRIM(UPPER('query (2)'!D532)))))</f>
        <v>WP GRINDING1</v>
      </c>
      <c r="K532" s="25" t="str">
        <f>IF('query (2)'!D532="","",'query (2)'!D532)</f>
        <v>WP Grinding1</v>
      </c>
      <c r="L532" s="24" t="str">
        <f>IF($J532="UNKNOWN","",_xlfn.TEXTBEFORE($J532,{"0","1","2","3","4","5","6","7","8","9"," ","-","."},1,,,$J532))</f>
        <v>WP</v>
      </c>
      <c r="M532" s="24" t="str">
        <f>IF('query (2)'!I532&lt;&gt;"",TRIM(UPPER('query (2)'!I532)),IF($L532="","UNKNOWN",$L532))</f>
        <v>WP</v>
      </c>
      <c r="N532" s="24" t="str">
        <f>IF('query (2)'!I532&lt;&gt;"","SOURCE",IF($L532="","UNKNOWN","DERIVED"))</f>
        <v>SOURCE</v>
      </c>
      <c r="O532" s="24" t="str">
        <f>IF('query (2)'!E532="","NOT_SPECIFIED",TRIM(UPPER('query (2)'!E532)))</f>
        <v>GRINDING 2</v>
      </c>
      <c r="P532" s="24" t="str">
        <f>IF('query (2)'!F532="","",TRIM(UPPER('query (2)'!F532)))</f>
        <v>1406-WP1G</v>
      </c>
      <c r="Q532" s="24" t="str">
        <f>IF('query (2)'!G532="","UNKNOWN",IFERROR(INDEX(Cleaning_Rules!$B$38:$B$46,MATCH(TRIM(UPPER('query (2)'!G532)),Cleaning_Rules!$A$38:$A$46,0)),"UNKNOWN"))</f>
        <v>OTHER</v>
      </c>
      <c r="R532" s="24" t="str">
        <f>IF('query (2)'!H532="","",TRIM(UPPER('query (2)'!H532)))</f>
        <v>SHAFT RACEWAY SUPER FINISH GRINDING M/C</v>
      </c>
      <c r="S532" s="25" t="str">
        <f>IF('query (2)'!H532="","",'query (2)'!H532)</f>
        <v>Shaft raceway super finish grinding M/C</v>
      </c>
      <c r="T532" s="24" t="str">
        <f>IF('query (2)'!J532="","",TRIM(UPPER('query (2)'!J532)))</f>
        <v/>
      </c>
      <c r="U532" s="24" t="str">
        <f t="shared" si="59"/>
        <v/>
      </c>
      <c r="V532" s="24" t="str">
        <f>IF('query (2)'!K532="","NOT_SPECIFIED",IFERROR(INDEX(Cleaning_Rules!$B$32:$B$34,MATCH(TRIM(UPPER('query (2)'!K532)),Cleaning_Rules!$A$32:$A$34,0)),"UNKNOWN"))</f>
        <v>NOT_SPECIFIED</v>
      </c>
      <c r="W532" s="24" t="str">
        <f t="shared" si="60"/>
        <v>GR-240 | FACTORY2 | WP GRINDING1 | WP | GRINDING 2 | 1406-WP1G | OTHER | SHAFT RACEWAY SUPER FINISH GRINDING M/C | NOT_SPECIFIED</v>
      </c>
      <c r="X532" s="24" t="str">
        <f t="shared" si="61"/>
        <v/>
      </c>
      <c r="Y532" s="24" t="str">
        <f t="shared" si="62"/>
        <v>MISSING_STATUS; CATEGORY_NOT_USEFUL; MISSING_PRODUCTION_NAME</v>
      </c>
    </row>
    <row r="533" spans="1:25" x14ac:dyDescent="0.3">
      <c r="A533" s="24" t="str">
        <f t="shared" si="56"/>
        <v>GR-241#0532</v>
      </c>
      <c r="B533" s="24" t="str">
        <f>IF('query (2)'!B533="","",TRIM(UPPER('query (2)'!B533)))</f>
        <v>GR-241</v>
      </c>
      <c r="C533" s="25" t="str">
        <f>IF('query (2)'!B533="","",'query (2)'!B533)</f>
        <v>GR-241</v>
      </c>
      <c r="D533" s="24" t="str">
        <f t="shared" si="57"/>
        <v>GR</v>
      </c>
      <c r="E533" s="24">
        <f t="shared" si="58"/>
        <v>1</v>
      </c>
      <c r="F533" s="24">
        <f>IF('query (2)'!A533="","",IFERROR(VALUE('query (2)'!A533),""))</f>
        <v>551</v>
      </c>
      <c r="G533" s="24" t="str">
        <f>IF('query (2)'!C533="","UNKNOWN",IFERROR(INDEX(Cleaning_Rules!$B$15:$B$20,MATCH(TRIM(UPPER('query (2)'!C533)),Cleaning_Rules!$A$15:$A$20,0)),"UNKNOWN"))</f>
        <v>FACTORY2</v>
      </c>
      <c r="H533" s="25" t="str">
        <f>IF('query (2)'!C533="","",'query (2)'!C533)</f>
        <v>FACTORY2</v>
      </c>
      <c r="I533" s="24" t="str" cm="1">
        <f t="array" ref="I533">_xlfn.IFS($G533="UNKNOWN","UNKNOWN",OR($G533="FACTORY1",$G533="FACTORY2",$G533="FACTORY3"),"PLANT",TRUE,"SHARED")</f>
        <v>PLANT</v>
      </c>
      <c r="J533" s="24" t="str">
        <f>IF('query (2)'!D533="","UNKNOWN",IF(COUNTIF(Cleaning_Rules!$A$6:$A$11,TRIM('query (2)'!D533))&gt;0,"UNKNOWN",IFERROR(INDEX(Cleaning_Rules!$B$24:$B$28,MATCH(TRIM(UPPER('query (2)'!D533)),Cleaning_Rules!$A$24:$A$28,0)),TRIM(UPPER('query (2)'!D533)))))</f>
        <v>WP GRINDING1</v>
      </c>
      <c r="K533" s="25" t="str">
        <f>IF('query (2)'!D533="","",'query (2)'!D533)</f>
        <v>WP Grinding1</v>
      </c>
      <c r="L533" s="24" t="str">
        <f>IF($J533="UNKNOWN","",_xlfn.TEXTBEFORE($J533,{"0","1","2","3","4","5","6","7","8","9"," ","-","."},1,,,$J533))</f>
        <v>WP</v>
      </c>
      <c r="M533" s="24" t="str">
        <f>IF('query (2)'!I533&lt;&gt;"",TRIM(UPPER('query (2)'!I533)),IF($L533="","UNKNOWN",$L533))</f>
        <v>WP</v>
      </c>
      <c r="N533" s="24" t="str">
        <f>IF('query (2)'!I533&lt;&gt;"","SOURCE",IF($L533="","UNKNOWN","DERIVED"))</f>
        <v>SOURCE</v>
      </c>
      <c r="O533" s="24" t="str">
        <f>IF('query (2)'!E533="","NOT_SPECIFIED",TRIM(UPPER('query (2)'!E533)))</f>
        <v>GRINDING 2</v>
      </c>
      <c r="P533" s="24" t="str">
        <f>IF('query (2)'!F533="","",TRIM(UPPER('query (2)'!F533)))</f>
        <v>1406-WP1G</v>
      </c>
      <c r="Q533" s="24" t="str">
        <f>IF('query (2)'!G533="","UNKNOWN",IFERROR(INDEX(Cleaning_Rules!$B$38:$B$46,MATCH(TRIM(UPPER('query (2)'!G533)),Cleaning_Rules!$A$38:$A$46,0)),"UNKNOWN"))</f>
        <v>OTHER</v>
      </c>
      <c r="R533" s="24" t="str">
        <f>IF('query (2)'!H533="","",TRIM(UPPER('query (2)'!H533)))</f>
        <v>OUTER RING RACEWAY GRINDING M/C</v>
      </c>
      <c r="S533" s="25" t="str">
        <f>IF('query (2)'!H533="","",'query (2)'!H533)</f>
        <v>Outer ring raceway grinding M/C</v>
      </c>
      <c r="T533" s="24" t="str">
        <f>IF('query (2)'!J533="","",TRIM(UPPER('query (2)'!J533)))</f>
        <v>A - RACEWAY GRINDING</v>
      </c>
      <c r="U533" s="24" t="str">
        <f t="shared" si="59"/>
        <v/>
      </c>
      <c r="V533" s="24" t="str">
        <f>IF('query (2)'!K533="","NOT_SPECIFIED",IFERROR(INDEX(Cleaning_Rules!$B$32:$B$34,MATCH(TRIM(UPPER('query (2)'!K533)),Cleaning_Rules!$A$32:$A$34,0)),"UNKNOWN"))</f>
        <v>NOT_SPECIFIED</v>
      </c>
      <c r="W533" s="24" t="str">
        <f t="shared" si="60"/>
        <v>GR-241 | FACTORY2 | WP GRINDING1 | WP | GRINDING 2 | 1406-WP1G | OTHER | OUTER RING RACEWAY GRINDING M/C | A - RACEWAY GRINDING | NOT_SPECIFIED</v>
      </c>
      <c r="X533" s="24" t="str">
        <f t="shared" si="61"/>
        <v/>
      </c>
      <c r="Y533" s="24" t="str">
        <f t="shared" si="62"/>
        <v>MISSING_STATUS; CATEGORY_NOT_USEFUL</v>
      </c>
    </row>
    <row r="534" spans="1:25" x14ac:dyDescent="0.3">
      <c r="A534" s="24" t="str">
        <f t="shared" si="56"/>
        <v>GR-242#0533</v>
      </c>
      <c r="B534" s="24" t="str">
        <f>IF('query (2)'!B534="","",TRIM(UPPER('query (2)'!B534)))</f>
        <v>GR-242</v>
      </c>
      <c r="C534" s="25" t="str">
        <f>IF('query (2)'!B534="","",'query (2)'!B534)</f>
        <v>GR-242</v>
      </c>
      <c r="D534" s="24" t="str">
        <f t="shared" si="57"/>
        <v>GR</v>
      </c>
      <c r="E534" s="24">
        <f t="shared" si="58"/>
        <v>1</v>
      </c>
      <c r="F534" s="24">
        <f>IF('query (2)'!A534="","",IFERROR(VALUE('query (2)'!A534),""))</f>
        <v>552</v>
      </c>
      <c r="G534" s="24" t="str">
        <f>IF('query (2)'!C534="","UNKNOWN",IFERROR(INDEX(Cleaning_Rules!$B$15:$B$20,MATCH(TRIM(UPPER('query (2)'!C534)),Cleaning_Rules!$A$15:$A$20,0)),"UNKNOWN"))</f>
        <v>FACTORY2</v>
      </c>
      <c r="H534" s="25" t="str">
        <f>IF('query (2)'!C534="","",'query (2)'!C534)</f>
        <v>FACTORY2</v>
      </c>
      <c r="I534" s="24" t="str" cm="1">
        <f t="array" ref="I534">_xlfn.IFS($G534="UNKNOWN","UNKNOWN",OR($G534="FACTORY1",$G534="FACTORY2",$G534="FACTORY3"),"PLANT",TRUE,"SHARED")</f>
        <v>PLANT</v>
      </c>
      <c r="J534" s="24" t="str">
        <f>IF('query (2)'!D534="","UNKNOWN",IF(COUNTIF(Cleaning_Rules!$A$6:$A$11,TRIM('query (2)'!D534))&gt;0,"UNKNOWN",IFERROR(INDEX(Cleaning_Rules!$B$24:$B$28,MATCH(TRIM(UPPER('query (2)'!D534)),Cleaning_Rules!$A$24:$A$28,0)),TRIM(UPPER('query (2)'!D534)))))</f>
        <v>WP GRINDING1</v>
      </c>
      <c r="K534" s="25" t="str">
        <f>IF('query (2)'!D534="","",'query (2)'!D534)</f>
        <v>WP Grinding1</v>
      </c>
      <c r="L534" s="24" t="str">
        <f>IF($J534="UNKNOWN","",_xlfn.TEXTBEFORE($J534,{"0","1","2","3","4","5","6","7","8","9"," ","-","."},1,,,$J534))</f>
        <v>WP</v>
      </c>
      <c r="M534" s="24" t="str">
        <f>IF('query (2)'!I534&lt;&gt;"",TRIM(UPPER('query (2)'!I534)),IF($L534="","UNKNOWN",$L534))</f>
        <v>WP</v>
      </c>
      <c r="N534" s="24" t="str">
        <f>IF('query (2)'!I534&lt;&gt;"","SOURCE",IF($L534="","UNKNOWN","DERIVED"))</f>
        <v>SOURCE</v>
      </c>
      <c r="O534" s="24" t="str">
        <f>IF('query (2)'!E534="","NOT_SPECIFIED",TRIM(UPPER('query (2)'!E534)))</f>
        <v>GRINDING 2</v>
      </c>
      <c r="P534" s="24" t="str">
        <f>IF('query (2)'!F534="","",TRIM(UPPER('query (2)'!F534)))</f>
        <v>1406-WP1G</v>
      </c>
      <c r="Q534" s="24" t="str">
        <f>IF('query (2)'!G534="","UNKNOWN",IFERROR(INDEX(Cleaning_Rules!$B$38:$B$46,MATCH(TRIM(UPPER('query (2)'!G534)),Cleaning_Rules!$A$38:$A$46,0)),"UNKNOWN"))</f>
        <v>OTHER</v>
      </c>
      <c r="R534" s="24" t="str">
        <f>IF('query (2)'!H534="","",TRIM(UPPER('query (2)'!H534)))</f>
        <v>OUTER RING RACEWAY SUPER FINISH GRINDING M/C</v>
      </c>
      <c r="S534" s="25" t="str">
        <f>IF('query (2)'!H534="","",'query (2)'!H534)</f>
        <v>Outer ring raceway super finish grinding M/C</v>
      </c>
      <c r="T534" s="24" t="str">
        <f>IF('query (2)'!J534="","",TRIM(UPPER('query (2)'!J534)))</f>
        <v>A - RACEWAY SUPER FINISH</v>
      </c>
      <c r="U534" s="24" t="str">
        <f t="shared" si="59"/>
        <v/>
      </c>
      <c r="V534" s="24" t="str">
        <f>IF('query (2)'!K534="","NOT_SPECIFIED",IFERROR(INDEX(Cleaning_Rules!$B$32:$B$34,MATCH(TRIM(UPPER('query (2)'!K534)),Cleaning_Rules!$A$32:$A$34,0)),"UNKNOWN"))</f>
        <v>NOT_SPECIFIED</v>
      </c>
      <c r="W534" s="24" t="str">
        <f t="shared" si="60"/>
        <v>GR-242 | FACTORY2 | WP GRINDING1 | WP | GRINDING 2 | 1406-WP1G | OTHER | OUTER RING RACEWAY SUPER FINISH GRINDING M/C | A - RACEWAY SUPER FINISH | NOT_SPECIFIED</v>
      </c>
      <c r="X534" s="24" t="str">
        <f t="shared" si="61"/>
        <v/>
      </c>
      <c r="Y534" s="24" t="str">
        <f t="shared" si="62"/>
        <v>MISSING_STATUS; CATEGORY_NOT_USEFUL</v>
      </c>
    </row>
    <row r="535" spans="1:25" x14ac:dyDescent="0.3">
      <c r="A535" s="24" t="str">
        <f t="shared" si="56"/>
        <v>GR-420#0534</v>
      </c>
      <c r="B535" s="24" t="str">
        <f>IF('query (2)'!B535="","",TRIM(UPPER('query (2)'!B535)))</f>
        <v>GR-420</v>
      </c>
      <c r="C535" s="25" t="str">
        <f>IF('query (2)'!B535="","",'query (2)'!B535)</f>
        <v>GR-420</v>
      </c>
      <c r="D535" s="24" t="str">
        <f t="shared" si="57"/>
        <v>GR</v>
      </c>
      <c r="E535" s="24">
        <f t="shared" si="58"/>
        <v>1</v>
      </c>
      <c r="F535" s="24">
        <f>IF('query (2)'!A535="","",IFERROR(VALUE('query (2)'!A535),""))</f>
        <v>553</v>
      </c>
      <c r="G535" s="24" t="str">
        <f>IF('query (2)'!C535="","UNKNOWN",IFERROR(INDEX(Cleaning_Rules!$B$15:$B$20,MATCH(TRIM(UPPER('query (2)'!C535)),Cleaning_Rules!$A$15:$A$20,0)),"UNKNOWN"))</f>
        <v>FACTORY2</v>
      </c>
      <c r="H535" s="25" t="str">
        <f>IF('query (2)'!C535="","",'query (2)'!C535)</f>
        <v>FACTORY2</v>
      </c>
      <c r="I535" s="24" t="str" cm="1">
        <f t="array" ref="I535">_xlfn.IFS($G535="UNKNOWN","UNKNOWN",OR($G535="FACTORY1",$G535="FACTORY2",$G535="FACTORY3"),"PLANT",TRUE,"SHARED")</f>
        <v>PLANT</v>
      </c>
      <c r="J535" s="24" t="str">
        <f>IF('query (2)'!D535="","UNKNOWN",IF(COUNTIF(Cleaning_Rules!$A$6:$A$11,TRIM('query (2)'!D535))&gt;0,"UNKNOWN",IFERROR(INDEX(Cleaning_Rules!$B$24:$B$28,MATCH(TRIM(UPPER('query (2)'!D535)),Cleaning_Rules!$A$24:$A$28,0)),TRIM(UPPER('query (2)'!D535)))))</f>
        <v>WP GRINDING1</v>
      </c>
      <c r="K535" s="25" t="str">
        <f>IF('query (2)'!D535="","",'query (2)'!D535)</f>
        <v>WP Grinding1</v>
      </c>
      <c r="L535" s="24" t="str">
        <f>IF($J535="UNKNOWN","",_xlfn.TEXTBEFORE($J535,{"0","1","2","3","4","5","6","7","8","9"," ","-","."},1,,,$J535))</f>
        <v>WP</v>
      </c>
      <c r="M535" s="24" t="str">
        <f>IF('query (2)'!I535&lt;&gt;"",TRIM(UPPER('query (2)'!I535)),IF($L535="","UNKNOWN",$L535))</f>
        <v>WP</v>
      </c>
      <c r="N535" s="24" t="str">
        <f>IF('query (2)'!I535&lt;&gt;"","SOURCE",IF($L535="","UNKNOWN","DERIVED"))</f>
        <v>SOURCE</v>
      </c>
      <c r="O535" s="24" t="str">
        <f>IF('query (2)'!E535="","NOT_SPECIFIED",TRIM(UPPER('query (2)'!E535)))</f>
        <v>GRINDING 2</v>
      </c>
      <c r="P535" s="24" t="str">
        <f>IF('query (2)'!F535="","",TRIM(UPPER('query (2)'!F535)))</f>
        <v>1406-WP1G</v>
      </c>
      <c r="Q535" s="24" t="str">
        <f>IF('query (2)'!G535="","UNKNOWN",IFERROR(INDEX(Cleaning_Rules!$B$38:$B$46,MATCH(TRIM(UPPER('query (2)'!G535)),Cleaning_Rules!$A$38:$A$46,0)),"UNKNOWN"))</f>
        <v>OTHER</v>
      </c>
      <c r="R535" s="24" t="str">
        <f>IF('query (2)'!H535="","",TRIM(UPPER('query (2)'!H535)))</f>
        <v>SHAFT FRONT O.D.GRINDING MACHINE.</v>
      </c>
      <c r="S535" s="25" t="str">
        <f>IF('query (2)'!H535="","",'query (2)'!H535)</f>
        <v>Shaft front O.D.grinding machine.</v>
      </c>
      <c r="T535" s="24" t="str">
        <f>IF('query (2)'!J535="","",TRIM(UPPER('query (2)'!J535)))</f>
        <v/>
      </c>
      <c r="U535" s="24" t="str">
        <f t="shared" si="59"/>
        <v/>
      </c>
      <c r="V535" s="24" t="str">
        <f>IF('query (2)'!K535="","NOT_SPECIFIED",IFERROR(INDEX(Cleaning_Rules!$B$32:$B$34,MATCH(TRIM(UPPER('query (2)'!K535)),Cleaning_Rules!$A$32:$A$34,0)),"UNKNOWN"))</f>
        <v>NOT_SPECIFIED</v>
      </c>
      <c r="W535" s="24" t="str">
        <f t="shared" si="60"/>
        <v>GR-420 | FACTORY2 | WP GRINDING1 | WP | GRINDING 2 | 1406-WP1G | OTHER | SHAFT FRONT O.D.GRINDING MACHINE. | NOT_SPECIFIED</v>
      </c>
      <c r="X535" s="24" t="str">
        <f t="shared" si="61"/>
        <v/>
      </c>
      <c r="Y535" s="24" t="str">
        <f t="shared" si="62"/>
        <v>MISSING_STATUS; CATEGORY_NOT_USEFUL; MISSING_PRODUCTION_NAME</v>
      </c>
    </row>
    <row r="536" spans="1:25" x14ac:dyDescent="0.3">
      <c r="A536" s="24" t="str">
        <f t="shared" si="56"/>
        <v>WA-1061#0535</v>
      </c>
      <c r="B536" s="24" t="str">
        <f>IF('query (2)'!B536="","",TRIM(UPPER('query (2)'!B536)))</f>
        <v>WA-1061</v>
      </c>
      <c r="C536" s="25" t="str">
        <f>IF('query (2)'!B536="","",'query (2)'!B536)</f>
        <v>WA-1061</v>
      </c>
      <c r="D536" s="24" t="str">
        <f t="shared" si="57"/>
        <v>WA</v>
      </c>
      <c r="E536" s="24">
        <f t="shared" si="58"/>
        <v>1</v>
      </c>
      <c r="F536" s="24">
        <f>IF('query (2)'!A536="","",IFERROR(VALUE('query (2)'!A536),""))</f>
        <v>554</v>
      </c>
      <c r="G536" s="24" t="str">
        <f>IF('query (2)'!C536="","UNKNOWN",IFERROR(INDEX(Cleaning_Rules!$B$15:$B$20,MATCH(TRIM(UPPER('query (2)'!C536)),Cleaning_Rules!$A$15:$A$20,0)),"UNKNOWN"))</f>
        <v>FACTORY2</v>
      </c>
      <c r="H536" s="25" t="str">
        <f>IF('query (2)'!C536="","",'query (2)'!C536)</f>
        <v>FACTORY2</v>
      </c>
      <c r="I536" s="24" t="str" cm="1">
        <f t="array" ref="I536">_xlfn.IFS($G536="UNKNOWN","UNKNOWN",OR($G536="FACTORY1",$G536="FACTORY2",$G536="FACTORY3"),"PLANT",TRUE,"SHARED")</f>
        <v>PLANT</v>
      </c>
      <c r="J536" s="24" t="str">
        <f>IF('query (2)'!D536="","UNKNOWN",IF(COUNTIF(Cleaning_Rules!$A$6:$A$11,TRIM('query (2)'!D536))&gt;0,"UNKNOWN",IFERROR(INDEX(Cleaning_Rules!$B$24:$B$28,MATCH(TRIM(UPPER('query (2)'!D536)),Cleaning_Rules!$A$24:$A$28,0)),TRIM(UPPER('query (2)'!D536)))))</f>
        <v>WP GRINDING1</v>
      </c>
      <c r="K536" s="25" t="str">
        <f>IF('query (2)'!D536="","",'query (2)'!D536)</f>
        <v>WP Grinding1</v>
      </c>
      <c r="L536" s="24" t="str">
        <f>IF($J536="UNKNOWN","",_xlfn.TEXTBEFORE($J536,{"0","1","2","3","4","5","6","7","8","9"," ","-","."},1,,,$J536))</f>
        <v>WP</v>
      </c>
      <c r="M536" s="24" t="str">
        <f>IF('query (2)'!I536&lt;&gt;"",TRIM(UPPER('query (2)'!I536)),IF($L536="","UNKNOWN",$L536))</f>
        <v>WP</v>
      </c>
      <c r="N536" s="24" t="str">
        <f>IF('query (2)'!I536&lt;&gt;"","SOURCE",IF($L536="","UNKNOWN","DERIVED"))</f>
        <v>SOURCE</v>
      </c>
      <c r="O536" s="24" t="str">
        <f>IF('query (2)'!E536="","NOT_SPECIFIED",TRIM(UPPER('query (2)'!E536)))</f>
        <v>GRINDING 2</v>
      </c>
      <c r="P536" s="24" t="str">
        <f>IF('query (2)'!F536="","",TRIM(UPPER('query (2)'!F536)))</f>
        <v>1406-WP1G</v>
      </c>
      <c r="Q536" s="24" t="str">
        <f>IF('query (2)'!G536="","UNKNOWN",IFERROR(INDEX(Cleaning_Rules!$B$38:$B$46,MATCH(TRIM(UPPER('query (2)'!G536)),Cleaning_Rules!$A$38:$A$46,0)),"UNKNOWN"))</f>
        <v>OTHER</v>
      </c>
      <c r="R536" s="24" t="str">
        <f>IF('query (2)'!H536="","",TRIM(UPPER('query (2)'!H536)))</f>
        <v>PART WASHING M/C</v>
      </c>
      <c r="S536" s="25" t="str">
        <f>IF('query (2)'!H536="","",'query (2)'!H536)</f>
        <v>Part washing M/C</v>
      </c>
      <c r="T536" s="24" t="str">
        <f>IF('query (2)'!J536="","",TRIM(UPPER('query (2)'!J536)))</f>
        <v/>
      </c>
      <c r="U536" s="24" t="str">
        <f t="shared" si="59"/>
        <v/>
      </c>
      <c r="V536" s="24" t="str">
        <f>IF('query (2)'!K536="","NOT_SPECIFIED",IFERROR(INDEX(Cleaning_Rules!$B$32:$B$34,MATCH(TRIM(UPPER('query (2)'!K536)),Cleaning_Rules!$A$32:$A$34,0)),"UNKNOWN"))</f>
        <v>NOT_SPECIFIED</v>
      </c>
      <c r="W536" s="24" t="str">
        <f t="shared" si="60"/>
        <v>WA-1061 | FACTORY2 | WP GRINDING1 | WP | GRINDING 2 | 1406-WP1G | OTHER | PART WASHING M/C | NOT_SPECIFIED</v>
      </c>
      <c r="X536" s="24" t="str">
        <f t="shared" si="61"/>
        <v/>
      </c>
      <c r="Y536" s="24" t="str">
        <f t="shared" si="62"/>
        <v>MISSING_STATUS; CATEGORY_NOT_USEFUL; MISSING_PRODUCTION_NAME</v>
      </c>
    </row>
    <row r="537" spans="1:25" x14ac:dyDescent="0.3">
      <c r="A537" s="24" t="str">
        <f t="shared" si="56"/>
        <v>GR-416#0536</v>
      </c>
      <c r="B537" s="24" t="str">
        <f>IF('query (2)'!B537="","",TRIM(UPPER('query (2)'!B537)))</f>
        <v>GR-416</v>
      </c>
      <c r="C537" s="25" t="str">
        <f>IF('query (2)'!B537="","",'query (2)'!B537)</f>
        <v>GR-416</v>
      </c>
      <c r="D537" s="24" t="str">
        <f t="shared" si="57"/>
        <v>GR</v>
      </c>
      <c r="E537" s="24">
        <f t="shared" si="58"/>
        <v>1</v>
      </c>
      <c r="F537" s="24">
        <f>IF('query (2)'!A537="","",IFERROR(VALUE('query (2)'!A537),""))</f>
        <v>555</v>
      </c>
      <c r="G537" s="24" t="str">
        <f>IF('query (2)'!C537="","UNKNOWN",IFERROR(INDEX(Cleaning_Rules!$B$15:$B$20,MATCH(TRIM(UPPER('query (2)'!C537)),Cleaning_Rules!$A$15:$A$20,0)),"UNKNOWN"))</f>
        <v>FACTORY2</v>
      </c>
      <c r="H537" s="25" t="str">
        <f>IF('query (2)'!C537="","",'query (2)'!C537)</f>
        <v>FACTORY2</v>
      </c>
      <c r="I537" s="24" t="str" cm="1">
        <f t="array" ref="I537">_xlfn.IFS($G537="UNKNOWN","UNKNOWN",OR($G537="FACTORY1",$G537="FACTORY2",$G537="FACTORY3"),"PLANT",TRUE,"SHARED")</f>
        <v>PLANT</v>
      </c>
      <c r="J537" s="24" t="str">
        <f>IF('query (2)'!D537="","UNKNOWN",IF(COUNTIF(Cleaning_Rules!$A$6:$A$11,TRIM('query (2)'!D537))&gt;0,"UNKNOWN",IFERROR(INDEX(Cleaning_Rules!$B$24:$B$28,MATCH(TRIM(UPPER('query (2)'!D537)),Cleaning_Rules!$A$24:$A$28,0)),TRIM(UPPER('query (2)'!D537)))))</f>
        <v>WP GRINDING2</v>
      </c>
      <c r="K537" s="25" t="str">
        <f>IF('query (2)'!D537="","",'query (2)'!D537)</f>
        <v>WP Grinding2</v>
      </c>
      <c r="L537" s="24" t="str">
        <f>IF($J537="UNKNOWN","",_xlfn.TEXTBEFORE($J537,{"0","1","2","3","4","5","6","7","8","9"," ","-","."},1,,,$J537))</f>
        <v>WP</v>
      </c>
      <c r="M537" s="24" t="str">
        <f>IF('query (2)'!I537&lt;&gt;"",TRIM(UPPER('query (2)'!I537)),IF($L537="","UNKNOWN",$L537))</f>
        <v>WP</v>
      </c>
      <c r="N537" s="24" t="str">
        <f>IF('query (2)'!I537&lt;&gt;"","SOURCE",IF($L537="","UNKNOWN","DERIVED"))</f>
        <v>SOURCE</v>
      </c>
      <c r="O537" s="24" t="str">
        <f>IF('query (2)'!E537="","NOT_SPECIFIED",TRIM(UPPER('query (2)'!E537)))</f>
        <v>GRINDING 2</v>
      </c>
      <c r="P537" s="24" t="str">
        <f>IF('query (2)'!F537="","",TRIM(UPPER('query (2)'!F537)))</f>
        <v>1407-WP2G</v>
      </c>
      <c r="Q537" s="24" t="str">
        <f>IF('query (2)'!G537="","UNKNOWN",IFERROR(INDEX(Cleaning_Rules!$B$38:$B$46,MATCH(TRIM(UPPER('query (2)'!G537)),Cleaning_Rules!$A$38:$A$46,0)),"UNKNOWN"))</f>
        <v>OTHER</v>
      </c>
      <c r="R537" s="24" t="str">
        <f>IF('query (2)'!H537="","",TRIM(UPPER('query (2)'!H537)))</f>
        <v>OUTER RING RACEWAY SUPER FINISH GRINDING MACHINE.</v>
      </c>
      <c r="S537" s="25" t="str">
        <f>IF('query (2)'!H537="","",'query (2)'!H537)</f>
        <v>Outer ring raceway super finish grinding machine.</v>
      </c>
      <c r="T537" s="24" t="str">
        <f>IF('query (2)'!J537="","",TRIM(UPPER('query (2)'!J537)))</f>
        <v>A - RACEWAY SUPER FINISH</v>
      </c>
      <c r="U537" s="24" t="str">
        <f t="shared" si="59"/>
        <v/>
      </c>
      <c r="V537" s="24" t="str">
        <f>IF('query (2)'!K537="","NOT_SPECIFIED",IFERROR(INDEX(Cleaning_Rules!$B$32:$B$34,MATCH(TRIM(UPPER('query (2)'!K537)),Cleaning_Rules!$A$32:$A$34,0)),"UNKNOWN"))</f>
        <v>NOT_SPECIFIED</v>
      </c>
      <c r="W537" s="24" t="str">
        <f t="shared" si="60"/>
        <v>GR-416 | FACTORY2 | WP GRINDING2 | WP | GRINDING 2 | 1407-WP2G | OTHER | OUTER RING RACEWAY SUPER FINISH GRINDING MACHINE. | A - RACEWAY SUPER FINISH | NOT_SPECIFIED</v>
      </c>
      <c r="X537" s="24" t="str">
        <f t="shared" si="61"/>
        <v/>
      </c>
      <c r="Y537" s="24" t="str">
        <f t="shared" si="62"/>
        <v>MISSING_STATUS; CATEGORY_NOT_USEFUL</v>
      </c>
    </row>
    <row r="538" spans="1:25" x14ac:dyDescent="0.3">
      <c r="A538" s="24" t="str">
        <f t="shared" si="56"/>
        <v>GR-417#0537</v>
      </c>
      <c r="B538" s="24" t="str">
        <f>IF('query (2)'!B538="","",TRIM(UPPER('query (2)'!B538)))</f>
        <v>GR-417</v>
      </c>
      <c r="C538" s="25" t="str">
        <f>IF('query (2)'!B538="","",'query (2)'!B538)</f>
        <v>GR-417</v>
      </c>
      <c r="D538" s="24" t="str">
        <f t="shared" si="57"/>
        <v>GR</v>
      </c>
      <c r="E538" s="24">
        <f t="shared" si="58"/>
        <v>1</v>
      </c>
      <c r="F538" s="24">
        <f>IF('query (2)'!A538="","",IFERROR(VALUE('query (2)'!A538),""))</f>
        <v>556</v>
      </c>
      <c r="G538" s="24" t="str">
        <f>IF('query (2)'!C538="","UNKNOWN",IFERROR(INDEX(Cleaning_Rules!$B$15:$B$20,MATCH(TRIM(UPPER('query (2)'!C538)),Cleaning_Rules!$A$15:$A$20,0)),"UNKNOWN"))</f>
        <v>FACTORY2</v>
      </c>
      <c r="H538" s="25" t="str">
        <f>IF('query (2)'!C538="","",'query (2)'!C538)</f>
        <v>FACTORY2</v>
      </c>
      <c r="I538" s="24" t="str" cm="1">
        <f t="array" ref="I538">_xlfn.IFS($G538="UNKNOWN","UNKNOWN",OR($G538="FACTORY1",$G538="FACTORY2",$G538="FACTORY3"),"PLANT",TRUE,"SHARED")</f>
        <v>PLANT</v>
      </c>
      <c r="J538" s="24" t="str">
        <f>IF('query (2)'!D538="","UNKNOWN",IF(COUNTIF(Cleaning_Rules!$A$6:$A$11,TRIM('query (2)'!D538))&gt;0,"UNKNOWN",IFERROR(INDEX(Cleaning_Rules!$B$24:$B$28,MATCH(TRIM(UPPER('query (2)'!D538)),Cleaning_Rules!$A$24:$A$28,0)),TRIM(UPPER('query (2)'!D538)))))</f>
        <v>WP GRINDING2</v>
      </c>
      <c r="K538" s="25" t="str">
        <f>IF('query (2)'!D538="","",'query (2)'!D538)</f>
        <v>WP Grinding2</v>
      </c>
      <c r="L538" s="24" t="str">
        <f>IF($J538="UNKNOWN","",_xlfn.TEXTBEFORE($J538,{"0","1","2","3","4","5","6","7","8","9"," ","-","."},1,,,$J538))</f>
        <v>WP</v>
      </c>
      <c r="M538" s="24" t="str">
        <f>IF('query (2)'!I538&lt;&gt;"",TRIM(UPPER('query (2)'!I538)),IF($L538="","UNKNOWN",$L538))</f>
        <v>WP</v>
      </c>
      <c r="N538" s="24" t="str">
        <f>IF('query (2)'!I538&lt;&gt;"","SOURCE",IF($L538="","UNKNOWN","DERIVED"))</f>
        <v>SOURCE</v>
      </c>
      <c r="O538" s="24" t="str">
        <f>IF('query (2)'!E538="","NOT_SPECIFIED",TRIM(UPPER('query (2)'!E538)))</f>
        <v>GRINDING 2</v>
      </c>
      <c r="P538" s="24" t="str">
        <f>IF('query (2)'!F538="","",TRIM(UPPER('query (2)'!F538)))</f>
        <v>1407-WP2G</v>
      </c>
      <c r="Q538" s="24" t="str">
        <f>IF('query (2)'!G538="","UNKNOWN",IFERROR(INDEX(Cleaning_Rules!$B$38:$B$46,MATCH(TRIM(UPPER('query (2)'!G538)),Cleaning_Rules!$A$38:$A$46,0)),"UNKNOWN"))</f>
        <v>OTHER</v>
      </c>
      <c r="R538" s="24" t="str">
        <f>IF('query (2)'!H538="","",TRIM(UPPER('query (2)'!H538)))</f>
        <v>SHAFT RACEWAY SUPER FINISH GRINDING MACHINE.</v>
      </c>
      <c r="S538" s="25" t="str">
        <f>IF('query (2)'!H538="","",'query (2)'!H538)</f>
        <v>Shaft raceway super finish grinding machine.</v>
      </c>
      <c r="T538" s="24" t="str">
        <f>IF('query (2)'!J538="","",TRIM(UPPER('query (2)'!J538)))</f>
        <v/>
      </c>
      <c r="U538" s="24" t="str">
        <f t="shared" si="59"/>
        <v/>
      </c>
      <c r="V538" s="24" t="str">
        <f>IF('query (2)'!K538="","NOT_SPECIFIED",IFERROR(INDEX(Cleaning_Rules!$B$32:$B$34,MATCH(TRIM(UPPER('query (2)'!K538)),Cleaning_Rules!$A$32:$A$34,0)),"UNKNOWN"))</f>
        <v>NOT_SPECIFIED</v>
      </c>
      <c r="W538" s="24" t="str">
        <f t="shared" si="60"/>
        <v>GR-417 | FACTORY2 | WP GRINDING2 | WP | GRINDING 2 | 1407-WP2G | OTHER | SHAFT RACEWAY SUPER FINISH GRINDING MACHINE. | NOT_SPECIFIED</v>
      </c>
      <c r="X538" s="24" t="str">
        <f t="shared" si="61"/>
        <v/>
      </c>
      <c r="Y538" s="24" t="str">
        <f t="shared" si="62"/>
        <v>MISSING_STATUS; CATEGORY_NOT_USEFUL; MISSING_PRODUCTION_NAME</v>
      </c>
    </row>
    <row r="539" spans="1:25" x14ac:dyDescent="0.3">
      <c r="A539" s="24" t="str">
        <f t="shared" si="56"/>
        <v>GR-418#0538</v>
      </c>
      <c r="B539" s="24" t="str">
        <f>IF('query (2)'!B539="","",TRIM(UPPER('query (2)'!B539)))</f>
        <v>GR-418</v>
      </c>
      <c r="C539" s="25" t="str">
        <f>IF('query (2)'!B539="","",'query (2)'!B539)</f>
        <v>GR-418</v>
      </c>
      <c r="D539" s="24" t="str">
        <f t="shared" si="57"/>
        <v>GR</v>
      </c>
      <c r="E539" s="24">
        <f t="shared" si="58"/>
        <v>1</v>
      </c>
      <c r="F539" s="24">
        <f>IF('query (2)'!A539="","",IFERROR(VALUE('query (2)'!A539),""))</f>
        <v>557</v>
      </c>
      <c r="G539" s="24" t="str">
        <f>IF('query (2)'!C539="","UNKNOWN",IFERROR(INDEX(Cleaning_Rules!$B$15:$B$20,MATCH(TRIM(UPPER('query (2)'!C539)),Cleaning_Rules!$A$15:$A$20,0)),"UNKNOWN"))</f>
        <v>FACTORY2</v>
      </c>
      <c r="H539" s="25" t="str">
        <f>IF('query (2)'!C539="","",'query (2)'!C539)</f>
        <v>FACTORY2</v>
      </c>
      <c r="I539" s="24" t="str" cm="1">
        <f t="array" ref="I539">_xlfn.IFS($G539="UNKNOWN","UNKNOWN",OR($G539="FACTORY1",$G539="FACTORY2",$G539="FACTORY3"),"PLANT",TRUE,"SHARED")</f>
        <v>PLANT</v>
      </c>
      <c r="J539" s="24" t="str">
        <f>IF('query (2)'!D539="","UNKNOWN",IF(COUNTIF(Cleaning_Rules!$A$6:$A$11,TRIM('query (2)'!D539))&gt;0,"UNKNOWN",IFERROR(INDEX(Cleaning_Rules!$B$24:$B$28,MATCH(TRIM(UPPER('query (2)'!D539)),Cleaning_Rules!$A$24:$A$28,0)),TRIM(UPPER('query (2)'!D539)))))</f>
        <v>WP GRINDING2</v>
      </c>
      <c r="K539" s="25" t="str">
        <f>IF('query (2)'!D539="","",'query (2)'!D539)</f>
        <v>WP Grinding2</v>
      </c>
      <c r="L539" s="24" t="str">
        <f>IF($J539="UNKNOWN","",_xlfn.TEXTBEFORE($J539,{"0","1","2","3","4","5","6","7","8","9"," ","-","."},1,,,$J539))</f>
        <v>WP</v>
      </c>
      <c r="M539" s="24" t="str">
        <f>IF('query (2)'!I539&lt;&gt;"",TRIM(UPPER('query (2)'!I539)),IF($L539="","UNKNOWN",$L539))</f>
        <v>WP</v>
      </c>
      <c r="N539" s="24" t="str">
        <f>IF('query (2)'!I539&lt;&gt;"","SOURCE",IF($L539="","UNKNOWN","DERIVED"))</f>
        <v>SOURCE</v>
      </c>
      <c r="O539" s="24" t="str">
        <f>IF('query (2)'!E539="","NOT_SPECIFIED",TRIM(UPPER('query (2)'!E539)))</f>
        <v>GRINDING 2</v>
      </c>
      <c r="P539" s="24" t="str">
        <f>IF('query (2)'!F539="","",TRIM(UPPER('query (2)'!F539)))</f>
        <v>1407-WP2G</v>
      </c>
      <c r="Q539" s="24" t="str">
        <f>IF('query (2)'!G539="","UNKNOWN",IFERROR(INDEX(Cleaning_Rules!$B$38:$B$46,MATCH(TRIM(UPPER('query (2)'!G539)),Cleaning_Rules!$A$38:$A$46,0)),"UNKNOWN"))</f>
        <v>OTHER</v>
      </c>
      <c r="R539" s="24" t="str">
        <f>IF('query (2)'!H539="","",TRIM(UPPER('query (2)'!H539)))</f>
        <v>SHAFT RACEWAY GRINDING MACHINE.</v>
      </c>
      <c r="S539" s="25" t="str">
        <f>IF('query (2)'!H539="","",'query (2)'!H539)</f>
        <v>Shaft raceway  grinding machine.</v>
      </c>
      <c r="T539" s="24" t="str">
        <f>IF('query (2)'!J539="","",TRIM(UPPER('query (2)'!J539)))</f>
        <v/>
      </c>
      <c r="U539" s="24" t="str">
        <f t="shared" si="59"/>
        <v/>
      </c>
      <c r="V539" s="24" t="str">
        <f>IF('query (2)'!K539="","NOT_SPECIFIED",IFERROR(INDEX(Cleaning_Rules!$B$32:$B$34,MATCH(TRIM(UPPER('query (2)'!K539)),Cleaning_Rules!$A$32:$A$34,0)),"UNKNOWN"))</f>
        <v>NOT_SPECIFIED</v>
      </c>
      <c r="W539" s="24" t="str">
        <f t="shared" si="60"/>
        <v>GR-418 | FACTORY2 | WP GRINDING2 | WP | GRINDING 2 | 1407-WP2G | OTHER | SHAFT RACEWAY GRINDING MACHINE. | NOT_SPECIFIED</v>
      </c>
      <c r="X539" s="24" t="str">
        <f t="shared" si="61"/>
        <v/>
      </c>
      <c r="Y539" s="24" t="str">
        <f t="shared" si="62"/>
        <v>MISSING_STATUS; CATEGORY_NOT_USEFUL; MISSING_PRODUCTION_NAME</v>
      </c>
    </row>
    <row r="540" spans="1:25" x14ac:dyDescent="0.3">
      <c r="A540" s="24" t="str">
        <f t="shared" si="56"/>
        <v>GR-419#0539</v>
      </c>
      <c r="B540" s="24" t="str">
        <f>IF('query (2)'!B540="","",TRIM(UPPER('query (2)'!B540)))</f>
        <v>GR-419</v>
      </c>
      <c r="C540" s="25" t="str">
        <f>IF('query (2)'!B540="","",'query (2)'!B540)</f>
        <v>GR-419</v>
      </c>
      <c r="D540" s="24" t="str">
        <f t="shared" si="57"/>
        <v>GR</v>
      </c>
      <c r="E540" s="24">
        <f t="shared" si="58"/>
        <v>1</v>
      </c>
      <c r="F540" s="24">
        <f>IF('query (2)'!A540="","",IFERROR(VALUE('query (2)'!A540),""))</f>
        <v>558</v>
      </c>
      <c r="G540" s="24" t="str">
        <f>IF('query (2)'!C540="","UNKNOWN",IFERROR(INDEX(Cleaning_Rules!$B$15:$B$20,MATCH(TRIM(UPPER('query (2)'!C540)),Cleaning_Rules!$A$15:$A$20,0)),"UNKNOWN"))</f>
        <v>FACTORY2</v>
      </c>
      <c r="H540" s="25" t="str">
        <f>IF('query (2)'!C540="","",'query (2)'!C540)</f>
        <v>FACTORY2</v>
      </c>
      <c r="I540" s="24" t="str" cm="1">
        <f t="array" ref="I540">_xlfn.IFS($G540="UNKNOWN","UNKNOWN",OR($G540="FACTORY1",$G540="FACTORY2",$G540="FACTORY3"),"PLANT",TRUE,"SHARED")</f>
        <v>PLANT</v>
      </c>
      <c r="J540" s="24" t="str">
        <f>IF('query (2)'!D540="","UNKNOWN",IF(COUNTIF(Cleaning_Rules!$A$6:$A$11,TRIM('query (2)'!D540))&gt;0,"UNKNOWN",IFERROR(INDEX(Cleaning_Rules!$B$24:$B$28,MATCH(TRIM(UPPER('query (2)'!D540)),Cleaning_Rules!$A$24:$A$28,0)),TRIM(UPPER('query (2)'!D540)))))</f>
        <v>WP GRINDING2</v>
      </c>
      <c r="K540" s="25" t="str">
        <f>IF('query (2)'!D540="","",'query (2)'!D540)</f>
        <v>WP Grinding2</v>
      </c>
      <c r="L540" s="24" t="str">
        <f>IF($J540="UNKNOWN","",_xlfn.TEXTBEFORE($J540,{"0","1","2","3","4","5","6","7","8","9"," ","-","."},1,,,$J540))</f>
        <v>WP</v>
      </c>
      <c r="M540" s="24" t="str">
        <f>IF('query (2)'!I540&lt;&gt;"",TRIM(UPPER('query (2)'!I540)),IF($L540="","UNKNOWN",$L540))</f>
        <v>WP</v>
      </c>
      <c r="N540" s="24" t="str">
        <f>IF('query (2)'!I540&lt;&gt;"","SOURCE",IF($L540="","UNKNOWN","DERIVED"))</f>
        <v>SOURCE</v>
      </c>
      <c r="O540" s="24" t="str">
        <f>IF('query (2)'!E540="","NOT_SPECIFIED",TRIM(UPPER('query (2)'!E540)))</f>
        <v>GRINDING 2</v>
      </c>
      <c r="P540" s="24" t="str">
        <f>IF('query (2)'!F540="","",TRIM(UPPER('query (2)'!F540)))</f>
        <v>1407-WP2G</v>
      </c>
      <c r="Q540" s="24" t="str">
        <f>IF('query (2)'!G540="","UNKNOWN",IFERROR(INDEX(Cleaning_Rules!$B$38:$B$46,MATCH(TRIM(UPPER('query (2)'!G540)),Cleaning_Rules!$A$38:$A$46,0)),"UNKNOWN"))</f>
        <v>OTHER</v>
      </c>
      <c r="R540" s="24" t="str">
        <f>IF('query (2)'!H540="","",TRIM(UPPER('query (2)'!H540)))</f>
        <v>SHAFT FRONT O.D.GRINDING MACHINE.</v>
      </c>
      <c r="S540" s="25" t="str">
        <f>IF('query (2)'!H540="","",'query (2)'!H540)</f>
        <v>Shaft front O.D.grinding machine.</v>
      </c>
      <c r="T540" s="24" t="str">
        <f>IF('query (2)'!J540="","",TRIM(UPPER('query (2)'!J540)))</f>
        <v/>
      </c>
      <c r="U540" s="24" t="str">
        <f t="shared" si="59"/>
        <v/>
      </c>
      <c r="V540" s="24" t="str">
        <f>IF('query (2)'!K540="","NOT_SPECIFIED",IFERROR(INDEX(Cleaning_Rules!$B$32:$B$34,MATCH(TRIM(UPPER('query (2)'!K540)),Cleaning_Rules!$A$32:$A$34,0)),"UNKNOWN"))</f>
        <v>NOT_SPECIFIED</v>
      </c>
      <c r="W540" s="24" t="str">
        <f t="shared" si="60"/>
        <v>GR-419 | FACTORY2 | WP GRINDING2 | WP | GRINDING 2 | 1407-WP2G | OTHER | SHAFT FRONT O.D.GRINDING MACHINE. | NOT_SPECIFIED</v>
      </c>
      <c r="X540" s="24" t="str">
        <f t="shared" si="61"/>
        <v/>
      </c>
      <c r="Y540" s="24" t="str">
        <f t="shared" si="62"/>
        <v>MISSING_STATUS; CATEGORY_NOT_USEFUL; MISSING_PRODUCTION_NAME</v>
      </c>
    </row>
    <row r="541" spans="1:25" x14ac:dyDescent="0.3">
      <c r="A541" s="24" t="str">
        <f t="shared" si="56"/>
        <v>GR-423#0540</v>
      </c>
      <c r="B541" s="24" t="str">
        <f>IF('query (2)'!B541="","",TRIM(UPPER('query (2)'!B541)))</f>
        <v>GR-423</v>
      </c>
      <c r="C541" s="25" t="str">
        <f>IF('query (2)'!B541="","",'query (2)'!B541)</f>
        <v>GR-423</v>
      </c>
      <c r="D541" s="24" t="str">
        <f t="shared" si="57"/>
        <v>GR</v>
      </c>
      <c r="E541" s="24">
        <f t="shared" si="58"/>
        <v>1</v>
      </c>
      <c r="F541" s="24">
        <f>IF('query (2)'!A541="","",IFERROR(VALUE('query (2)'!A541),""))</f>
        <v>559</v>
      </c>
      <c r="G541" s="24" t="str">
        <f>IF('query (2)'!C541="","UNKNOWN",IFERROR(INDEX(Cleaning_Rules!$B$15:$B$20,MATCH(TRIM(UPPER('query (2)'!C541)),Cleaning_Rules!$A$15:$A$20,0)),"UNKNOWN"))</f>
        <v>FACTORY2</v>
      </c>
      <c r="H541" s="25" t="str">
        <f>IF('query (2)'!C541="","",'query (2)'!C541)</f>
        <v>FACTORY2</v>
      </c>
      <c r="I541" s="24" t="str" cm="1">
        <f t="array" ref="I541">_xlfn.IFS($G541="UNKNOWN","UNKNOWN",OR($G541="FACTORY1",$G541="FACTORY2",$G541="FACTORY3"),"PLANT",TRUE,"SHARED")</f>
        <v>PLANT</v>
      </c>
      <c r="J541" s="24" t="str">
        <f>IF('query (2)'!D541="","UNKNOWN",IF(COUNTIF(Cleaning_Rules!$A$6:$A$11,TRIM('query (2)'!D541))&gt;0,"UNKNOWN",IFERROR(INDEX(Cleaning_Rules!$B$24:$B$28,MATCH(TRIM(UPPER('query (2)'!D541)),Cleaning_Rules!$A$24:$A$28,0)),TRIM(UPPER('query (2)'!D541)))))</f>
        <v>WP GRINDING2</v>
      </c>
      <c r="K541" s="25" t="str">
        <f>IF('query (2)'!D541="","",'query (2)'!D541)</f>
        <v>WP Grinding2</v>
      </c>
      <c r="L541" s="24" t="str">
        <f>IF($J541="UNKNOWN","",_xlfn.TEXTBEFORE($J541,{"0","1","2","3","4","5","6","7","8","9"," ","-","."},1,,,$J541))</f>
        <v>WP</v>
      </c>
      <c r="M541" s="24" t="str">
        <f>IF('query (2)'!I541&lt;&gt;"",TRIM(UPPER('query (2)'!I541)),IF($L541="","UNKNOWN",$L541))</f>
        <v>WP</v>
      </c>
      <c r="N541" s="24" t="str">
        <f>IF('query (2)'!I541&lt;&gt;"","SOURCE",IF($L541="","UNKNOWN","DERIVED"))</f>
        <v>SOURCE</v>
      </c>
      <c r="O541" s="24" t="str">
        <f>IF('query (2)'!E541="","NOT_SPECIFIED",TRIM(UPPER('query (2)'!E541)))</f>
        <v>GRINDING 2</v>
      </c>
      <c r="P541" s="24" t="str">
        <f>IF('query (2)'!F541="","",TRIM(UPPER('query (2)'!F541)))</f>
        <v>1407-WP2G</v>
      </c>
      <c r="Q541" s="24" t="str">
        <f>IF('query (2)'!G541="","UNKNOWN",IFERROR(INDEX(Cleaning_Rules!$B$38:$B$46,MATCH(TRIM(UPPER('query (2)'!G541)),Cleaning_Rules!$A$38:$A$46,0)),"UNKNOWN"))</f>
        <v>OTHER</v>
      </c>
      <c r="R541" s="24" t="str">
        <f>IF('query (2)'!H541="","",TRIM(UPPER('query (2)'!H541)))</f>
        <v>OUTER RING RACEWAY GRINDING MACHINE.</v>
      </c>
      <c r="S541" s="25" t="str">
        <f>IF('query (2)'!H541="","",'query (2)'!H541)</f>
        <v>Outer ring raceway grinding machine.</v>
      </c>
      <c r="T541" s="24" t="str">
        <f>IF('query (2)'!J541="","",TRIM(UPPER('query (2)'!J541)))</f>
        <v>A - RACEWAY GRINDING</v>
      </c>
      <c r="U541" s="24" t="str">
        <f t="shared" si="59"/>
        <v/>
      </c>
      <c r="V541" s="24" t="str">
        <f>IF('query (2)'!K541="","NOT_SPECIFIED",IFERROR(INDEX(Cleaning_Rules!$B$32:$B$34,MATCH(TRIM(UPPER('query (2)'!K541)),Cleaning_Rules!$A$32:$A$34,0)),"UNKNOWN"))</f>
        <v>NOT_SPECIFIED</v>
      </c>
      <c r="W541" s="24" t="str">
        <f t="shared" si="60"/>
        <v>GR-423 | FACTORY2 | WP GRINDING2 | WP | GRINDING 2 | 1407-WP2G | OTHER | OUTER RING RACEWAY GRINDING MACHINE. | A - RACEWAY GRINDING | NOT_SPECIFIED</v>
      </c>
      <c r="X541" s="24" t="str">
        <f t="shared" si="61"/>
        <v/>
      </c>
      <c r="Y541" s="24" t="str">
        <f t="shared" si="62"/>
        <v>MISSING_STATUS; CATEGORY_NOT_USEFUL</v>
      </c>
    </row>
    <row r="542" spans="1:25" x14ac:dyDescent="0.3">
      <c r="A542" s="24" t="str">
        <f t="shared" si="56"/>
        <v>GR-237#0541</v>
      </c>
      <c r="B542" s="24" t="str">
        <f>IF('query (2)'!B542="","",TRIM(UPPER('query (2)'!B542)))</f>
        <v>GR-237</v>
      </c>
      <c r="C542" s="25" t="str">
        <f>IF('query (2)'!B542="","",'query (2)'!B542)</f>
        <v>GR-237</v>
      </c>
      <c r="D542" s="24" t="str">
        <f t="shared" si="57"/>
        <v>GR</v>
      </c>
      <c r="E542" s="24">
        <f t="shared" si="58"/>
        <v>1</v>
      </c>
      <c r="F542" s="24">
        <f>IF('query (2)'!A542="","",IFERROR(VALUE('query (2)'!A542),""))</f>
        <v>560</v>
      </c>
      <c r="G542" s="24" t="str">
        <f>IF('query (2)'!C542="","UNKNOWN",IFERROR(INDEX(Cleaning_Rules!$B$15:$B$20,MATCH(TRIM(UPPER('query (2)'!C542)),Cleaning_Rules!$A$15:$A$20,0)),"UNKNOWN"))</f>
        <v>FACTORY2</v>
      </c>
      <c r="H542" s="25" t="str">
        <f>IF('query (2)'!C542="","",'query (2)'!C542)</f>
        <v>FACTORY2</v>
      </c>
      <c r="I542" s="24" t="str" cm="1">
        <f t="array" ref="I542">_xlfn.IFS($G542="UNKNOWN","UNKNOWN",OR($G542="FACTORY1",$G542="FACTORY2",$G542="FACTORY3"),"PLANT",TRUE,"SHARED")</f>
        <v>PLANT</v>
      </c>
      <c r="J542" s="24" t="str">
        <f>IF('query (2)'!D542="","UNKNOWN",IF(COUNTIF(Cleaning_Rules!$A$6:$A$11,TRIM('query (2)'!D542))&gt;0,"UNKNOWN",IFERROR(INDEX(Cleaning_Rules!$B$24:$B$28,MATCH(TRIM(UPPER('query (2)'!D542)),Cleaning_Rules!$A$24:$A$28,0)),TRIM(UPPER('query (2)'!D542)))))</f>
        <v>WP GRINDING2</v>
      </c>
      <c r="K542" s="25" t="str">
        <f>IF('query (2)'!D542="","",'query (2)'!D542)</f>
        <v>WP Grinding2</v>
      </c>
      <c r="L542" s="24" t="str">
        <f>IF($J542="UNKNOWN","",_xlfn.TEXTBEFORE($J542,{"0","1","2","3","4","5","6","7","8","9"," ","-","."},1,,,$J542))</f>
        <v>WP</v>
      </c>
      <c r="M542" s="24" t="str">
        <f>IF('query (2)'!I542&lt;&gt;"",TRIM(UPPER('query (2)'!I542)),IF($L542="","UNKNOWN",$L542))</f>
        <v>WP</v>
      </c>
      <c r="N542" s="24" t="str">
        <f>IF('query (2)'!I542&lt;&gt;"","SOURCE",IF($L542="","UNKNOWN","DERIVED"))</f>
        <v>SOURCE</v>
      </c>
      <c r="O542" s="24" t="str">
        <f>IF('query (2)'!E542="","NOT_SPECIFIED",TRIM(UPPER('query (2)'!E542)))</f>
        <v>GRINDING 2</v>
      </c>
      <c r="P542" s="24" t="str">
        <f>IF('query (2)'!F542="","",TRIM(UPPER('query (2)'!F542)))</f>
        <v>1407-WP2G</v>
      </c>
      <c r="Q542" s="24" t="str">
        <f>IF('query (2)'!G542="","UNKNOWN",IFERROR(INDEX(Cleaning_Rules!$B$38:$B$46,MATCH(TRIM(UPPER('query (2)'!G542)),Cleaning_Rules!$A$38:$A$46,0)),"UNKNOWN"))</f>
        <v>OTHER</v>
      </c>
      <c r="R542" s="24" t="str">
        <f>IF('query (2)'!H542="","",TRIM(UPPER('query (2)'!H542)))</f>
        <v>SHAFT REAR O.D. GRINDING M/C</v>
      </c>
      <c r="S542" s="25" t="str">
        <f>IF('query (2)'!H542="","",'query (2)'!H542)</f>
        <v>Shaft rear  O.D.  Grinding  M/C</v>
      </c>
      <c r="T542" s="24" t="str">
        <f>IF('query (2)'!J542="","",TRIM(UPPER('query (2)'!J542)))</f>
        <v/>
      </c>
      <c r="U542" s="24" t="str">
        <f t="shared" si="59"/>
        <v/>
      </c>
      <c r="V542" s="24" t="str">
        <f>IF('query (2)'!K542="","NOT_SPECIFIED",IFERROR(INDEX(Cleaning_Rules!$B$32:$B$34,MATCH(TRIM(UPPER('query (2)'!K542)),Cleaning_Rules!$A$32:$A$34,0)),"UNKNOWN"))</f>
        <v>NOT_SPECIFIED</v>
      </c>
      <c r="W542" s="24" t="str">
        <f t="shared" si="60"/>
        <v>GR-237 | FACTORY2 | WP GRINDING2 | WP | GRINDING 2 | 1407-WP2G | OTHER | SHAFT REAR O.D. GRINDING M/C | NOT_SPECIFIED</v>
      </c>
      <c r="X542" s="24" t="str">
        <f t="shared" si="61"/>
        <v/>
      </c>
      <c r="Y542" s="24" t="str">
        <f t="shared" si="62"/>
        <v>MISSING_STATUS; CATEGORY_NOT_USEFUL; MISSING_PRODUCTION_NAME</v>
      </c>
    </row>
    <row r="543" spans="1:25" x14ac:dyDescent="0.3">
      <c r="A543" s="24" t="str">
        <f t="shared" si="56"/>
        <v>WA-1019#0542</v>
      </c>
      <c r="B543" s="24" t="str">
        <f>IF('query (2)'!B543="","",TRIM(UPPER('query (2)'!B543)))</f>
        <v>WA-1019</v>
      </c>
      <c r="C543" s="25" t="str">
        <f>IF('query (2)'!B543="","",'query (2)'!B543)</f>
        <v>WA-1019</v>
      </c>
      <c r="D543" s="24" t="str">
        <f t="shared" si="57"/>
        <v>WA</v>
      </c>
      <c r="E543" s="24">
        <f t="shared" si="58"/>
        <v>1</v>
      </c>
      <c r="F543" s="24">
        <f>IF('query (2)'!A543="","",IFERROR(VALUE('query (2)'!A543),""))</f>
        <v>561</v>
      </c>
      <c r="G543" s="24" t="str">
        <f>IF('query (2)'!C543="","UNKNOWN",IFERROR(INDEX(Cleaning_Rules!$B$15:$B$20,MATCH(TRIM(UPPER('query (2)'!C543)),Cleaning_Rules!$A$15:$A$20,0)),"UNKNOWN"))</f>
        <v>FACTORY2</v>
      </c>
      <c r="H543" s="25" t="str">
        <f>IF('query (2)'!C543="","",'query (2)'!C543)</f>
        <v>FACTORY2</v>
      </c>
      <c r="I543" s="24" t="str" cm="1">
        <f t="array" ref="I543">_xlfn.IFS($G543="UNKNOWN","UNKNOWN",OR($G543="FACTORY1",$G543="FACTORY2",$G543="FACTORY3"),"PLANT",TRUE,"SHARED")</f>
        <v>PLANT</v>
      </c>
      <c r="J543" s="24" t="str">
        <f>IF('query (2)'!D543="","UNKNOWN",IF(COUNTIF(Cleaning_Rules!$A$6:$A$11,TRIM('query (2)'!D543))&gt;0,"UNKNOWN",IFERROR(INDEX(Cleaning_Rules!$B$24:$B$28,MATCH(TRIM(UPPER('query (2)'!D543)),Cleaning_Rules!$A$24:$A$28,0)),TRIM(UPPER('query (2)'!D543)))))</f>
        <v>WP GRINDING2</v>
      </c>
      <c r="K543" s="25" t="str">
        <f>IF('query (2)'!D543="","",'query (2)'!D543)</f>
        <v>WP Grinding2</v>
      </c>
      <c r="L543" s="24" t="str">
        <f>IF($J543="UNKNOWN","",_xlfn.TEXTBEFORE($J543,{"0","1","2","3","4","5","6","7","8","9"," ","-","."},1,,,$J543))</f>
        <v>WP</v>
      </c>
      <c r="M543" s="24" t="str">
        <f>IF('query (2)'!I543&lt;&gt;"",TRIM(UPPER('query (2)'!I543)),IF($L543="","UNKNOWN",$L543))</f>
        <v>WP</v>
      </c>
      <c r="N543" s="24" t="str">
        <f>IF('query (2)'!I543&lt;&gt;"","SOURCE",IF($L543="","UNKNOWN","DERIVED"))</f>
        <v>SOURCE</v>
      </c>
      <c r="O543" s="24" t="str">
        <f>IF('query (2)'!E543="","NOT_SPECIFIED",TRIM(UPPER('query (2)'!E543)))</f>
        <v>GRINDING 2</v>
      </c>
      <c r="P543" s="24" t="str">
        <f>IF('query (2)'!F543="","",TRIM(UPPER('query (2)'!F543)))</f>
        <v>1407-WP2G</v>
      </c>
      <c r="Q543" s="24" t="str">
        <f>IF('query (2)'!G543="","UNKNOWN",IFERROR(INDEX(Cleaning_Rules!$B$38:$B$46,MATCH(TRIM(UPPER('query (2)'!G543)),Cleaning_Rules!$A$38:$A$46,0)),"UNKNOWN"))</f>
        <v>OTHER</v>
      </c>
      <c r="R543" s="24" t="str">
        <f>IF('query (2)'!H543="","",TRIM(UPPER('query (2)'!H543)))</f>
        <v>PART WASHING M/C</v>
      </c>
      <c r="S543" s="25" t="str">
        <f>IF('query (2)'!H543="","",'query (2)'!H543)</f>
        <v>Part washing M/C</v>
      </c>
      <c r="T543" s="24" t="str">
        <f>IF('query (2)'!J543="","",TRIM(UPPER('query (2)'!J543)))</f>
        <v/>
      </c>
      <c r="U543" s="24" t="str">
        <f t="shared" si="59"/>
        <v/>
      </c>
      <c r="V543" s="24" t="str">
        <f>IF('query (2)'!K543="","NOT_SPECIFIED",IFERROR(INDEX(Cleaning_Rules!$B$32:$B$34,MATCH(TRIM(UPPER('query (2)'!K543)),Cleaning_Rules!$A$32:$A$34,0)),"UNKNOWN"))</f>
        <v>NOT_SPECIFIED</v>
      </c>
      <c r="W543" s="24" t="str">
        <f t="shared" si="60"/>
        <v>WA-1019 | FACTORY2 | WP GRINDING2 | WP | GRINDING 2 | 1407-WP2G | OTHER | PART WASHING M/C | NOT_SPECIFIED</v>
      </c>
      <c r="X543" s="24" t="str">
        <f t="shared" si="61"/>
        <v/>
      </c>
      <c r="Y543" s="24" t="str">
        <f t="shared" si="62"/>
        <v>MISSING_STATUS; CATEGORY_NOT_USEFUL; MISSING_PRODUCTION_NAME</v>
      </c>
    </row>
    <row r="544" spans="1:25" x14ac:dyDescent="0.3">
      <c r="A544" s="24" t="str">
        <f t="shared" si="56"/>
        <v>GR-917#0543</v>
      </c>
      <c r="B544" s="24" t="str">
        <f>IF('query (2)'!B544="","",TRIM(UPPER('query (2)'!B544)))</f>
        <v>GR-917</v>
      </c>
      <c r="C544" s="25" t="str">
        <f>IF('query (2)'!B544="","",'query (2)'!B544)</f>
        <v>GR-917</v>
      </c>
      <c r="D544" s="24" t="str">
        <f t="shared" si="57"/>
        <v>GR</v>
      </c>
      <c r="E544" s="24">
        <f t="shared" si="58"/>
        <v>1</v>
      </c>
      <c r="F544" s="24">
        <f>IF('query (2)'!A544="","",IFERROR(VALUE('query (2)'!A544),""))</f>
        <v>562</v>
      </c>
      <c r="G544" s="24" t="str">
        <f>IF('query (2)'!C544="","UNKNOWN",IFERROR(INDEX(Cleaning_Rules!$B$15:$B$20,MATCH(TRIM(UPPER('query (2)'!C544)),Cleaning_Rules!$A$15:$A$20,0)),"UNKNOWN"))</f>
        <v>FACTORY2</v>
      </c>
      <c r="H544" s="25" t="str">
        <f>IF('query (2)'!C544="","",'query (2)'!C544)</f>
        <v>FACTORY2</v>
      </c>
      <c r="I544" s="24" t="str" cm="1">
        <f t="array" ref="I544">_xlfn.IFS($G544="UNKNOWN","UNKNOWN",OR($G544="FACTORY1",$G544="FACTORY2",$G544="FACTORY3"),"PLANT",TRUE,"SHARED")</f>
        <v>PLANT</v>
      </c>
      <c r="J544" s="24" t="str">
        <f>IF('query (2)'!D544="","UNKNOWN",IF(COUNTIF(Cleaning_Rules!$A$6:$A$11,TRIM('query (2)'!D544))&gt;0,"UNKNOWN",IFERROR(INDEX(Cleaning_Rules!$B$24:$B$28,MATCH(TRIM(UPPER('query (2)'!D544)),Cleaning_Rules!$A$24:$A$28,0)),TRIM(UPPER('query (2)'!D544)))))</f>
        <v>WP GRINDING3</v>
      </c>
      <c r="K544" s="25" t="str">
        <f>IF('query (2)'!D544="","",'query (2)'!D544)</f>
        <v>WP Grinding3</v>
      </c>
      <c r="L544" s="24" t="str">
        <f>IF($J544="UNKNOWN","",_xlfn.TEXTBEFORE($J544,{"0","1","2","3","4","5","6","7","8","9"," ","-","."},1,,,$J544))</f>
        <v>WP</v>
      </c>
      <c r="M544" s="24" t="str">
        <f>IF('query (2)'!I544&lt;&gt;"",TRIM(UPPER('query (2)'!I544)),IF($L544="","UNKNOWN",$L544))</f>
        <v>WP</v>
      </c>
      <c r="N544" s="24" t="str">
        <f>IF('query (2)'!I544&lt;&gt;"","SOURCE",IF($L544="","UNKNOWN","DERIVED"))</f>
        <v>SOURCE</v>
      </c>
      <c r="O544" s="24" t="str">
        <f>IF('query (2)'!E544="","NOT_SPECIFIED",TRIM(UPPER('query (2)'!E544)))</f>
        <v>GRINDING 2</v>
      </c>
      <c r="P544" s="24" t="str">
        <f>IF('query (2)'!F544="","",TRIM(UPPER('query (2)'!F544)))</f>
        <v>1408-WP3G</v>
      </c>
      <c r="Q544" s="24" t="str">
        <f>IF('query (2)'!G544="","UNKNOWN",IFERROR(INDEX(Cleaning_Rules!$B$38:$B$46,MATCH(TRIM(UPPER('query (2)'!G544)),Cleaning_Rules!$A$38:$A$46,0)),"UNKNOWN"))</f>
        <v>OTHER</v>
      </c>
      <c r="R544" s="24" t="str">
        <f>IF('query (2)'!H544="","",TRIM(UPPER('query (2)'!H544)))</f>
        <v>OUTER RING RACEWAY SUPER FINISHING M/C</v>
      </c>
      <c r="S544" s="25" t="str">
        <f>IF('query (2)'!H544="","",'query (2)'!H544)</f>
        <v>Outer ring raceway super finishing M/C</v>
      </c>
      <c r="T544" s="24" t="str">
        <f>IF('query (2)'!J544="","",TRIM(UPPER('query (2)'!J544)))</f>
        <v>A - RACEWAY SUPER FINISH</v>
      </c>
      <c r="U544" s="24" t="str">
        <f t="shared" si="59"/>
        <v/>
      </c>
      <c r="V544" s="24" t="str">
        <f>IF('query (2)'!K544="","NOT_SPECIFIED",IFERROR(INDEX(Cleaning_Rules!$B$32:$B$34,MATCH(TRIM(UPPER('query (2)'!K544)),Cleaning_Rules!$A$32:$A$34,0)),"UNKNOWN"))</f>
        <v>NOT_SPECIFIED</v>
      </c>
      <c r="W544" s="24" t="str">
        <f t="shared" si="60"/>
        <v>GR-917 | FACTORY2 | WP GRINDING3 | WP | GRINDING 2 | 1408-WP3G | OTHER | OUTER RING RACEWAY SUPER FINISHING M/C | A - RACEWAY SUPER FINISH | NOT_SPECIFIED</v>
      </c>
      <c r="X544" s="24" t="str">
        <f t="shared" si="61"/>
        <v/>
      </c>
      <c r="Y544" s="24" t="str">
        <f t="shared" si="62"/>
        <v>MISSING_STATUS; CATEGORY_NOT_USEFUL</v>
      </c>
    </row>
    <row r="545" spans="1:25" x14ac:dyDescent="0.3">
      <c r="A545" s="24" t="str">
        <f t="shared" si="56"/>
        <v>GR-918#0544</v>
      </c>
      <c r="B545" s="24" t="str">
        <f>IF('query (2)'!B545="","",TRIM(UPPER('query (2)'!B545)))</f>
        <v>GR-918</v>
      </c>
      <c r="C545" s="25" t="str">
        <f>IF('query (2)'!B545="","",'query (2)'!B545)</f>
        <v>GR-918</v>
      </c>
      <c r="D545" s="24" t="str">
        <f t="shared" si="57"/>
        <v>GR</v>
      </c>
      <c r="E545" s="24">
        <f t="shared" si="58"/>
        <v>1</v>
      </c>
      <c r="F545" s="24">
        <f>IF('query (2)'!A545="","",IFERROR(VALUE('query (2)'!A545),""))</f>
        <v>563</v>
      </c>
      <c r="G545" s="24" t="str">
        <f>IF('query (2)'!C545="","UNKNOWN",IFERROR(INDEX(Cleaning_Rules!$B$15:$B$20,MATCH(TRIM(UPPER('query (2)'!C545)),Cleaning_Rules!$A$15:$A$20,0)),"UNKNOWN"))</f>
        <v>FACTORY2</v>
      </c>
      <c r="H545" s="25" t="str">
        <f>IF('query (2)'!C545="","",'query (2)'!C545)</f>
        <v>FACTORY2</v>
      </c>
      <c r="I545" s="24" t="str" cm="1">
        <f t="array" ref="I545">_xlfn.IFS($G545="UNKNOWN","UNKNOWN",OR($G545="FACTORY1",$G545="FACTORY2",$G545="FACTORY3"),"PLANT",TRUE,"SHARED")</f>
        <v>PLANT</v>
      </c>
      <c r="J545" s="24" t="str">
        <f>IF('query (2)'!D545="","UNKNOWN",IF(COUNTIF(Cleaning_Rules!$A$6:$A$11,TRIM('query (2)'!D545))&gt;0,"UNKNOWN",IFERROR(INDEX(Cleaning_Rules!$B$24:$B$28,MATCH(TRIM(UPPER('query (2)'!D545)),Cleaning_Rules!$A$24:$A$28,0)),TRIM(UPPER('query (2)'!D545)))))</f>
        <v>WP GRINDING3</v>
      </c>
      <c r="K545" s="25" t="str">
        <f>IF('query (2)'!D545="","",'query (2)'!D545)</f>
        <v>WP Grinding3</v>
      </c>
      <c r="L545" s="24" t="str">
        <f>IF($J545="UNKNOWN","",_xlfn.TEXTBEFORE($J545,{"0","1","2","3","4","5","6","7","8","9"," ","-","."},1,,,$J545))</f>
        <v>WP</v>
      </c>
      <c r="M545" s="24" t="str">
        <f>IF('query (2)'!I545&lt;&gt;"",TRIM(UPPER('query (2)'!I545)),IF($L545="","UNKNOWN",$L545))</f>
        <v>WP</v>
      </c>
      <c r="N545" s="24" t="str">
        <f>IF('query (2)'!I545&lt;&gt;"","SOURCE",IF($L545="","UNKNOWN","DERIVED"))</f>
        <v>SOURCE</v>
      </c>
      <c r="O545" s="24" t="str">
        <f>IF('query (2)'!E545="","NOT_SPECIFIED",TRIM(UPPER('query (2)'!E545)))</f>
        <v>GRINDING 2</v>
      </c>
      <c r="P545" s="24" t="str">
        <f>IF('query (2)'!F545="","",TRIM(UPPER('query (2)'!F545)))</f>
        <v>1408-WP3G</v>
      </c>
      <c r="Q545" s="24" t="str">
        <f>IF('query (2)'!G545="","UNKNOWN",IFERROR(INDEX(Cleaning_Rules!$B$38:$B$46,MATCH(TRIM(UPPER('query (2)'!G545)),Cleaning_Rules!$A$38:$A$46,0)),"UNKNOWN"))</f>
        <v>OTHER</v>
      </c>
      <c r="R545" s="24" t="str">
        <f>IF('query (2)'!H545="","",TRIM(UPPER('query (2)'!H545)))</f>
        <v>SHAFT OUTER DAIMETER GRINDING M/C</v>
      </c>
      <c r="S545" s="25" t="str">
        <f>IF('query (2)'!H545="","",'query (2)'!H545)</f>
        <v>Shaft outer daimeter grinding M/C</v>
      </c>
      <c r="T545" s="24" t="str">
        <f>IF('query (2)'!J545="","",TRIM(UPPER('query (2)'!J545)))</f>
        <v/>
      </c>
      <c r="U545" s="24" t="str">
        <f t="shared" si="59"/>
        <v/>
      </c>
      <c r="V545" s="24" t="str">
        <f>IF('query (2)'!K545="","NOT_SPECIFIED",IFERROR(INDEX(Cleaning_Rules!$B$32:$B$34,MATCH(TRIM(UPPER('query (2)'!K545)),Cleaning_Rules!$A$32:$A$34,0)),"UNKNOWN"))</f>
        <v>NOT_SPECIFIED</v>
      </c>
      <c r="W545" s="24" t="str">
        <f t="shared" si="60"/>
        <v>GR-918 | FACTORY2 | WP GRINDING3 | WP | GRINDING 2 | 1408-WP3G | OTHER | SHAFT OUTER DAIMETER GRINDING M/C | NOT_SPECIFIED</v>
      </c>
      <c r="X545" s="24" t="str">
        <f t="shared" si="61"/>
        <v/>
      </c>
      <c r="Y545" s="24" t="str">
        <f t="shared" si="62"/>
        <v>MISSING_STATUS; CATEGORY_NOT_USEFUL; MISSING_PRODUCTION_NAME</v>
      </c>
    </row>
    <row r="546" spans="1:25" x14ac:dyDescent="0.3">
      <c r="A546" s="24" t="str">
        <f t="shared" si="56"/>
        <v>GR-919#0545</v>
      </c>
      <c r="B546" s="24" t="str">
        <f>IF('query (2)'!B546="","",TRIM(UPPER('query (2)'!B546)))</f>
        <v>GR-919</v>
      </c>
      <c r="C546" s="25" t="str">
        <f>IF('query (2)'!B546="","",'query (2)'!B546)</f>
        <v>GR-919</v>
      </c>
      <c r="D546" s="24" t="str">
        <f t="shared" si="57"/>
        <v>GR</v>
      </c>
      <c r="E546" s="24">
        <f t="shared" si="58"/>
        <v>1</v>
      </c>
      <c r="F546" s="24">
        <f>IF('query (2)'!A546="","",IFERROR(VALUE('query (2)'!A546),""))</f>
        <v>564</v>
      </c>
      <c r="G546" s="24" t="str">
        <f>IF('query (2)'!C546="","UNKNOWN",IFERROR(INDEX(Cleaning_Rules!$B$15:$B$20,MATCH(TRIM(UPPER('query (2)'!C546)),Cleaning_Rules!$A$15:$A$20,0)),"UNKNOWN"))</f>
        <v>FACTORY2</v>
      </c>
      <c r="H546" s="25" t="str">
        <f>IF('query (2)'!C546="","",'query (2)'!C546)</f>
        <v>FACTORY2</v>
      </c>
      <c r="I546" s="24" t="str" cm="1">
        <f t="array" ref="I546">_xlfn.IFS($G546="UNKNOWN","UNKNOWN",OR($G546="FACTORY1",$G546="FACTORY2",$G546="FACTORY3"),"PLANT",TRUE,"SHARED")</f>
        <v>PLANT</v>
      </c>
      <c r="J546" s="24" t="str">
        <f>IF('query (2)'!D546="","UNKNOWN",IF(COUNTIF(Cleaning_Rules!$A$6:$A$11,TRIM('query (2)'!D546))&gt;0,"UNKNOWN",IFERROR(INDEX(Cleaning_Rules!$B$24:$B$28,MATCH(TRIM(UPPER('query (2)'!D546)),Cleaning_Rules!$A$24:$A$28,0)),TRIM(UPPER('query (2)'!D546)))))</f>
        <v>WP GRINDING3</v>
      </c>
      <c r="K546" s="25" t="str">
        <f>IF('query (2)'!D546="","",'query (2)'!D546)</f>
        <v>WP Grinding3</v>
      </c>
      <c r="L546" s="24" t="str">
        <f>IF($J546="UNKNOWN","",_xlfn.TEXTBEFORE($J546,{"0","1","2","3","4","5","6","7","8","9"," ","-","."},1,,,$J546))</f>
        <v>WP</v>
      </c>
      <c r="M546" s="24" t="str">
        <f>IF('query (2)'!I546&lt;&gt;"",TRIM(UPPER('query (2)'!I546)),IF($L546="","UNKNOWN",$L546))</f>
        <v>WP</v>
      </c>
      <c r="N546" s="24" t="str">
        <f>IF('query (2)'!I546&lt;&gt;"","SOURCE",IF($L546="","UNKNOWN","DERIVED"))</f>
        <v>SOURCE</v>
      </c>
      <c r="O546" s="24" t="str">
        <f>IF('query (2)'!E546="","NOT_SPECIFIED",TRIM(UPPER('query (2)'!E546)))</f>
        <v>GRINDING 2</v>
      </c>
      <c r="P546" s="24" t="str">
        <f>IF('query (2)'!F546="","",TRIM(UPPER('query (2)'!F546)))</f>
        <v>1408-WP3G</v>
      </c>
      <c r="Q546" s="24" t="str">
        <f>IF('query (2)'!G546="","UNKNOWN",IFERROR(INDEX(Cleaning_Rules!$B$38:$B$46,MATCH(TRIM(UPPER('query (2)'!G546)),Cleaning_Rules!$A$38:$A$46,0)),"UNKNOWN"))</f>
        <v>OTHER</v>
      </c>
      <c r="R546" s="24" t="str">
        <f>IF('query (2)'!H546="","",TRIM(UPPER('query (2)'!H546)))</f>
        <v>SHAFT RACEWAY GRINDING M/C</v>
      </c>
      <c r="S546" s="25" t="str">
        <f>IF('query (2)'!H546="","",'query (2)'!H546)</f>
        <v>Shaft raceway grinding M/C</v>
      </c>
      <c r="T546" s="24" t="str">
        <f>IF('query (2)'!J546="","",TRIM(UPPER('query (2)'!J546)))</f>
        <v/>
      </c>
      <c r="U546" s="24" t="str">
        <f t="shared" si="59"/>
        <v/>
      </c>
      <c r="V546" s="24" t="str">
        <f>IF('query (2)'!K546="","NOT_SPECIFIED",IFERROR(INDEX(Cleaning_Rules!$B$32:$B$34,MATCH(TRIM(UPPER('query (2)'!K546)),Cleaning_Rules!$A$32:$A$34,0)),"UNKNOWN"))</f>
        <v>NOT_SPECIFIED</v>
      </c>
      <c r="W546" s="24" t="str">
        <f t="shared" si="60"/>
        <v>GR-919 | FACTORY2 | WP GRINDING3 | WP | GRINDING 2 | 1408-WP3G | OTHER | SHAFT RACEWAY GRINDING M/C | NOT_SPECIFIED</v>
      </c>
      <c r="X546" s="24" t="str">
        <f t="shared" si="61"/>
        <v/>
      </c>
      <c r="Y546" s="24" t="str">
        <f t="shared" si="62"/>
        <v>MISSING_STATUS; CATEGORY_NOT_USEFUL; MISSING_PRODUCTION_NAME</v>
      </c>
    </row>
    <row r="547" spans="1:25" x14ac:dyDescent="0.3">
      <c r="A547" s="24" t="str">
        <f t="shared" si="56"/>
        <v>GR-920#0546</v>
      </c>
      <c r="B547" s="24" t="str">
        <f>IF('query (2)'!B547="","",TRIM(UPPER('query (2)'!B547)))</f>
        <v>GR-920</v>
      </c>
      <c r="C547" s="25" t="str">
        <f>IF('query (2)'!B547="","",'query (2)'!B547)</f>
        <v>GR-920</v>
      </c>
      <c r="D547" s="24" t="str">
        <f t="shared" si="57"/>
        <v>GR</v>
      </c>
      <c r="E547" s="24">
        <f t="shared" si="58"/>
        <v>1</v>
      </c>
      <c r="F547" s="24">
        <f>IF('query (2)'!A547="","",IFERROR(VALUE('query (2)'!A547),""))</f>
        <v>565</v>
      </c>
      <c r="G547" s="24" t="str">
        <f>IF('query (2)'!C547="","UNKNOWN",IFERROR(INDEX(Cleaning_Rules!$B$15:$B$20,MATCH(TRIM(UPPER('query (2)'!C547)),Cleaning_Rules!$A$15:$A$20,0)),"UNKNOWN"))</f>
        <v>FACTORY2</v>
      </c>
      <c r="H547" s="25" t="str">
        <f>IF('query (2)'!C547="","",'query (2)'!C547)</f>
        <v>FACTORY2</v>
      </c>
      <c r="I547" s="24" t="str" cm="1">
        <f t="array" ref="I547">_xlfn.IFS($G547="UNKNOWN","UNKNOWN",OR($G547="FACTORY1",$G547="FACTORY2",$G547="FACTORY3"),"PLANT",TRUE,"SHARED")</f>
        <v>PLANT</v>
      </c>
      <c r="J547" s="24" t="str">
        <f>IF('query (2)'!D547="","UNKNOWN",IF(COUNTIF(Cleaning_Rules!$A$6:$A$11,TRIM('query (2)'!D547))&gt;0,"UNKNOWN",IFERROR(INDEX(Cleaning_Rules!$B$24:$B$28,MATCH(TRIM(UPPER('query (2)'!D547)),Cleaning_Rules!$A$24:$A$28,0)),TRIM(UPPER('query (2)'!D547)))))</f>
        <v>WP GRINDING3</v>
      </c>
      <c r="K547" s="25" t="str">
        <f>IF('query (2)'!D547="","",'query (2)'!D547)</f>
        <v>WP Grinding3</v>
      </c>
      <c r="L547" s="24" t="str">
        <f>IF($J547="UNKNOWN","",_xlfn.TEXTBEFORE($J547,{"0","1","2","3","4","5","6","7","8","9"," ","-","."},1,,,$J547))</f>
        <v>WP</v>
      </c>
      <c r="M547" s="24" t="str">
        <f>IF('query (2)'!I547&lt;&gt;"",TRIM(UPPER('query (2)'!I547)),IF($L547="","UNKNOWN",$L547))</f>
        <v>WP</v>
      </c>
      <c r="N547" s="24" t="str">
        <f>IF('query (2)'!I547&lt;&gt;"","SOURCE",IF($L547="","UNKNOWN","DERIVED"))</f>
        <v>SOURCE</v>
      </c>
      <c r="O547" s="24" t="str">
        <f>IF('query (2)'!E547="","NOT_SPECIFIED",TRIM(UPPER('query (2)'!E547)))</f>
        <v>GRINDING 2</v>
      </c>
      <c r="P547" s="24" t="str">
        <f>IF('query (2)'!F547="","",TRIM(UPPER('query (2)'!F547)))</f>
        <v>1408-WP3G</v>
      </c>
      <c r="Q547" s="24" t="str">
        <f>IF('query (2)'!G547="","UNKNOWN",IFERROR(INDEX(Cleaning_Rules!$B$38:$B$46,MATCH(TRIM(UPPER('query (2)'!G547)),Cleaning_Rules!$A$38:$A$46,0)),"UNKNOWN"))</f>
        <v>OTHER</v>
      </c>
      <c r="R547" s="24" t="str">
        <f>IF('query (2)'!H547="","",TRIM(UPPER('query (2)'!H547)))</f>
        <v>SHAFT RACEWAY SUPER FINISHING M/C</v>
      </c>
      <c r="S547" s="25" t="str">
        <f>IF('query (2)'!H547="","",'query (2)'!H547)</f>
        <v>Shaft raceway super finishing M/C</v>
      </c>
      <c r="T547" s="24" t="str">
        <f>IF('query (2)'!J547="","",TRIM(UPPER('query (2)'!J547)))</f>
        <v/>
      </c>
      <c r="U547" s="24" t="str">
        <f t="shared" si="59"/>
        <v/>
      </c>
      <c r="V547" s="24" t="str">
        <f>IF('query (2)'!K547="","NOT_SPECIFIED",IFERROR(INDEX(Cleaning_Rules!$B$32:$B$34,MATCH(TRIM(UPPER('query (2)'!K547)),Cleaning_Rules!$A$32:$A$34,0)),"UNKNOWN"))</f>
        <v>NOT_SPECIFIED</v>
      </c>
      <c r="W547" s="24" t="str">
        <f t="shared" si="60"/>
        <v>GR-920 | FACTORY2 | WP GRINDING3 | WP | GRINDING 2 | 1408-WP3G | OTHER | SHAFT RACEWAY SUPER FINISHING M/C | NOT_SPECIFIED</v>
      </c>
      <c r="X547" s="24" t="str">
        <f t="shared" si="61"/>
        <v/>
      </c>
      <c r="Y547" s="24" t="str">
        <f t="shared" si="62"/>
        <v>MISSING_STATUS; CATEGORY_NOT_USEFUL; MISSING_PRODUCTION_NAME</v>
      </c>
    </row>
    <row r="548" spans="1:25" x14ac:dyDescent="0.3">
      <c r="A548" s="24" t="str">
        <f t="shared" si="56"/>
        <v>GR-922#0547</v>
      </c>
      <c r="B548" s="24" t="str">
        <f>IF('query (2)'!B548="","",TRIM(UPPER('query (2)'!B548)))</f>
        <v>GR-922</v>
      </c>
      <c r="C548" s="25" t="str">
        <f>IF('query (2)'!B548="","",'query (2)'!B548)</f>
        <v>GR-922</v>
      </c>
      <c r="D548" s="24" t="str">
        <f t="shared" si="57"/>
        <v>GR</v>
      </c>
      <c r="E548" s="24">
        <f t="shared" si="58"/>
        <v>1</v>
      </c>
      <c r="F548" s="24">
        <f>IF('query (2)'!A548="","",IFERROR(VALUE('query (2)'!A548),""))</f>
        <v>566</v>
      </c>
      <c r="G548" s="24" t="str">
        <f>IF('query (2)'!C548="","UNKNOWN",IFERROR(INDEX(Cleaning_Rules!$B$15:$B$20,MATCH(TRIM(UPPER('query (2)'!C548)),Cleaning_Rules!$A$15:$A$20,0)),"UNKNOWN"))</f>
        <v>FACTORY2</v>
      </c>
      <c r="H548" s="25" t="str">
        <f>IF('query (2)'!C548="","",'query (2)'!C548)</f>
        <v>FACTORY2</v>
      </c>
      <c r="I548" s="24" t="str" cm="1">
        <f t="array" ref="I548">_xlfn.IFS($G548="UNKNOWN","UNKNOWN",OR($G548="FACTORY1",$G548="FACTORY2",$G548="FACTORY3"),"PLANT",TRUE,"SHARED")</f>
        <v>PLANT</v>
      </c>
      <c r="J548" s="24" t="str">
        <f>IF('query (2)'!D548="","UNKNOWN",IF(COUNTIF(Cleaning_Rules!$A$6:$A$11,TRIM('query (2)'!D548))&gt;0,"UNKNOWN",IFERROR(INDEX(Cleaning_Rules!$B$24:$B$28,MATCH(TRIM(UPPER('query (2)'!D548)),Cleaning_Rules!$A$24:$A$28,0)),TRIM(UPPER('query (2)'!D548)))))</f>
        <v>WP GRINDING3</v>
      </c>
      <c r="K548" s="25" t="str">
        <f>IF('query (2)'!D548="","",'query (2)'!D548)</f>
        <v>WP Grinding3</v>
      </c>
      <c r="L548" s="24" t="str">
        <f>IF($J548="UNKNOWN","",_xlfn.TEXTBEFORE($J548,{"0","1","2","3","4","5","6","7","8","9"," ","-","."},1,,,$J548))</f>
        <v>WP</v>
      </c>
      <c r="M548" s="24" t="str">
        <f>IF('query (2)'!I548&lt;&gt;"",TRIM(UPPER('query (2)'!I548)),IF($L548="","UNKNOWN",$L548))</f>
        <v>WP</v>
      </c>
      <c r="N548" s="24" t="str">
        <f>IF('query (2)'!I548&lt;&gt;"","SOURCE",IF($L548="","UNKNOWN","DERIVED"))</f>
        <v>SOURCE</v>
      </c>
      <c r="O548" s="24" t="str">
        <f>IF('query (2)'!E548="","NOT_SPECIFIED",TRIM(UPPER('query (2)'!E548)))</f>
        <v>GRINDING 2</v>
      </c>
      <c r="P548" s="24" t="str">
        <f>IF('query (2)'!F548="","",TRIM(UPPER('query (2)'!F548)))</f>
        <v>1408-WP3G</v>
      </c>
      <c r="Q548" s="24" t="str">
        <f>IF('query (2)'!G548="","UNKNOWN",IFERROR(INDEX(Cleaning_Rules!$B$38:$B$46,MATCH(TRIM(UPPER('query (2)'!G548)),Cleaning_Rules!$A$38:$A$46,0)),"UNKNOWN"))</f>
        <v>OTHER</v>
      </c>
      <c r="R548" s="24" t="str">
        <f>IF('query (2)'!H548="","",TRIM(UPPER('query (2)'!H548)))</f>
        <v>OUTER RING RACEWAY GRINDING M/C</v>
      </c>
      <c r="S548" s="25" t="str">
        <f>IF('query (2)'!H548="","",'query (2)'!H548)</f>
        <v>Outer ring raceway grinding M/C</v>
      </c>
      <c r="T548" s="24" t="str">
        <f>IF('query (2)'!J548="","",TRIM(UPPER('query (2)'!J548)))</f>
        <v>A - RACEWAY GRINDING</v>
      </c>
      <c r="U548" s="24" t="str">
        <f t="shared" si="59"/>
        <v/>
      </c>
      <c r="V548" s="24" t="str">
        <f>IF('query (2)'!K548="","NOT_SPECIFIED",IFERROR(INDEX(Cleaning_Rules!$B$32:$B$34,MATCH(TRIM(UPPER('query (2)'!K548)),Cleaning_Rules!$A$32:$A$34,0)),"UNKNOWN"))</f>
        <v>NOT_SPECIFIED</v>
      </c>
      <c r="W548" s="24" t="str">
        <f t="shared" si="60"/>
        <v>GR-922 | FACTORY2 | WP GRINDING3 | WP | GRINDING 2 | 1408-WP3G | OTHER | OUTER RING RACEWAY GRINDING M/C | A - RACEWAY GRINDING | NOT_SPECIFIED</v>
      </c>
      <c r="X548" s="24" t="str">
        <f t="shared" si="61"/>
        <v/>
      </c>
      <c r="Y548" s="24" t="str">
        <f t="shared" si="62"/>
        <v>MISSING_STATUS; CATEGORY_NOT_USEFUL</v>
      </c>
    </row>
    <row r="549" spans="1:25" x14ac:dyDescent="0.3">
      <c r="A549" s="24" t="str">
        <f t="shared" si="56"/>
        <v>WA-988#0548</v>
      </c>
      <c r="B549" s="24" t="str">
        <f>IF('query (2)'!B549="","",TRIM(UPPER('query (2)'!B549)))</f>
        <v>WA-988</v>
      </c>
      <c r="C549" s="25" t="str">
        <f>IF('query (2)'!B549="","",'query (2)'!B549)</f>
        <v>WA-988</v>
      </c>
      <c r="D549" s="24" t="str">
        <f t="shared" si="57"/>
        <v>WA</v>
      </c>
      <c r="E549" s="24">
        <f t="shared" si="58"/>
        <v>1</v>
      </c>
      <c r="F549" s="24">
        <f>IF('query (2)'!A549="","",IFERROR(VALUE('query (2)'!A549),""))</f>
        <v>567</v>
      </c>
      <c r="G549" s="24" t="str">
        <f>IF('query (2)'!C549="","UNKNOWN",IFERROR(INDEX(Cleaning_Rules!$B$15:$B$20,MATCH(TRIM(UPPER('query (2)'!C549)),Cleaning_Rules!$A$15:$A$20,0)),"UNKNOWN"))</f>
        <v>FACTORY2</v>
      </c>
      <c r="H549" s="25" t="str">
        <f>IF('query (2)'!C549="","",'query (2)'!C549)</f>
        <v>FACTORY2</v>
      </c>
      <c r="I549" s="24" t="str" cm="1">
        <f t="array" ref="I549">_xlfn.IFS($G549="UNKNOWN","UNKNOWN",OR($G549="FACTORY1",$G549="FACTORY2",$G549="FACTORY3"),"PLANT",TRUE,"SHARED")</f>
        <v>PLANT</v>
      </c>
      <c r="J549" s="24" t="str">
        <f>IF('query (2)'!D549="","UNKNOWN",IF(COUNTIF(Cleaning_Rules!$A$6:$A$11,TRIM('query (2)'!D549))&gt;0,"UNKNOWN",IFERROR(INDEX(Cleaning_Rules!$B$24:$B$28,MATCH(TRIM(UPPER('query (2)'!D549)),Cleaning_Rules!$A$24:$A$28,0)),TRIM(UPPER('query (2)'!D549)))))</f>
        <v>WP GRINDING3</v>
      </c>
      <c r="K549" s="25" t="str">
        <f>IF('query (2)'!D549="","",'query (2)'!D549)</f>
        <v>WP Grinding3</v>
      </c>
      <c r="L549" s="24" t="str">
        <f>IF($J549="UNKNOWN","",_xlfn.TEXTBEFORE($J549,{"0","1","2","3","4","5","6","7","8","9"," ","-","."},1,,,$J549))</f>
        <v>WP</v>
      </c>
      <c r="M549" s="24" t="str">
        <f>IF('query (2)'!I549&lt;&gt;"",TRIM(UPPER('query (2)'!I549)),IF($L549="","UNKNOWN",$L549))</f>
        <v>WP</v>
      </c>
      <c r="N549" s="24" t="str">
        <f>IF('query (2)'!I549&lt;&gt;"","SOURCE",IF($L549="","UNKNOWN","DERIVED"))</f>
        <v>SOURCE</v>
      </c>
      <c r="O549" s="24" t="str">
        <f>IF('query (2)'!E549="","NOT_SPECIFIED",TRIM(UPPER('query (2)'!E549)))</f>
        <v>GRINDING 2</v>
      </c>
      <c r="P549" s="24" t="str">
        <f>IF('query (2)'!F549="","",TRIM(UPPER('query (2)'!F549)))</f>
        <v>1408-WP3G</v>
      </c>
      <c r="Q549" s="24" t="str">
        <f>IF('query (2)'!G549="","UNKNOWN",IFERROR(INDEX(Cleaning_Rules!$B$38:$B$46,MATCH(TRIM(UPPER('query (2)'!G549)),Cleaning_Rules!$A$38:$A$46,0)),"UNKNOWN"))</f>
        <v>OTHER</v>
      </c>
      <c r="R549" s="24" t="str">
        <f>IF('query (2)'!H549="","",TRIM(UPPER('query (2)'!H549)))</f>
        <v>PART WASHING G2 M/C</v>
      </c>
      <c r="S549" s="25" t="str">
        <f>IF('query (2)'!H549="","",'query (2)'!H549)</f>
        <v>Part washing G2   m/c</v>
      </c>
      <c r="T549" s="24" t="str">
        <f>IF('query (2)'!J549="","",TRIM(UPPER('query (2)'!J549)))</f>
        <v/>
      </c>
      <c r="U549" s="24" t="str">
        <f t="shared" si="59"/>
        <v/>
      </c>
      <c r="V549" s="24" t="str">
        <f>IF('query (2)'!K549="","NOT_SPECIFIED",IFERROR(INDEX(Cleaning_Rules!$B$32:$B$34,MATCH(TRIM(UPPER('query (2)'!K549)),Cleaning_Rules!$A$32:$A$34,0)),"UNKNOWN"))</f>
        <v>NOT_SPECIFIED</v>
      </c>
      <c r="W549" s="24" t="str">
        <f t="shared" si="60"/>
        <v>WA-988 | FACTORY2 | WP GRINDING3 | WP | GRINDING 2 | 1408-WP3G | OTHER | PART WASHING G2 M/C | NOT_SPECIFIED</v>
      </c>
      <c r="X549" s="24" t="str">
        <f t="shared" si="61"/>
        <v/>
      </c>
      <c r="Y549" s="24" t="str">
        <f t="shared" si="62"/>
        <v>MISSING_STATUS; CATEGORY_NOT_USEFUL; MISSING_PRODUCTION_NAME</v>
      </c>
    </row>
    <row r="550" spans="1:25" x14ac:dyDescent="0.3">
      <c r="A550" s="24" t="str">
        <f t="shared" si="56"/>
        <v>BF-363#0549</v>
      </c>
      <c r="B550" s="24" t="str">
        <f>IF('query (2)'!B550="","",TRIM(UPPER('query (2)'!B550)))</f>
        <v>BF-363</v>
      </c>
      <c r="C550" s="25" t="str">
        <f>IF('query (2)'!B550="","",'query (2)'!B550)</f>
        <v>BF-363</v>
      </c>
      <c r="D550" s="24" t="str">
        <f t="shared" si="57"/>
        <v>BF</v>
      </c>
      <c r="E550" s="24">
        <f t="shared" si="58"/>
        <v>1</v>
      </c>
      <c r="F550" s="24">
        <f>IF('query (2)'!A550="","",IFERROR(VALUE('query (2)'!A550),""))</f>
        <v>568</v>
      </c>
      <c r="G550" s="24" t="str">
        <f>IF('query (2)'!C550="","UNKNOWN",IFERROR(INDEX(Cleaning_Rules!$B$15:$B$20,MATCH(TRIM(UPPER('query (2)'!C550)),Cleaning_Rules!$A$15:$A$20,0)),"UNKNOWN"))</f>
        <v>FACTORY2</v>
      </c>
      <c r="H550" s="25" t="str">
        <f>IF('query (2)'!C550="","",'query (2)'!C550)</f>
        <v>FACTORY2</v>
      </c>
      <c r="I550" s="24" t="str" cm="1">
        <f t="array" ref="I550">_xlfn.IFS($G550="UNKNOWN","UNKNOWN",OR($G550="FACTORY1",$G550="FACTORY2",$G550="FACTORY3"),"PLANT",TRUE,"SHARED")</f>
        <v>PLANT</v>
      </c>
      <c r="J550" s="24" t="str">
        <f>IF('query (2)'!D550="","UNKNOWN",IF(COUNTIF(Cleaning_Rules!$A$6:$A$11,TRIM('query (2)'!D550))&gt;0,"UNKNOWN",IFERROR(INDEX(Cleaning_Rules!$B$24:$B$28,MATCH(TRIM(UPPER('query (2)'!D550)),Cleaning_Rules!$A$24:$A$28,0)),TRIM(UPPER('query (2)'!D550)))))</f>
        <v>WT</v>
      </c>
      <c r="K550" s="25" t="str">
        <f>IF('query (2)'!D550="","",'query (2)'!D550)</f>
        <v>WT</v>
      </c>
      <c r="L550" s="24" t="str">
        <f>IF($J550="UNKNOWN","",_xlfn.TEXTBEFORE($J550,{"0","1","2","3","4","5","6","7","8","9"," ","-","."},1,,,$J550))</f>
        <v>WT</v>
      </c>
      <c r="M550" s="24" t="str">
        <f>IF('query (2)'!I550&lt;&gt;"",TRIM(UPPER('query (2)'!I550)),IF($L550="","UNKNOWN",$L550))</f>
        <v>WT</v>
      </c>
      <c r="N550" s="24" t="str">
        <f>IF('query (2)'!I550&lt;&gt;"","SOURCE",IF($L550="","UNKNOWN","DERIVED"))</f>
        <v>DERIVED</v>
      </c>
      <c r="O550" s="24" t="str">
        <f>IF('query (2)'!E550="","NOT_SPECIFIED",TRIM(UPPER('query (2)'!E550)))</f>
        <v>NOT_SPECIFIED</v>
      </c>
      <c r="P550" s="24" t="str">
        <f>IF('query (2)'!F550="","",TRIM(UPPER('query (2)'!F550)))</f>
        <v/>
      </c>
      <c r="Q550" s="24" t="str">
        <f>IF('query (2)'!G550="","UNKNOWN",IFERROR(INDEX(Cleaning_Rules!$B$38:$B$46,MATCH(TRIM(UPPER('query (2)'!G550)),Cleaning_Rules!$A$38:$A$46,0)),"UNKNOWN"))</f>
        <v>OTHER</v>
      </c>
      <c r="R550" s="24" t="str">
        <f>IF('query (2)'!H550="","",TRIM(UPPER('query (2)'!H550)))</f>
        <v>BAR FEEDER MACHINE</v>
      </c>
      <c r="S550" s="25" t="str">
        <f>IF('query (2)'!H550="","",'query (2)'!H550)</f>
        <v>Bar feeder machine</v>
      </c>
      <c r="T550" s="24" t="str">
        <f>IF('query (2)'!J550="","",TRIM(UPPER('query (2)'!J550)))</f>
        <v/>
      </c>
      <c r="U550" s="24" t="str">
        <f t="shared" si="59"/>
        <v/>
      </c>
      <c r="V550" s="24" t="str">
        <f>IF('query (2)'!K550="","NOT_SPECIFIED",IFERROR(INDEX(Cleaning_Rules!$B$32:$B$34,MATCH(TRIM(UPPER('query (2)'!K550)),Cleaning_Rules!$A$32:$A$34,0)),"UNKNOWN"))</f>
        <v>NOT_SPECIFIED</v>
      </c>
      <c r="W550" s="24" t="str">
        <f t="shared" si="60"/>
        <v>BF-363 | FACTORY2 | WT | WT | NOT_SPECIFIED | OTHER | BAR FEEDER MACHINE | NOT_SPECIFIED</v>
      </c>
      <c r="X550" s="24" t="str">
        <f t="shared" si="61"/>
        <v>MISSING_RESPONSIBLE; MISSING_COST_CENTER</v>
      </c>
      <c r="Y550" s="24" t="str">
        <f t="shared" si="62"/>
        <v>MISSING_STATUS; CATEGORY_NOT_USEFUL; MISSING_PRODUCTION_NAME; SECTION_DERIVED</v>
      </c>
    </row>
    <row r="551" spans="1:25" x14ac:dyDescent="0.3">
      <c r="A551" s="24" t="str">
        <f t="shared" si="56"/>
        <v>WT-364#0550</v>
      </c>
      <c r="B551" s="24" t="str">
        <f>IF('query (2)'!B551="","",TRIM(UPPER('query (2)'!B551)))</f>
        <v>WT-364</v>
      </c>
      <c r="C551" s="25" t="str">
        <f>IF('query (2)'!B551="","",'query (2)'!B551)</f>
        <v>WT-364</v>
      </c>
      <c r="D551" s="24" t="str">
        <f t="shared" si="57"/>
        <v>WT</v>
      </c>
      <c r="E551" s="24">
        <f t="shared" si="58"/>
        <v>1</v>
      </c>
      <c r="F551" s="24">
        <f>IF('query (2)'!A551="","",IFERROR(VALUE('query (2)'!A551),""))</f>
        <v>569</v>
      </c>
      <c r="G551" s="24" t="str">
        <f>IF('query (2)'!C551="","UNKNOWN",IFERROR(INDEX(Cleaning_Rules!$B$15:$B$20,MATCH(TRIM(UPPER('query (2)'!C551)),Cleaning_Rules!$A$15:$A$20,0)),"UNKNOWN"))</f>
        <v>FACTORY2</v>
      </c>
      <c r="H551" s="25" t="str">
        <f>IF('query (2)'!C551="","",'query (2)'!C551)</f>
        <v>FACTORY2</v>
      </c>
      <c r="I551" s="24" t="str" cm="1">
        <f t="array" ref="I551">_xlfn.IFS($G551="UNKNOWN","UNKNOWN",OR($G551="FACTORY1",$G551="FACTORY2",$G551="FACTORY3"),"PLANT",TRUE,"SHARED")</f>
        <v>PLANT</v>
      </c>
      <c r="J551" s="24" t="str">
        <f>IF('query (2)'!D551="","UNKNOWN",IF(COUNTIF(Cleaning_Rules!$A$6:$A$11,TRIM('query (2)'!D551))&gt;0,"UNKNOWN",IFERROR(INDEX(Cleaning_Rules!$B$24:$B$28,MATCH(TRIM(UPPER('query (2)'!D551)),Cleaning_Rules!$A$24:$A$28,0)),TRIM(UPPER('query (2)'!D551)))))</f>
        <v>WT</v>
      </c>
      <c r="K551" s="25" t="str">
        <f>IF('query (2)'!D551="","",'query (2)'!D551)</f>
        <v>WT</v>
      </c>
      <c r="L551" s="24" t="str">
        <f>IF($J551="UNKNOWN","",_xlfn.TEXTBEFORE($J551,{"0","1","2","3","4","5","6","7","8","9"," ","-","."},1,,,$J551))</f>
        <v>WT</v>
      </c>
      <c r="M551" s="24" t="str">
        <f>IF('query (2)'!I551&lt;&gt;"",TRIM(UPPER('query (2)'!I551)),IF($L551="","UNKNOWN",$L551))</f>
        <v>WT</v>
      </c>
      <c r="N551" s="24" t="str">
        <f>IF('query (2)'!I551&lt;&gt;"","SOURCE",IF($L551="","UNKNOWN","DERIVED"))</f>
        <v>DERIVED</v>
      </c>
      <c r="O551" s="24" t="str">
        <f>IF('query (2)'!E551="","NOT_SPECIFIED",TRIM(UPPER('query (2)'!E551)))</f>
        <v>NOT_SPECIFIED</v>
      </c>
      <c r="P551" s="24" t="str">
        <f>IF('query (2)'!F551="","",TRIM(UPPER('query (2)'!F551)))</f>
        <v/>
      </c>
      <c r="Q551" s="24" t="str">
        <f>IF('query (2)'!G551="","UNKNOWN",IFERROR(INDEX(Cleaning_Rules!$B$38:$B$46,MATCH(TRIM(UPPER('query (2)'!G551)),Cleaning_Rules!$A$38:$A$46,0)),"UNKNOWN"))</f>
        <v>OTHER</v>
      </c>
      <c r="R551" s="24" t="str">
        <f>IF('query (2)'!H551="","",TRIM(UPPER('query (2)'!H551)))</f>
        <v>WATER PUMP TURNING MACHINE</v>
      </c>
      <c r="S551" s="25" t="str">
        <f>IF('query (2)'!H551="","",'query (2)'!H551)</f>
        <v>Water pump turning machine</v>
      </c>
      <c r="T551" s="24" t="str">
        <f>IF('query (2)'!J551="","",TRIM(UPPER('query (2)'!J551)))</f>
        <v/>
      </c>
      <c r="U551" s="24" t="str">
        <f t="shared" si="59"/>
        <v/>
      </c>
      <c r="V551" s="24" t="str">
        <f>IF('query (2)'!K551="","NOT_SPECIFIED",IFERROR(INDEX(Cleaning_Rules!$B$32:$B$34,MATCH(TRIM(UPPER('query (2)'!K551)),Cleaning_Rules!$A$32:$A$34,0)),"UNKNOWN"))</f>
        <v>NOT_SPECIFIED</v>
      </c>
      <c r="W551" s="24" t="str">
        <f t="shared" si="60"/>
        <v>WT-364 | FACTORY2 | WT | WT | NOT_SPECIFIED | OTHER | WATER PUMP TURNING MACHINE | NOT_SPECIFIED</v>
      </c>
      <c r="X551" s="24" t="str">
        <f t="shared" si="61"/>
        <v>MISSING_RESPONSIBLE; MISSING_COST_CENTER</v>
      </c>
      <c r="Y551" s="24" t="str">
        <f t="shared" si="62"/>
        <v>MISSING_STATUS; CATEGORY_NOT_USEFUL; MISSING_PRODUCTION_NAME; SECTION_DERIVED</v>
      </c>
    </row>
    <row r="552" spans="1:25" x14ac:dyDescent="0.3">
      <c r="A552" s="24" t="str">
        <f t="shared" si="56"/>
        <v>M-365#0551</v>
      </c>
      <c r="B552" s="24" t="str">
        <f>IF('query (2)'!B552="","",TRIM(UPPER('query (2)'!B552)))</f>
        <v>M-365</v>
      </c>
      <c r="C552" s="25" t="str">
        <f>IF('query (2)'!B552="","",'query (2)'!B552)</f>
        <v>M-365</v>
      </c>
      <c r="D552" s="24" t="str">
        <f t="shared" si="57"/>
        <v>M</v>
      </c>
      <c r="E552" s="24">
        <f t="shared" si="58"/>
        <v>1</v>
      </c>
      <c r="F552" s="24">
        <f>IF('query (2)'!A552="","",IFERROR(VALUE('query (2)'!A552),""))</f>
        <v>570</v>
      </c>
      <c r="G552" s="24" t="str">
        <f>IF('query (2)'!C552="","UNKNOWN",IFERROR(INDEX(Cleaning_Rules!$B$15:$B$20,MATCH(TRIM(UPPER('query (2)'!C552)),Cleaning_Rules!$A$15:$A$20,0)),"UNKNOWN"))</f>
        <v>FACTORY2</v>
      </c>
      <c r="H552" s="25" t="str">
        <f>IF('query (2)'!C552="","",'query (2)'!C552)</f>
        <v>FACTORY2</v>
      </c>
      <c r="I552" s="24" t="str" cm="1">
        <f t="array" ref="I552">_xlfn.IFS($G552="UNKNOWN","UNKNOWN",OR($G552="FACTORY1",$G552="FACTORY2",$G552="FACTORY3"),"PLANT",TRUE,"SHARED")</f>
        <v>PLANT</v>
      </c>
      <c r="J552" s="24" t="str">
        <f>IF('query (2)'!D552="","UNKNOWN",IF(COUNTIF(Cleaning_Rules!$A$6:$A$11,TRIM('query (2)'!D552))&gt;0,"UNKNOWN",IFERROR(INDEX(Cleaning_Rules!$B$24:$B$28,MATCH(TRIM(UPPER('query (2)'!D552)),Cleaning_Rules!$A$24:$A$28,0)),TRIM(UPPER('query (2)'!D552)))))</f>
        <v>WT</v>
      </c>
      <c r="K552" s="25" t="str">
        <f>IF('query (2)'!D552="","",'query (2)'!D552)</f>
        <v>WT</v>
      </c>
      <c r="L552" s="24" t="str">
        <f>IF($J552="UNKNOWN","",_xlfn.TEXTBEFORE($J552,{"0","1","2","3","4","5","6","7","8","9"," ","-","."},1,,,$J552))</f>
        <v>WT</v>
      </c>
      <c r="M552" s="24" t="str">
        <f>IF('query (2)'!I552&lt;&gt;"",TRIM(UPPER('query (2)'!I552)),IF($L552="","UNKNOWN",$L552))</f>
        <v>WT</v>
      </c>
      <c r="N552" s="24" t="str">
        <f>IF('query (2)'!I552&lt;&gt;"","SOURCE",IF($L552="","UNKNOWN","DERIVED"))</f>
        <v>DERIVED</v>
      </c>
      <c r="O552" s="24" t="str">
        <f>IF('query (2)'!E552="","NOT_SPECIFIED",TRIM(UPPER('query (2)'!E552)))</f>
        <v>NOT_SPECIFIED</v>
      </c>
      <c r="P552" s="24" t="str">
        <f>IF('query (2)'!F552="","",TRIM(UPPER('query (2)'!F552)))</f>
        <v/>
      </c>
      <c r="Q552" s="24" t="str">
        <f>IF('query (2)'!G552="","UNKNOWN",IFERROR(INDEX(Cleaning_Rules!$B$38:$B$46,MATCH(TRIM(UPPER('query (2)'!G552)),Cleaning_Rules!$A$38:$A$46,0)),"UNKNOWN"))</f>
        <v>OTHER</v>
      </c>
      <c r="R552" s="24" t="str">
        <f>IF('query (2)'!H552="","",TRIM(UPPER('query (2)'!H552)))</f>
        <v>MARKING MACHINE ถูกยืมไป MARK งานข้างนอก</v>
      </c>
      <c r="S552" s="25" t="str">
        <f>IF('query (2)'!H552="","",'query (2)'!H552)</f>
        <v>Marking machine         ถูกยืมไป mark งานข้างนอก</v>
      </c>
      <c r="T552" s="24" t="str">
        <f>IF('query (2)'!J552="","",TRIM(UPPER('query (2)'!J552)))</f>
        <v/>
      </c>
      <c r="U552" s="24" t="str">
        <f t="shared" si="59"/>
        <v/>
      </c>
      <c r="V552" s="24" t="str">
        <f>IF('query (2)'!K552="","NOT_SPECIFIED",IFERROR(INDEX(Cleaning_Rules!$B$32:$B$34,MATCH(TRIM(UPPER('query (2)'!K552)),Cleaning_Rules!$A$32:$A$34,0)),"UNKNOWN"))</f>
        <v>NOT_SPECIFIED</v>
      </c>
      <c r="W552" s="24" t="str">
        <f t="shared" si="60"/>
        <v>M-365 | FACTORY2 | WT | WT | NOT_SPECIFIED | OTHER | MARKING MACHINE ถูกยืมไป MARK งานข้างนอก | NOT_SPECIFIED</v>
      </c>
      <c r="X552" s="24" t="str">
        <f t="shared" si="61"/>
        <v>MISSING_RESPONSIBLE; MISSING_COST_CENTER</v>
      </c>
      <c r="Y552" s="24" t="str">
        <f t="shared" si="62"/>
        <v>MISSING_STATUS; CATEGORY_NOT_USEFUL; MISSING_PRODUCTION_NAME; SECTION_DERIVED</v>
      </c>
    </row>
    <row r="553" spans="1:25" x14ac:dyDescent="0.3">
      <c r="A553" s="24" t="str">
        <f t="shared" si="56"/>
        <v>BF-366#0552</v>
      </c>
      <c r="B553" s="24" t="str">
        <f>IF('query (2)'!B553="","",TRIM(UPPER('query (2)'!B553)))</f>
        <v>BF-366</v>
      </c>
      <c r="C553" s="25" t="str">
        <f>IF('query (2)'!B553="","",'query (2)'!B553)</f>
        <v>BF-366</v>
      </c>
      <c r="D553" s="24" t="str">
        <f t="shared" si="57"/>
        <v>BF</v>
      </c>
      <c r="E553" s="24">
        <f t="shared" si="58"/>
        <v>1</v>
      </c>
      <c r="F553" s="24">
        <f>IF('query (2)'!A553="","",IFERROR(VALUE('query (2)'!A553),""))</f>
        <v>571</v>
      </c>
      <c r="G553" s="24" t="str">
        <f>IF('query (2)'!C553="","UNKNOWN",IFERROR(INDEX(Cleaning_Rules!$B$15:$B$20,MATCH(TRIM(UPPER('query (2)'!C553)),Cleaning_Rules!$A$15:$A$20,0)),"UNKNOWN"))</f>
        <v>FACTORY2</v>
      </c>
      <c r="H553" s="25" t="str">
        <f>IF('query (2)'!C553="","",'query (2)'!C553)</f>
        <v>FACTORY2</v>
      </c>
      <c r="I553" s="24" t="str" cm="1">
        <f t="array" ref="I553">_xlfn.IFS($G553="UNKNOWN","UNKNOWN",OR($G553="FACTORY1",$G553="FACTORY2",$G553="FACTORY3"),"PLANT",TRUE,"SHARED")</f>
        <v>PLANT</v>
      </c>
      <c r="J553" s="24" t="str">
        <f>IF('query (2)'!D553="","UNKNOWN",IF(COUNTIF(Cleaning_Rules!$A$6:$A$11,TRIM('query (2)'!D553))&gt;0,"UNKNOWN",IFERROR(INDEX(Cleaning_Rules!$B$24:$B$28,MATCH(TRIM(UPPER('query (2)'!D553)),Cleaning_Rules!$A$24:$A$28,0)),TRIM(UPPER('query (2)'!D553)))))</f>
        <v>WT</v>
      </c>
      <c r="K553" s="25" t="str">
        <f>IF('query (2)'!D553="","",'query (2)'!D553)</f>
        <v>WT</v>
      </c>
      <c r="L553" s="24" t="str">
        <f>IF($J553="UNKNOWN","",_xlfn.TEXTBEFORE($J553,{"0","1","2","3","4","5","6","7","8","9"," ","-","."},1,,,$J553))</f>
        <v>WT</v>
      </c>
      <c r="M553" s="24" t="str">
        <f>IF('query (2)'!I553&lt;&gt;"",TRIM(UPPER('query (2)'!I553)),IF($L553="","UNKNOWN",$L553))</f>
        <v>WT</v>
      </c>
      <c r="N553" s="24" t="str">
        <f>IF('query (2)'!I553&lt;&gt;"","SOURCE",IF($L553="","UNKNOWN","DERIVED"))</f>
        <v>DERIVED</v>
      </c>
      <c r="O553" s="24" t="str">
        <f>IF('query (2)'!E553="","NOT_SPECIFIED",TRIM(UPPER('query (2)'!E553)))</f>
        <v>NOT_SPECIFIED</v>
      </c>
      <c r="P553" s="24" t="str">
        <f>IF('query (2)'!F553="","",TRIM(UPPER('query (2)'!F553)))</f>
        <v/>
      </c>
      <c r="Q553" s="24" t="str">
        <f>IF('query (2)'!G553="","UNKNOWN",IFERROR(INDEX(Cleaning_Rules!$B$38:$B$46,MATCH(TRIM(UPPER('query (2)'!G553)),Cleaning_Rules!$A$38:$A$46,0)),"UNKNOWN"))</f>
        <v>OTHER</v>
      </c>
      <c r="R553" s="24" t="str">
        <f>IF('query (2)'!H553="","",TRIM(UPPER('query (2)'!H553)))</f>
        <v>BAR FEEDER MACHINE</v>
      </c>
      <c r="S553" s="25" t="str">
        <f>IF('query (2)'!H553="","",'query (2)'!H553)</f>
        <v>Bar feeder machine</v>
      </c>
      <c r="T553" s="24" t="str">
        <f>IF('query (2)'!J553="","",TRIM(UPPER('query (2)'!J553)))</f>
        <v/>
      </c>
      <c r="U553" s="24" t="str">
        <f t="shared" si="59"/>
        <v/>
      </c>
      <c r="V553" s="24" t="str">
        <f>IF('query (2)'!K553="","NOT_SPECIFIED",IFERROR(INDEX(Cleaning_Rules!$B$32:$B$34,MATCH(TRIM(UPPER('query (2)'!K553)),Cleaning_Rules!$A$32:$A$34,0)),"UNKNOWN"))</f>
        <v>NOT_SPECIFIED</v>
      </c>
      <c r="W553" s="24" t="str">
        <f t="shared" si="60"/>
        <v>BF-366 | FACTORY2 | WT | WT | NOT_SPECIFIED | OTHER | BAR FEEDER MACHINE | NOT_SPECIFIED</v>
      </c>
      <c r="X553" s="24" t="str">
        <f t="shared" si="61"/>
        <v>MISSING_RESPONSIBLE; MISSING_COST_CENTER</v>
      </c>
      <c r="Y553" s="24" t="str">
        <f t="shared" si="62"/>
        <v>MISSING_STATUS; CATEGORY_NOT_USEFUL; MISSING_PRODUCTION_NAME; SECTION_DERIVED</v>
      </c>
    </row>
    <row r="554" spans="1:25" x14ac:dyDescent="0.3">
      <c r="A554" s="24" t="str">
        <f t="shared" si="56"/>
        <v>WT-367#0553</v>
      </c>
      <c r="B554" s="24" t="str">
        <f>IF('query (2)'!B554="","",TRIM(UPPER('query (2)'!B554)))</f>
        <v>WT-367</v>
      </c>
      <c r="C554" s="25" t="str">
        <f>IF('query (2)'!B554="","",'query (2)'!B554)</f>
        <v>WT-367</v>
      </c>
      <c r="D554" s="24" t="str">
        <f t="shared" si="57"/>
        <v>WT</v>
      </c>
      <c r="E554" s="24">
        <f t="shared" si="58"/>
        <v>1</v>
      </c>
      <c r="F554" s="24">
        <f>IF('query (2)'!A554="","",IFERROR(VALUE('query (2)'!A554),""))</f>
        <v>572</v>
      </c>
      <c r="G554" s="24" t="str">
        <f>IF('query (2)'!C554="","UNKNOWN",IFERROR(INDEX(Cleaning_Rules!$B$15:$B$20,MATCH(TRIM(UPPER('query (2)'!C554)),Cleaning_Rules!$A$15:$A$20,0)),"UNKNOWN"))</f>
        <v>FACTORY2</v>
      </c>
      <c r="H554" s="25" t="str">
        <f>IF('query (2)'!C554="","",'query (2)'!C554)</f>
        <v>FACTORY2</v>
      </c>
      <c r="I554" s="24" t="str" cm="1">
        <f t="array" ref="I554">_xlfn.IFS($G554="UNKNOWN","UNKNOWN",OR($G554="FACTORY1",$G554="FACTORY2",$G554="FACTORY3"),"PLANT",TRUE,"SHARED")</f>
        <v>PLANT</v>
      </c>
      <c r="J554" s="24" t="str">
        <f>IF('query (2)'!D554="","UNKNOWN",IF(COUNTIF(Cleaning_Rules!$A$6:$A$11,TRIM('query (2)'!D554))&gt;0,"UNKNOWN",IFERROR(INDEX(Cleaning_Rules!$B$24:$B$28,MATCH(TRIM(UPPER('query (2)'!D554)),Cleaning_Rules!$A$24:$A$28,0)),TRIM(UPPER('query (2)'!D554)))))</f>
        <v>WT</v>
      </c>
      <c r="K554" s="25" t="str">
        <f>IF('query (2)'!D554="","",'query (2)'!D554)</f>
        <v>WT</v>
      </c>
      <c r="L554" s="24" t="str">
        <f>IF($J554="UNKNOWN","",_xlfn.TEXTBEFORE($J554,{"0","1","2","3","4","5","6","7","8","9"," ","-","."},1,,,$J554))</f>
        <v>WT</v>
      </c>
      <c r="M554" s="24" t="str">
        <f>IF('query (2)'!I554&lt;&gt;"",TRIM(UPPER('query (2)'!I554)),IF($L554="","UNKNOWN",$L554))</f>
        <v>WT</v>
      </c>
      <c r="N554" s="24" t="str">
        <f>IF('query (2)'!I554&lt;&gt;"","SOURCE",IF($L554="","UNKNOWN","DERIVED"))</f>
        <v>DERIVED</v>
      </c>
      <c r="O554" s="24" t="str">
        <f>IF('query (2)'!E554="","NOT_SPECIFIED",TRIM(UPPER('query (2)'!E554)))</f>
        <v>NOT_SPECIFIED</v>
      </c>
      <c r="P554" s="24" t="str">
        <f>IF('query (2)'!F554="","",TRIM(UPPER('query (2)'!F554)))</f>
        <v/>
      </c>
      <c r="Q554" s="24" t="str">
        <f>IF('query (2)'!G554="","UNKNOWN",IFERROR(INDEX(Cleaning_Rules!$B$38:$B$46,MATCH(TRIM(UPPER('query (2)'!G554)),Cleaning_Rules!$A$38:$A$46,0)),"UNKNOWN"))</f>
        <v>OTHER</v>
      </c>
      <c r="R554" s="24" t="str">
        <f>IF('query (2)'!H554="","",TRIM(UPPER('query (2)'!H554)))</f>
        <v>WATER PUMP TURNING MACHINE</v>
      </c>
      <c r="S554" s="25" t="str">
        <f>IF('query (2)'!H554="","",'query (2)'!H554)</f>
        <v>Water pump turning machine</v>
      </c>
      <c r="T554" s="24" t="str">
        <f>IF('query (2)'!J554="","",TRIM(UPPER('query (2)'!J554)))</f>
        <v/>
      </c>
      <c r="U554" s="24" t="str">
        <f t="shared" si="59"/>
        <v/>
      </c>
      <c r="V554" s="24" t="str">
        <f>IF('query (2)'!K554="","NOT_SPECIFIED",IFERROR(INDEX(Cleaning_Rules!$B$32:$B$34,MATCH(TRIM(UPPER('query (2)'!K554)),Cleaning_Rules!$A$32:$A$34,0)),"UNKNOWN"))</f>
        <v>NOT_SPECIFIED</v>
      </c>
      <c r="W554" s="24" t="str">
        <f t="shared" si="60"/>
        <v>WT-367 | FACTORY2 | WT | WT | NOT_SPECIFIED | OTHER | WATER PUMP TURNING MACHINE | NOT_SPECIFIED</v>
      </c>
      <c r="X554" s="24" t="str">
        <f t="shared" si="61"/>
        <v>MISSING_RESPONSIBLE; MISSING_COST_CENTER</v>
      </c>
      <c r="Y554" s="24" t="str">
        <f t="shared" si="62"/>
        <v>MISSING_STATUS; CATEGORY_NOT_USEFUL; MISSING_PRODUCTION_NAME; SECTION_DERIVED</v>
      </c>
    </row>
    <row r="555" spans="1:25" x14ac:dyDescent="0.3">
      <c r="A555" s="24" t="str">
        <f t="shared" si="56"/>
        <v>M-368#0554</v>
      </c>
      <c r="B555" s="24" t="str">
        <f>IF('query (2)'!B555="","",TRIM(UPPER('query (2)'!B555)))</f>
        <v>M-368</v>
      </c>
      <c r="C555" s="25" t="str">
        <f>IF('query (2)'!B555="","",'query (2)'!B555)</f>
        <v>M-368</v>
      </c>
      <c r="D555" s="24" t="str">
        <f t="shared" si="57"/>
        <v>M</v>
      </c>
      <c r="E555" s="24">
        <f t="shared" si="58"/>
        <v>1</v>
      </c>
      <c r="F555" s="24">
        <f>IF('query (2)'!A555="","",IFERROR(VALUE('query (2)'!A555),""))</f>
        <v>573</v>
      </c>
      <c r="G555" s="24" t="str">
        <f>IF('query (2)'!C555="","UNKNOWN",IFERROR(INDEX(Cleaning_Rules!$B$15:$B$20,MATCH(TRIM(UPPER('query (2)'!C555)),Cleaning_Rules!$A$15:$A$20,0)),"UNKNOWN"))</f>
        <v>FACTORY2</v>
      </c>
      <c r="H555" s="25" t="str">
        <f>IF('query (2)'!C555="","",'query (2)'!C555)</f>
        <v>FACTORY2</v>
      </c>
      <c r="I555" s="24" t="str" cm="1">
        <f t="array" ref="I555">_xlfn.IFS($G555="UNKNOWN","UNKNOWN",OR($G555="FACTORY1",$G555="FACTORY2",$G555="FACTORY3"),"PLANT",TRUE,"SHARED")</f>
        <v>PLANT</v>
      </c>
      <c r="J555" s="24" t="str">
        <f>IF('query (2)'!D555="","UNKNOWN",IF(COUNTIF(Cleaning_Rules!$A$6:$A$11,TRIM('query (2)'!D555))&gt;0,"UNKNOWN",IFERROR(INDEX(Cleaning_Rules!$B$24:$B$28,MATCH(TRIM(UPPER('query (2)'!D555)),Cleaning_Rules!$A$24:$A$28,0)),TRIM(UPPER('query (2)'!D555)))))</f>
        <v>WT</v>
      </c>
      <c r="K555" s="25" t="str">
        <f>IF('query (2)'!D555="","",'query (2)'!D555)</f>
        <v>WT</v>
      </c>
      <c r="L555" s="24" t="str">
        <f>IF($J555="UNKNOWN","",_xlfn.TEXTBEFORE($J555,{"0","1","2","3","4","5","6","7","8","9"," ","-","."},1,,,$J555))</f>
        <v>WT</v>
      </c>
      <c r="M555" s="24" t="str">
        <f>IF('query (2)'!I555&lt;&gt;"",TRIM(UPPER('query (2)'!I555)),IF($L555="","UNKNOWN",$L555))</f>
        <v>WT</v>
      </c>
      <c r="N555" s="24" t="str">
        <f>IF('query (2)'!I555&lt;&gt;"","SOURCE",IF($L555="","UNKNOWN","DERIVED"))</f>
        <v>DERIVED</v>
      </c>
      <c r="O555" s="24" t="str">
        <f>IF('query (2)'!E555="","NOT_SPECIFIED",TRIM(UPPER('query (2)'!E555)))</f>
        <v>NOT_SPECIFIED</v>
      </c>
      <c r="P555" s="24" t="str">
        <f>IF('query (2)'!F555="","",TRIM(UPPER('query (2)'!F555)))</f>
        <v/>
      </c>
      <c r="Q555" s="24" t="str">
        <f>IF('query (2)'!G555="","UNKNOWN",IFERROR(INDEX(Cleaning_Rules!$B$38:$B$46,MATCH(TRIM(UPPER('query (2)'!G555)),Cleaning_Rules!$A$38:$A$46,0)),"UNKNOWN"))</f>
        <v>OTHER</v>
      </c>
      <c r="R555" s="24" t="str">
        <f>IF('query (2)'!H555="","",TRIM(UPPER('query (2)'!H555)))</f>
        <v>MARKING MACHINE</v>
      </c>
      <c r="S555" s="25" t="str">
        <f>IF('query (2)'!H555="","",'query (2)'!H555)</f>
        <v>Marking machine</v>
      </c>
      <c r="T555" s="24" t="str">
        <f>IF('query (2)'!J555="","",TRIM(UPPER('query (2)'!J555)))</f>
        <v/>
      </c>
      <c r="U555" s="24" t="str">
        <f t="shared" si="59"/>
        <v/>
      </c>
      <c r="V555" s="24" t="str">
        <f>IF('query (2)'!K555="","NOT_SPECIFIED",IFERROR(INDEX(Cleaning_Rules!$B$32:$B$34,MATCH(TRIM(UPPER('query (2)'!K555)),Cleaning_Rules!$A$32:$A$34,0)),"UNKNOWN"))</f>
        <v>NOT_SPECIFIED</v>
      </c>
      <c r="W555" s="24" t="str">
        <f t="shared" si="60"/>
        <v>M-368 | FACTORY2 | WT | WT | NOT_SPECIFIED | OTHER | MARKING MACHINE | NOT_SPECIFIED</v>
      </c>
      <c r="X555" s="24" t="str">
        <f t="shared" si="61"/>
        <v>MISSING_RESPONSIBLE; MISSING_COST_CENTER</v>
      </c>
      <c r="Y555" s="24" t="str">
        <f t="shared" si="62"/>
        <v>MISSING_STATUS; CATEGORY_NOT_USEFUL; MISSING_PRODUCTION_NAME; SECTION_DERIVED</v>
      </c>
    </row>
    <row r="556" spans="1:25" x14ac:dyDescent="0.3">
      <c r="A556" s="24" t="str">
        <f t="shared" si="56"/>
        <v>RL-456#0555</v>
      </c>
      <c r="B556" s="24" t="str">
        <f>IF('query (2)'!B556="","",TRIM(UPPER('query (2)'!B556)))</f>
        <v>RL-456</v>
      </c>
      <c r="C556" s="25" t="str">
        <f>IF('query (2)'!B556="","",'query (2)'!B556)</f>
        <v>RL-456</v>
      </c>
      <c r="D556" s="24" t="str">
        <f t="shared" si="57"/>
        <v>RL</v>
      </c>
      <c r="E556" s="24">
        <f t="shared" si="58"/>
        <v>1</v>
      </c>
      <c r="F556" s="24">
        <f>IF('query (2)'!A556="","",IFERROR(VALUE('query (2)'!A556),""))</f>
        <v>574</v>
      </c>
      <c r="G556" s="24" t="str">
        <f>IF('query (2)'!C556="","UNKNOWN",IFERROR(INDEX(Cleaning_Rules!$B$15:$B$20,MATCH(TRIM(UPPER('query (2)'!C556)),Cleaning_Rules!$A$15:$A$20,0)),"UNKNOWN"))</f>
        <v>FACTORY2</v>
      </c>
      <c r="H556" s="25" t="str">
        <f>IF('query (2)'!C556="","",'query (2)'!C556)</f>
        <v>FACTORY2</v>
      </c>
      <c r="I556" s="24" t="str" cm="1">
        <f t="array" ref="I556">_xlfn.IFS($G556="UNKNOWN","UNKNOWN",OR($G556="FACTORY1",$G556="FACTORY2",$G556="FACTORY3"),"PLANT",TRUE,"SHARED")</f>
        <v>PLANT</v>
      </c>
      <c r="J556" s="24" t="str">
        <f>IF('query (2)'!D556="","UNKNOWN",IF(COUNTIF(Cleaning_Rules!$A$6:$A$11,TRIM('query (2)'!D556))&gt;0,"UNKNOWN",IFERROR(INDEX(Cleaning_Rules!$B$24:$B$28,MATCH(TRIM(UPPER('query (2)'!D556)),Cleaning_Rules!$A$24:$A$28,0)),TRIM(UPPER('query (2)'!D556)))))</f>
        <v>WT</v>
      </c>
      <c r="K556" s="25" t="str">
        <f>IF('query (2)'!D556="","",'query (2)'!D556)</f>
        <v>WT</v>
      </c>
      <c r="L556" s="24" t="str">
        <f>IF($J556="UNKNOWN","",_xlfn.TEXTBEFORE($J556,{"0","1","2","3","4","5","6","7","8","9"," ","-","."},1,,,$J556))</f>
        <v>WT</v>
      </c>
      <c r="M556" s="24" t="str">
        <f>IF('query (2)'!I556&lt;&gt;"",TRIM(UPPER('query (2)'!I556)),IF($L556="","UNKNOWN",$L556))</f>
        <v>WT</v>
      </c>
      <c r="N556" s="24" t="str">
        <f>IF('query (2)'!I556&lt;&gt;"","SOURCE",IF($L556="","UNKNOWN","DERIVED"))</f>
        <v>DERIVED</v>
      </c>
      <c r="O556" s="24" t="str">
        <f>IF('query (2)'!E556="","NOT_SPECIFIED",TRIM(UPPER('query (2)'!E556)))</f>
        <v>NOT_SPECIFIED</v>
      </c>
      <c r="P556" s="24" t="str">
        <f>IF('query (2)'!F556="","",TRIM(UPPER('query (2)'!F556)))</f>
        <v/>
      </c>
      <c r="Q556" s="24" t="str">
        <f>IF('query (2)'!G556="","UNKNOWN",IFERROR(INDEX(Cleaning_Rules!$B$38:$B$46,MATCH(TRIM(UPPER('query (2)'!G556)),Cleaning_Rules!$A$38:$A$46,0)),"UNKNOWN"))</f>
        <v>OTHER</v>
      </c>
      <c r="R556" s="24" t="str">
        <f>IF('query (2)'!H556="","",TRIM(UPPER('query (2)'!H556)))</f>
        <v>ROLLING MACHINE.</v>
      </c>
      <c r="S556" s="25" t="str">
        <f>IF('query (2)'!H556="","",'query (2)'!H556)</f>
        <v>Rolling machine.</v>
      </c>
      <c r="T556" s="24" t="str">
        <f>IF('query (2)'!J556="","",TRIM(UPPER('query (2)'!J556)))</f>
        <v/>
      </c>
      <c r="U556" s="24" t="str">
        <f t="shared" si="59"/>
        <v/>
      </c>
      <c r="V556" s="24" t="str">
        <f>IF('query (2)'!K556="","NOT_SPECIFIED",IFERROR(INDEX(Cleaning_Rules!$B$32:$B$34,MATCH(TRIM(UPPER('query (2)'!K556)),Cleaning_Rules!$A$32:$A$34,0)),"UNKNOWN"))</f>
        <v>NOT_SPECIFIED</v>
      </c>
      <c r="W556" s="24" t="str">
        <f t="shared" si="60"/>
        <v>RL-456 | FACTORY2 | WT | WT | NOT_SPECIFIED | OTHER | ROLLING MACHINE. | NOT_SPECIFIED</v>
      </c>
      <c r="X556" s="24" t="str">
        <f t="shared" si="61"/>
        <v>MISSING_RESPONSIBLE; MISSING_COST_CENTER</v>
      </c>
      <c r="Y556" s="24" t="str">
        <f t="shared" si="62"/>
        <v>MISSING_STATUS; CATEGORY_NOT_USEFUL; MISSING_PRODUCTION_NAME; SECTION_DERIVED</v>
      </c>
    </row>
    <row r="557" spans="1:25" x14ac:dyDescent="0.3">
      <c r="A557" s="24" t="str">
        <f t="shared" si="56"/>
        <v>BF-516#0556</v>
      </c>
      <c r="B557" s="24" t="str">
        <f>IF('query (2)'!B557="","",TRIM(UPPER('query (2)'!B557)))</f>
        <v>BF-516</v>
      </c>
      <c r="C557" s="25" t="str">
        <f>IF('query (2)'!B557="","",'query (2)'!B557)</f>
        <v>BF-516</v>
      </c>
      <c r="D557" s="24" t="str">
        <f t="shared" si="57"/>
        <v>BF</v>
      </c>
      <c r="E557" s="24">
        <f t="shared" si="58"/>
        <v>1</v>
      </c>
      <c r="F557" s="24">
        <f>IF('query (2)'!A557="","",IFERROR(VALUE('query (2)'!A557),""))</f>
        <v>575</v>
      </c>
      <c r="G557" s="24" t="str">
        <f>IF('query (2)'!C557="","UNKNOWN",IFERROR(INDEX(Cleaning_Rules!$B$15:$B$20,MATCH(TRIM(UPPER('query (2)'!C557)),Cleaning_Rules!$A$15:$A$20,0)),"UNKNOWN"))</f>
        <v>FACTORY2</v>
      </c>
      <c r="H557" s="25" t="str">
        <f>IF('query (2)'!C557="","",'query (2)'!C557)</f>
        <v>FACTORY2</v>
      </c>
      <c r="I557" s="24" t="str" cm="1">
        <f t="array" ref="I557">_xlfn.IFS($G557="UNKNOWN","UNKNOWN",OR($G557="FACTORY1",$G557="FACTORY2",$G557="FACTORY3"),"PLANT",TRUE,"SHARED")</f>
        <v>PLANT</v>
      </c>
      <c r="J557" s="24" t="str">
        <f>IF('query (2)'!D557="","UNKNOWN",IF(COUNTIF(Cleaning_Rules!$A$6:$A$11,TRIM('query (2)'!D557))&gt;0,"UNKNOWN",IFERROR(INDEX(Cleaning_Rules!$B$24:$B$28,MATCH(TRIM(UPPER('query (2)'!D557)),Cleaning_Rules!$A$24:$A$28,0)),TRIM(UPPER('query (2)'!D557)))))</f>
        <v>WT</v>
      </c>
      <c r="K557" s="25" t="str">
        <f>IF('query (2)'!D557="","",'query (2)'!D557)</f>
        <v>WT</v>
      </c>
      <c r="L557" s="24" t="str">
        <f>IF($J557="UNKNOWN","",_xlfn.TEXTBEFORE($J557,{"0","1","2","3","4","5","6","7","8","9"," ","-","."},1,,,$J557))</f>
        <v>WT</v>
      </c>
      <c r="M557" s="24" t="str">
        <f>IF('query (2)'!I557&lt;&gt;"",TRIM(UPPER('query (2)'!I557)),IF($L557="","UNKNOWN",$L557))</f>
        <v>WT</v>
      </c>
      <c r="N557" s="24" t="str">
        <f>IF('query (2)'!I557&lt;&gt;"","SOURCE",IF($L557="","UNKNOWN","DERIVED"))</f>
        <v>DERIVED</v>
      </c>
      <c r="O557" s="24" t="str">
        <f>IF('query (2)'!E557="","NOT_SPECIFIED",TRIM(UPPER('query (2)'!E557)))</f>
        <v>NOT_SPECIFIED</v>
      </c>
      <c r="P557" s="24" t="str">
        <f>IF('query (2)'!F557="","",TRIM(UPPER('query (2)'!F557)))</f>
        <v/>
      </c>
      <c r="Q557" s="24" t="str">
        <f>IF('query (2)'!G557="","UNKNOWN",IFERROR(INDEX(Cleaning_Rules!$B$38:$B$46,MATCH(TRIM(UPPER('query (2)'!G557)),Cleaning_Rules!$A$38:$A$46,0)),"UNKNOWN"))</f>
        <v>OTHER</v>
      </c>
      <c r="R557" s="24" t="str">
        <f>IF('query (2)'!H557="","",TRIM(UPPER('query (2)'!H557)))</f>
        <v>BAR FEEDER MACHINE</v>
      </c>
      <c r="S557" s="25" t="str">
        <f>IF('query (2)'!H557="","",'query (2)'!H557)</f>
        <v>Bar feeder machine</v>
      </c>
      <c r="T557" s="24" t="str">
        <f>IF('query (2)'!J557="","",TRIM(UPPER('query (2)'!J557)))</f>
        <v/>
      </c>
      <c r="U557" s="24" t="str">
        <f t="shared" si="59"/>
        <v/>
      </c>
      <c r="V557" s="24" t="str">
        <f>IF('query (2)'!K557="","NOT_SPECIFIED",IFERROR(INDEX(Cleaning_Rules!$B$32:$B$34,MATCH(TRIM(UPPER('query (2)'!K557)),Cleaning_Rules!$A$32:$A$34,0)),"UNKNOWN"))</f>
        <v>NOT_SPECIFIED</v>
      </c>
      <c r="W557" s="24" t="str">
        <f t="shared" si="60"/>
        <v>BF-516 | FACTORY2 | WT | WT | NOT_SPECIFIED | OTHER | BAR FEEDER MACHINE | NOT_SPECIFIED</v>
      </c>
      <c r="X557" s="24" t="str">
        <f t="shared" si="61"/>
        <v>MISSING_RESPONSIBLE; MISSING_COST_CENTER</v>
      </c>
      <c r="Y557" s="24" t="str">
        <f t="shared" si="62"/>
        <v>MISSING_STATUS; CATEGORY_NOT_USEFUL; MISSING_PRODUCTION_NAME; SECTION_DERIVED</v>
      </c>
    </row>
    <row r="558" spans="1:25" x14ac:dyDescent="0.3">
      <c r="A558" s="24" t="str">
        <f t="shared" si="56"/>
        <v>WT-517#0557</v>
      </c>
      <c r="B558" s="24" t="str">
        <f>IF('query (2)'!B558="","",TRIM(UPPER('query (2)'!B558)))</f>
        <v>WT-517</v>
      </c>
      <c r="C558" s="25" t="str">
        <f>IF('query (2)'!B558="","",'query (2)'!B558)</f>
        <v>WT-517</v>
      </c>
      <c r="D558" s="24" t="str">
        <f t="shared" si="57"/>
        <v>WT</v>
      </c>
      <c r="E558" s="24">
        <f t="shared" si="58"/>
        <v>1</v>
      </c>
      <c r="F558" s="24">
        <f>IF('query (2)'!A558="","",IFERROR(VALUE('query (2)'!A558),""))</f>
        <v>576</v>
      </c>
      <c r="G558" s="24" t="str">
        <f>IF('query (2)'!C558="","UNKNOWN",IFERROR(INDEX(Cleaning_Rules!$B$15:$B$20,MATCH(TRIM(UPPER('query (2)'!C558)),Cleaning_Rules!$A$15:$A$20,0)),"UNKNOWN"))</f>
        <v>FACTORY2</v>
      </c>
      <c r="H558" s="25" t="str">
        <f>IF('query (2)'!C558="","",'query (2)'!C558)</f>
        <v>FACTORY2</v>
      </c>
      <c r="I558" s="24" t="str" cm="1">
        <f t="array" ref="I558">_xlfn.IFS($G558="UNKNOWN","UNKNOWN",OR($G558="FACTORY1",$G558="FACTORY2",$G558="FACTORY3"),"PLANT",TRUE,"SHARED")</f>
        <v>PLANT</v>
      </c>
      <c r="J558" s="24" t="str">
        <f>IF('query (2)'!D558="","UNKNOWN",IF(COUNTIF(Cleaning_Rules!$A$6:$A$11,TRIM('query (2)'!D558))&gt;0,"UNKNOWN",IFERROR(INDEX(Cleaning_Rules!$B$24:$B$28,MATCH(TRIM(UPPER('query (2)'!D558)),Cleaning_Rules!$A$24:$A$28,0)),TRIM(UPPER('query (2)'!D558)))))</f>
        <v>WT</v>
      </c>
      <c r="K558" s="25" t="str">
        <f>IF('query (2)'!D558="","",'query (2)'!D558)</f>
        <v>WT</v>
      </c>
      <c r="L558" s="24" t="str">
        <f>IF($J558="UNKNOWN","",_xlfn.TEXTBEFORE($J558,{"0","1","2","3","4","5","6","7","8","9"," ","-","."},1,,,$J558))</f>
        <v>WT</v>
      </c>
      <c r="M558" s="24" t="str">
        <f>IF('query (2)'!I558&lt;&gt;"",TRIM(UPPER('query (2)'!I558)),IF($L558="","UNKNOWN",$L558))</f>
        <v>WT</v>
      </c>
      <c r="N558" s="24" t="str">
        <f>IF('query (2)'!I558&lt;&gt;"","SOURCE",IF($L558="","UNKNOWN","DERIVED"))</f>
        <v>DERIVED</v>
      </c>
      <c r="O558" s="24" t="str">
        <f>IF('query (2)'!E558="","NOT_SPECIFIED",TRIM(UPPER('query (2)'!E558)))</f>
        <v>NOT_SPECIFIED</v>
      </c>
      <c r="P558" s="24" t="str">
        <f>IF('query (2)'!F558="","",TRIM(UPPER('query (2)'!F558)))</f>
        <v/>
      </c>
      <c r="Q558" s="24" t="str">
        <f>IF('query (2)'!G558="","UNKNOWN",IFERROR(INDEX(Cleaning_Rules!$B$38:$B$46,MATCH(TRIM(UPPER('query (2)'!G558)),Cleaning_Rules!$A$38:$A$46,0)),"UNKNOWN"))</f>
        <v>OTHER</v>
      </c>
      <c r="R558" s="24" t="str">
        <f>IF('query (2)'!H558="","",TRIM(UPPER('query (2)'!H558)))</f>
        <v>WATER PUMP TURNING MACHINE</v>
      </c>
      <c r="S558" s="25" t="str">
        <f>IF('query (2)'!H558="","",'query (2)'!H558)</f>
        <v>Water pump turning machine</v>
      </c>
      <c r="T558" s="24" t="str">
        <f>IF('query (2)'!J558="","",TRIM(UPPER('query (2)'!J558)))</f>
        <v/>
      </c>
      <c r="U558" s="24" t="str">
        <f t="shared" si="59"/>
        <v/>
      </c>
      <c r="V558" s="24" t="str">
        <f>IF('query (2)'!K558="","NOT_SPECIFIED",IFERROR(INDEX(Cleaning_Rules!$B$32:$B$34,MATCH(TRIM(UPPER('query (2)'!K558)),Cleaning_Rules!$A$32:$A$34,0)),"UNKNOWN"))</f>
        <v>NOT_SPECIFIED</v>
      </c>
      <c r="W558" s="24" t="str">
        <f t="shared" si="60"/>
        <v>WT-517 | FACTORY2 | WT | WT | NOT_SPECIFIED | OTHER | WATER PUMP TURNING MACHINE | NOT_SPECIFIED</v>
      </c>
      <c r="X558" s="24" t="str">
        <f t="shared" si="61"/>
        <v>MISSING_RESPONSIBLE; MISSING_COST_CENTER</v>
      </c>
      <c r="Y558" s="24" t="str">
        <f t="shared" si="62"/>
        <v>MISSING_STATUS; CATEGORY_NOT_USEFUL; MISSING_PRODUCTION_NAME; SECTION_DERIVED</v>
      </c>
    </row>
    <row r="559" spans="1:25" x14ac:dyDescent="0.3">
      <c r="A559" s="24" t="str">
        <f t="shared" si="56"/>
        <v>M-518#0558</v>
      </c>
      <c r="B559" s="24" t="str">
        <f>IF('query (2)'!B559="","",TRIM(UPPER('query (2)'!B559)))</f>
        <v>M-518</v>
      </c>
      <c r="C559" s="25" t="str">
        <f>IF('query (2)'!B559="","",'query (2)'!B559)</f>
        <v>M-518</v>
      </c>
      <c r="D559" s="24" t="str">
        <f t="shared" si="57"/>
        <v>M</v>
      </c>
      <c r="E559" s="24">
        <f t="shared" si="58"/>
        <v>1</v>
      </c>
      <c r="F559" s="24">
        <f>IF('query (2)'!A559="","",IFERROR(VALUE('query (2)'!A559),""))</f>
        <v>577</v>
      </c>
      <c r="G559" s="24" t="str">
        <f>IF('query (2)'!C559="","UNKNOWN",IFERROR(INDEX(Cleaning_Rules!$B$15:$B$20,MATCH(TRIM(UPPER('query (2)'!C559)),Cleaning_Rules!$A$15:$A$20,0)),"UNKNOWN"))</f>
        <v>FACTORY2</v>
      </c>
      <c r="H559" s="25" t="str">
        <f>IF('query (2)'!C559="","",'query (2)'!C559)</f>
        <v>FACTORY2</v>
      </c>
      <c r="I559" s="24" t="str" cm="1">
        <f t="array" ref="I559">_xlfn.IFS($G559="UNKNOWN","UNKNOWN",OR($G559="FACTORY1",$G559="FACTORY2",$G559="FACTORY3"),"PLANT",TRUE,"SHARED")</f>
        <v>PLANT</v>
      </c>
      <c r="J559" s="24" t="str">
        <f>IF('query (2)'!D559="","UNKNOWN",IF(COUNTIF(Cleaning_Rules!$A$6:$A$11,TRIM('query (2)'!D559))&gt;0,"UNKNOWN",IFERROR(INDEX(Cleaning_Rules!$B$24:$B$28,MATCH(TRIM(UPPER('query (2)'!D559)),Cleaning_Rules!$A$24:$A$28,0)),TRIM(UPPER('query (2)'!D559)))))</f>
        <v>WT</v>
      </c>
      <c r="K559" s="25" t="str">
        <f>IF('query (2)'!D559="","",'query (2)'!D559)</f>
        <v>WT</v>
      </c>
      <c r="L559" s="24" t="str">
        <f>IF($J559="UNKNOWN","",_xlfn.TEXTBEFORE($J559,{"0","1","2","3","4","5","6","7","8","9"," ","-","."},1,,,$J559))</f>
        <v>WT</v>
      </c>
      <c r="M559" s="24" t="str">
        <f>IF('query (2)'!I559&lt;&gt;"",TRIM(UPPER('query (2)'!I559)),IF($L559="","UNKNOWN",$L559))</f>
        <v>WT</v>
      </c>
      <c r="N559" s="24" t="str">
        <f>IF('query (2)'!I559&lt;&gt;"","SOURCE",IF($L559="","UNKNOWN","DERIVED"))</f>
        <v>DERIVED</v>
      </c>
      <c r="O559" s="24" t="str">
        <f>IF('query (2)'!E559="","NOT_SPECIFIED",TRIM(UPPER('query (2)'!E559)))</f>
        <v>NOT_SPECIFIED</v>
      </c>
      <c r="P559" s="24" t="str">
        <f>IF('query (2)'!F559="","",TRIM(UPPER('query (2)'!F559)))</f>
        <v/>
      </c>
      <c r="Q559" s="24" t="str">
        <f>IF('query (2)'!G559="","UNKNOWN",IFERROR(INDEX(Cleaning_Rules!$B$38:$B$46,MATCH(TRIM(UPPER('query (2)'!G559)),Cleaning_Rules!$A$38:$A$46,0)),"UNKNOWN"))</f>
        <v>OTHER</v>
      </c>
      <c r="R559" s="24" t="str">
        <f>IF('query (2)'!H559="","",TRIM(UPPER('query (2)'!H559)))</f>
        <v>MARKING MACHINE</v>
      </c>
      <c r="S559" s="25" t="str">
        <f>IF('query (2)'!H559="","",'query (2)'!H559)</f>
        <v>Marking machine</v>
      </c>
      <c r="T559" s="24" t="str">
        <f>IF('query (2)'!J559="","",TRIM(UPPER('query (2)'!J559)))</f>
        <v/>
      </c>
      <c r="U559" s="24" t="str">
        <f t="shared" si="59"/>
        <v/>
      </c>
      <c r="V559" s="24" t="str">
        <f>IF('query (2)'!K559="","NOT_SPECIFIED",IFERROR(INDEX(Cleaning_Rules!$B$32:$B$34,MATCH(TRIM(UPPER('query (2)'!K559)),Cleaning_Rules!$A$32:$A$34,0)),"UNKNOWN"))</f>
        <v>NOT_SPECIFIED</v>
      </c>
      <c r="W559" s="24" t="str">
        <f t="shared" si="60"/>
        <v>M-518 | FACTORY2 | WT | WT | NOT_SPECIFIED | OTHER | MARKING MACHINE | NOT_SPECIFIED</v>
      </c>
      <c r="X559" s="24" t="str">
        <f t="shared" si="61"/>
        <v>MISSING_RESPONSIBLE; MISSING_COST_CENTER</v>
      </c>
      <c r="Y559" s="24" t="str">
        <f t="shared" si="62"/>
        <v>MISSING_STATUS; CATEGORY_NOT_USEFUL; MISSING_PRODUCTION_NAME; SECTION_DERIVED</v>
      </c>
    </row>
    <row r="560" spans="1:25" x14ac:dyDescent="0.3">
      <c r="A560" s="24" t="str">
        <f t="shared" si="56"/>
        <v>WT-607#0559</v>
      </c>
      <c r="B560" s="24" t="str">
        <f>IF('query (2)'!B560="","",TRIM(UPPER('query (2)'!B560)))</f>
        <v>WT-607</v>
      </c>
      <c r="C560" s="25" t="str">
        <f>IF('query (2)'!B560="","",'query (2)'!B560)</f>
        <v>WT-607</v>
      </c>
      <c r="D560" s="24" t="str">
        <f t="shared" si="57"/>
        <v>WT</v>
      </c>
      <c r="E560" s="24">
        <f t="shared" si="58"/>
        <v>1</v>
      </c>
      <c r="F560" s="24">
        <f>IF('query (2)'!A560="","",IFERROR(VALUE('query (2)'!A560),""))</f>
        <v>578</v>
      </c>
      <c r="G560" s="24" t="str">
        <f>IF('query (2)'!C560="","UNKNOWN",IFERROR(INDEX(Cleaning_Rules!$B$15:$B$20,MATCH(TRIM(UPPER('query (2)'!C560)),Cleaning_Rules!$A$15:$A$20,0)),"UNKNOWN"))</f>
        <v>FACTORY2</v>
      </c>
      <c r="H560" s="25" t="str">
        <f>IF('query (2)'!C560="","",'query (2)'!C560)</f>
        <v>FACTORY2</v>
      </c>
      <c r="I560" s="24" t="str" cm="1">
        <f t="array" ref="I560">_xlfn.IFS($G560="UNKNOWN","UNKNOWN",OR($G560="FACTORY1",$G560="FACTORY2",$G560="FACTORY3"),"PLANT",TRUE,"SHARED")</f>
        <v>PLANT</v>
      </c>
      <c r="J560" s="24" t="str">
        <f>IF('query (2)'!D560="","UNKNOWN",IF(COUNTIF(Cleaning_Rules!$A$6:$A$11,TRIM('query (2)'!D560))&gt;0,"UNKNOWN",IFERROR(INDEX(Cleaning_Rules!$B$24:$B$28,MATCH(TRIM(UPPER('query (2)'!D560)),Cleaning_Rules!$A$24:$A$28,0)),TRIM(UPPER('query (2)'!D560)))))</f>
        <v>WT</v>
      </c>
      <c r="K560" s="25" t="str">
        <f>IF('query (2)'!D560="","",'query (2)'!D560)</f>
        <v>WT</v>
      </c>
      <c r="L560" s="24" t="str">
        <f>IF($J560="UNKNOWN","",_xlfn.TEXTBEFORE($J560,{"0","1","2","3","4","5","6","7","8","9"," ","-","."},1,,,$J560))</f>
        <v>WT</v>
      </c>
      <c r="M560" s="24" t="str">
        <f>IF('query (2)'!I560&lt;&gt;"",TRIM(UPPER('query (2)'!I560)),IF($L560="","UNKNOWN",$L560))</f>
        <v>WT</v>
      </c>
      <c r="N560" s="24" t="str">
        <f>IF('query (2)'!I560&lt;&gt;"","SOURCE",IF($L560="","UNKNOWN","DERIVED"))</f>
        <v>DERIVED</v>
      </c>
      <c r="O560" s="24" t="str">
        <f>IF('query (2)'!E560="","NOT_SPECIFIED",TRIM(UPPER('query (2)'!E560)))</f>
        <v>NOT_SPECIFIED</v>
      </c>
      <c r="P560" s="24" t="str">
        <f>IF('query (2)'!F560="","",TRIM(UPPER('query (2)'!F560)))</f>
        <v/>
      </c>
      <c r="Q560" s="24" t="str">
        <f>IF('query (2)'!G560="","UNKNOWN",IFERROR(INDEX(Cleaning_Rules!$B$38:$B$46,MATCH(TRIM(UPPER('query (2)'!G560)),Cleaning_Rules!$A$38:$A$46,0)),"UNKNOWN"))</f>
        <v>OTHER</v>
      </c>
      <c r="R560" s="24" t="str">
        <f>IF('query (2)'!H560="","",TRIM(UPPER('query (2)'!H560)))</f>
        <v>WATER PUMP TURNING MACHINE</v>
      </c>
      <c r="S560" s="25" t="str">
        <f>IF('query (2)'!H560="","",'query (2)'!H560)</f>
        <v>Water pump turning machine</v>
      </c>
      <c r="T560" s="24" t="str">
        <f>IF('query (2)'!J560="","",TRIM(UPPER('query (2)'!J560)))</f>
        <v/>
      </c>
      <c r="U560" s="24" t="str">
        <f t="shared" si="59"/>
        <v/>
      </c>
      <c r="V560" s="24" t="str">
        <f>IF('query (2)'!K560="","NOT_SPECIFIED",IFERROR(INDEX(Cleaning_Rules!$B$32:$B$34,MATCH(TRIM(UPPER('query (2)'!K560)),Cleaning_Rules!$A$32:$A$34,0)),"UNKNOWN"))</f>
        <v>NOT_SPECIFIED</v>
      </c>
      <c r="W560" s="24" t="str">
        <f t="shared" si="60"/>
        <v>WT-607 | FACTORY2 | WT | WT | NOT_SPECIFIED | OTHER | WATER PUMP TURNING MACHINE | NOT_SPECIFIED</v>
      </c>
      <c r="X560" s="24" t="str">
        <f t="shared" si="61"/>
        <v>MISSING_RESPONSIBLE; MISSING_COST_CENTER</v>
      </c>
      <c r="Y560" s="24" t="str">
        <f t="shared" si="62"/>
        <v>MISSING_STATUS; CATEGORY_NOT_USEFUL; MISSING_PRODUCTION_NAME; SECTION_DERIVED</v>
      </c>
    </row>
    <row r="561" spans="1:25" x14ac:dyDescent="0.3">
      <c r="A561" s="24" t="str">
        <f t="shared" si="56"/>
        <v>M-608#0560</v>
      </c>
      <c r="B561" s="24" t="str">
        <f>IF('query (2)'!B561="","",TRIM(UPPER('query (2)'!B561)))</f>
        <v>M-608</v>
      </c>
      <c r="C561" s="25" t="str">
        <f>IF('query (2)'!B561="","",'query (2)'!B561)</f>
        <v>M-608</v>
      </c>
      <c r="D561" s="24" t="str">
        <f t="shared" si="57"/>
        <v>M</v>
      </c>
      <c r="E561" s="24">
        <f t="shared" si="58"/>
        <v>1</v>
      </c>
      <c r="F561" s="24">
        <f>IF('query (2)'!A561="","",IFERROR(VALUE('query (2)'!A561),""))</f>
        <v>579</v>
      </c>
      <c r="G561" s="24" t="str">
        <f>IF('query (2)'!C561="","UNKNOWN",IFERROR(INDEX(Cleaning_Rules!$B$15:$B$20,MATCH(TRIM(UPPER('query (2)'!C561)),Cleaning_Rules!$A$15:$A$20,0)),"UNKNOWN"))</f>
        <v>FACTORY2</v>
      </c>
      <c r="H561" s="25" t="str">
        <f>IF('query (2)'!C561="","",'query (2)'!C561)</f>
        <v>FACTORY2</v>
      </c>
      <c r="I561" s="24" t="str" cm="1">
        <f t="array" ref="I561">_xlfn.IFS($G561="UNKNOWN","UNKNOWN",OR($G561="FACTORY1",$G561="FACTORY2",$G561="FACTORY3"),"PLANT",TRUE,"SHARED")</f>
        <v>PLANT</v>
      </c>
      <c r="J561" s="24" t="str">
        <f>IF('query (2)'!D561="","UNKNOWN",IF(COUNTIF(Cleaning_Rules!$A$6:$A$11,TRIM('query (2)'!D561))&gt;0,"UNKNOWN",IFERROR(INDEX(Cleaning_Rules!$B$24:$B$28,MATCH(TRIM(UPPER('query (2)'!D561)),Cleaning_Rules!$A$24:$A$28,0)),TRIM(UPPER('query (2)'!D561)))))</f>
        <v>WT</v>
      </c>
      <c r="K561" s="25" t="str">
        <f>IF('query (2)'!D561="","",'query (2)'!D561)</f>
        <v>WT</v>
      </c>
      <c r="L561" s="24" t="str">
        <f>IF($J561="UNKNOWN","",_xlfn.TEXTBEFORE($J561,{"0","1","2","3","4","5","6","7","8","9"," ","-","."},1,,,$J561))</f>
        <v>WT</v>
      </c>
      <c r="M561" s="24" t="str">
        <f>IF('query (2)'!I561&lt;&gt;"",TRIM(UPPER('query (2)'!I561)),IF($L561="","UNKNOWN",$L561))</f>
        <v>WT</v>
      </c>
      <c r="N561" s="24" t="str">
        <f>IF('query (2)'!I561&lt;&gt;"","SOURCE",IF($L561="","UNKNOWN","DERIVED"))</f>
        <v>DERIVED</v>
      </c>
      <c r="O561" s="24" t="str">
        <f>IF('query (2)'!E561="","NOT_SPECIFIED",TRIM(UPPER('query (2)'!E561)))</f>
        <v>NOT_SPECIFIED</v>
      </c>
      <c r="P561" s="24" t="str">
        <f>IF('query (2)'!F561="","",TRIM(UPPER('query (2)'!F561)))</f>
        <v/>
      </c>
      <c r="Q561" s="24" t="str">
        <f>IF('query (2)'!G561="","UNKNOWN",IFERROR(INDEX(Cleaning_Rules!$B$38:$B$46,MATCH(TRIM(UPPER('query (2)'!G561)),Cleaning_Rules!$A$38:$A$46,0)),"UNKNOWN"))</f>
        <v>OTHER</v>
      </c>
      <c r="R561" s="24" t="str">
        <f>IF('query (2)'!H561="","",TRIM(UPPER('query (2)'!H561)))</f>
        <v>MARKING MACHINE</v>
      </c>
      <c r="S561" s="25" t="str">
        <f>IF('query (2)'!H561="","",'query (2)'!H561)</f>
        <v>Marking machine</v>
      </c>
      <c r="T561" s="24" t="str">
        <f>IF('query (2)'!J561="","",TRIM(UPPER('query (2)'!J561)))</f>
        <v/>
      </c>
      <c r="U561" s="24" t="str">
        <f t="shared" si="59"/>
        <v/>
      </c>
      <c r="V561" s="24" t="str">
        <f>IF('query (2)'!K561="","NOT_SPECIFIED",IFERROR(INDEX(Cleaning_Rules!$B$32:$B$34,MATCH(TRIM(UPPER('query (2)'!K561)),Cleaning_Rules!$A$32:$A$34,0)),"UNKNOWN"))</f>
        <v>NOT_SPECIFIED</v>
      </c>
      <c r="W561" s="24" t="str">
        <f t="shared" si="60"/>
        <v>M-608 | FACTORY2 | WT | WT | NOT_SPECIFIED | OTHER | MARKING MACHINE | NOT_SPECIFIED</v>
      </c>
      <c r="X561" s="24" t="str">
        <f t="shared" si="61"/>
        <v>MISSING_RESPONSIBLE; MISSING_COST_CENTER</v>
      </c>
      <c r="Y561" s="24" t="str">
        <f t="shared" si="62"/>
        <v>MISSING_STATUS; CATEGORY_NOT_USEFUL; MISSING_PRODUCTION_NAME; SECTION_DERIVED</v>
      </c>
    </row>
    <row r="562" spans="1:25" x14ac:dyDescent="0.3">
      <c r="A562" s="24" t="str">
        <f t="shared" si="56"/>
        <v>BF-609#0561</v>
      </c>
      <c r="B562" s="24" t="str">
        <f>IF('query (2)'!B562="","",TRIM(UPPER('query (2)'!B562)))</f>
        <v>BF-609</v>
      </c>
      <c r="C562" s="25" t="str">
        <f>IF('query (2)'!B562="","",'query (2)'!B562)</f>
        <v>BF-609</v>
      </c>
      <c r="D562" s="24" t="str">
        <f t="shared" si="57"/>
        <v>BF</v>
      </c>
      <c r="E562" s="24">
        <f t="shared" si="58"/>
        <v>1</v>
      </c>
      <c r="F562" s="24">
        <f>IF('query (2)'!A562="","",IFERROR(VALUE('query (2)'!A562),""))</f>
        <v>580</v>
      </c>
      <c r="G562" s="24" t="str">
        <f>IF('query (2)'!C562="","UNKNOWN",IFERROR(INDEX(Cleaning_Rules!$B$15:$B$20,MATCH(TRIM(UPPER('query (2)'!C562)),Cleaning_Rules!$A$15:$A$20,0)),"UNKNOWN"))</f>
        <v>FACTORY2</v>
      </c>
      <c r="H562" s="25" t="str">
        <f>IF('query (2)'!C562="","",'query (2)'!C562)</f>
        <v>FACTORY2</v>
      </c>
      <c r="I562" s="24" t="str" cm="1">
        <f t="array" ref="I562">_xlfn.IFS($G562="UNKNOWN","UNKNOWN",OR($G562="FACTORY1",$G562="FACTORY2",$G562="FACTORY3"),"PLANT",TRUE,"SHARED")</f>
        <v>PLANT</v>
      </c>
      <c r="J562" s="24" t="str">
        <f>IF('query (2)'!D562="","UNKNOWN",IF(COUNTIF(Cleaning_Rules!$A$6:$A$11,TRIM('query (2)'!D562))&gt;0,"UNKNOWN",IFERROR(INDEX(Cleaning_Rules!$B$24:$B$28,MATCH(TRIM(UPPER('query (2)'!D562)),Cleaning_Rules!$A$24:$A$28,0)),TRIM(UPPER('query (2)'!D562)))))</f>
        <v>WT</v>
      </c>
      <c r="K562" s="25" t="str">
        <f>IF('query (2)'!D562="","",'query (2)'!D562)</f>
        <v>WT</v>
      </c>
      <c r="L562" s="24" t="str">
        <f>IF($J562="UNKNOWN","",_xlfn.TEXTBEFORE($J562,{"0","1","2","3","4","5","6","7","8","9"," ","-","."},1,,,$J562))</f>
        <v>WT</v>
      </c>
      <c r="M562" s="24" t="str">
        <f>IF('query (2)'!I562&lt;&gt;"",TRIM(UPPER('query (2)'!I562)),IF($L562="","UNKNOWN",$L562))</f>
        <v>WT</v>
      </c>
      <c r="N562" s="24" t="str">
        <f>IF('query (2)'!I562&lt;&gt;"","SOURCE",IF($L562="","UNKNOWN","DERIVED"))</f>
        <v>DERIVED</v>
      </c>
      <c r="O562" s="24" t="str">
        <f>IF('query (2)'!E562="","NOT_SPECIFIED",TRIM(UPPER('query (2)'!E562)))</f>
        <v>NOT_SPECIFIED</v>
      </c>
      <c r="P562" s="24" t="str">
        <f>IF('query (2)'!F562="","",TRIM(UPPER('query (2)'!F562)))</f>
        <v/>
      </c>
      <c r="Q562" s="24" t="str">
        <f>IF('query (2)'!G562="","UNKNOWN",IFERROR(INDEX(Cleaning_Rules!$B$38:$B$46,MATCH(TRIM(UPPER('query (2)'!G562)),Cleaning_Rules!$A$38:$A$46,0)),"UNKNOWN"))</f>
        <v>OTHER</v>
      </c>
      <c r="R562" s="24" t="str">
        <f>IF('query (2)'!H562="","",TRIM(UPPER('query (2)'!H562)))</f>
        <v>BAR FEEDER MACHINE</v>
      </c>
      <c r="S562" s="25" t="str">
        <f>IF('query (2)'!H562="","",'query (2)'!H562)</f>
        <v>Bar feeder machine</v>
      </c>
      <c r="T562" s="24" t="str">
        <f>IF('query (2)'!J562="","",TRIM(UPPER('query (2)'!J562)))</f>
        <v/>
      </c>
      <c r="U562" s="24" t="str">
        <f t="shared" si="59"/>
        <v/>
      </c>
      <c r="V562" s="24" t="str">
        <f>IF('query (2)'!K562="","NOT_SPECIFIED",IFERROR(INDEX(Cleaning_Rules!$B$32:$B$34,MATCH(TRIM(UPPER('query (2)'!K562)),Cleaning_Rules!$A$32:$A$34,0)),"UNKNOWN"))</f>
        <v>NOT_SPECIFIED</v>
      </c>
      <c r="W562" s="24" t="str">
        <f t="shared" si="60"/>
        <v>BF-609 | FACTORY2 | WT | WT | NOT_SPECIFIED | OTHER | BAR FEEDER MACHINE | NOT_SPECIFIED</v>
      </c>
      <c r="X562" s="24" t="str">
        <f t="shared" si="61"/>
        <v>MISSING_RESPONSIBLE; MISSING_COST_CENTER</v>
      </c>
      <c r="Y562" s="24" t="str">
        <f t="shared" si="62"/>
        <v>MISSING_STATUS; CATEGORY_NOT_USEFUL; MISSING_PRODUCTION_NAME; SECTION_DERIVED</v>
      </c>
    </row>
    <row r="563" spans="1:25" x14ac:dyDescent="0.3">
      <c r="A563" s="24" t="str">
        <f t="shared" si="56"/>
        <v>RL-610#0562</v>
      </c>
      <c r="B563" s="24" t="str">
        <f>IF('query (2)'!B563="","",TRIM(UPPER('query (2)'!B563)))</f>
        <v>RL-610</v>
      </c>
      <c r="C563" s="25" t="str">
        <f>IF('query (2)'!B563="","",'query (2)'!B563)</f>
        <v>RL-610</v>
      </c>
      <c r="D563" s="24" t="str">
        <f t="shared" si="57"/>
        <v>RL</v>
      </c>
      <c r="E563" s="24">
        <f t="shared" si="58"/>
        <v>1</v>
      </c>
      <c r="F563" s="24">
        <f>IF('query (2)'!A563="","",IFERROR(VALUE('query (2)'!A563),""))</f>
        <v>581</v>
      </c>
      <c r="G563" s="24" t="str">
        <f>IF('query (2)'!C563="","UNKNOWN",IFERROR(INDEX(Cleaning_Rules!$B$15:$B$20,MATCH(TRIM(UPPER('query (2)'!C563)),Cleaning_Rules!$A$15:$A$20,0)),"UNKNOWN"))</f>
        <v>FACTORY2</v>
      </c>
      <c r="H563" s="25" t="str">
        <f>IF('query (2)'!C563="","",'query (2)'!C563)</f>
        <v>FACTORY2</v>
      </c>
      <c r="I563" s="24" t="str" cm="1">
        <f t="array" ref="I563">_xlfn.IFS($G563="UNKNOWN","UNKNOWN",OR($G563="FACTORY1",$G563="FACTORY2",$G563="FACTORY3"),"PLANT",TRUE,"SHARED")</f>
        <v>PLANT</v>
      </c>
      <c r="J563" s="24" t="str">
        <f>IF('query (2)'!D563="","UNKNOWN",IF(COUNTIF(Cleaning_Rules!$A$6:$A$11,TRIM('query (2)'!D563))&gt;0,"UNKNOWN",IFERROR(INDEX(Cleaning_Rules!$B$24:$B$28,MATCH(TRIM(UPPER('query (2)'!D563)),Cleaning_Rules!$A$24:$A$28,0)),TRIM(UPPER('query (2)'!D563)))))</f>
        <v>WT</v>
      </c>
      <c r="K563" s="25" t="str">
        <f>IF('query (2)'!D563="","",'query (2)'!D563)</f>
        <v>WT</v>
      </c>
      <c r="L563" s="24" t="str">
        <f>IF($J563="UNKNOWN","",_xlfn.TEXTBEFORE($J563,{"0","1","2","3","4","5","6","7","8","9"," ","-","."},1,,,$J563))</f>
        <v>WT</v>
      </c>
      <c r="M563" s="24" t="str">
        <f>IF('query (2)'!I563&lt;&gt;"",TRIM(UPPER('query (2)'!I563)),IF($L563="","UNKNOWN",$L563))</f>
        <v>WT</v>
      </c>
      <c r="N563" s="24" t="str">
        <f>IF('query (2)'!I563&lt;&gt;"","SOURCE",IF($L563="","UNKNOWN","DERIVED"))</f>
        <v>DERIVED</v>
      </c>
      <c r="O563" s="24" t="str">
        <f>IF('query (2)'!E563="","NOT_SPECIFIED",TRIM(UPPER('query (2)'!E563)))</f>
        <v>NOT_SPECIFIED</v>
      </c>
      <c r="P563" s="24" t="str">
        <f>IF('query (2)'!F563="","",TRIM(UPPER('query (2)'!F563)))</f>
        <v/>
      </c>
      <c r="Q563" s="24" t="str">
        <f>IF('query (2)'!G563="","UNKNOWN",IFERROR(INDEX(Cleaning_Rules!$B$38:$B$46,MATCH(TRIM(UPPER('query (2)'!G563)),Cleaning_Rules!$A$38:$A$46,0)),"UNKNOWN"))</f>
        <v>OTHER</v>
      </c>
      <c r="R563" s="24" t="str">
        <f>IF('query (2)'!H563="","",TRIM(UPPER('query (2)'!H563)))</f>
        <v>ROLLING MACHINE.</v>
      </c>
      <c r="S563" s="25" t="str">
        <f>IF('query (2)'!H563="","",'query (2)'!H563)</f>
        <v>Rolling machine.</v>
      </c>
      <c r="T563" s="24" t="str">
        <f>IF('query (2)'!J563="","",TRIM(UPPER('query (2)'!J563)))</f>
        <v/>
      </c>
      <c r="U563" s="24" t="str">
        <f t="shared" si="59"/>
        <v/>
      </c>
      <c r="V563" s="24" t="str">
        <f>IF('query (2)'!K563="","NOT_SPECIFIED",IFERROR(INDEX(Cleaning_Rules!$B$32:$B$34,MATCH(TRIM(UPPER('query (2)'!K563)),Cleaning_Rules!$A$32:$A$34,0)),"UNKNOWN"))</f>
        <v>NOT_SPECIFIED</v>
      </c>
      <c r="W563" s="24" t="str">
        <f t="shared" si="60"/>
        <v>RL-610 | FACTORY2 | WT | WT | NOT_SPECIFIED | OTHER | ROLLING MACHINE. | NOT_SPECIFIED</v>
      </c>
      <c r="X563" s="24" t="str">
        <f t="shared" si="61"/>
        <v>MISSING_RESPONSIBLE; MISSING_COST_CENTER</v>
      </c>
      <c r="Y563" s="24" t="str">
        <f t="shared" si="62"/>
        <v>MISSING_STATUS; CATEGORY_NOT_USEFUL; MISSING_PRODUCTION_NAME; SECTION_DERIVED</v>
      </c>
    </row>
    <row r="564" spans="1:25" x14ac:dyDescent="0.3">
      <c r="A564" s="24" t="str">
        <f t="shared" si="56"/>
        <v>BF-653#0563</v>
      </c>
      <c r="B564" s="24" t="str">
        <f>IF('query (2)'!B564="","",TRIM(UPPER('query (2)'!B564)))</f>
        <v>BF-653</v>
      </c>
      <c r="C564" s="25" t="str">
        <f>IF('query (2)'!B564="","",'query (2)'!B564)</f>
        <v>BF-653</v>
      </c>
      <c r="D564" s="24" t="str">
        <f t="shared" si="57"/>
        <v>BF</v>
      </c>
      <c r="E564" s="24">
        <f t="shared" si="58"/>
        <v>1</v>
      </c>
      <c r="F564" s="24">
        <f>IF('query (2)'!A564="","",IFERROR(VALUE('query (2)'!A564),""))</f>
        <v>582</v>
      </c>
      <c r="G564" s="24" t="str">
        <f>IF('query (2)'!C564="","UNKNOWN",IFERROR(INDEX(Cleaning_Rules!$B$15:$B$20,MATCH(TRIM(UPPER('query (2)'!C564)),Cleaning_Rules!$A$15:$A$20,0)),"UNKNOWN"))</f>
        <v>FACTORY2</v>
      </c>
      <c r="H564" s="25" t="str">
        <f>IF('query (2)'!C564="","",'query (2)'!C564)</f>
        <v>FACTORY2</v>
      </c>
      <c r="I564" s="24" t="str" cm="1">
        <f t="array" ref="I564">_xlfn.IFS($G564="UNKNOWN","UNKNOWN",OR($G564="FACTORY1",$G564="FACTORY2",$G564="FACTORY3"),"PLANT",TRUE,"SHARED")</f>
        <v>PLANT</v>
      </c>
      <c r="J564" s="24" t="str">
        <f>IF('query (2)'!D564="","UNKNOWN",IF(COUNTIF(Cleaning_Rules!$A$6:$A$11,TRIM('query (2)'!D564))&gt;0,"UNKNOWN",IFERROR(INDEX(Cleaning_Rules!$B$24:$B$28,MATCH(TRIM(UPPER('query (2)'!D564)),Cleaning_Rules!$A$24:$A$28,0)),TRIM(UPPER('query (2)'!D564)))))</f>
        <v>WT</v>
      </c>
      <c r="K564" s="25" t="str">
        <f>IF('query (2)'!D564="","",'query (2)'!D564)</f>
        <v>WT</v>
      </c>
      <c r="L564" s="24" t="str">
        <f>IF($J564="UNKNOWN","",_xlfn.TEXTBEFORE($J564,{"0","1","2","3","4","5","6","7","8","9"," ","-","."},1,,,$J564))</f>
        <v>WT</v>
      </c>
      <c r="M564" s="24" t="str">
        <f>IF('query (2)'!I564&lt;&gt;"",TRIM(UPPER('query (2)'!I564)),IF($L564="","UNKNOWN",$L564))</f>
        <v>WT</v>
      </c>
      <c r="N564" s="24" t="str">
        <f>IF('query (2)'!I564&lt;&gt;"","SOURCE",IF($L564="","UNKNOWN","DERIVED"))</f>
        <v>DERIVED</v>
      </c>
      <c r="O564" s="24" t="str">
        <f>IF('query (2)'!E564="","NOT_SPECIFIED",TRIM(UPPER('query (2)'!E564)))</f>
        <v>NOT_SPECIFIED</v>
      </c>
      <c r="P564" s="24" t="str">
        <f>IF('query (2)'!F564="","",TRIM(UPPER('query (2)'!F564)))</f>
        <v/>
      </c>
      <c r="Q564" s="24" t="str">
        <f>IF('query (2)'!G564="","UNKNOWN",IFERROR(INDEX(Cleaning_Rules!$B$38:$B$46,MATCH(TRIM(UPPER('query (2)'!G564)),Cleaning_Rules!$A$38:$A$46,0)),"UNKNOWN"))</f>
        <v>OTHER</v>
      </c>
      <c r="R564" s="24" t="str">
        <f>IF('query (2)'!H564="","",TRIM(UPPER('query (2)'!H564)))</f>
        <v>BAR FEEDER MACHINE</v>
      </c>
      <c r="S564" s="25" t="str">
        <f>IF('query (2)'!H564="","",'query (2)'!H564)</f>
        <v>Bar feeder machine</v>
      </c>
      <c r="T564" s="24" t="str">
        <f>IF('query (2)'!J564="","",TRIM(UPPER('query (2)'!J564)))</f>
        <v/>
      </c>
      <c r="U564" s="24" t="str">
        <f t="shared" si="59"/>
        <v/>
      </c>
      <c r="V564" s="24" t="str">
        <f>IF('query (2)'!K564="","NOT_SPECIFIED",IFERROR(INDEX(Cleaning_Rules!$B$32:$B$34,MATCH(TRIM(UPPER('query (2)'!K564)),Cleaning_Rules!$A$32:$A$34,0)),"UNKNOWN"))</f>
        <v>NOT_SPECIFIED</v>
      </c>
      <c r="W564" s="24" t="str">
        <f t="shared" si="60"/>
        <v>BF-653 | FACTORY2 | WT | WT | NOT_SPECIFIED | OTHER | BAR FEEDER MACHINE | NOT_SPECIFIED</v>
      </c>
      <c r="X564" s="24" t="str">
        <f t="shared" si="61"/>
        <v>MISSING_RESPONSIBLE; MISSING_COST_CENTER</v>
      </c>
      <c r="Y564" s="24" t="str">
        <f t="shared" si="62"/>
        <v>MISSING_STATUS; CATEGORY_NOT_USEFUL; MISSING_PRODUCTION_NAME; SECTION_DERIVED</v>
      </c>
    </row>
    <row r="565" spans="1:25" x14ac:dyDescent="0.3">
      <c r="A565" s="24" t="str">
        <f t="shared" si="56"/>
        <v>WT-652#0564</v>
      </c>
      <c r="B565" s="24" t="str">
        <f>IF('query (2)'!B565="","",TRIM(UPPER('query (2)'!B565)))</f>
        <v>WT-652</v>
      </c>
      <c r="C565" s="25" t="str">
        <f>IF('query (2)'!B565="","",'query (2)'!B565)</f>
        <v>WT-652</v>
      </c>
      <c r="D565" s="24" t="str">
        <f t="shared" si="57"/>
        <v>WT</v>
      </c>
      <c r="E565" s="24">
        <f t="shared" si="58"/>
        <v>1</v>
      </c>
      <c r="F565" s="24">
        <f>IF('query (2)'!A565="","",IFERROR(VALUE('query (2)'!A565),""))</f>
        <v>583</v>
      </c>
      <c r="G565" s="24" t="str">
        <f>IF('query (2)'!C565="","UNKNOWN",IFERROR(INDEX(Cleaning_Rules!$B$15:$B$20,MATCH(TRIM(UPPER('query (2)'!C565)),Cleaning_Rules!$A$15:$A$20,0)),"UNKNOWN"))</f>
        <v>FACTORY2</v>
      </c>
      <c r="H565" s="25" t="str">
        <f>IF('query (2)'!C565="","",'query (2)'!C565)</f>
        <v>FACTORY2</v>
      </c>
      <c r="I565" s="24" t="str" cm="1">
        <f t="array" ref="I565">_xlfn.IFS($G565="UNKNOWN","UNKNOWN",OR($G565="FACTORY1",$G565="FACTORY2",$G565="FACTORY3"),"PLANT",TRUE,"SHARED")</f>
        <v>PLANT</v>
      </c>
      <c r="J565" s="24" t="str">
        <f>IF('query (2)'!D565="","UNKNOWN",IF(COUNTIF(Cleaning_Rules!$A$6:$A$11,TRIM('query (2)'!D565))&gt;0,"UNKNOWN",IFERROR(INDEX(Cleaning_Rules!$B$24:$B$28,MATCH(TRIM(UPPER('query (2)'!D565)),Cleaning_Rules!$A$24:$A$28,0)),TRIM(UPPER('query (2)'!D565)))))</f>
        <v>WT</v>
      </c>
      <c r="K565" s="25" t="str">
        <f>IF('query (2)'!D565="","",'query (2)'!D565)</f>
        <v>WT</v>
      </c>
      <c r="L565" s="24" t="str">
        <f>IF($J565="UNKNOWN","",_xlfn.TEXTBEFORE($J565,{"0","1","2","3","4","5","6","7","8","9"," ","-","."},1,,,$J565))</f>
        <v>WT</v>
      </c>
      <c r="M565" s="24" t="str">
        <f>IF('query (2)'!I565&lt;&gt;"",TRIM(UPPER('query (2)'!I565)),IF($L565="","UNKNOWN",$L565))</f>
        <v>WT</v>
      </c>
      <c r="N565" s="24" t="str">
        <f>IF('query (2)'!I565&lt;&gt;"","SOURCE",IF($L565="","UNKNOWN","DERIVED"))</f>
        <v>DERIVED</v>
      </c>
      <c r="O565" s="24" t="str">
        <f>IF('query (2)'!E565="","NOT_SPECIFIED",TRIM(UPPER('query (2)'!E565)))</f>
        <v>NOT_SPECIFIED</v>
      </c>
      <c r="P565" s="24" t="str">
        <f>IF('query (2)'!F565="","",TRIM(UPPER('query (2)'!F565)))</f>
        <v/>
      </c>
      <c r="Q565" s="24" t="str">
        <f>IF('query (2)'!G565="","UNKNOWN",IFERROR(INDEX(Cleaning_Rules!$B$38:$B$46,MATCH(TRIM(UPPER('query (2)'!G565)),Cleaning_Rules!$A$38:$A$46,0)),"UNKNOWN"))</f>
        <v>OTHER</v>
      </c>
      <c r="R565" s="24" t="str">
        <f>IF('query (2)'!H565="","",TRIM(UPPER('query (2)'!H565)))</f>
        <v>WATER PUMP TURNING MACHINE</v>
      </c>
      <c r="S565" s="25" t="str">
        <f>IF('query (2)'!H565="","",'query (2)'!H565)</f>
        <v>Water pump turning machine</v>
      </c>
      <c r="T565" s="24" t="str">
        <f>IF('query (2)'!J565="","",TRIM(UPPER('query (2)'!J565)))</f>
        <v/>
      </c>
      <c r="U565" s="24" t="str">
        <f t="shared" si="59"/>
        <v/>
      </c>
      <c r="V565" s="24" t="str">
        <f>IF('query (2)'!K565="","NOT_SPECIFIED",IFERROR(INDEX(Cleaning_Rules!$B$32:$B$34,MATCH(TRIM(UPPER('query (2)'!K565)),Cleaning_Rules!$A$32:$A$34,0)),"UNKNOWN"))</f>
        <v>NOT_SPECIFIED</v>
      </c>
      <c r="W565" s="24" t="str">
        <f t="shared" si="60"/>
        <v>WT-652 | FACTORY2 | WT | WT | NOT_SPECIFIED | OTHER | WATER PUMP TURNING MACHINE | NOT_SPECIFIED</v>
      </c>
      <c r="X565" s="24" t="str">
        <f t="shared" si="61"/>
        <v>MISSING_RESPONSIBLE; MISSING_COST_CENTER</v>
      </c>
      <c r="Y565" s="24" t="str">
        <f t="shared" si="62"/>
        <v>MISSING_STATUS; CATEGORY_NOT_USEFUL; MISSING_PRODUCTION_NAME; SECTION_DERIVED</v>
      </c>
    </row>
    <row r="566" spans="1:25" x14ac:dyDescent="0.3">
      <c r="A566" s="24" t="str">
        <f t="shared" si="56"/>
        <v>M-654#0565</v>
      </c>
      <c r="B566" s="24" t="str">
        <f>IF('query (2)'!B566="","",TRIM(UPPER('query (2)'!B566)))</f>
        <v>M-654</v>
      </c>
      <c r="C566" s="25" t="str">
        <f>IF('query (2)'!B566="","",'query (2)'!B566)</f>
        <v>M-654</v>
      </c>
      <c r="D566" s="24" t="str">
        <f t="shared" si="57"/>
        <v>M</v>
      </c>
      <c r="E566" s="24">
        <f t="shared" si="58"/>
        <v>1</v>
      </c>
      <c r="F566" s="24">
        <f>IF('query (2)'!A566="","",IFERROR(VALUE('query (2)'!A566),""))</f>
        <v>584</v>
      </c>
      <c r="G566" s="24" t="str">
        <f>IF('query (2)'!C566="","UNKNOWN",IFERROR(INDEX(Cleaning_Rules!$B$15:$B$20,MATCH(TRIM(UPPER('query (2)'!C566)),Cleaning_Rules!$A$15:$A$20,0)),"UNKNOWN"))</f>
        <v>FACTORY2</v>
      </c>
      <c r="H566" s="25" t="str">
        <f>IF('query (2)'!C566="","",'query (2)'!C566)</f>
        <v>FACTORY2</v>
      </c>
      <c r="I566" s="24" t="str" cm="1">
        <f t="array" ref="I566">_xlfn.IFS($G566="UNKNOWN","UNKNOWN",OR($G566="FACTORY1",$G566="FACTORY2",$G566="FACTORY3"),"PLANT",TRUE,"SHARED")</f>
        <v>PLANT</v>
      </c>
      <c r="J566" s="24" t="str">
        <f>IF('query (2)'!D566="","UNKNOWN",IF(COUNTIF(Cleaning_Rules!$A$6:$A$11,TRIM('query (2)'!D566))&gt;0,"UNKNOWN",IFERROR(INDEX(Cleaning_Rules!$B$24:$B$28,MATCH(TRIM(UPPER('query (2)'!D566)),Cleaning_Rules!$A$24:$A$28,0)),TRIM(UPPER('query (2)'!D566)))))</f>
        <v>WT</v>
      </c>
      <c r="K566" s="25" t="str">
        <f>IF('query (2)'!D566="","",'query (2)'!D566)</f>
        <v>WT</v>
      </c>
      <c r="L566" s="24" t="str">
        <f>IF($J566="UNKNOWN","",_xlfn.TEXTBEFORE($J566,{"0","1","2","3","4","5","6","7","8","9"," ","-","."},1,,,$J566))</f>
        <v>WT</v>
      </c>
      <c r="M566" s="24" t="str">
        <f>IF('query (2)'!I566&lt;&gt;"",TRIM(UPPER('query (2)'!I566)),IF($L566="","UNKNOWN",$L566))</f>
        <v>WT</v>
      </c>
      <c r="N566" s="24" t="str">
        <f>IF('query (2)'!I566&lt;&gt;"","SOURCE",IF($L566="","UNKNOWN","DERIVED"))</f>
        <v>DERIVED</v>
      </c>
      <c r="O566" s="24" t="str">
        <f>IF('query (2)'!E566="","NOT_SPECIFIED",TRIM(UPPER('query (2)'!E566)))</f>
        <v>NOT_SPECIFIED</v>
      </c>
      <c r="P566" s="24" t="str">
        <f>IF('query (2)'!F566="","",TRIM(UPPER('query (2)'!F566)))</f>
        <v/>
      </c>
      <c r="Q566" s="24" t="str">
        <f>IF('query (2)'!G566="","UNKNOWN",IFERROR(INDEX(Cleaning_Rules!$B$38:$B$46,MATCH(TRIM(UPPER('query (2)'!G566)),Cleaning_Rules!$A$38:$A$46,0)),"UNKNOWN"))</f>
        <v>OTHER</v>
      </c>
      <c r="R566" s="24" t="str">
        <f>IF('query (2)'!H566="","",TRIM(UPPER('query (2)'!H566)))</f>
        <v>MARKING MACHINE</v>
      </c>
      <c r="S566" s="25" t="str">
        <f>IF('query (2)'!H566="","",'query (2)'!H566)</f>
        <v>Marking machine</v>
      </c>
      <c r="T566" s="24" t="str">
        <f>IF('query (2)'!J566="","",TRIM(UPPER('query (2)'!J566)))</f>
        <v/>
      </c>
      <c r="U566" s="24" t="str">
        <f t="shared" si="59"/>
        <v/>
      </c>
      <c r="V566" s="24" t="str">
        <f>IF('query (2)'!K566="","NOT_SPECIFIED",IFERROR(INDEX(Cleaning_Rules!$B$32:$B$34,MATCH(TRIM(UPPER('query (2)'!K566)),Cleaning_Rules!$A$32:$A$34,0)),"UNKNOWN"))</f>
        <v>NOT_SPECIFIED</v>
      </c>
      <c r="W566" s="24" t="str">
        <f t="shared" si="60"/>
        <v>M-654 | FACTORY2 | WT | WT | NOT_SPECIFIED | OTHER | MARKING MACHINE | NOT_SPECIFIED</v>
      </c>
      <c r="X566" s="24" t="str">
        <f t="shared" si="61"/>
        <v>MISSING_RESPONSIBLE; MISSING_COST_CENTER</v>
      </c>
      <c r="Y566" s="24" t="str">
        <f t="shared" si="62"/>
        <v>MISSING_STATUS; CATEGORY_NOT_USEFUL; MISSING_PRODUCTION_NAME; SECTION_DERIVED</v>
      </c>
    </row>
    <row r="567" spans="1:25" x14ac:dyDescent="0.3">
      <c r="A567" s="24" t="str">
        <f t="shared" si="56"/>
        <v>RL-655#0566</v>
      </c>
      <c r="B567" s="24" t="str">
        <f>IF('query (2)'!B567="","",TRIM(UPPER('query (2)'!B567)))</f>
        <v>RL-655</v>
      </c>
      <c r="C567" s="25" t="str">
        <f>IF('query (2)'!B567="","",'query (2)'!B567)</f>
        <v>RL-655</v>
      </c>
      <c r="D567" s="24" t="str">
        <f t="shared" si="57"/>
        <v>RL</v>
      </c>
      <c r="E567" s="24">
        <f t="shared" si="58"/>
        <v>1</v>
      </c>
      <c r="F567" s="24">
        <f>IF('query (2)'!A567="","",IFERROR(VALUE('query (2)'!A567),""))</f>
        <v>585</v>
      </c>
      <c r="G567" s="24" t="str">
        <f>IF('query (2)'!C567="","UNKNOWN",IFERROR(INDEX(Cleaning_Rules!$B$15:$B$20,MATCH(TRIM(UPPER('query (2)'!C567)),Cleaning_Rules!$A$15:$A$20,0)),"UNKNOWN"))</f>
        <v>FACTORY2</v>
      </c>
      <c r="H567" s="25" t="str">
        <f>IF('query (2)'!C567="","",'query (2)'!C567)</f>
        <v>FACTORY2</v>
      </c>
      <c r="I567" s="24" t="str" cm="1">
        <f t="array" ref="I567">_xlfn.IFS($G567="UNKNOWN","UNKNOWN",OR($G567="FACTORY1",$G567="FACTORY2",$G567="FACTORY3"),"PLANT",TRUE,"SHARED")</f>
        <v>PLANT</v>
      </c>
      <c r="J567" s="24" t="str">
        <f>IF('query (2)'!D567="","UNKNOWN",IF(COUNTIF(Cleaning_Rules!$A$6:$A$11,TRIM('query (2)'!D567))&gt;0,"UNKNOWN",IFERROR(INDEX(Cleaning_Rules!$B$24:$B$28,MATCH(TRIM(UPPER('query (2)'!D567)),Cleaning_Rules!$A$24:$A$28,0)),TRIM(UPPER('query (2)'!D567)))))</f>
        <v>WT</v>
      </c>
      <c r="K567" s="25" t="str">
        <f>IF('query (2)'!D567="","",'query (2)'!D567)</f>
        <v>WT</v>
      </c>
      <c r="L567" s="24" t="str">
        <f>IF($J567="UNKNOWN","",_xlfn.TEXTBEFORE($J567,{"0","1","2","3","4","5","6","7","8","9"," ","-","."},1,,,$J567))</f>
        <v>WT</v>
      </c>
      <c r="M567" s="24" t="str">
        <f>IF('query (2)'!I567&lt;&gt;"",TRIM(UPPER('query (2)'!I567)),IF($L567="","UNKNOWN",$L567))</f>
        <v>WT</v>
      </c>
      <c r="N567" s="24" t="str">
        <f>IF('query (2)'!I567&lt;&gt;"","SOURCE",IF($L567="","UNKNOWN","DERIVED"))</f>
        <v>DERIVED</v>
      </c>
      <c r="O567" s="24" t="str">
        <f>IF('query (2)'!E567="","NOT_SPECIFIED",TRIM(UPPER('query (2)'!E567)))</f>
        <v>NOT_SPECIFIED</v>
      </c>
      <c r="P567" s="24" t="str">
        <f>IF('query (2)'!F567="","",TRIM(UPPER('query (2)'!F567)))</f>
        <v/>
      </c>
      <c r="Q567" s="24" t="str">
        <f>IF('query (2)'!G567="","UNKNOWN",IFERROR(INDEX(Cleaning_Rules!$B$38:$B$46,MATCH(TRIM(UPPER('query (2)'!G567)),Cleaning_Rules!$A$38:$A$46,0)),"UNKNOWN"))</f>
        <v>OTHER</v>
      </c>
      <c r="R567" s="24" t="str">
        <f>IF('query (2)'!H567="","",TRIM(UPPER('query (2)'!H567)))</f>
        <v>ROLLING MACHINE.</v>
      </c>
      <c r="S567" s="25" t="str">
        <f>IF('query (2)'!H567="","",'query (2)'!H567)</f>
        <v>Rolling machine.</v>
      </c>
      <c r="T567" s="24" t="str">
        <f>IF('query (2)'!J567="","",TRIM(UPPER('query (2)'!J567)))</f>
        <v/>
      </c>
      <c r="U567" s="24" t="str">
        <f t="shared" si="59"/>
        <v/>
      </c>
      <c r="V567" s="24" t="str">
        <f>IF('query (2)'!K567="","NOT_SPECIFIED",IFERROR(INDEX(Cleaning_Rules!$B$32:$B$34,MATCH(TRIM(UPPER('query (2)'!K567)),Cleaning_Rules!$A$32:$A$34,0)),"UNKNOWN"))</f>
        <v>NOT_SPECIFIED</v>
      </c>
      <c r="W567" s="24" t="str">
        <f t="shared" si="60"/>
        <v>RL-655 | FACTORY2 | WT | WT | NOT_SPECIFIED | OTHER | ROLLING MACHINE. | NOT_SPECIFIED</v>
      </c>
      <c r="X567" s="24" t="str">
        <f t="shared" si="61"/>
        <v>MISSING_RESPONSIBLE; MISSING_COST_CENTER</v>
      </c>
      <c r="Y567" s="24" t="str">
        <f t="shared" si="62"/>
        <v>MISSING_STATUS; CATEGORY_NOT_USEFUL; MISSING_PRODUCTION_NAME; SECTION_DERIVED</v>
      </c>
    </row>
    <row r="568" spans="1:25" x14ac:dyDescent="0.3">
      <c r="A568" s="24" t="str">
        <f t="shared" si="56"/>
        <v>SU-1022#0567</v>
      </c>
      <c r="B568" s="24" t="str">
        <f>IF('query (2)'!B568="","",TRIM(UPPER('query (2)'!B568)))</f>
        <v>SU-1022</v>
      </c>
      <c r="C568" s="25" t="str">
        <f>IF('query (2)'!B568="","",'query (2)'!B568)</f>
        <v>SU-1022</v>
      </c>
      <c r="D568" s="24" t="str">
        <f t="shared" si="57"/>
        <v>SU</v>
      </c>
      <c r="E568" s="24">
        <f t="shared" si="58"/>
        <v>1</v>
      </c>
      <c r="F568" s="24">
        <f>IF('query (2)'!A568="","",IFERROR(VALUE('query (2)'!A568),""))</f>
        <v>586</v>
      </c>
      <c r="G568" s="24" t="str">
        <f>IF('query (2)'!C568="","UNKNOWN",IFERROR(INDEX(Cleaning_Rules!$B$15:$B$20,MATCH(TRIM(UPPER('query (2)'!C568)),Cleaning_Rules!$A$15:$A$20,0)),"UNKNOWN"))</f>
        <v>FACTORY3</v>
      </c>
      <c r="H568" s="25" t="str">
        <f>IF('query (2)'!C568="","",'query (2)'!C568)</f>
        <v>FACTORY3</v>
      </c>
      <c r="I568" s="24" t="str" cm="1">
        <f t="array" ref="I568">_xlfn.IFS($G568="UNKNOWN","UNKNOWN",OR($G568="FACTORY1",$G568="FACTORY2",$G568="FACTORY3"),"PLANT",TRUE,"SHARED")</f>
        <v>PLANT</v>
      </c>
      <c r="J568" s="24" t="str">
        <f>IF('query (2)'!D568="","UNKNOWN",IF(COUNTIF(Cleaning_Rules!$A$6:$A$11,TRIM('query (2)'!D568))&gt;0,"UNKNOWN",IFERROR(INDEX(Cleaning_Rules!$B$24:$B$28,MATCH(TRIM(UPPER('query (2)'!D568)),Cleaning_Rules!$A$24:$A$28,0)),TRIM(UPPER('query (2)'!D568)))))</f>
        <v>HUB2.5</v>
      </c>
      <c r="K568" s="25" t="str">
        <f>IF('query (2)'!D568="","",'query (2)'!D568)</f>
        <v>HUB2.5</v>
      </c>
      <c r="L568" s="24" t="str">
        <f>IF($J568="UNKNOWN","",_xlfn.TEXTBEFORE($J568,{"0","1","2","3","4","5","6","7","8","9"," ","-","."},1,,,$J568))</f>
        <v>HUB</v>
      </c>
      <c r="M568" s="24" t="str">
        <f>IF('query (2)'!I568&lt;&gt;"",TRIM(UPPER('query (2)'!I568)),IF($L568="","UNKNOWN",$L568))</f>
        <v>HUB</v>
      </c>
      <c r="N568" s="24" t="str">
        <f>IF('query (2)'!I568&lt;&gt;"","SOURCE",IF($L568="","UNKNOWN","DERIVED"))</f>
        <v>SOURCE</v>
      </c>
      <c r="O568" s="24" t="str">
        <f>IF('query (2)'!E568="","NOT_SPECIFIED",TRIM(UPPER('query (2)'!E568)))</f>
        <v>GRINDING 2</v>
      </c>
      <c r="P568" s="24" t="str">
        <f>IF('query (2)'!F568="","",TRIM(UPPER('query (2)'!F568)))</f>
        <v>3502-H2.5G</v>
      </c>
      <c r="Q568" s="24" t="str">
        <f>IF('query (2)'!G568="","UNKNOWN",IFERROR(INDEX(Cleaning_Rules!$B$38:$B$46,MATCH(TRIM(UPPER('query (2)'!G568)),Cleaning_Rules!$A$38:$A$46,0)),"UNKNOWN"))</f>
        <v>OTHER</v>
      </c>
      <c r="R568" s="24" t="str">
        <f>IF('query (2)'!H568="","",TRIM(UPPER('query (2)'!H568)))</f>
        <v>SHAFT FEEDER</v>
      </c>
      <c r="S568" s="25" t="str">
        <f>IF('query (2)'!H568="","",'query (2)'!H568)</f>
        <v>Shaft feeder</v>
      </c>
      <c r="T568" s="24" t="str">
        <f>IF('query (2)'!J568="","",TRIM(UPPER('query (2)'!J568)))</f>
        <v>SHAFT FEEDER</v>
      </c>
      <c r="U568" s="24" t="str">
        <f t="shared" si="59"/>
        <v/>
      </c>
      <c r="V568" s="24" t="str">
        <f>IF('query (2)'!K568="","NOT_SPECIFIED",IFERROR(INDEX(Cleaning_Rules!$B$32:$B$34,MATCH(TRIM(UPPER('query (2)'!K568)),Cleaning_Rules!$A$32:$A$34,0)),"UNKNOWN"))</f>
        <v>NOT_SPECIFIED</v>
      </c>
      <c r="W568" s="24" t="str">
        <f t="shared" si="60"/>
        <v>SU-1022 | FACTORY3 | HUB2.5 | HUB | GRINDING 2 | 3502-H2.5G | OTHER | SHAFT FEEDER | SHAFT FEEDER | NOT_SPECIFIED</v>
      </c>
      <c r="X568" s="24" t="str">
        <f t="shared" si="61"/>
        <v/>
      </c>
      <c r="Y568" s="24" t="str">
        <f t="shared" si="62"/>
        <v>MISSING_STATUS; CATEGORY_NOT_USEFUL</v>
      </c>
    </row>
    <row r="569" spans="1:25" x14ac:dyDescent="0.3">
      <c r="A569" s="24" t="str">
        <f t="shared" si="56"/>
        <v>GR-1023#0568</v>
      </c>
      <c r="B569" s="24" t="str">
        <f>IF('query (2)'!B569="","",TRIM(UPPER('query (2)'!B569)))</f>
        <v>GR-1023</v>
      </c>
      <c r="C569" s="25" t="str">
        <f>IF('query (2)'!B569="","",'query (2)'!B569)</f>
        <v>GR-1023</v>
      </c>
      <c r="D569" s="24" t="str">
        <f t="shared" si="57"/>
        <v>GR</v>
      </c>
      <c r="E569" s="24">
        <f t="shared" si="58"/>
        <v>1</v>
      </c>
      <c r="F569" s="24">
        <f>IF('query (2)'!A569="","",IFERROR(VALUE('query (2)'!A569),""))</f>
        <v>587</v>
      </c>
      <c r="G569" s="24" t="str">
        <f>IF('query (2)'!C569="","UNKNOWN",IFERROR(INDEX(Cleaning_Rules!$B$15:$B$20,MATCH(TRIM(UPPER('query (2)'!C569)),Cleaning_Rules!$A$15:$A$20,0)),"UNKNOWN"))</f>
        <v>FACTORY3</v>
      </c>
      <c r="H569" s="25" t="str">
        <f>IF('query (2)'!C569="","",'query (2)'!C569)</f>
        <v>FACTORY3</v>
      </c>
      <c r="I569" s="24" t="str" cm="1">
        <f t="array" ref="I569">_xlfn.IFS($G569="UNKNOWN","UNKNOWN",OR($G569="FACTORY1",$G569="FACTORY2",$G569="FACTORY3"),"PLANT",TRUE,"SHARED")</f>
        <v>PLANT</v>
      </c>
      <c r="J569" s="24" t="str">
        <f>IF('query (2)'!D569="","UNKNOWN",IF(COUNTIF(Cleaning_Rules!$A$6:$A$11,TRIM('query (2)'!D569))&gt;0,"UNKNOWN",IFERROR(INDEX(Cleaning_Rules!$B$24:$B$28,MATCH(TRIM(UPPER('query (2)'!D569)),Cleaning_Rules!$A$24:$A$28,0)),TRIM(UPPER('query (2)'!D569)))))</f>
        <v>HUB2.5</v>
      </c>
      <c r="K569" s="25" t="str">
        <f>IF('query (2)'!D569="","",'query (2)'!D569)</f>
        <v>HUB2.5</v>
      </c>
      <c r="L569" s="24" t="str">
        <f>IF($J569="UNKNOWN","",_xlfn.TEXTBEFORE($J569,{"0","1","2","3","4","5","6","7","8","9"," ","-","."},1,,,$J569))</f>
        <v>HUB</v>
      </c>
      <c r="M569" s="24" t="str">
        <f>IF('query (2)'!I569&lt;&gt;"",TRIM(UPPER('query (2)'!I569)),IF($L569="","UNKNOWN",$L569))</f>
        <v>HUB</v>
      </c>
      <c r="N569" s="24" t="str">
        <f>IF('query (2)'!I569&lt;&gt;"","SOURCE",IF($L569="","UNKNOWN","DERIVED"))</f>
        <v>SOURCE</v>
      </c>
      <c r="O569" s="24" t="str">
        <f>IF('query (2)'!E569="","NOT_SPECIFIED",TRIM(UPPER('query (2)'!E569)))</f>
        <v>GRINDING 2</v>
      </c>
      <c r="P569" s="24" t="str">
        <f>IF('query (2)'!F569="","",TRIM(UPPER('query (2)'!F569)))</f>
        <v>3502-H2.5G</v>
      </c>
      <c r="Q569" s="24" t="str">
        <f>IF('query (2)'!G569="","UNKNOWN",IFERROR(INDEX(Cleaning_Rules!$B$38:$B$46,MATCH(TRIM(UPPER('query (2)'!G569)),Cleaning_Rules!$A$38:$A$46,0)),"UNKNOWN"))</f>
        <v>OTHER</v>
      </c>
      <c r="R569" s="24" t="str">
        <f>IF('query (2)'!H569="","",TRIM(UPPER('query (2)'!H569)))</f>
        <v>SHAFT OUTSIDE GRINDING WITH DEMAGNETIZE MACHINE</v>
      </c>
      <c r="S569" s="25" t="str">
        <f>IF('query (2)'!H569="","",'query (2)'!H569)</f>
        <v>Shaft outside grinding with demagnetize machine</v>
      </c>
      <c r="T569" s="24" t="str">
        <f>IF('query (2)'!J569="","",TRIM(UPPER('query (2)'!J569)))</f>
        <v>SHAFT OUTSIDE GRINDING WITH DEMAGNETIZE MACHINE</v>
      </c>
      <c r="U569" s="24" t="str">
        <f t="shared" si="59"/>
        <v/>
      </c>
      <c r="V569" s="24" t="str">
        <f>IF('query (2)'!K569="","NOT_SPECIFIED",IFERROR(INDEX(Cleaning_Rules!$B$32:$B$34,MATCH(TRIM(UPPER('query (2)'!K569)),Cleaning_Rules!$A$32:$A$34,0)),"UNKNOWN"))</f>
        <v>NOT_SPECIFIED</v>
      </c>
      <c r="W569" s="24" t="str">
        <f t="shared" si="60"/>
        <v>GR-1023 | FACTORY3 | HUB2.5 | HUB | GRINDING 2 | 3502-H2.5G | OTHER | SHAFT OUTSIDE GRINDING WITH DEMAGNETIZE MACHINE | SHAFT OUTSIDE GRINDING WITH DEMAGNETIZE MACHINE | NOT_SPECIFIED</v>
      </c>
      <c r="X569" s="24" t="str">
        <f t="shared" si="61"/>
        <v/>
      </c>
      <c r="Y569" s="24" t="str">
        <f t="shared" si="62"/>
        <v>MISSING_STATUS; CATEGORY_NOT_USEFUL</v>
      </c>
    </row>
    <row r="570" spans="1:25" x14ac:dyDescent="0.3">
      <c r="A570" s="24" t="str">
        <f t="shared" si="56"/>
        <v>WA-1024#0569</v>
      </c>
      <c r="B570" s="24" t="str">
        <f>IF('query (2)'!B570="","",TRIM(UPPER('query (2)'!B570)))</f>
        <v>WA-1024</v>
      </c>
      <c r="C570" s="25" t="str">
        <f>IF('query (2)'!B570="","",'query (2)'!B570)</f>
        <v>WA-1024</v>
      </c>
      <c r="D570" s="24" t="str">
        <f t="shared" si="57"/>
        <v>WA</v>
      </c>
      <c r="E570" s="24">
        <f t="shared" si="58"/>
        <v>1</v>
      </c>
      <c r="F570" s="24">
        <f>IF('query (2)'!A570="","",IFERROR(VALUE('query (2)'!A570),""))</f>
        <v>588</v>
      </c>
      <c r="G570" s="24" t="str">
        <f>IF('query (2)'!C570="","UNKNOWN",IFERROR(INDEX(Cleaning_Rules!$B$15:$B$20,MATCH(TRIM(UPPER('query (2)'!C570)),Cleaning_Rules!$A$15:$A$20,0)),"UNKNOWN"))</f>
        <v>FACTORY3</v>
      </c>
      <c r="H570" s="25" t="str">
        <f>IF('query (2)'!C570="","",'query (2)'!C570)</f>
        <v>FACTORY3</v>
      </c>
      <c r="I570" s="24" t="str" cm="1">
        <f t="array" ref="I570">_xlfn.IFS($G570="UNKNOWN","UNKNOWN",OR($G570="FACTORY1",$G570="FACTORY2",$G570="FACTORY3"),"PLANT",TRUE,"SHARED")</f>
        <v>PLANT</v>
      </c>
      <c r="J570" s="24" t="str">
        <f>IF('query (2)'!D570="","UNKNOWN",IF(COUNTIF(Cleaning_Rules!$A$6:$A$11,TRIM('query (2)'!D570))&gt;0,"UNKNOWN",IFERROR(INDEX(Cleaning_Rules!$B$24:$B$28,MATCH(TRIM(UPPER('query (2)'!D570)),Cleaning_Rules!$A$24:$A$28,0)),TRIM(UPPER('query (2)'!D570)))))</f>
        <v>HUB2.5</v>
      </c>
      <c r="K570" s="25" t="str">
        <f>IF('query (2)'!D570="","",'query (2)'!D570)</f>
        <v>HUB2.5</v>
      </c>
      <c r="L570" s="24" t="str">
        <f>IF($J570="UNKNOWN","",_xlfn.TEXTBEFORE($J570,{"0","1","2","3","4","5","6","7","8","9"," ","-","."},1,,,$J570))</f>
        <v>HUB</v>
      </c>
      <c r="M570" s="24" t="str">
        <f>IF('query (2)'!I570&lt;&gt;"",TRIM(UPPER('query (2)'!I570)),IF($L570="","UNKNOWN",$L570))</f>
        <v>HUB</v>
      </c>
      <c r="N570" s="24" t="str">
        <f>IF('query (2)'!I570&lt;&gt;"","SOURCE",IF($L570="","UNKNOWN","DERIVED"))</f>
        <v>SOURCE</v>
      </c>
      <c r="O570" s="24" t="str">
        <f>IF('query (2)'!E570="","NOT_SPECIFIED",TRIM(UPPER('query (2)'!E570)))</f>
        <v>GRINDING 2</v>
      </c>
      <c r="P570" s="24" t="str">
        <f>IF('query (2)'!F570="","",TRIM(UPPER('query (2)'!F570)))</f>
        <v>3502-H2.5G</v>
      </c>
      <c r="Q570" s="24" t="str">
        <f>IF('query (2)'!G570="","UNKNOWN",IFERROR(INDEX(Cleaning_Rules!$B$38:$B$46,MATCH(TRIM(UPPER('query (2)'!G570)),Cleaning_Rules!$A$38:$A$46,0)),"UNKNOWN"))</f>
        <v>OTHER</v>
      </c>
      <c r="R570" s="24" t="str">
        <f>IF('query (2)'!H570="","",TRIM(UPPER('query (2)'!H570)))</f>
        <v>SHAFT WASHING MACHINE &amp; ECT</v>
      </c>
      <c r="S570" s="25" t="str">
        <f>IF('query (2)'!H570="","",'query (2)'!H570)</f>
        <v>Shaft washing machine &amp; ECT</v>
      </c>
      <c r="T570" s="24" t="str">
        <f>IF('query (2)'!J570="","",TRIM(UPPER('query (2)'!J570)))</f>
        <v>SHAFT WASHING MACHINE &amp; ECT</v>
      </c>
      <c r="U570" s="24" t="str">
        <f t="shared" si="59"/>
        <v/>
      </c>
      <c r="V570" s="24" t="str">
        <f>IF('query (2)'!K570="","NOT_SPECIFIED",IFERROR(INDEX(Cleaning_Rules!$B$32:$B$34,MATCH(TRIM(UPPER('query (2)'!K570)),Cleaning_Rules!$A$32:$A$34,0)),"UNKNOWN"))</f>
        <v>NOT_SPECIFIED</v>
      </c>
      <c r="W570" s="24" t="str">
        <f t="shared" si="60"/>
        <v>WA-1024 | FACTORY3 | HUB2.5 | HUB | GRINDING 2 | 3502-H2.5G | OTHER | SHAFT WASHING MACHINE &amp; ECT | SHAFT WASHING MACHINE &amp; ECT | NOT_SPECIFIED</v>
      </c>
      <c r="X570" s="24" t="str">
        <f t="shared" si="61"/>
        <v/>
      </c>
      <c r="Y570" s="24" t="str">
        <f t="shared" si="62"/>
        <v>MISSING_STATUS; CATEGORY_NOT_USEFUL</v>
      </c>
    </row>
    <row r="571" spans="1:25" x14ac:dyDescent="0.3">
      <c r="A571" s="24" t="str">
        <f t="shared" si="56"/>
        <v>AS-1025#0570</v>
      </c>
      <c r="B571" s="24" t="str">
        <f>IF('query (2)'!B571="","",TRIM(UPPER('query (2)'!B571)))</f>
        <v>AS-1025</v>
      </c>
      <c r="C571" s="25" t="str">
        <f>IF('query (2)'!B571="","",'query (2)'!B571)</f>
        <v>AS-1025</v>
      </c>
      <c r="D571" s="24" t="str">
        <f t="shared" si="57"/>
        <v>AS</v>
      </c>
      <c r="E571" s="24">
        <f t="shared" si="58"/>
        <v>1</v>
      </c>
      <c r="F571" s="24">
        <f>IF('query (2)'!A571="","",IFERROR(VALUE('query (2)'!A571),""))</f>
        <v>589</v>
      </c>
      <c r="G571" s="24" t="str">
        <f>IF('query (2)'!C571="","UNKNOWN",IFERROR(INDEX(Cleaning_Rules!$B$15:$B$20,MATCH(TRIM(UPPER('query (2)'!C571)),Cleaning_Rules!$A$15:$A$20,0)),"UNKNOWN"))</f>
        <v>FACTORY3</v>
      </c>
      <c r="H571" s="25" t="str">
        <f>IF('query (2)'!C571="","",'query (2)'!C571)</f>
        <v>FACTORY3</v>
      </c>
      <c r="I571" s="24" t="str" cm="1">
        <f t="array" ref="I571">_xlfn.IFS($G571="UNKNOWN","UNKNOWN",OR($G571="FACTORY1",$G571="FACTORY2",$G571="FACTORY3"),"PLANT",TRUE,"SHARED")</f>
        <v>PLANT</v>
      </c>
      <c r="J571" s="24" t="str">
        <f>IF('query (2)'!D571="","UNKNOWN",IF(COUNTIF(Cleaning_Rules!$A$6:$A$11,TRIM('query (2)'!D571))&gt;0,"UNKNOWN",IFERROR(INDEX(Cleaning_Rules!$B$24:$B$28,MATCH(TRIM(UPPER('query (2)'!D571)),Cleaning_Rules!$A$24:$A$28,0)),TRIM(UPPER('query (2)'!D571)))))</f>
        <v>HUB2.5</v>
      </c>
      <c r="K571" s="25" t="str">
        <f>IF('query (2)'!D571="","",'query (2)'!D571)</f>
        <v>HUB2.5</v>
      </c>
      <c r="L571" s="24" t="str">
        <f>IF($J571="UNKNOWN","",_xlfn.TEXTBEFORE($J571,{"0","1","2","3","4","5","6","7","8","9"," ","-","."},1,,,$J571))</f>
        <v>HUB</v>
      </c>
      <c r="M571" s="24" t="str">
        <f>IF('query (2)'!I571&lt;&gt;"",TRIM(UPPER('query (2)'!I571)),IF($L571="","UNKNOWN",$L571))</f>
        <v>HUB</v>
      </c>
      <c r="N571" s="24" t="str">
        <f>IF('query (2)'!I571&lt;&gt;"","SOURCE",IF($L571="","UNKNOWN","DERIVED"))</f>
        <v>SOURCE</v>
      </c>
      <c r="O571" s="24" t="str">
        <f>IF('query (2)'!E571="","NOT_SPECIFIED",TRIM(UPPER('query (2)'!E571)))</f>
        <v>ASSEMBLY</v>
      </c>
      <c r="P571" s="24" t="str">
        <f>IF('query (2)'!F571="","",TRIM(UPPER('query (2)'!F571)))</f>
        <v>3503-H2.5AI</v>
      </c>
      <c r="Q571" s="24" t="str">
        <f>IF('query (2)'!G571="","UNKNOWN",IFERROR(INDEX(Cleaning_Rules!$B$38:$B$46,MATCH(TRIM(UPPER('query (2)'!G571)),Cleaning_Rules!$A$38:$A$46,0)),"UNKNOWN"))</f>
        <v>OTHER</v>
      </c>
      <c r="R571" s="24" t="str">
        <f>IF('query (2)'!H571="","",TRIM(UPPER('query (2)'!H571)))</f>
        <v>SHAFT PRESS MACHINE</v>
      </c>
      <c r="S571" s="25" t="str">
        <f>IF('query (2)'!H571="","",'query (2)'!H571)</f>
        <v>Shaft press machine</v>
      </c>
      <c r="T571" s="24" t="str">
        <f>IF('query (2)'!J571="","",TRIM(UPPER('query (2)'!J571)))</f>
        <v>SHAFT PRESS MACHINE</v>
      </c>
      <c r="U571" s="24" t="str">
        <f t="shared" si="59"/>
        <v/>
      </c>
      <c r="V571" s="24" t="str">
        <f>IF('query (2)'!K571="","NOT_SPECIFIED",IFERROR(INDEX(Cleaning_Rules!$B$32:$B$34,MATCH(TRIM(UPPER('query (2)'!K571)),Cleaning_Rules!$A$32:$A$34,0)),"UNKNOWN"))</f>
        <v>NOT_SPECIFIED</v>
      </c>
      <c r="W571" s="24" t="str">
        <f t="shared" si="60"/>
        <v>AS-1025 | FACTORY3 | HUB2.5 | HUB | ASSEMBLY | 3503-H2.5AI | OTHER | SHAFT PRESS MACHINE | SHAFT PRESS MACHINE | NOT_SPECIFIED</v>
      </c>
      <c r="X571" s="24" t="str">
        <f t="shared" si="61"/>
        <v/>
      </c>
      <c r="Y571" s="24" t="str">
        <f t="shared" si="62"/>
        <v>MISSING_STATUS; CATEGORY_NOT_USEFUL</v>
      </c>
    </row>
    <row r="572" spans="1:25" x14ac:dyDescent="0.3">
      <c r="A572" s="24" t="str">
        <f t="shared" si="56"/>
        <v>AS-1026#0571</v>
      </c>
      <c r="B572" s="24" t="str">
        <f>IF('query (2)'!B572="","",TRIM(UPPER('query (2)'!B572)))</f>
        <v>AS-1026</v>
      </c>
      <c r="C572" s="25" t="str">
        <f>IF('query (2)'!B572="","",'query (2)'!B572)</f>
        <v>AS-1026</v>
      </c>
      <c r="D572" s="24" t="str">
        <f t="shared" si="57"/>
        <v>AS</v>
      </c>
      <c r="E572" s="24">
        <f t="shared" si="58"/>
        <v>1</v>
      </c>
      <c r="F572" s="24">
        <f>IF('query (2)'!A572="","",IFERROR(VALUE('query (2)'!A572),""))</f>
        <v>590</v>
      </c>
      <c r="G572" s="24" t="str">
        <f>IF('query (2)'!C572="","UNKNOWN",IFERROR(INDEX(Cleaning_Rules!$B$15:$B$20,MATCH(TRIM(UPPER('query (2)'!C572)),Cleaning_Rules!$A$15:$A$20,0)),"UNKNOWN"))</f>
        <v>FACTORY3</v>
      </c>
      <c r="H572" s="25" t="str">
        <f>IF('query (2)'!C572="","",'query (2)'!C572)</f>
        <v>FACTORY3</v>
      </c>
      <c r="I572" s="24" t="str" cm="1">
        <f t="array" ref="I572">_xlfn.IFS($G572="UNKNOWN","UNKNOWN",OR($G572="FACTORY1",$G572="FACTORY2",$G572="FACTORY3"),"PLANT",TRUE,"SHARED")</f>
        <v>PLANT</v>
      </c>
      <c r="J572" s="24" t="str">
        <f>IF('query (2)'!D572="","UNKNOWN",IF(COUNTIF(Cleaning_Rules!$A$6:$A$11,TRIM('query (2)'!D572))&gt;0,"UNKNOWN",IFERROR(INDEX(Cleaning_Rules!$B$24:$B$28,MATCH(TRIM(UPPER('query (2)'!D572)),Cleaning_Rules!$A$24:$A$28,0)),TRIM(UPPER('query (2)'!D572)))))</f>
        <v>HUB2.5</v>
      </c>
      <c r="K572" s="25" t="str">
        <f>IF('query (2)'!D572="","",'query (2)'!D572)</f>
        <v>HUB2.5</v>
      </c>
      <c r="L572" s="24" t="str">
        <f>IF($J572="UNKNOWN","",_xlfn.TEXTBEFORE($J572,{"0","1","2","3","4","5","6","7","8","9"," ","-","."},1,,,$J572))</f>
        <v>HUB</v>
      </c>
      <c r="M572" s="24" t="str">
        <f>IF('query (2)'!I572&lt;&gt;"",TRIM(UPPER('query (2)'!I572)),IF($L572="","UNKNOWN",$L572))</f>
        <v>HUB</v>
      </c>
      <c r="N572" s="24" t="str">
        <f>IF('query (2)'!I572&lt;&gt;"","SOURCE",IF($L572="","UNKNOWN","DERIVED"))</f>
        <v>SOURCE</v>
      </c>
      <c r="O572" s="24" t="str">
        <f>IF('query (2)'!E572="","NOT_SPECIFIED",TRIM(UPPER('query (2)'!E572)))</f>
        <v>ASSEMBLY</v>
      </c>
      <c r="P572" s="24" t="str">
        <f>IF('query (2)'!F572="","",TRIM(UPPER('query (2)'!F572)))</f>
        <v>3503-H2.5AI</v>
      </c>
      <c r="Q572" s="24" t="str">
        <f>IF('query (2)'!G572="","UNKNOWN",IFERROR(INDEX(Cleaning_Rules!$B$38:$B$46,MATCH(TRIM(UPPER('query (2)'!G572)),Cleaning_Rules!$A$38:$A$46,0)),"UNKNOWN"))</f>
        <v>OTHER</v>
      </c>
      <c r="R572" s="24" t="str">
        <f>IF('query (2)'!H572="","",TRIM(UPPER('query (2)'!H572)))</f>
        <v>SWAGING PRESS MACHINE</v>
      </c>
      <c r="S572" s="25" t="str">
        <f>IF('query (2)'!H572="","",'query (2)'!H572)</f>
        <v>Swaging press machine</v>
      </c>
      <c r="T572" s="24" t="str">
        <f>IF('query (2)'!J572="","",TRIM(UPPER('query (2)'!J572)))</f>
        <v>SWAGING PRESS MACHINE</v>
      </c>
      <c r="U572" s="24" t="str">
        <f t="shared" si="59"/>
        <v/>
      </c>
      <c r="V572" s="24" t="str">
        <f>IF('query (2)'!K572="","NOT_SPECIFIED",IFERROR(INDEX(Cleaning_Rules!$B$32:$B$34,MATCH(TRIM(UPPER('query (2)'!K572)),Cleaning_Rules!$A$32:$A$34,0)),"UNKNOWN"))</f>
        <v>NOT_SPECIFIED</v>
      </c>
      <c r="W572" s="24" t="str">
        <f t="shared" si="60"/>
        <v>AS-1026 | FACTORY3 | HUB2.5 | HUB | ASSEMBLY | 3503-H2.5AI | OTHER | SWAGING PRESS MACHINE | SWAGING PRESS MACHINE | NOT_SPECIFIED</v>
      </c>
      <c r="X572" s="24" t="str">
        <f t="shared" si="61"/>
        <v/>
      </c>
      <c r="Y572" s="24" t="str">
        <f t="shared" si="62"/>
        <v>MISSING_STATUS; CATEGORY_NOT_USEFUL</v>
      </c>
    </row>
    <row r="573" spans="1:25" x14ac:dyDescent="0.3">
      <c r="A573" s="24" t="str">
        <f t="shared" si="56"/>
        <v>CH-1027#0572</v>
      </c>
      <c r="B573" s="24" t="str">
        <f>IF('query (2)'!B573="","",TRIM(UPPER('query (2)'!B573)))</f>
        <v>CH-1027</v>
      </c>
      <c r="C573" s="25" t="str">
        <f>IF('query (2)'!B573="","",'query (2)'!B573)</f>
        <v>CH-1027</v>
      </c>
      <c r="D573" s="24" t="str">
        <f t="shared" si="57"/>
        <v>CH</v>
      </c>
      <c r="E573" s="24">
        <f t="shared" si="58"/>
        <v>1</v>
      </c>
      <c r="F573" s="24">
        <f>IF('query (2)'!A573="","",IFERROR(VALUE('query (2)'!A573),""))</f>
        <v>591</v>
      </c>
      <c r="G573" s="24" t="str">
        <f>IF('query (2)'!C573="","UNKNOWN",IFERROR(INDEX(Cleaning_Rules!$B$15:$B$20,MATCH(TRIM(UPPER('query (2)'!C573)),Cleaning_Rules!$A$15:$A$20,0)),"UNKNOWN"))</f>
        <v>FACTORY3</v>
      </c>
      <c r="H573" s="25" t="str">
        <f>IF('query (2)'!C573="","",'query (2)'!C573)</f>
        <v>FACTORY3</v>
      </c>
      <c r="I573" s="24" t="str" cm="1">
        <f t="array" ref="I573">_xlfn.IFS($G573="UNKNOWN","UNKNOWN",OR($G573="FACTORY1",$G573="FACTORY2",$G573="FACTORY3"),"PLANT",TRUE,"SHARED")</f>
        <v>PLANT</v>
      </c>
      <c r="J573" s="24" t="str">
        <f>IF('query (2)'!D573="","UNKNOWN",IF(COUNTIF(Cleaning_Rules!$A$6:$A$11,TRIM('query (2)'!D573))&gt;0,"UNKNOWN",IFERROR(INDEX(Cleaning_Rules!$B$24:$B$28,MATCH(TRIM(UPPER('query (2)'!D573)),Cleaning_Rules!$A$24:$A$28,0)),TRIM(UPPER('query (2)'!D573)))))</f>
        <v>HUB2.5</v>
      </c>
      <c r="K573" s="25" t="str">
        <f>IF('query (2)'!D573="","",'query (2)'!D573)</f>
        <v>HUB2.5</v>
      </c>
      <c r="L573" s="24" t="str">
        <f>IF($J573="UNKNOWN","",_xlfn.TEXTBEFORE($J573,{"0","1","2","3","4","5","6","7","8","9"," ","-","."},1,,,$J573))</f>
        <v>HUB</v>
      </c>
      <c r="M573" s="24" t="str">
        <f>IF('query (2)'!I573&lt;&gt;"",TRIM(UPPER('query (2)'!I573)),IF($L573="","UNKNOWN",$L573))</f>
        <v>HUB</v>
      </c>
      <c r="N573" s="24" t="str">
        <f>IF('query (2)'!I573&lt;&gt;"","SOURCE",IF($L573="","UNKNOWN","DERIVED"))</f>
        <v>SOURCE</v>
      </c>
      <c r="O573" s="24" t="str">
        <f>IF('query (2)'!E573="","NOT_SPECIFIED",TRIM(UPPER('query (2)'!E573)))</f>
        <v>ASSEMBLY</v>
      </c>
      <c r="P573" s="24" t="str">
        <f>IF('query (2)'!F573="","",TRIM(UPPER('query (2)'!F573)))</f>
        <v>3503-H2.5AI</v>
      </c>
      <c r="Q573" s="24" t="str">
        <f>IF('query (2)'!G573="","UNKNOWN",IFERROR(INDEX(Cleaning_Rules!$B$38:$B$46,MATCH(TRIM(UPPER('query (2)'!G573)),Cleaning_Rules!$A$38:$A$46,0)),"UNKNOWN"))</f>
        <v>OTHER</v>
      </c>
      <c r="R573" s="24" t="str">
        <f>IF('query (2)'!H573="","",TRIM(UPPER('query (2)'!H573)))</f>
        <v>HUB2.5 VIBRATION TESTING MACHINE</v>
      </c>
      <c r="S573" s="25" t="str">
        <f>IF('query (2)'!H573="","",'query (2)'!H573)</f>
        <v>HUB2.5 Vibration testing machine</v>
      </c>
      <c r="T573" s="24" t="str">
        <f>IF('query (2)'!J573="","",TRIM(UPPER('query (2)'!J573)))</f>
        <v>HUB2.5 VIBRATION TESTING MACHINE</v>
      </c>
      <c r="U573" s="24" t="str">
        <f t="shared" si="59"/>
        <v/>
      </c>
      <c r="V573" s="24" t="str">
        <f>IF('query (2)'!K573="","NOT_SPECIFIED",IFERROR(INDEX(Cleaning_Rules!$B$32:$B$34,MATCH(TRIM(UPPER('query (2)'!K573)),Cleaning_Rules!$A$32:$A$34,0)),"UNKNOWN"))</f>
        <v>NOT_SPECIFIED</v>
      </c>
      <c r="W573" s="24" t="str">
        <f t="shared" si="60"/>
        <v>CH-1027 | FACTORY3 | HUB2.5 | HUB | ASSEMBLY | 3503-H2.5AI | OTHER | HUB2.5 VIBRATION TESTING MACHINE | HUB2.5 VIBRATION TESTING MACHINE | NOT_SPECIFIED</v>
      </c>
      <c r="X573" s="24" t="str">
        <f t="shared" si="61"/>
        <v/>
      </c>
      <c r="Y573" s="24" t="str">
        <f t="shared" si="62"/>
        <v>MISSING_STATUS; CATEGORY_NOT_USEFUL</v>
      </c>
    </row>
    <row r="574" spans="1:25" x14ac:dyDescent="0.3">
      <c r="A574" s="24" t="str">
        <f t="shared" si="56"/>
        <v>AS-1028#0573</v>
      </c>
      <c r="B574" s="24" t="str">
        <f>IF('query (2)'!B574="","",TRIM(UPPER('query (2)'!B574)))</f>
        <v>AS-1028</v>
      </c>
      <c r="C574" s="25" t="str">
        <f>IF('query (2)'!B574="","",'query (2)'!B574)</f>
        <v>AS-1028</v>
      </c>
      <c r="D574" s="24" t="str">
        <f t="shared" si="57"/>
        <v>AS</v>
      </c>
      <c r="E574" s="24">
        <f t="shared" si="58"/>
        <v>1</v>
      </c>
      <c r="F574" s="24">
        <f>IF('query (2)'!A574="","",IFERROR(VALUE('query (2)'!A574),""))</f>
        <v>592</v>
      </c>
      <c r="G574" s="24" t="str">
        <f>IF('query (2)'!C574="","UNKNOWN",IFERROR(INDEX(Cleaning_Rules!$B$15:$B$20,MATCH(TRIM(UPPER('query (2)'!C574)),Cleaning_Rules!$A$15:$A$20,0)),"UNKNOWN"))</f>
        <v>FACTORY3</v>
      </c>
      <c r="H574" s="25" t="str">
        <f>IF('query (2)'!C574="","",'query (2)'!C574)</f>
        <v>FACTORY3</v>
      </c>
      <c r="I574" s="24" t="str" cm="1">
        <f t="array" ref="I574">_xlfn.IFS($G574="UNKNOWN","UNKNOWN",OR($G574="FACTORY1",$G574="FACTORY2",$G574="FACTORY3"),"PLANT",TRUE,"SHARED")</f>
        <v>PLANT</v>
      </c>
      <c r="J574" s="24" t="str">
        <f>IF('query (2)'!D574="","UNKNOWN",IF(COUNTIF(Cleaning_Rules!$A$6:$A$11,TRIM('query (2)'!D574))&gt;0,"UNKNOWN",IFERROR(INDEX(Cleaning_Rules!$B$24:$B$28,MATCH(TRIM(UPPER('query (2)'!D574)),Cleaning_Rules!$A$24:$A$28,0)),TRIM(UPPER('query (2)'!D574)))))</f>
        <v>HUB2.5</v>
      </c>
      <c r="K574" s="25" t="str">
        <f>IF('query (2)'!D574="","",'query (2)'!D574)</f>
        <v>HUB2.5</v>
      </c>
      <c r="L574" s="24" t="str">
        <f>IF($J574="UNKNOWN","",_xlfn.TEXTBEFORE($J574,{"0","1","2","3","4","5","6","7","8","9"," ","-","."},1,,,$J574))</f>
        <v>HUB</v>
      </c>
      <c r="M574" s="24" t="str">
        <f>IF('query (2)'!I574&lt;&gt;"",TRIM(UPPER('query (2)'!I574)),IF($L574="","UNKNOWN",$L574))</f>
        <v>HUB</v>
      </c>
      <c r="N574" s="24" t="str">
        <f>IF('query (2)'!I574&lt;&gt;"","SOURCE",IF($L574="","UNKNOWN","DERIVED"))</f>
        <v>SOURCE</v>
      </c>
      <c r="O574" s="24" t="str">
        <f>IF('query (2)'!E574="","NOT_SPECIFIED",TRIM(UPPER('query (2)'!E574)))</f>
        <v>ASSEMBLY</v>
      </c>
      <c r="P574" s="24" t="str">
        <f>IF('query (2)'!F574="","",TRIM(UPPER('query (2)'!F574)))</f>
        <v>3503-H2.5AI</v>
      </c>
      <c r="Q574" s="24" t="str">
        <f>IF('query (2)'!G574="","UNKNOWN",IFERROR(INDEX(Cleaning_Rules!$B$38:$B$46,MATCH(TRIM(UPPER('query (2)'!G574)),Cleaning_Rules!$A$38:$A$46,0)),"UNKNOWN"))</f>
        <v>OTHER</v>
      </c>
      <c r="R574" s="24" t="str">
        <f>IF('query (2)'!H574="","",TRIM(UPPER('query (2)'!H574)))</f>
        <v>FLANG BOLT INSERTION MACHINE</v>
      </c>
      <c r="S574" s="25" t="str">
        <f>IF('query (2)'!H574="","",'query (2)'!H574)</f>
        <v>Flang bolt insertion machine</v>
      </c>
      <c r="T574" s="24" t="str">
        <f>IF('query (2)'!J574="","",TRIM(UPPER('query (2)'!J574)))</f>
        <v>FLANG BOLT INSERTION MACHINE</v>
      </c>
      <c r="U574" s="24" t="str">
        <f t="shared" si="59"/>
        <v/>
      </c>
      <c r="V574" s="24" t="str">
        <f>IF('query (2)'!K574="","NOT_SPECIFIED",IFERROR(INDEX(Cleaning_Rules!$B$32:$B$34,MATCH(TRIM(UPPER('query (2)'!K574)),Cleaning_Rules!$A$32:$A$34,0)),"UNKNOWN"))</f>
        <v>NOT_SPECIFIED</v>
      </c>
      <c r="W574" s="24" t="str">
        <f t="shared" si="60"/>
        <v>AS-1028 | FACTORY3 | HUB2.5 | HUB | ASSEMBLY | 3503-H2.5AI | OTHER | FLANG BOLT INSERTION MACHINE | FLANG BOLT INSERTION MACHINE | NOT_SPECIFIED</v>
      </c>
      <c r="X574" s="24" t="str">
        <f t="shared" si="61"/>
        <v/>
      </c>
      <c r="Y574" s="24" t="str">
        <f t="shared" si="62"/>
        <v>MISSING_STATUS; CATEGORY_NOT_USEFUL</v>
      </c>
    </row>
    <row r="575" spans="1:25" x14ac:dyDescent="0.3">
      <c r="A575" s="24" t="str">
        <f t="shared" si="56"/>
        <v>AS-1029#0574</v>
      </c>
      <c r="B575" s="24" t="str">
        <f>IF('query (2)'!B575="","",TRIM(UPPER('query (2)'!B575)))</f>
        <v>AS-1029</v>
      </c>
      <c r="C575" s="25" t="str">
        <f>IF('query (2)'!B575="","",'query (2)'!B575)</f>
        <v>AS-1029</v>
      </c>
      <c r="D575" s="24" t="str">
        <f t="shared" si="57"/>
        <v>AS</v>
      </c>
      <c r="E575" s="24">
        <f t="shared" si="58"/>
        <v>1</v>
      </c>
      <c r="F575" s="24">
        <f>IF('query (2)'!A575="","",IFERROR(VALUE('query (2)'!A575),""))</f>
        <v>593</v>
      </c>
      <c r="G575" s="24" t="str">
        <f>IF('query (2)'!C575="","UNKNOWN",IFERROR(INDEX(Cleaning_Rules!$B$15:$B$20,MATCH(TRIM(UPPER('query (2)'!C575)),Cleaning_Rules!$A$15:$A$20,0)),"UNKNOWN"))</f>
        <v>FACTORY3</v>
      </c>
      <c r="H575" s="25" t="str">
        <f>IF('query (2)'!C575="","",'query (2)'!C575)</f>
        <v>FACTORY3</v>
      </c>
      <c r="I575" s="24" t="str" cm="1">
        <f t="array" ref="I575">_xlfn.IFS($G575="UNKNOWN","UNKNOWN",OR($G575="FACTORY1",$G575="FACTORY2",$G575="FACTORY3"),"PLANT",TRUE,"SHARED")</f>
        <v>PLANT</v>
      </c>
      <c r="J575" s="24" t="str">
        <f>IF('query (2)'!D575="","UNKNOWN",IF(COUNTIF(Cleaning_Rules!$A$6:$A$11,TRIM('query (2)'!D575))&gt;0,"UNKNOWN",IFERROR(INDEX(Cleaning_Rules!$B$24:$B$28,MATCH(TRIM(UPPER('query (2)'!D575)),Cleaning_Rules!$A$24:$A$28,0)),TRIM(UPPER('query (2)'!D575)))))</f>
        <v>HUB2.5</v>
      </c>
      <c r="K575" s="25" t="str">
        <f>IF('query (2)'!D575="","",'query (2)'!D575)</f>
        <v>HUB2.5</v>
      </c>
      <c r="L575" s="24" t="str">
        <f>IF($J575="UNKNOWN","",_xlfn.TEXTBEFORE($J575,{"0","1","2","3","4","5","6","7","8","9"," ","-","."},1,,,$J575))</f>
        <v>HUB</v>
      </c>
      <c r="M575" s="24" t="str">
        <f>IF('query (2)'!I575&lt;&gt;"",TRIM(UPPER('query (2)'!I575)),IF($L575="","UNKNOWN",$L575))</f>
        <v>HUB</v>
      </c>
      <c r="N575" s="24" t="str">
        <f>IF('query (2)'!I575&lt;&gt;"","SOURCE",IF($L575="","UNKNOWN","DERIVED"))</f>
        <v>SOURCE</v>
      </c>
      <c r="O575" s="24" t="str">
        <f>IF('query (2)'!E575="","NOT_SPECIFIED",TRIM(UPPER('query (2)'!E575)))</f>
        <v>ASSEMBLY</v>
      </c>
      <c r="P575" s="24" t="str">
        <f>IF('query (2)'!F575="","",TRIM(UPPER('query (2)'!F575)))</f>
        <v>3503-H2.5AI</v>
      </c>
      <c r="Q575" s="24" t="str">
        <f>IF('query (2)'!G575="","UNKNOWN",IFERROR(INDEX(Cleaning_Rules!$B$38:$B$46,MATCH(TRIM(UPPER('query (2)'!G575)),Cleaning_Rules!$A$38:$A$46,0)),"UNKNOWN"))</f>
        <v>OTHER</v>
      </c>
      <c r="R575" s="24" t="str">
        <f>IF('query (2)'!H575="","",TRIM(UPPER('query (2)'!H575)))</f>
        <v>FLANGE RUNOUT INSPECTION MACHINE</v>
      </c>
      <c r="S575" s="25" t="str">
        <f>IF('query (2)'!H575="","",'query (2)'!H575)</f>
        <v>Flange runout inspection machine</v>
      </c>
      <c r="T575" s="24" t="str">
        <f>IF('query (2)'!J575="","",TRIM(UPPER('query (2)'!J575)))</f>
        <v>FLANGE RUNOUT INSPECTION MACHINE</v>
      </c>
      <c r="U575" s="24" t="str">
        <f t="shared" si="59"/>
        <v/>
      </c>
      <c r="V575" s="24" t="str">
        <f>IF('query (2)'!K575="","NOT_SPECIFIED",IFERROR(INDEX(Cleaning_Rules!$B$32:$B$34,MATCH(TRIM(UPPER('query (2)'!K575)),Cleaning_Rules!$A$32:$A$34,0)),"UNKNOWN"))</f>
        <v>NOT_SPECIFIED</v>
      </c>
      <c r="W575" s="24" t="str">
        <f t="shared" si="60"/>
        <v>AS-1029 | FACTORY3 | HUB2.5 | HUB | ASSEMBLY | 3503-H2.5AI | OTHER | FLANGE RUNOUT INSPECTION MACHINE | FLANGE RUNOUT INSPECTION MACHINE | NOT_SPECIFIED</v>
      </c>
      <c r="X575" s="24" t="str">
        <f t="shared" si="61"/>
        <v/>
      </c>
      <c r="Y575" s="24" t="str">
        <f t="shared" si="62"/>
        <v>MISSING_STATUS; CATEGORY_NOT_USEFUL</v>
      </c>
    </row>
    <row r="576" spans="1:25" x14ac:dyDescent="0.3">
      <c r="A576" s="24" t="str">
        <f t="shared" si="56"/>
        <v>AS-1030#0575</v>
      </c>
      <c r="B576" s="24" t="str">
        <f>IF('query (2)'!B576="","",TRIM(UPPER('query (2)'!B576)))</f>
        <v>AS-1030</v>
      </c>
      <c r="C576" s="25" t="str">
        <f>IF('query (2)'!B576="","",'query (2)'!B576)</f>
        <v>AS-1030</v>
      </c>
      <c r="D576" s="24" t="str">
        <f t="shared" si="57"/>
        <v>AS</v>
      </c>
      <c r="E576" s="24">
        <f t="shared" si="58"/>
        <v>1</v>
      </c>
      <c r="F576" s="24">
        <f>IF('query (2)'!A576="","",IFERROR(VALUE('query (2)'!A576),""))</f>
        <v>594</v>
      </c>
      <c r="G576" s="24" t="str">
        <f>IF('query (2)'!C576="","UNKNOWN",IFERROR(INDEX(Cleaning_Rules!$B$15:$B$20,MATCH(TRIM(UPPER('query (2)'!C576)),Cleaning_Rules!$A$15:$A$20,0)),"UNKNOWN"))</f>
        <v>FACTORY3</v>
      </c>
      <c r="H576" s="25" t="str">
        <f>IF('query (2)'!C576="","",'query (2)'!C576)</f>
        <v>FACTORY3</v>
      </c>
      <c r="I576" s="24" t="str" cm="1">
        <f t="array" ref="I576">_xlfn.IFS($G576="UNKNOWN","UNKNOWN",OR($G576="FACTORY1",$G576="FACTORY2",$G576="FACTORY3"),"PLANT",TRUE,"SHARED")</f>
        <v>PLANT</v>
      </c>
      <c r="J576" s="24" t="str">
        <f>IF('query (2)'!D576="","UNKNOWN",IF(COUNTIF(Cleaning_Rules!$A$6:$A$11,TRIM('query (2)'!D576))&gt;0,"UNKNOWN",IFERROR(INDEX(Cleaning_Rules!$B$24:$B$28,MATCH(TRIM(UPPER('query (2)'!D576)),Cleaning_Rules!$A$24:$A$28,0)),TRIM(UPPER('query (2)'!D576)))))</f>
        <v>HUB2.5</v>
      </c>
      <c r="K576" s="25" t="str">
        <f>IF('query (2)'!D576="","",'query (2)'!D576)</f>
        <v>HUB2.5</v>
      </c>
      <c r="L576" s="24" t="str">
        <f>IF($J576="UNKNOWN","",_xlfn.TEXTBEFORE($J576,{"0","1","2","3","4","5","6","7","8","9"," ","-","."},1,,,$J576))</f>
        <v>HUB</v>
      </c>
      <c r="M576" s="24" t="str">
        <f>IF('query (2)'!I576&lt;&gt;"",TRIM(UPPER('query (2)'!I576)),IF($L576="","UNKNOWN",$L576))</f>
        <v>HUB</v>
      </c>
      <c r="N576" s="24" t="str">
        <f>IF('query (2)'!I576&lt;&gt;"","SOURCE",IF($L576="","UNKNOWN","DERIVED"))</f>
        <v>SOURCE</v>
      </c>
      <c r="O576" s="24" t="str">
        <f>IF('query (2)'!E576="","NOT_SPECIFIED",TRIM(UPPER('query (2)'!E576)))</f>
        <v>ASSEMBLY</v>
      </c>
      <c r="P576" s="24" t="str">
        <f>IF('query (2)'!F576="","",TRIM(UPPER('query (2)'!F576)))</f>
        <v>3503-H2.5AI</v>
      </c>
      <c r="Q576" s="24" t="str">
        <f>IF('query (2)'!G576="","UNKNOWN",IFERROR(INDEX(Cleaning_Rules!$B$38:$B$46,MATCH(TRIM(UPPER('query (2)'!G576)),Cleaning_Rules!$A$38:$A$46,0)),"UNKNOWN"))</f>
        <v>OTHER</v>
      </c>
      <c r="R576" s="24" t="str">
        <f>IF('query (2)'!H576="","",TRIM(UPPER('query (2)'!H576)))</f>
        <v>ENCODER SEAL &amp; MAGNETIC INSPECTION MACHINE</v>
      </c>
      <c r="S576" s="25" t="str">
        <f>IF('query (2)'!H576="","",'query (2)'!H576)</f>
        <v>Encoder seal &amp; magnetic inspection machine</v>
      </c>
      <c r="T576" s="24" t="str">
        <f>IF('query (2)'!J576="","",TRIM(UPPER('query (2)'!J576)))</f>
        <v>ENCODER SEAL &amp; MAGNETIC INSPECTION MACHINE</v>
      </c>
      <c r="U576" s="24" t="str">
        <f t="shared" si="59"/>
        <v/>
      </c>
      <c r="V576" s="24" t="str">
        <f>IF('query (2)'!K576="","NOT_SPECIFIED",IFERROR(INDEX(Cleaning_Rules!$B$32:$B$34,MATCH(TRIM(UPPER('query (2)'!K576)),Cleaning_Rules!$A$32:$A$34,0)),"UNKNOWN"))</f>
        <v>NOT_SPECIFIED</v>
      </c>
      <c r="W576" s="24" t="str">
        <f t="shared" si="60"/>
        <v>AS-1030 | FACTORY3 | HUB2.5 | HUB | ASSEMBLY | 3503-H2.5AI | OTHER | ENCODER SEAL &amp; MAGNETIC INSPECTION MACHINE | ENCODER SEAL &amp; MAGNETIC INSPECTION MACHINE | NOT_SPECIFIED</v>
      </c>
      <c r="X576" s="24" t="str">
        <f t="shared" si="61"/>
        <v/>
      </c>
      <c r="Y576" s="24" t="str">
        <f t="shared" si="62"/>
        <v>MISSING_STATUS; CATEGORY_NOT_USEFUL</v>
      </c>
    </row>
    <row r="577" spans="1:25" x14ac:dyDescent="0.3">
      <c r="A577" s="24" t="str">
        <f t="shared" si="56"/>
        <v>AR-1031#0576</v>
      </c>
      <c r="B577" s="24" t="str">
        <f>IF('query (2)'!B577="","",TRIM(UPPER('query (2)'!B577)))</f>
        <v>AR-1031</v>
      </c>
      <c r="C577" s="25" t="str">
        <f>IF('query (2)'!B577="","",'query (2)'!B577)</f>
        <v>AR-1031</v>
      </c>
      <c r="D577" s="24" t="str">
        <f t="shared" si="57"/>
        <v>AR</v>
      </c>
      <c r="E577" s="24">
        <f t="shared" si="58"/>
        <v>1</v>
      </c>
      <c r="F577" s="24">
        <f>IF('query (2)'!A577="","",IFERROR(VALUE('query (2)'!A577),""))</f>
        <v>595</v>
      </c>
      <c r="G577" s="24" t="str">
        <f>IF('query (2)'!C577="","UNKNOWN",IFERROR(INDEX(Cleaning_Rules!$B$15:$B$20,MATCH(TRIM(UPPER('query (2)'!C577)),Cleaning_Rules!$A$15:$A$20,0)),"UNKNOWN"))</f>
        <v>FACTORY3</v>
      </c>
      <c r="H577" s="25" t="str">
        <f>IF('query (2)'!C577="","",'query (2)'!C577)</f>
        <v>FACTORY3</v>
      </c>
      <c r="I577" s="24" t="str" cm="1">
        <f t="array" ref="I577">_xlfn.IFS($G577="UNKNOWN","UNKNOWN",OR($G577="FACTORY1",$G577="FACTORY2",$G577="FACTORY3"),"PLANT",TRUE,"SHARED")</f>
        <v>PLANT</v>
      </c>
      <c r="J577" s="24" t="str">
        <f>IF('query (2)'!D577="","UNKNOWN",IF(COUNTIF(Cleaning_Rules!$A$6:$A$11,TRIM('query (2)'!D577))&gt;0,"UNKNOWN",IFERROR(INDEX(Cleaning_Rules!$B$24:$B$28,MATCH(TRIM(UPPER('query (2)'!D577)),Cleaning_Rules!$A$24:$A$28,0)),TRIM(UPPER('query (2)'!D577)))))</f>
        <v>HUB2.5</v>
      </c>
      <c r="K577" s="25" t="str">
        <f>IF('query (2)'!D577="","",'query (2)'!D577)</f>
        <v>HUB2.5</v>
      </c>
      <c r="L577" s="24" t="str">
        <f>IF($J577="UNKNOWN","",_xlfn.TEXTBEFORE($J577,{"0","1","2","3","4","5","6","7","8","9"," ","-","."},1,,,$J577))</f>
        <v>HUB</v>
      </c>
      <c r="M577" s="24" t="str">
        <f>IF('query (2)'!I577&lt;&gt;"",TRIM(UPPER('query (2)'!I577)),IF($L577="","UNKNOWN",$L577))</f>
        <v>HUB</v>
      </c>
      <c r="N577" s="24" t="str">
        <f>IF('query (2)'!I577&lt;&gt;"","SOURCE",IF($L577="","UNKNOWN","DERIVED"))</f>
        <v>SOURCE</v>
      </c>
      <c r="O577" s="24" t="str">
        <f>IF('query (2)'!E577="","NOT_SPECIFIED",TRIM(UPPER('query (2)'!E577)))</f>
        <v>ASSEMBLY</v>
      </c>
      <c r="P577" s="24" t="str">
        <f>IF('query (2)'!F577="","",TRIM(UPPER('query (2)'!F577)))</f>
        <v>3503-H2.5AI</v>
      </c>
      <c r="Q577" s="24" t="str">
        <f>IF('query (2)'!G577="","UNKNOWN",IFERROR(INDEX(Cleaning_Rules!$B$38:$B$46,MATCH(TRIM(UPPER('query (2)'!G577)),Cleaning_Rules!$A$38:$A$46,0)),"UNKNOWN"))</f>
        <v>OTHER</v>
      </c>
      <c r="R577" s="24" t="str">
        <f>IF('query (2)'!H577="","",TRIM(UPPER('query (2)'!H577)))</f>
        <v>RUST PREVENTION MACHINE</v>
      </c>
      <c r="S577" s="25" t="str">
        <f>IF('query (2)'!H577="","",'query (2)'!H577)</f>
        <v>Rust prevention machine</v>
      </c>
      <c r="T577" s="24" t="str">
        <f>IF('query (2)'!J577="","",TRIM(UPPER('query (2)'!J577)))</f>
        <v>RUST PREVENTION MACHINE</v>
      </c>
      <c r="U577" s="24" t="str">
        <f t="shared" si="59"/>
        <v/>
      </c>
      <c r="V577" s="24" t="str">
        <f>IF('query (2)'!K577="","NOT_SPECIFIED",IFERROR(INDEX(Cleaning_Rules!$B$32:$B$34,MATCH(TRIM(UPPER('query (2)'!K577)),Cleaning_Rules!$A$32:$A$34,0)),"UNKNOWN"))</f>
        <v>NOT_SPECIFIED</v>
      </c>
      <c r="W577" s="24" t="str">
        <f t="shared" si="60"/>
        <v>AR-1031 | FACTORY3 | HUB2.5 | HUB | ASSEMBLY | 3503-H2.5AI | OTHER | RUST PREVENTION MACHINE | RUST PREVENTION MACHINE | NOT_SPECIFIED</v>
      </c>
      <c r="X577" s="24" t="str">
        <f t="shared" si="61"/>
        <v/>
      </c>
      <c r="Y577" s="24" t="str">
        <f t="shared" si="62"/>
        <v>MISSING_STATUS; CATEGORY_NOT_USEFUL</v>
      </c>
    </row>
    <row r="578" spans="1:25" x14ac:dyDescent="0.3">
      <c r="A578" s="24" t="str">
        <f t="shared" si="56"/>
        <v>CH-1032#0577</v>
      </c>
      <c r="B578" s="24" t="str">
        <f>IF('query (2)'!B578="","",TRIM(UPPER('query (2)'!B578)))</f>
        <v>CH-1032</v>
      </c>
      <c r="C578" s="25" t="str">
        <f>IF('query (2)'!B578="","",'query (2)'!B578)</f>
        <v>CH-1032</v>
      </c>
      <c r="D578" s="24" t="str">
        <f t="shared" si="57"/>
        <v>CH</v>
      </c>
      <c r="E578" s="24">
        <f t="shared" si="58"/>
        <v>1</v>
      </c>
      <c r="F578" s="24">
        <f>IF('query (2)'!A578="","",IFERROR(VALUE('query (2)'!A578),""))</f>
        <v>596</v>
      </c>
      <c r="G578" s="24" t="str">
        <f>IF('query (2)'!C578="","UNKNOWN",IFERROR(INDEX(Cleaning_Rules!$B$15:$B$20,MATCH(TRIM(UPPER('query (2)'!C578)),Cleaning_Rules!$A$15:$A$20,0)),"UNKNOWN"))</f>
        <v>FACTORY3</v>
      </c>
      <c r="H578" s="25" t="str">
        <f>IF('query (2)'!C578="","",'query (2)'!C578)</f>
        <v>FACTORY3</v>
      </c>
      <c r="I578" s="24" t="str" cm="1">
        <f t="array" ref="I578">_xlfn.IFS($G578="UNKNOWN","UNKNOWN",OR($G578="FACTORY1",$G578="FACTORY2",$G578="FACTORY3"),"PLANT",TRUE,"SHARED")</f>
        <v>PLANT</v>
      </c>
      <c r="J578" s="24" t="str">
        <f>IF('query (2)'!D578="","UNKNOWN",IF(COUNTIF(Cleaning_Rules!$A$6:$A$11,TRIM('query (2)'!D578))&gt;0,"UNKNOWN",IFERROR(INDEX(Cleaning_Rules!$B$24:$B$28,MATCH(TRIM(UPPER('query (2)'!D578)),Cleaning_Rules!$A$24:$A$28,0)),TRIM(UPPER('query (2)'!D578)))))</f>
        <v>HUB2.5</v>
      </c>
      <c r="K578" s="25" t="str">
        <f>IF('query (2)'!D578="","",'query (2)'!D578)</f>
        <v>HUB2.5</v>
      </c>
      <c r="L578" s="24" t="str">
        <f>IF($J578="UNKNOWN","",_xlfn.TEXTBEFORE($J578,{"0","1","2","3","4","5","6","7","8","9"," ","-","."},1,,,$J578))</f>
        <v>HUB</v>
      </c>
      <c r="M578" s="24" t="str">
        <f>IF('query (2)'!I578&lt;&gt;"",TRIM(UPPER('query (2)'!I578)),IF($L578="","UNKNOWN",$L578))</f>
        <v>HUB</v>
      </c>
      <c r="N578" s="24" t="str">
        <f>IF('query (2)'!I578&lt;&gt;"","SOURCE",IF($L578="","UNKNOWN","DERIVED"))</f>
        <v>SOURCE</v>
      </c>
      <c r="O578" s="24" t="str">
        <f>IF('query (2)'!E578="","NOT_SPECIFIED",TRIM(UPPER('query (2)'!E578)))</f>
        <v>ASSEMBLY</v>
      </c>
      <c r="P578" s="24" t="str">
        <f>IF('query (2)'!F578="","",TRIM(UPPER('query (2)'!F578)))</f>
        <v>3503-H2.5AI</v>
      </c>
      <c r="Q578" s="24" t="str">
        <f>IF('query (2)'!G578="","UNKNOWN",IFERROR(INDEX(Cleaning_Rules!$B$38:$B$46,MATCH(TRIM(UPPER('query (2)'!G578)),Cleaning_Rules!$A$38:$A$46,0)),"UNKNOWN"))</f>
        <v>OTHER</v>
      </c>
      <c r="R578" s="24" t="str">
        <f>IF('query (2)'!H578="","",TRIM(UPPER('query (2)'!H578)))</f>
        <v>FINAL APPEARANCE CHECK TABLE MACHINE</v>
      </c>
      <c r="S578" s="25" t="str">
        <f>IF('query (2)'!H578="","",'query (2)'!H578)</f>
        <v>Final appearance check table machine</v>
      </c>
      <c r="T578" s="24" t="str">
        <f>IF('query (2)'!J578="","",TRIM(UPPER('query (2)'!J578)))</f>
        <v>FINAL APPEARANCE CHECK TABLE MACHINE</v>
      </c>
      <c r="U578" s="24" t="str">
        <f t="shared" si="59"/>
        <v/>
      </c>
      <c r="V578" s="24" t="str">
        <f>IF('query (2)'!K578="","NOT_SPECIFIED",IFERROR(INDEX(Cleaning_Rules!$B$32:$B$34,MATCH(TRIM(UPPER('query (2)'!K578)),Cleaning_Rules!$A$32:$A$34,0)),"UNKNOWN"))</f>
        <v>NOT_SPECIFIED</v>
      </c>
      <c r="W578" s="24" t="str">
        <f t="shared" si="60"/>
        <v>CH-1032 | FACTORY3 | HUB2.5 | HUB | ASSEMBLY | 3503-H2.5AI | OTHER | FINAL APPEARANCE CHECK TABLE MACHINE | FINAL APPEARANCE CHECK TABLE MACHINE | NOT_SPECIFIED</v>
      </c>
      <c r="X578" s="24" t="str">
        <f t="shared" si="61"/>
        <v/>
      </c>
      <c r="Y578" s="24" t="str">
        <f t="shared" si="62"/>
        <v>MISSING_STATUS; CATEGORY_NOT_USEFUL</v>
      </c>
    </row>
    <row r="579" spans="1:25" x14ac:dyDescent="0.3">
      <c r="A579" s="24" t="str">
        <f t="shared" ref="A579:A642" si="63">IF($B579="","NO_QR#"&amp;TEXT(ROW()-1,"0000"),$B579&amp;"#"&amp;TEXT(ROW()-1,"0000"))</f>
        <v>SU-1033#0578</v>
      </c>
      <c r="B579" s="24" t="str">
        <f>IF('query (2)'!B579="","",TRIM(UPPER('query (2)'!B579)))</f>
        <v>SU-1033</v>
      </c>
      <c r="C579" s="25" t="str">
        <f>IF('query (2)'!B579="","",'query (2)'!B579)</f>
        <v>SU-1033</v>
      </c>
      <c r="D579" s="24" t="str">
        <f t="shared" ref="D579:D642" si="64">IF($B579="","",IFERROR(_xlfn.TEXTBEFORE($B579,"-"),"NO_PREFIX"))</f>
        <v>SU</v>
      </c>
      <c r="E579" s="24">
        <f t="shared" ref="E579:E642" si="65">IF($B579="","",COUNTIF($B$2:$B$974,$B579))</f>
        <v>1</v>
      </c>
      <c r="F579" s="24">
        <f>IF('query (2)'!A579="","",IFERROR(VALUE('query (2)'!A579),""))</f>
        <v>597</v>
      </c>
      <c r="G579" s="24" t="str">
        <f>IF('query (2)'!C579="","UNKNOWN",IFERROR(INDEX(Cleaning_Rules!$B$15:$B$20,MATCH(TRIM(UPPER('query (2)'!C579)),Cleaning_Rules!$A$15:$A$20,0)),"UNKNOWN"))</f>
        <v>FACTORY3</v>
      </c>
      <c r="H579" s="25" t="str">
        <f>IF('query (2)'!C579="","",'query (2)'!C579)</f>
        <v>FACTORY3</v>
      </c>
      <c r="I579" s="24" t="str" cm="1">
        <f t="array" ref="I579">_xlfn.IFS($G579="UNKNOWN","UNKNOWN",OR($G579="FACTORY1",$G579="FACTORY2",$G579="FACTORY3"),"PLANT",TRUE,"SHARED")</f>
        <v>PLANT</v>
      </c>
      <c r="J579" s="24" t="str">
        <f>IF('query (2)'!D579="","UNKNOWN",IF(COUNTIF(Cleaning_Rules!$A$6:$A$11,TRIM('query (2)'!D579))&gt;0,"UNKNOWN",IFERROR(INDEX(Cleaning_Rules!$B$24:$B$28,MATCH(TRIM(UPPER('query (2)'!D579)),Cleaning_Rules!$A$24:$A$28,0)),TRIM(UPPER('query (2)'!D579)))))</f>
        <v>HUB2.5</v>
      </c>
      <c r="K579" s="25" t="str">
        <f>IF('query (2)'!D579="","",'query (2)'!D579)</f>
        <v>HUB2.5</v>
      </c>
      <c r="L579" s="24" t="str">
        <f>IF($J579="UNKNOWN","",_xlfn.TEXTBEFORE($J579,{"0","1","2","3","4","5","6","7","8","9"," ","-","."},1,,,$J579))</f>
        <v>HUB</v>
      </c>
      <c r="M579" s="24" t="str">
        <f>IF('query (2)'!I579&lt;&gt;"",TRIM(UPPER('query (2)'!I579)),IF($L579="","UNKNOWN",$L579))</f>
        <v>HUB</v>
      </c>
      <c r="N579" s="24" t="str">
        <f>IF('query (2)'!I579&lt;&gt;"","SOURCE",IF($L579="","UNKNOWN","DERIVED"))</f>
        <v>SOURCE</v>
      </c>
      <c r="O579" s="24" t="str">
        <f>IF('query (2)'!E579="","NOT_SPECIFIED",TRIM(UPPER('query (2)'!E579)))</f>
        <v>ASSEMBLY</v>
      </c>
      <c r="P579" s="24" t="str">
        <f>IF('query (2)'!F579="","",TRIM(UPPER('query (2)'!F579)))</f>
        <v>3503-H2.5AI</v>
      </c>
      <c r="Q579" s="24" t="str">
        <f>IF('query (2)'!G579="","UNKNOWN",IFERROR(INDEX(Cleaning_Rules!$B$38:$B$46,MATCH(TRIM(UPPER('query (2)'!G579)),Cleaning_Rules!$A$38:$A$46,0)),"UNKNOWN"))</f>
        <v>OTHER</v>
      </c>
      <c r="R579" s="24" t="str">
        <f>IF('query (2)'!H579="","",TRIM(UPPER('query (2)'!H579)))</f>
        <v>OUTER RING FEEDER</v>
      </c>
      <c r="S579" s="25" t="str">
        <f>IF('query (2)'!H579="","",'query (2)'!H579)</f>
        <v>Outer ring feeder</v>
      </c>
      <c r="T579" s="24" t="str">
        <f>IF('query (2)'!J579="","",TRIM(UPPER('query (2)'!J579)))</f>
        <v>OUTER RING FEEDER</v>
      </c>
      <c r="U579" s="24" t="str">
        <f t="shared" ref="U579:U642" si="66">IFERROR(IF(ISNUMBER(VALUE(MID($R579,SEARCH("(??-???)",$R579)+4,3))),MID($R579,SEARCH("(??-???)",$R579)+1,6),""),"")</f>
        <v/>
      </c>
      <c r="V579" s="24" t="str">
        <f>IF('query (2)'!K579="","NOT_SPECIFIED",IFERROR(INDEX(Cleaning_Rules!$B$32:$B$34,MATCH(TRIM(UPPER('query (2)'!K579)),Cleaning_Rules!$A$32:$A$34,0)),"UNKNOWN"))</f>
        <v>NOT_SPECIFIED</v>
      </c>
      <c r="W579" s="24" t="str">
        <f t="shared" ref="W579:W642" si="67">_xlfn.TEXTJOIN(" | ",TRUE,$B579,$G579,$J579,$M579,$O579,$P579,$Q579,$R579,$T579,$V579)</f>
        <v>SU-1033 | FACTORY3 | HUB2.5 | HUB | ASSEMBLY | 3503-H2.5AI | OTHER | OUTER RING FEEDER | OUTER RING FEEDER | NOT_SPECIFIED</v>
      </c>
      <c r="X579" s="24" t="str">
        <f t="shared" ref="X579:X642" si="68">_xlfn.TEXTJOIN("; ",TRUE,IF($B579="","MISSING_QR",""),IF(N($E579)&gt;1,"DUPLICATE_QR",""),IF($F579="","MISSING_NO",""),IF($G579="UNKNOWN","MISSING_LOCATION",""),IF($J579="UNKNOWN","MISSING_DEPARTMENT",""),IF($N579="UNKNOWN","MISSING_SECTION",""),IF($O579="NOT_SPECIFIED","MISSING_RESPONSIBLE",""),IF($P579="","MISSING_COST_CENTER",""),IF($Q579="UNKNOWN","MISSING_CATEGORY",""),IF($R579="","MISSING_DESCRIPTION",""))</f>
        <v/>
      </c>
      <c r="Y579" s="24" t="str">
        <f t="shared" ref="Y579:Y642" si="69">_xlfn.TEXTJOIN("; ",TRUE,IF($V579="NOT_SPECIFIED","MISSING_STATUS",""),IF($Q579="OTHER","CATEGORY_NOT_USEFUL",""),IF($T579="","MISSING_PRODUCTION_NAME",""),IF($N579="DERIVED","SECTION_DERIVED",""))</f>
        <v>MISSING_STATUS; CATEGORY_NOT_USEFUL</v>
      </c>
    </row>
    <row r="580" spans="1:25" x14ac:dyDescent="0.3">
      <c r="A580" s="24" t="str">
        <f t="shared" si="63"/>
        <v>GR-1034#0579</v>
      </c>
      <c r="B580" s="24" t="str">
        <f>IF('query (2)'!B580="","",TRIM(UPPER('query (2)'!B580)))</f>
        <v>GR-1034</v>
      </c>
      <c r="C580" s="25" t="str">
        <f>IF('query (2)'!B580="","",'query (2)'!B580)</f>
        <v>GR-1034</v>
      </c>
      <c r="D580" s="24" t="str">
        <f t="shared" si="64"/>
        <v>GR</v>
      </c>
      <c r="E580" s="24">
        <f t="shared" si="65"/>
        <v>1</v>
      </c>
      <c r="F580" s="24">
        <f>IF('query (2)'!A580="","",IFERROR(VALUE('query (2)'!A580),""))</f>
        <v>598</v>
      </c>
      <c r="G580" s="24" t="str">
        <f>IF('query (2)'!C580="","UNKNOWN",IFERROR(INDEX(Cleaning_Rules!$B$15:$B$20,MATCH(TRIM(UPPER('query (2)'!C580)),Cleaning_Rules!$A$15:$A$20,0)),"UNKNOWN"))</f>
        <v>FACTORY3</v>
      </c>
      <c r="H580" s="25" t="str">
        <f>IF('query (2)'!C580="","",'query (2)'!C580)</f>
        <v>FACTORY3</v>
      </c>
      <c r="I580" s="24" t="str" cm="1">
        <f t="array" ref="I580">_xlfn.IFS($G580="UNKNOWN","UNKNOWN",OR($G580="FACTORY1",$G580="FACTORY2",$G580="FACTORY3"),"PLANT",TRUE,"SHARED")</f>
        <v>PLANT</v>
      </c>
      <c r="J580" s="24" t="str">
        <f>IF('query (2)'!D580="","UNKNOWN",IF(COUNTIF(Cleaning_Rules!$A$6:$A$11,TRIM('query (2)'!D580))&gt;0,"UNKNOWN",IFERROR(INDEX(Cleaning_Rules!$B$24:$B$28,MATCH(TRIM(UPPER('query (2)'!D580)),Cleaning_Rules!$A$24:$A$28,0)),TRIM(UPPER('query (2)'!D580)))))</f>
        <v>HUB2.5</v>
      </c>
      <c r="K580" s="25" t="str">
        <f>IF('query (2)'!D580="","",'query (2)'!D580)</f>
        <v>HUB2.5</v>
      </c>
      <c r="L580" s="24" t="str">
        <f>IF($J580="UNKNOWN","",_xlfn.TEXTBEFORE($J580,{"0","1","2","3","4","5","6","7","8","9"," ","-","."},1,,,$J580))</f>
        <v>HUB</v>
      </c>
      <c r="M580" s="24" t="str">
        <f>IF('query (2)'!I580&lt;&gt;"",TRIM(UPPER('query (2)'!I580)),IF($L580="","UNKNOWN",$L580))</f>
        <v>HUB</v>
      </c>
      <c r="N580" s="24" t="str">
        <f>IF('query (2)'!I580&lt;&gt;"","SOURCE",IF($L580="","UNKNOWN","DERIVED"))</f>
        <v>SOURCE</v>
      </c>
      <c r="O580" s="24" t="str">
        <f>IF('query (2)'!E580="","NOT_SPECIFIED",TRIM(UPPER('query (2)'!E580)))</f>
        <v>GRINDING 2</v>
      </c>
      <c r="P580" s="24" t="str">
        <f>IF('query (2)'!F580="","",TRIM(UPPER('query (2)'!F580)))</f>
        <v>3502-H2.5G</v>
      </c>
      <c r="Q580" s="24" t="str">
        <f>IF('query (2)'!G580="","UNKNOWN",IFERROR(INDEX(Cleaning_Rules!$B$38:$B$46,MATCH(TRIM(UPPER('query (2)'!G580)),Cleaning_Rules!$A$38:$A$46,0)),"UNKNOWN"))</f>
        <v>OTHER</v>
      </c>
      <c r="R580" s="24" t="str">
        <f>IF('query (2)'!H580="","",TRIM(UPPER('query (2)'!H580)))</f>
        <v>OUTER RING OUTSIDE GRINDING MACHINE</v>
      </c>
      <c r="S580" s="25" t="str">
        <f>IF('query (2)'!H580="","",'query (2)'!H580)</f>
        <v>Outer ring outside grinding machine</v>
      </c>
      <c r="T580" s="24" t="str">
        <f>IF('query (2)'!J580="","",TRIM(UPPER('query (2)'!J580)))</f>
        <v>OUTER RING OUTSIDE GRINDING MACHINE</v>
      </c>
      <c r="U580" s="24" t="str">
        <f t="shared" si="66"/>
        <v/>
      </c>
      <c r="V580" s="24" t="str">
        <f>IF('query (2)'!K580="","NOT_SPECIFIED",IFERROR(INDEX(Cleaning_Rules!$B$32:$B$34,MATCH(TRIM(UPPER('query (2)'!K580)),Cleaning_Rules!$A$32:$A$34,0)),"UNKNOWN"))</f>
        <v>NOT_SPECIFIED</v>
      </c>
      <c r="W580" s="24" t="str">
        <f t="shared" si="67"/>
        <v>GR-1034 | FACTORY3 | HUB2.5 | HUB | GRINDING 2 | 3502-H2.5G | OTHER | OUTER RING OUTSIDE GRINDING MACHINE | OUTER RING OUTSIDE GRINDING MACHINE | NOT_SPECIFIED</v>
      </c>
      <c r="X580" s="24" t="str">
        <f t="shared" si="68"/>
        <v/>
      </c>
      <c r="Y580" s="24" t="str">
        <f t="shared" si="69"/>
        <v>MISSING_STATUS; CATEGORY_NOT_USEFUL</v>
      </c>
    </row>
    <row r="581" spans="1:25" x14ac:dyDescent="0.3">
      <c r="A581" s="24" t="str">
        <f t="shared" si="63"/>
        <v>GR-1035#0580</v>
      </c>
      <c r="B581" s="24" t="str">
        <f>IF('query (2)'!B581="","",TRIM(UPPER('query (2)'!B581)))</f>
        <v>GR-1035</v>
      </c>
      <c r="C581" s="25" t="str">
        <f>IF('query (2)'!B581="","",'query (2)'!B581)</f>
        <v>GR-1035</v>
      </c>
      <c r="D581" s="24" t="str">
        <f t="shared" si="64"/>
        <v>GR</v>
      </c>
      <c r="E581" s="24">
        <f t="shared" si="65"/>
        <v>1</v>
      </c>
      <c r="F581" s="24">
        <f>IF('query (2)'!A581="","",IFERROR(VALUE('query (2)'!A581),""))</f>
        <v>599</v>
      </c>
      <c r="G581" s="24" t="str">
        <f>IF('query (2)'!C581="","UNKNOWN",IFERROR(INDEX(Cleaning_Rules!$B$15:$B$20,MATCH(TRIM(UPPER('query (2)'!C581)),Cleaning_Rules!$A$15:$A$20,0)),"UNKNOWN"))</f>
        <v>FACTORY3</v>
      </c>
      <c r="H581" s="25" t="str">
        <f>IF('query (2)'!C581="","",'query (2)'!C581)</f>
        <v>FACTORY3</v>
      </c>
      <c r="I581" s="24" t="str" cm="1">
        <f t="array" ref="I581">_xlfn.IFS($G581="UNKNOWN","UNKNOWN",OR($G581="FACTORY1",$G581="FACTORY2",$G581="FACTORY3"),"PLANT",TRUE,"SHARED")</f>
        <v>PLANT</v>
      </c>
      <c r="J581" s="24" t="str">
        <f>IF('query (2)'!D581="","UNKNOWN",IF(COUNTIF(Cleaning_Rules!$A$6:$A$11,TRIM('query (2)'!D581))&gt;0,"UNKNOWN",IFERROR(INDEX(Cleaning_Rules!$B$24:$B$28,MATCH(TRIM(UPPER('query (2)'!D581)),Cleaning_Rules!$A$24:$A$28,0)),TRIM(UPPER('query (2)'!D581)))))</f>
        <v>HUB2.5</v>
      </c>
      <c r="K581" s="25" t="str">
        <f>IF('query (2)'!D581="","",'query (2)'!D581)</f>
        <v>HUB2.5</v>
      </c>
      <c r="L581" s="24" t="str">
        <f>IF($J581="UNKNOWN","",_xlfn.TEXTBEFORE($J581,{"0","1","2","3","4","5","6","7","8","9"," ","-","."},1,,,$J581))</f>
        <v>HUB</v>
      </c>
      <c r="M581" s="24" t="str">
        <f>IF('query (2)'!I581&lt;&gt;"",TRIM(UPPER('query (2)'!I581)),IF($L581="","UNKNOWN",$L581))</f>
        <v>HUB</v>
      </c>
      <c r="N581" s="24" t="str">
        <f>IF('query (2)'!I581&lt;&gt;"","SOURCE",IF($L581="","UNKNOWN","DERIVED"))</f>
        <v>SOURCE</v>
      </c>
      <c r="O581" s="24" t="str">
        <f>IF('query (2)'!E581="","NOT_SPECIFIED",TRIM(UPPER('query (2)'!E581)))</f>
        <v>GRINDING 2</v>
      </c>
      <c r="P581" s="24" t="str">
        <f>IF('query (2)'!F581="","",TRIM(UPPER('query (2)'!F581)))</f>
        <v>3502-H2.5G</v>
      </c>
      <c r="Q581" s="24" t="str">
        <f>IF('query (2)'!G581="","UNKNOWN",IFERROR(INDEX(Cleaning_Rules!$B$38:$B$46,MATCH(TRIM(UPPER('query (2)'!G581)),Cleaning_Rules!$A$38:$A$46,0)),"UNKNOWN"))</f>
        <v>GRINDING</v>
      </c>
      <c r="R581" s="24" t="str">
        <f>IF('query (2)'!H581="","",TRIM(UPPER('query (2)'!H581)))</f>
        <v>OUTER RING RACEWAY GRINDING MACHINE</v>
      </c>
      <c r="S581" s="25" t="str">
        <f>IF('query (2)'!H581="","",'query (2)'!H581)</f>
        <v>Outer ring raceway grinding machine</v>
      </c>
      <c r="T581" s="24" t="str">
        <f>IF('query (2)'!J581="","",TRIM(UPPER('query (2)'!J581)))</f>
        <v>A - RACEWAY GRINDING</v>
      </c>
      <c r="U581" s="24" t="str">
        <f t="shared" si="66"/>
        <v/>
      </c>
      <c r="V581" s="24" t="str">
        <f>IF('query (2)'!K581="","NOT_SPECIFIED",IFERROR(INDEX(Cleaning_Rules!$B$32:$B$34,MATCH(TRIM(UPPER('query (2)'!K581)),Cleaning_Rules!$A$32:$A$34,0)),"UNKNOWN"))</f>
        <v>NOT_SPECIFIED</v>
      </c>
      <c r="W581" s="24" t="str">
        <f t="shared" si="67"/>
        <v>GR-1035 | FACTORY3 | HUB2.5 | HUB | GRINDING 2 | 3502-H2.5G | GRINDING | OUTER RING RACEWAY GRINDING MACHINE | A - RACEWAY GRINDING | NOT_SPECIFIED</v>
      </c>
      <c r="X581" s="24" t="str">
        <f t="shared" si="68"/>
        <v/>
      </c>
      <c r="Y581" s="24" t="str">
        <f t="shared" si="69"/>
        <v>MISSING_STATUS</v>
      </c>
    </row>
    <row r="582" spans="1:25" x14ac:dyDescent="0.3">
      <c r="A582" s="24" t="str">
        <f t="shared" si="63"/>
        <v>CH-1036#0581</v>
      </c>
      <c r="B582" s="24" t="str">
        <f>IF('query (2)'!B582="","",TRIM(UPPER('query (2)'!B582)))</f>
        <v>CH-1036</v>
      </c>
      <c r="C582" s="25" t="str">
        <f>IF('query (2)'!B582="","",'query (2)'!B582)</f>
        <v>CH-1036</v>
      </c>
      <c r="D582" s="24" t="str">
        <f t="shared" si="64"/>
        <v>CH</v>
      </c>
      <c r="E582" s="24">
        <f t="shared" si="65"/>
        <v>1</v>
      </c>
      <c r="F582" s="24">
        <f>IF('query (2)'!A582="","",IFERROR(VALUE('query (2)'!A582),""))</f>
        <v>600</v>
      </c>
      <c r="G582" s="24" t="str">
        <f>IF('query (2)'!C582="","UNKNOWN",IFERROR(INDEX(Cleaning_Rules!$B$15:$B$20,MATCH(TRIM(UPPER('query (2)'!C582)),Cleaning_Rules!$A$15:$A$20,0)),"UNKNOWN"))</f>
        <v>FACTORY3</v>
      </c>
      <c r="H582" s="25" t="str">
        <f>IF('query (2)'!C582="","",'query (2)'!C582)</f>
        <v>FACTORY3</v>
      </c>
      <c r="I582" s="24" t="str" cm="1">
        <f t="array" ref="I582">_xlfn.IFS($G582="UNKNOWN","UNKNOWN",OR($G582="FACTORY1",$G582="FACTORY2",$G582="FACTORY3"),"PLANT",TRUE,"SHARED")</f>
        <v>PLANT</v>
      </c>
      <c r="J582" s="24" t="str">
        <f>IF('query (2)'!D582="","UNKNOWN",IF(COUNTIF(Cleaning_Rules!$A$6:$A$11,TRIM('query (2)'!D582))&gt;0,"UNKNOWN",IFERROR(INDEX(Cleaning_Rules!$B$24:$B$28,MATCH(TRIM(UPPER('query (2)'!D582)),Cleaning_Rules!$A$24:$A$28,0)),TRIM(UPPER('query (2)'!D582)))))</f>
        <v>HUB2.5</v>
      </c>
      <c r="K582" s="25" t="str">
        <f>IF('query (2)'!D582="","",'query (2)'!D582)</f>
        <v>HUB2.5</v>
      </c>
      <c r="L582" s="24" t="str">
        <f>IF($J582="UNKNOWN","",_xlfn.TEXTBEFORE($J582,{"0","1","2","3","4","5","6","7","8","9"," ","-","."},1,,,$J582))</f>
        <v>HUB</v>
      </c>
      <c r="M582" s="24" t="str">
        <f>IF('query (2)'!I582&lt;&gt;"",TRIM(UPPER('query (2)'!I582)),IF($L582="","UNKNOWN",$L582))</f>
        <v>HUB</v>
      </c>
      <c r="N582" s="24" t="str">
        <f>IF('query (2)'!I582&lt;&gt;"","SOURCE",IF($L582="","UNKNOWN","DERIVED"))</f>
        <v>SOURCE</v>
      </c>
      <c r="O582" s="24" t="str">
        <f>IF('query (2)'!E582="","NOT_SPECIFIED",TRIM(UPPER('query (2)'!E582)))</f>
        <v>GRINDING 2</v>
      </c>
      <c r="P582" s="24" t="str">
        <f>IF('query (2)'!F582="","",TRIM(UPPER('query (2)'!F582)))</f>
        <v>3502-H2.5G</v>
      </c>
      <c r="Q582" s="24" t="str">
        <f>IF('query (2)'!G582="","UNKNOWN",IFERROR(INDEX(Cleaning_Rules!$B$38:$B$46,MATCH(TRIM(UPPER('query (2)'!G582)),Cleaning_Rules!$A$38:$A$46,0)),"UNKNOWN"))</f>
        <v>OTHER</v>
      </c>
      <c r="R582" s="24" t="str">
        <f>IF('query (2)'!H582="","",TRIM(UPPER('query (2)'!H582)))</f>
        <v>OUTER RING INSPECTION MACHINE</v>
      </c>
      <c r="S582" s="25" t="str">
        <f>IF('query (2)'!H582="","",'query (2)'!H582)</f>
        <v>Outer ring inspection machine</v>
      </c>
      <c r="T582" s="24" t="str">
        <f>IF('query (2)'!J582="","",TRIM(UPPER('query (2)'!J582)))</f>
        <v>OUTER RING INSPECTION MACHINE</v>
      </c>
      <c r="U582" s="24" t="str">
        <f t="shared" si="66"/>
        <v/>
      </c>
      <c r="V582" s="24" t="str">
        <f>IF('query (2)'!K582="","NOT_SPECIFIED",IFERROR(INDEX(Cleaning_Rules!$B$32:$B$34,MATCH(TRIM(UPPER('query (2)'!K582)),Cleaning_Rules!$A$32:$A$34,0)),"UNKNOWN"))</f>
        <v>NOT_SPECIFIED</v>
      </c>
      <c r="W582" s="24" t="str">
        <f t="shared" si="67"/>
        <v>CH-1036 | FACTORY3 | HUB2.5 | HUB | GRINDING 2 | 3502-H2.5G | OTHER | OUTER RING INSPECTION MACHINE | OUTER RING INSPECTION MACHINE | NOT_SPECIFIED</v>
      </c>
      <c r="X582" s="24" t="str">
        <f t="shared" si="68"/>
        <v/>
      </c>
      <c r="Y582" s="24" t="str">
        <f t="shared" si="69"/>
        <v>MISSING_STATUS; CATEGORY_NOT_USEFUL</v>
      </c>
    </row>
    <row r="583" spans="1:25" x14ac:dyDescent="0.3">
      <c r="A583" s="24" t="str">
        <f t="shared" si="63"/>
        <v>GR-1037#0582</v>
      </c>
      <c r="B583" s="24" t="str">
        <f>IF('query (2)'!B583="","",TRIM(UPPER('query (2)'!B583)))</f>
        <v>GR-1037</v>
      </c>
      <c r="C583" s="25" t="str">
        <f>IF('query (2)'!B583="","",'query (2)'!B583)</f>
        <v>GR-1037</v>
      </c>
      <c r="D583" s="24" t="str">
        <f t="shared" si="64"/>
        <v>GR</v>
      </c>
      <c r="E583" s="24">
        <f t="shared" si="65"/>
        <v>1</v>
      </c>
      <c r="F583" s="24">
        <f>IF('query (2)'!A583="","",IFERROR(VALUE('query (2)'!A583),""))</f>
        <v>601</v>
      </c>
      <c r="G583" s="24" t="str">
        <f>IF('query (2)'!C583="","UNKNOWN",IFERROR(INDEX(Cleaning_Rules!$B$15:$B$20,MATCH(TRIM(UPPER('query (2)'!C583)),Cleaning_Rules!$A$15:$A$20,0)),"UNKNOWN"))</f>
        <v>FACTORY3</v>
      </c>
      <c r="H583" s="25" t="str">
        <f>IF('query (2)'!C583="","",'query (2)'!C583)</f>
        <v>FACTORY3</v>
      </c>
      <c r="I583" s="24" t="str" cm="1">
        <f t="array" ref="I583">_xlfn.IFS($G583="UNKNOWN","UNKNOWN",OR($G583="FACTORY1",$G583="FACTORY2",$G583="FACTORY3"),"PLANT",TRUE,"SHARED")</f>
        <v>PLANT</v>
      </c>
      <c r="J583" s="24" t="str">
        <f>IF('query (2)'!D583="","UNKNOWN",IF(COUNTIF(Cleaning_Rules!$A$6:$A$11,TRIM('query (2)'!D583))&gt;0,"UNKNOWN",IFERROR(INDEX(Cleaning_Rules!$B$24:$B$28,MATCH(TRIM(UPPER('query (2)'!D583)),Cleaning_Rules!$A$24:$A$28,0)),TRIM(UPPER('query (2)'!D583)))))</f>
        <v>HUB2.5</v>
      </c>
      <c r="K583" s="25" t="str">
        <f>IF('query (2)'!D583="","",'query (2)'!D583)</f>
        <v>HUB2.5</v>
      </c>
      <c r="L583" s="24" t="str">
        <f>IF($J583="UNKNOWN","",_xlfn.TEXTBEFORE($J583,{"0","1","2","3","4","5","6","7","8","9"," ","-","."},1,,,$J583))</f>
        <v>HUB</v>
      </c>
      <c r="M583" s="24" t="str">
        <f>IF('query (2)'!I583&lt;&gt;"",TRIM(UPPER('query (2)'!I583)),IF($L583="","UNKNOWN",$L583))</f>
        <v>HUB</v>
      </c>
      <c r="N583" s="24" t="str">
        <f>IF('query (2)'!I583&lt;&gt;"","SOURCE",IF($L583="","UNKNOWN","DERIVED"))</f>
        <v>SOURCE</v>
      </c>
      <c r="O583" s="24" t="str">
        <f>IF('query (2)'!E583="","NOT_SPECIFIED",TRIM(UPPER('query (2)'!E583)))</f>
        <v>GRINDING 2</v>
      </c>
      <c r="P583" s="24" t="str">
        <f>IF('query (2)'!F583="","",TRIM(UPPER('query (2)'!F583)))</f>
        <v>3502-H2.5G</v>
      </c>
      <c r="Q583" s="24" t="str">
        <f>IF('query (2)'!G583="","UNKNOWN",IFERROR(INDEX(Cleaning_Rules!$B$38:$B$46,MATCH(TRIM(UPPER('query (2)'!G583)),Cleaning_Rules!$A$38:$A$46,0)),"UNKNOWN"))</f>
        <v>OTHER</v>
      </c>
      <c r="R583" s="24" t="str">
        <f>IF('query (2)'!H583="","",TRIM(UPPER('query (2)'!H583)))</f>
        <v>OUTER RING RACEWAY SUPER FINISHING MACHINE NO.1</v>
      </c>
      <c r="S583" s="25" t="str">
        <f>IF('query (2)'!H583="","",'query (2)'!H583)</f>
        <v>Outer ring raceway super finishing machine No.1</v>
      </c>
      <c r="T583" s="24" t="str">
        <f>IF('query (2)'!J583="","",TRIM(UPPER('query (2)'!J583)))</f>
        <v>OUTER RING RACEWAY SUPER FINISHING MACHINE NO.1</v>
      </c>
      <c r="U583" s="24" t="str">
        <f t="shared" si="66"/>
        <v/>
      </c>
      <c r="V583" s="24" t="str">
        <f>IF('query (2)'!K583="","NOT_SPECIFIED",IFERROR(INDEX(Cleaning_Rules!$B$32:$B$34,MATCH(TRIM(UPPER('query (2)'!K583)),Cleaning_Rules!$A$32:$A$34,0)),"UNKNOWN"))</f>
        <v>NOT_SPECIFIED</v>
      </c>
      <c r="W583" s="24" t="str">
        <f t="shared" si="67"/>
        <v>GR-1037 | FACTORY3 | HUB2.5 | HUB | GRINDING 2 | 3502-H2.5G | OTHER | OUTER RING RACEWAY SUPER FINISHING MACHINE NO.1 | OUTER RING RACEWAY SUPER FINISHING MACHINE NO.1 | NOT_SPECIFIED</v>
      </c>
      <c r="X583" s="24" t="str">
        <f t="shared" si="68"/>
        <v/>
      </c>
      <c r="Y583" s="24" t="str">
        <f t="shared" si="69"/>
        <v>MISSING_STATUS; CATEGORY_NOT_USEFUL</v>
      </c>
    </row>
    <row r="584" spans="1:25" x14ac:dyDescent="0.3">
      <c r="A584" s="24" t="str">
        <f t="shared" si="63"/>
        <v>GR-1038#0583</v>
      </c>
      <c r="B584" s="24" t="str">
        <f>IF('query (2)'!B584="","",TRIM(UPPER('query (2)'!B584)))</f>
        <v>GR-1038</v>
      </c>
      <c r="C584" s="25" t="str">
        <f>IF('query (2)'!B584="","",'query (2)'!B584)</f>
        <v>GR-1038</v>
      </c>
      <c r="D584" s="24" t="str">
        <f t="shared" si="64"/>
        <v>GR</v>
      </c>
      <c r="E584" s="24">
        <f t="shared" si="65"/>
        <v>1</v>
      </c>
      <c r="F584" s="24">
        <f>IF('query (2)'!A584="","",IFERROR(VALUE('query (2)'!A584),""))</f>
        <v>602</v>
      </c>
      <c r="G584" s="24" t="str">
        <f>IF('query (2)'!C584="","UNKNOWN",IFERROR(INDEX(Cleaning_Rules!$B$15:$B$20,MATCH(TRIM(UPPER('query (2)'!C584)),Cleaning_Rules!$A$15:$A$20,0)),"UNKNOWN"))</f>
        <v>FACTORY3</v>
      </c>
      <c r="H584" s="25" t="str">
        <f>IF('query (2)'!C584="","",'query (2)'!C584)</f>
        <v>FACTORY3</v>
      </c>
      <c r="I584" s="24" t="str" cm="1">
        <f t="array" ref="I584">_xlfn.IFS($G584="UNKNOWN","UNKNOWN",OR($G584="FACTORY1",$G584="FACTORY2",$G584="FACTORY3"),"PLANT",TRUE,"SHARED")</f>
        <v>PLANT</v>
      </c>
      <c r="J584" s="24" t="str">
        <f>IF('query (2)'!D584="","UNKNOWN",IF(COUNTIF(Cleaning_Rules!$A$6:$A$11,TRIM('query (2)'!D584))&gt;0,"UNKNOWN",IFERROR(INDEX(Cleaning_Rules!$B$24:$B$28,MATCH(TRIM(UPPER('query (2)'!D584)),Cleaning_Rules!$A$24:$A$28,0)),TRIM(UPPER('query (2)'!D584)))))</f>
        <v>HUB2.5</v>
      </c>
      <c r="K584" s="25" t="str">
        <f>IF('query (2)'!D584="","",'query (2)'!D584)</f>
        <v>HUB2.5</v>
      </c>
      <c r="L584" s="24" t="str">
        <f>IF($J584="UNKNOWN","",_xlfn.TEXTBEFORE($J584,{"0","1","2","3","4","5","6","7","8","9"," ","-","."},1,,,$J584))</f>
        <v>HUB</v>
      </c>
      <c r="M584" s="24" t="str">
        <f>IF('query (2)'!I584&lt;&gt;"",TRIM(UPPER('query (2)'!I584)),IF($L584="","UNKNOWN",$L584))</f>
        <v>HUB</v>
      </c>
      <c r="N584" s="24" t="str">
        <f>IF('query (2)'!I584&lt;&gt;"","SOURCE",IF($L584="","UNKNOWN","DERIVED"))</f>
        <v>SOURCE</v>
      </c>
      <c r="O584" s="24" t="str">
        <f>IF('query (2)'!E584="","NOT_SPECIFIED",TRIM(UPPER('query (2)'!E584)))</f>
        <v>GRINDING 2</v>
      </c>
      <c r="P584" s="24" t="str">
        <f>IF('query (2)'!F584="","",TRIM(UPPER('query (2)'!F584)))</f>
        <v>3502-H2.5G</v>
      </c>
      <c r="Q584" s="24" t="str">
        <f>IF('query (2)'!G584="","UNKNOWN",IFERROR(INDEX(Cleaning_Rules!$B$38:$B$46,MATCH(TRIM(UPPER('query (2)'!G584)),Cleaning_Rules!$A$38:$A$46,0)),"UNKNOWN"))</f>
        <v>OTHER</v>
      </c>
      <c r="R584" s="24" t="str">
        <f>IF('query (2)'!H584="","",TRIM(UPPER('query (2)'!H584)))</f>
        <v>OUTER RING RACEWAY SUPER FINISHING MACHINE NO.2</v>
      </c>
      <c r="S584" s="25" t="str">
        <f>IF('query (2)'!H584="","",'query (2)'!H584)</f>
        <v>Outer ring raceway super finishing machine No.2</v>
      </c>
      <c r="T584" s="24" t="str">
        <f>IF('query (2)'!J584="","",TRIM(UPPER('query (2)'!J584)))</f>
        <v>OUTER RING RACEWAY SUPER FINISHING MACHINE NO.2</v>
      </c>
      <c r="U584" s="24" t="str">
        <f t="shared" si="66"/>
        <v/>
      </c>
      <c r="V584" s="24" t="str">
        <f>IF('query (2)'!K584="","NOT_SPECIFIED",IFERROR(INDEX(Cleaning_Rules!$B$32:$B$34,MATCH(TRIM(UPPER('query (2)'!K584)),Cleaning_Rules!$A$32:$A$34,0)),"UNKNOWN"))</f>
        <v>NOT_SPECIFIED</v>
      </c>
      <c r="W584" s="24" t="str">
        <f t="shared" si="67"/>
        <v>GR-1038 | FACTORY3 | HUB2.5 | HUB | GRINDING 2 | 3502-H2.5G | OTHER | OUTER RING RACEWAY SUPER FINISHING MACHINE NO.2 | OUTER RING RACEWAY SUPER FINISHING MACHINE NO.2 | NOT_SPECIFIED</v>
      </c>
      <c r="X584" s="24" t="str">
        <f t="shared" si="68"/>
        <v/>
      </c>
      <c r="Y584" s="24" t="str">
        <f t="shared" si="69"/>
        <v>MISSING_STATUS; CATEGORY_NOT_USEFUL</v>
      </c>
    </row>
    <row r="585" spans="1:25" x14ac:dyDescent="0.3">
      <c r="A585" s="24" t="str">
        <f t="shared" si="63"/>
        <v>WA-1039#0584</v>
      </c>
      <c r="B585" s="24" t="str">
        <f>IF('query (2)'!B585="","",TRIM(UPPER('query (2)'!B585)))</f>
        <v>WA-1039</v>
      </c>
      <c r="C585" s="25" t="str">
        <f>IF('query (2)'!B585="","",'query (2)'!B585)</f>
        <v>WA-1039</v>
      </c>
      <c r="D585" s="24" t="str">
        <f t="shared" si="64"/>
        <v>WA</v>
      </c>
      <c r="E585" s="24">
        <f t="shared" si="65"/>
        <v>1</v>
      </c>
      <c r="F585" s="24">
        <f>IF('query (2)'!A585="","",IFERROR(VALUE('query (2)'!A585),""))</f>
        <v>603</v>
      </c>
      <c r="G585" s="24" t="str">
        <f>IF('query (2)'!C585="","UNKNOWN",IFERROR(INDEX(Cleaning_Rules!$B$15:$B$20,MATCH(TRIM(UPPER('query (2)'!C585)),Cleaning_Rules!$A$15:$A$20,0)),"UNKNOWN"))</f>
        <v>FACTORY3</v>
      </c>
      <c r="H585" s="25" t="str">
        <f>IF('query (2)'!C585="","",'query (2)'!C585)</f>
        <v>FACTORY3</v>
      </c>
      <c r="I585" s="24" t="str" cm="1">
        <f t="array" ref="I585">_xlfn.IFS($G585="UNKNOWN","UNKNOWN",OR($G585="FACTORY1",$G585="FACTORY2",$G585="FACTORY3"),"PLANT",TRUE,"SHARED")</f>
        <v>PLANT</v>
      </c>
      <c r="J585" s="24" t="str">
        <f>IF('query (2)'!D585="","UNKNOWN",IF(COUNTIF(Cleaning_Rules!$A$6:$A$11,TRIM('query (2)'!D585))&gt;0,"UNKNOWN",IFERROR(INDEX(Cleaning_Rules!$B$24:$B$28,MATCH(TRIM(UPPER('query (2)'!D585)),Cleaning_Rules!$A$24:$A$28,0)),TRIM(UPPER('query (2)'!D585)))))</f>
        <v>HUB2.5</v>
      </c>
      <c r="K585" s="25" t="str">
        <f>IF('query (2)'!D585="","",'query (2)'!D585)</f>
        <v>HUB2.5</v>
      </c>
      <c r="L585" s="24" t="str">
        <f>IF($J585="UNKNOWN","",_xlfn.TEXTBEFORE($J585,{"0","1","2","3","4","5","6","7","8","9"," ","-","."},1,,,$J585))</f>
        <v>HUB</v>
      </c>
      <c r="M585" s="24" t="str">
        <f>IF('query (2)'!I585&lt;&gt;"",TRIM(UPPER('query (2)'!I585)),IF($L585="","UNKNOWN",$L585))</f>
        <v>HUB</v>
      </c>
      <c r="N585" s="24" t="str">
        <f>IF('query (2)'!I585&lt;&gt;"","SOURCE",IF($L585="","UNKNOWN","DERIVED"))</f>
        <v>SOURCE</v>
      </c>
      <c r="O585" s="24" t="str">
        <f>IF('query (2)'!E585="","NOT_SPECIFIED",TRIM(UPPER('query (2)'!E585)))</f>
        <v>GRINDING 2</v>
      </c>
      <c r="P585" s="24" t="str">
        <f>IF('query (2)'!F585="","",TRIM(UPPER('query (2)'!F585)))</f>
        <v>3502-H2.5G</v>
      </c>
      <c r="Q585" s="24" t="str">
        <f>IF('query (2)'!G585="","UNKNOWN",IFERROR(INDEX(Cleaning_Rules!$B$38:$B$46,MATCH(TRIM(UPPER('query (2)'!G585)),Cleaning_Rules!$A$38:$A$46,0)),"UNKNOWN"))</f>
        <v>OTHER</v>
      </c>
      <c r="R585" s="24" t="str">
        <f>IF('query (2)'!H585="","",TRIM(UPPER('query (2)'!H585)))</f>
        <v>OUTER RING WASHING MACHINE &amp; ECT</v>
      </c>
      <c r="S585" s="25" t="str">
        <f>IF('query (2)'!H585="","",'query (2)'!H585)</f>
        <v>Outer ring washing machine &amp; ECT</v>
      </c>
      <c r="T585" s="24" t="str">
        <f>IF('query (2)'!J585="","",TRIM(UPPER('query (2)'!J585)))</f>
        <v>OUTER RING WASHING MACHINE &amp; ECT</v>
      </c>
      <c r="U585" s="24" t="str">
        <f t="shared" si="66"/>
        <v/>
      </c>
      <c r="V585" s="24" t="str">
        <f>IF('query (2)'!K585="","NOT_SPECIFIED",IFERROR(INDEX(Cleaning_Rules!$B$32:$B$34,MATCH(TRIM(UPPER('query (2)'!K585)),Cleaning_Rules!$A$32:$A$34,0)),"UNKNOWN"))</f>
        <v>NOT_SPECIFIED</v>
      </c>
      <c r="W585" s="24" t="str">
        <f t="shared" si="67"/>
        <v>WA-1039 | FACTORY3 | HUB2.5 | HUB | GRINDING 2 | 3502-H2.5G | OTHER | OUTER RING WASHING MACHINE &amp; ECT | OUTER RING WASHING MACHINE &amp; ECT | NOT_SPECIFIED</v>
      </c>
      <c r="X585" s="24" t="str">
        <f t="shared" si="68"/>
        <v/>
      </c>
      <c r="Y585" s="24" t="str">
        <f t="shared" si="69"/>
        <v>MISSING_STATUS; CATEGORY_NOT_USEFUL</v>
      </c>
    </row>
    <row r="586" spans="1:25" x14ac:dyDescent="0.3">
      <c r="A586" s="24" t="str">
        <f t="shared" si="63"/>
        <v>CH-1040#0585</v>
      </c>
      <c r="B586" s="24" t="str">
        <f>IF('query (2)'!B586="","",TRIM(UPPER('query (2)'!B586)))</f>
        <v>CH-1040</v>
      </c>
      <c r="C586" s="25" t="str">
        <f>IF('query (2)'!B586="","",'query (2)'!B586)</f>
        <v>CH-1040</v>
      </c>
      <c r="D586" s="24" t="str">
        <f t="shared" si="64"/>
        <v>CH</v>
      </c>
      <c r="E586" s="24">
        <f t="shared" si="65"/>
        <v>1</v>
      </c>
      <c r="F586" s="24">
        <f>IF('query (2)'!A586="","",IFERROR(VALUE('query (2)'!A586),""))</f>
        <v>604</v>
      </c>
      <c r="G586" s="24" t="str">
        <f>IF('query (2)'!C586="","UNKNOWN",IFERROR(INDEX(Cleaning_Rules!$B$15:$B$20,MATCH(TRIM(UPPER('query (2)'!C586)),Cleaning_Rules!$A$15:$A$20,0)),"UNKNOWN"))</f>
        <v>FACTORY3</v>
      </c>
      <c r="H586" s="25" t="str">
        <f>IF('query (2)'!C586="","",'query (2)'!C586)</f>
        <v>FACTORY3</v>
      </c>
      <c r="I586" s="24" t="str" cm="1">
        <f t="array" ref="I586">_xlfn.IFS($G586="UNKNOWN","UNKNOWN",OR($G586="FACTORY1",$G586="FACTORY2",$G586="FACTORY3"),"PLANT",TRUE,"SHARED")</f>
        <v>PLANT</v>
      </c>
      <c r="J586" s="24" t="str">
        <f>IF('query (2)'!D586="","UNKNOWN",IF(COUNTIF(Cleaning_Rules!$A$6:$A$11,TRIM('query (2)'!D586))&gt;0,"UNKNOWN",IFERROR(INDEX(Cleaning_Rules!$B$24:$B$28,MATCH(TRIM(UPPER('query (2)'!D586)),Cleaning_Rules!$A$24:$A$28,0)),TRIM(UPPER('query (2)'!D586)))))</f>
        <v>HUB2.5</v>
      </c>
      <c r="K586" s="25" t="str">
        <f>IF('query (2)'!D586="","",'query (2)'!D586)</f>
        <v>HUB2.5</v>
      </c>
      <c r="L586" s="24" t="str">
        <f>IF($J586="UNKNOWN","",_xlfn.TEXTBEFORE($J586,{"0","1","2","3","4","5","6","7","8","9"," ","-","."},1,,,$J586))</f>
        <v>HUB</v>
      </c>
      <c r="M586" s="24" t="str">
        <f>IF('query (2)'!I586&lt;&gt;"",TRIM(UPPER('query (2)'!I586)),IF($L586="","UNKNOWN",$L586))</f>
        <v>HUB</v>
      </c>
      <c r="N586" s="24" t="str">
        <f>IF('query (2)'!I586&lt;&gt;"","SOURCE",IF($L586="","UNKNOWN","DERIVED"))</f>
        <v>SOURCE</v>
      </c>
      <c r="O586" s="24" t="str">
        <f>IF('query (2)'!E586="","NOT_SPECIFIED",TRIM(UPPER('query (2)'!E586)))</f>
        <v>ASSEMBLY</v>
      </c>
      <c r="P586" s="24" t="str">
        <f>IF('query (2)'!F586="","",TRIM(UPPER('query (2)'!F586)))</f>
        <v>3503-H2.5AI</v>
      </c>
      <c r="Q586" s="24" t="str">
        <f>IF('query (2)'!G586="","UNKNOWN",IFERROR(INDEX(Cleaning_Rules!$B$38:$B$46,MATCH(TRIM(UPPER('query (2)'!G586)),Cleaning_Rules!$A$38:$A$46,0)),"UNKNOWN"))</f>
        <v>OTHER</v>
      </c>
      <c r="R586" s="24" t="str">
        <f>IF('query (2)'!H586="","",TRIM(UPPER('query (2)'!H586)))</f>
        <v>OUTER RING APPEARANCE CHECK TABLE MACHINE</v>
      </c>
      <c r="S586" s="25" t="str">
        <f>IF('query (2)'!H586="","",'query (2)'!H586)</f>
        <v>Outer ring appearance check table machine</v>
      </c>
      <c r="T586" s="24" t="str">
        <f>IF('query (2)'!J586="","",TRIM(UPPER('query (2)'!J586)))</f>
        <v>OUTER RING APPEARANCE CHECK TABLE MACHINE</v>
      </c>
      <c r="U586" s="24" t="str">
        <f t="shared" si="66"/>
        <v/>
      </c>
      <c r="V586" s="24" t="str">
        <f>IF('query (2)'!K586="","NOT_SPECIFIED",IFERROR(INDEX(Cleaning_Rules!$B$32:$B$34,MATCH(TRIM(UPPER('query (2)'!K586)),Cleaning_Rules!$A$32:$A$34,0)),"UNKNOWN"))</f>
        <v>NOT_SPECIFIED</v>
      </c>
      <c r="W586" s="24" t="str">
        <f t="shared" si="67"/>
        <v>CH-1040 | FACTORY3 | HUB2.5 | HUB | ASSEMBLY | 3503-H2.5AI | OTHER | OUTER RING APPEARANCE CHECK TABLE MACHINE | OUTER RING APPEARANCE CHECK TABLE MACHINE | NOT_SPECIFIED</v>
      </c>
      <c r="X586" s="24" t="str">
        <f t="shared" si="68"/>
        <v/>
      </c>
      <c r="Y586" s="24" t="str">
        <f t="shared" si="69"/>
        <v>MISSING_STATUS; CATEGORY_NOT_USEFUL</v>
      </c>
    </row>
    <row r="587" spans="1:25" x14ac:dyDescent="0.3">
      <c r="A587" s="24" t="str">
        <f t="shared" si="63"/>
        <v>CH-1041#0586</v>
      </c>
      <c r="B587" s="24" t="str">
        <f>IF('query (2)'!B587="","",TRIM(UPPER('query (2)'!B587)))</f>
        <v>CH-1041</v>
      </c>
      <c r="C587" s="25" t="str">
        <f>IF('query (2)'!B587="","",'query (2)'!B587)</f>
        <v>CH-1041</v>
      </c>
      <c r="D587" s="24" t="str">
        <f t="shared" si="64"/>
        <v>CH</v>
      </c>
      <c r="E587" s="24">
        <f t="shared" si="65"/>
        <v>1</v>
      </c>
      <c r="F587" s="24">
        <f>IF('query (2)'!A587="","",IFERROR(VALUE('query (2)'!A587),""))</f>
        <v>605</v>
      </c>
      <c r="G587" s="24" t="str">
        <f>IF('query (2)'!C587="","UNKNOWN",IFERROR(INDEX(Cleaning_Rules!$B$15:$B$20,MATCH(TRIM(UPPER('query (2)'!C587)),Cleaning_Rules!$A$15:$A$20,0)),"UNKNOWN"))</f>
        <v>FACTORY3</v>
      </c>
      <c r="H587" s="25" t="str">
        <f>IF('query (2)'!C587="","",'query (2)'!C587)</f>
        <v>FACTORY3</v>
      </c>
      <c r="I587" s="24" t="str" cm="1">
        <f t="array" ref="I587">_xlfn.IFS($G587="UNKNOWN","UNKNOWN",OR($G587="FACTORY1",$G587="FACTORY2",$G587="FACTORY3"),"PLANT",TRUE,"SHARED")</f>
        <v>PLANT</v>
      </c>
      <c r="J587" s="24" t="str">
        <f>IF('query (2)'!D587="","UNKNOWN",IF(COUNTIF(Cleaning_Rules!$A$6:$A$11,TRIM('query (2)'!D587))&gt;0,"UNKNOWN",IFERROR(INDEX(Cleaning_Rules!$B$24:$B$28,MATCH(TRIM(UPPER('query (2)'!D587)),Cleaning_Rules!$A$24:$A$28,0)),TRIM(UPPER('query (2)'!D587)))))</f>
        <v>HUB2.5</v>
      </c>
      <c r="K587" s="25" t="str">
        <f>IF('query (2)'!D587="","",'query (2)'!D587)</f>
        <v>HUB2.5</v>
      </c>
      <c r="L587" s="24" t="str">
        <f>IF($J587="UNKNOWN","",_xlfn.TEXTBEFORE($J587,{"0","1","2","3","4","5","6","7","8","9"," ","-","."},1,,,$J587))</f>
        <v>HUB</v>
      </c>
      <c r="M587" s="24" t="str">
        <f>IF('query (2)'!I587&lt;&gt;"",TRIM(UPPER('query (2)'!I587)),IF($L587="","UNKNOWN",$L587))</f>
        <v>HUB</v>
      </c>
      <c r="N587" s="24" t="str">
        <f>IF('query (2)'!I587&lt;&gt;"","SOURCE",IF($L587="","UNKNOWN","DERIVED"))</f>
        <v>SOURCE</v>
      </c>
      <c r="O587" s="24" t="str">
        <f>IF('query (2)'!E587="","NOT_SPECIFIED",TRIM(UPPER('query (2)'!E587)))</f>
        <v>GRINDING 2</v>
      </c>
      <c r="P587" s="24" t="str">
        <f>IF('query (2)'!F587="","",TRIM(UPPER('query (2)'!F587)))</f>
        <v>3502-H2.5G</v>
      </c>
      <c r="Q587" s="24" t="str">
        <f>IF('query (2)'!G587="","UNKNOWN",IFERROR(INDEX(Cleaning_Rules!$B$38:$B$46,MATCH(TRIM(UPPER('query (2)'!G587)),Cleaning_Rules!$A$38:$A$46,0)),"UNKNOWN"))</f>
        <v>OTHER</v>
      </c>
      <c r="R587" s="24" t="str">
        <f>IF('query (2)'!H587="","",TRIM(UPPER('query (2)'!H587)))</f>
        <v>OUTSIDE &amp; RACEWAY INSPECTION MACHINE</v>
      </c>
      <c r="S587" s="25" t="str">
        <f>IF('query (2)'!H587="","",'query (2)'!H587)</f>
        <v>Outside &amp; raceway inspection machine</v>
      </c>
      <c r="T587" s="24" t="str">
        <f>IF('query (2)'!J587="","",TRIM(UPPER('query (2)'!J587)))</f>
        <v>OUTSIDE &amp; RACEWAY INSPECTION MACHINE</v>
      </c>
      <c r="U587" s="24" t="str">
        <f t="shared" si="66"/>
        <v/>
      </c>
      <c r="V587" s="24" t="str">
        <f>IF('query (2)'!K587="","NOT_SPECIFIED",IFERROR(INDEX(Cleaning_Rules!$B$32:$B$34,MATCH(TRIM(UPPER('query (2)'!K587)),Cleaning_Rules!$A$32:$A$34,0)),"UNKNOWN"))</f>
        <v>NOT_SPECIFIED</v>
      </c>
      <c r="W587" s="24" t="str">
        <f t="shared" si="67"/>
        <v>CH-1041 | FACTORY3 | HUB2.5 | HUB | GRINDING 2 | 3502-H2.5G | OTHER | OUTSIDE &amp; RACEWAY INSPECTION MACHINE | OUTSIDE &amp; RACEWAY INSPECTION MACHINE | NOT_SPECIFIED</v>
      </c>
      <c r="X587" s="24" t="str">
        <f t="shared" si="68"/>
        <v/>
      </c>
      <c r="Y587" s="24" t="str">
        <f t="shared" si="69"/>
        <v>MISSING_STATUS; CATEGORY_NOT_USEFUL</v>
      </c>
    </row>
    <row r="588" spans="1:25" x14ac:dyDescent="0.3">
      <c r="A588" s="24" t="str">
        <f t="shared" si="63"/>
        <v>AS-1042#0587</v>
      </c>
      <c r="B588" s="24" t="str">
        <f>IF('query (2)'!B588="","",TRIM(UPPER('query (2)'!B588)))</f>
        <v>AS-1042</v>
      </c>
      <c r="C588" s="25" t="str">
        <f>IF('query (2)'!B588="","",'query (2)'!B588)</f>
        <v>AS-1042</v>
      </c>
      <c r="D588" s="24" t="str">
        <f t="shared" si="64"/>
        <v>AS</v>
      </c>
      <c r="E588" s="24">
        <f t="shared" si="65"/>
        <v>1</v>
      </c>
      <c r="F588" s="24">
        <f>IF('query (2)'!A588="","",IFERROR(VALUE('query (2)'!A588),""))</f>
        <v>606</v>
      </c>
      <c r="G588" s="24" t="str">
        <f>IF('query (2)'!C588="","UNKNOWN",IFERROR(INDEX(Cleaning_Rules!$B$15:$B$20,MATCH(TRIM(UPPER('query (2)'!C588)),Cleaning_Rules!$A$15:$A$20,0)),"UNKNOWN"))</f>
        <v>FACTORY3</v>
      </c>
      <c r="H588" s="25" t="str">
        <f>IF('query (2)'!C588="","",'query (2)'!C588)</f>
        <v>FACTORY3</v>
      </c>
      <c r="I588" s="24" t="str" cm="1">
        <f t="array" ref="I588">_xlfn.IFS($G588="UNKNOWN","UNKNOWN",OR($G588="FACTORY1",$G588="FACTORY2",$G588="FACTORY3"),"PLANT",TRUE,"SHARED")</f>
        <v>PLANT</v>
      </c>
      <c r="J588" s="24" t="str">
        <f>IF('query (2)'!D588="","UNKNOWN",IF(COUNTIF(Cleaning_Rules!$A$6:$A$11,TRIM('query (2)'!D588))&gt;0,"UNKNOWN",IFERROR(INDEX(Cleaning_Rules!$B$24:$B$28,MATCH(TRIM(UPPER('query (2)'!D588)),Cleaning_Rules!$A$24:$A$28,0)),TRIM(UPPER('query (2)'!D588)))))</f>
        <v>HUB2.5</v>
      </c>
      <c r="K588" s="25" t="str">
        <f>IF('query (2)'!D588="","",'query (2)'!D588)</f>
        <v>HUB2.5</v>
      </c>
      <c r="L588" s="24" t="str">
        <f>IF($J588="UNKNOWN","",_xlfn.TEXTBEFORE($J588,{"0","1","2","3","4","5","6","7","8","9"," ","-","."},1,,,$J588))</f>
        <v>HUB</v>
      </c>
      <c r="M588" s="24" t="str">
        <f>IF('query (2)'!I588&lt;&gt;"",TRIM(UPPER('query (2)'!I588)),IF($L588="","UNKNOWN",$L588))</f>
        <v>HUB</v>
      </c>
      <c r="N588" s="24" t="str">
        <f>IF('query (2)'!I588&lt;&gt;"","SOURCE",IF($L588="","UNKNOWN","DERIVED"))</f>
        <v>SOURCE</v>
      </c>
      <c r="O588" s="24" t="str">
        <f>IF('query (2)'!E588="","NOT_SPECIFIED",TRIM(UPPER('query (2)'!E588)))</f>
        <v>ASSEMBLY</v>
      </c>
      <c r="P588" s="24" t="str">
        <f>IF('query (2)'!F588="","",TRIM(UPPER('query (2)'!F588)))</f>
        <v>3503-H2.5AI</v>
      </c>
      <c r="Q588" s="24" t="str">
        <f>IF('query (2)'!G588="","UNKNOWN",IFERROR(INDEX(Cleaning_Rules!$B$38:$B$46,MATCH(TRIM(UPPER('query (2)'!G588)),Cleaning_Rules!$A$38:$A$46,0)),"UNKNOWN"))</f>
        <v>OTHER</v>
      </c>
      <c r="R588" s="24" t="str">
        <f>IF('query (2)'!H588="","",TRIM(UPPER('query (2)'!H588)))</f>
        <v>SELECTION MACHINE</v>
      </c>
      <c r="S588" s="25" t="str">
        <f>IF('query (2)'!H588="","",'query (2)'!H588)</f>
        <v>Selection machine</v>
      </c>
      <c r="T588" s="24" t="str">
        <f>IF('query (2)'!J588="","",TRIM(UPPER('query (2)'!J588)))</f>
        <v>SELECTION MACHINE</v>
      </c>
      <c r="U588" s="24" t="str">
        <f t="shared" si="66"/>
        <v/>
      </c>
      <c r="V588" s="24" t="str">
        <f>IF('query (2)'!K588="","NOT_SPECIFIED",IFERROR(INDEX(Cleaning_Rules!$B$32:$B$34,MATCH(TRIM(UPPER('query (2)'!K588)),Cleaning_Rules!$A$32:$A$34,0)),"UNKNOWN"))</f>
        <v>NOT_SPECIFIED</v>
      </c>
      <c r="W588" s="24" t="str">
        <f t="shared" si="67"/>
        <v>AS-1042 | FACTORY3 | HUB2.5 | HUB | ASSEMBLY | 3503-H2.5AI | OTHER | SELECTION MACHINE | SELECTION MACHINE | NOT_SPECIFIED</v>
      </c>
      <c r="X588" s="24" t="str">
        <f t="shared" si="68"/>
        <v/>
      </c>
      <c r="Y588" s="24" t="str">
        <f t="shared" si="69"/>
        <v>MISSING_STATUS; CATEGORY_NOT_USEFUL</v>
      </c>
    </row>
    <row r="589" spans="1:25" x14ac:dyDescent="0.3">
      <c r="A589" s="24" t="str">
        <f t="shared" si="63"/>
        <v>CH-1043#0588</v>
      </c>
      <c r="B589" s="24" t="str">
        <f>IF('query (2)'!B589="","",TRIM(UPPER('query (2)'!B589)))</f>
        <v>CH-1043</v>
      </c>
      <c r="C589" s="25" t="str">
        <f>IF('query (2)'!B589="","",'query (2)'!B589)</f>
        <v>CH-1043</v>
      </c>
      <c r="D589" s="24" t="str">
        <f t="shared" si="64"/>
        <v>CH</v>
      </c>
      <c r="E589" s="24">
        <f t="shared" si="65"/>
        <v>1</v>
      </c>
      <c r="F589" s="24">
        <f>IF('query (2)'!A589="","",IFERROR(VALUE('query (2)'!A589),""))</f>
        <v>607</v>
      </c>
      <c r="G589" s="24" t="str">
        <f>IF('query (2)'!C589="","UNKNOWN",IFERROR(INDEX(Cleaning_Rules!$B$15:$B$20,MATCH(TRIM(UPPER('query (2)'!C589)),Cleaning_Rules!$A$15:$A$20,0)),"UNKNOWN"))</f>
        <v>FACTORY3</v>
      </c>
      <c r="H589" s="25" t="str">
        <f>IF('query (2)'!C589="","",'query (2)'!C589)</f>
        <v>FACTORY3</v>
      </c>
      <c r="I589" s="24" t="str" cm="1">
        <f t="array" ref="I589">_xlfn.IFS($G589="UNKNOWN","UNKNOWN",OR($G589="FACTORY1",$G589="FACTORY2",$G589="FACTORY3"),"PLANT",TRUE,"SHARED")</f>
        <v>PLANT</v>
      </c>
      <c r="J589" s="24" t="str">
        <f>IF('query (2)'!D589="","UNKNOWN",IF(COUNTIF(Cleaning_Rules!$A$6:$A$11,TRIM('query (2)'!D589))&gt;0,"UNKNOWN",IFERROR(INDEX(Cleaning_Rules!$B$24:$B$28,MATCH(TRIM(UPPER('query (2)'!D589)),Cleaning_Rules!$A$24:$A$28,0)),TRIM(UPPER('query (2)'!D589)))))</f>
        <v>HUB2.5</v>
      </c>
      <c r="K589" s="25" t="str">
        <f>IF('query (2)'!D589="","",'query (2)'!D589)</f>
        <v>HUB2.5</v>
      </c>
      <c r="L589" s="24" t="str">
        <f>IF($J589="UNKNOWN","",_xlfn.TEXTBEFORE($J589,{"0","1","2","3","4","5","6","7","8","9"," ","-","."},1,,,$J589))</f>
        <v>HUB</v>
      </c>
      <c r="M589" s="24" t="str">
        <f>IF('query (2)'!I589&lt;&gt;"",TRIM(UPPER('query (2)'!I589)),IF($L589="","UNKNOWN",$L589))</f>
        <v>HUB</v>
      </c>
      <c r="N589" s="24" t="str">
        <f>IF('query (2)'!I589&lt;&gt;"","SOURCE",IF($L589="","UNKNOWN","DERIVED"))</f>
        <v>SOURCE</v>
      </c>
      <c r="O589" s="24" t="str">
        <f>IF('query (2)'!E589="","NOT_SPECIFIED",TRIM(UPPER('query (2)'!E589)))</f>
        <v>ASSEMBLY</v>
      </c>
      <c r="P589" s="24" t="str">
        <f>IF('query (2)'!F589="","",TRIM(UPPER('query (2)'!F589)))</f>
        <v>3503-H2.5AI</v>
      </c>
      <c r="Q589" s="24" t="str">
        <f>IF('query (2)'!G589="","UNKNOWN",IFERROR(INDEX(Cleaning_Rules!$B$38:$B$46,MATCH(TRIM(UPPER('query (2)'!G589)),Cleaning_Rules!$A$38:$A$46,0)),"UNKNOWN"))</f>
        <v>OTHER</v>
      </c>
      <c r="R589" s="24" t="str">
        <f>IF('query (2)'!H589="","",TRIM(UPPER('query (2)'!H589)))</f>
        <v>BCD SIZE INSPECTION MACHINE</v>
      </c>
      <c r="S589" s="25" t="str">
        <f>IF('query (2)'!H589="","",'query (2)'!H589)</f>
        <v>BCD Size inspection machine</v>
      </c>
      <c r="T589" s="24" t="str">
        <f>IF('query (2)'!J589="","",TRIM(UPPER('query (2)'!J589)))</f>
        <v>BCD SIZE INSPECTION MACHINE</v>
      </c>
      <c r="U589" s="24" t="str">
        <f t="shared" si="66"/>
        <v/>
      </c>
      <c r="V589" s="24" t="str">
        <f>IF('query (2)'!K589="","NOT_SPECIFIED",IFERROR(INDEX(Cleaning_Rules!$B$32:$B$34,MATCH(TRIM(UPPER('query (2)'!K589)),Cleaning_Rules!$A$32:$A$34,0)),"UNKNOWN"))</f>
        <v>NOT_SPECIFIED</v>
      </c>
      <c r="W589" s="24" t="str">
        <f t="shared" si="67"/>
        <v>CH-1043 | FACTORY3 | HUB2.5 | HUB | ASSEMBLY | 3503-H2.5AI | OTHER | BCD SIZE INSPECTION MACHINE | BCD SIZE INSPECTION MACHINE | NOT_SPECIFIED</v>
      </c>
      <c r="X589" s="24" t="str">
        <f t="shared" si="68"/>
        <v/>
      </c>
      <c r="Y589" s="24" t="str">
        <f t="shared" si="69"/>
        <v>MISSING_STATUS; CATEGORY_NOT_USEFUL</v>
      </c>
    </row>
    <row r="590" spans="1:25" x14ac:dyDescent="0.3">
      <c r="A590" s="24" t="str">
        <f t="shared" si="63"/>
        <v>AS-1044#0589</v>
      </c>
      <c r="B590" s="24" t="str">
        <f>IF('query (2)'!B590="","",TRIM(UPPER('query (2)'!B590)))</f>
        <v>AS-1044</v>
      </c>
      <c r="C590" s="25" t="str">
        <f>IF('query (2)'!B590="","",'query (2)'!B590)</f>
        <v>AS-1044</v>
      </c>
      <c r="D590" s="24" t="str">
        <f t="shared" si="64"/>
        <v>AS</v>
      </c>
      <c r="E590" s="24">
        <f t="shared" si="65"/>
        <v>1</v>
      </c>
      <c r="F590" s="24">
        <f>IF('query (2)'!A590="","",IFERROR(VALUE('query (2)'!A590),""))</f>
        <v>608</v>
      </c>
      <c r="G590" s="24" t="str">
        <f>IF('query (2)'!C590="","UNKNOWN",IFERROR(INDEX(Cleaning_Rules!$B$15:$B$20,MATCH(TRIM(UPPER('query (2)'!C590)),Cleaning_Rules!$A$15:$A$20,0)),"UNKNOWN"))</f>
        <v>FACTORY3</v>
      </c>
      <c r="H590" s="25" t="str">
        <f>IF('query (2)'!C590="","",'query (2)'!C590)</f>
        <v>FACTORY3</v>
      </c>
      <c r="I590" s="24" t="str" cm="1">
        <f t="array" ref="I590">_xlfn.IFS($G590="UNKNOWN","UNKNOWN",OR($G590="FACTORY1",$G590="FACTORY2",$G590="FACTORY3"),"PLANT",TRUE,"SHARED")</f>
        <v>PLANT</v>
      </c>
      <c r="J590" s="24" t="str">
        <f>IF('query (2)'!D590="","UNKNOWN",IF(COUNTIF(Cleaning_Rules!$A$6:$A$11,TRIM('query (2)'!D590))&gt;0,"UNKNOWN",IFERROR(INDEX(Cleaning_Rules!$B$24:$B$28,MATCH(TRIM(UPPER('query (2)'!D590)),Cleaning_Rules!$A$24:$A$28,0)),TRIM(UPPER('query (2)'!D590)))))</f>
        <v>HUB2.5</v>
      </c>
      <c r="K590" s="25" t="str">
        <f>IF('query (2)'!D590="","",'query (2)'!D590)</f>
        <v>HUB2.5</v>
      </c>
      <c r="L590" s="24" t="str">
        <f>IF($J590="UNKNOWN","",_xlfn.TEXTBEFORE($J590,{"0","1","2","3","4","5","6","7","8","9"," ","-","."},1,,,$J590))</f>
        <v>HUB</v>
      </c>
      <c r="M590" s="24" t="str">
        <f>IF('query (2)'!I590&lt;&gt;"",TRIM(UPPER('query (2)'!I590)),IF($L590="","UNKNOWN",$L590))</f>
        <v>HUB</v>
      </c>
      <c r="N590" s="24" t="str">
        <f>IF('query (2)'!I590&lt;&gt;"","SOURCE",IF($L590="","UNKNOWN","DERIVED"))</f>
        <v>SOURCE</v>
      </c>
      <c r="O590" s="24" t="str">
        <f>IF('query (2)'!E590="","NOT_SPECIFIED",TRIM(UPPER('query (2)'!E590)))</f>
        <v>ASSEMBLY</v>
      </c>
      <c r="P590" s="24" t="str">
        <f>IF('query (2)'!F590="","",TRIM(UPPER('query (2)'!F590)))</f>
        <v>3503-H2.5AI</v>
      </c>
      <c r="Q590" s="24" t="str">
        <f>IF('query (2)'!G590="","UNKNOWN",IFERROR(INDEX(Cleaning_Rules!$B$38:$B$46,MATCH(TRIM(UPPER('query (2)'!G590)),Cleaning_Rules!$A$38:$A$46,0)),"UNKNOWN"))</f>
        <v>OTHER</v>
      </c>
      <c r="R590" s="24" t="str">
        <f>IF('query (2)'!H590="","",TRIM(UPPER('query (2)'!H590)))</f>
        <v>AXIAL CLEARANCE INSPECTION MACHINE</v>
      </c>
      <c r="S590" s="25" t="str">
        <f>IF('query (2)'!H590="","",'query (2)'!H590)</f>
        <v>Axial clearance inspection machine</v>
      </c>
      <c r="T590" s="24" t="str">
        <f>IF('query (2)'!J590="","",TRIM(UPPER('query (2)'!J590)))</f>
        <v>AXIAL CLEARANCE INSPECTION MACHINE</v>
      </c>
      <c r="U590" s="24" t="str">
        <f t="shared" si="66"/>
        <v/>
      </c>
      <c r="V590" s="24" t="str">
        <f>IF('query (2)'!K590="","NOT_SPECIFIED",IFERROR(INDEX(Cleaning_Rules!$B$32:$B$34,MATCH(TRIM(UPPER('query (2)'!K590)),Cleaning_Rules!$A$32:$A$34,0)),"UNKNOWN"))</f>
        <v>NOT_SPECIFIED</v>
      </c>
      <c r="W590" s="24" t="str">
        <f t="shared" si="67"/>
        <v>AS-1044 | FACTORY3 | HUB2.5 | HUB | ASSEMBLY | 3503-H2.5AI | OTHER | AXIAL CLEARANCE INSPECTION MACHINE | AXIAL CLEARANCE INSPECTION MACHINE | NOT_SPECIFIED</v>
      </c>
      <c r="X590" s="24" t="str">
        <f t="shared" si="68"/>
        <v/>
      </c>
      <c r="Y590" s="24" t="str">
        <f t="shared" si="69"/>
        <v>MISSING_STATUS; CATEGORY_NOT_USEFUL</v>
      </c>
    </row>
    <row r="591" spans="1:25" x14ac:dyDescent="0.3">
      <c r="A591" s="24" t="str">
        <f t="shared" si="63"/>
        <v>AS-1045#0590</v>
      </c>
      <c r="B591" s="24" t="str">
        <f>IF('query (2)'!B591="","",TRIM(UPPER('query (2)'!B591)))</f>
        <v>AS-1045</v>
      </c>
      <c r="C591" s="25" t="str">
        <f>IF('query (2)'!B591="","",'query (2)'!B591)</f>
        <v>AS-1045</v>
      </c>
      <c r="D591" s="24" t="str">
        <f t="shared" si="64"/>
        <v>AS</v>
      </c>
      <c r="E591" s="24">
        <f t="shared" si="65"/>
        <v>1</v>
      </c>
      <c r="F591" s="24">
        <f>IF('query (2)'!A591="","",IFERROR(VALUE('query (2)'!A591),""))</f>
        <v>609</v>
      </c>
      <c r="G591" s="24" t="str">
        <f>IF('query (2)'!C591="","UNKNOWN",IFERROR(INDEX(Cleaning_Rules!$B$15:$B$20,MATCH(TRIM(UPPER('query (2)'!C591)),Cleaning_Rules!$A$15:$A$20,0)),"UNKNOWN"))</f>
        <v>FACTORY3</v>
      </c>
      <c r="H591" s="25" t="str">
        <f>IF('query (2)'!C591="","",'query (2)'!C591)</f>
        <v>FACTORY3</v>
      </c>
      <c r="I591" s="24" t="str" cm="1">
        <f t="array" ref="I591">_xlfn.IFS($G591="UNKNOWN","UNKNOWN",OR($G591="FACTORY1",$G591="FACTORY2",$G591="FACTORY3"),"PLANT",TRUE,"SHARED")</f>
        <v>PLANT</v>
      </c>
      <c r="J591" s="24" t="str">
        <f>IF('query (2)'!D591="","UNKNOWN",IF(COUNTIF(Cleaning_Rules!$A$6:$A$11,TRIM('query (2)'!D591))&gt;0,"UNKNOWN",IFERROR(INDEX(Cleaning_Rules!$B$24:$B$28,MATCH(TRIM(UPPER('query (2)'!D591)),Cleaning_Rules!$A$24:$A$28,0)),TRIM(UPPER('query (2)'!D591)))))</f>
        <v>HUB2.5</v>
      </c>
      <c r="K591" s="25" t="str">
        <f>IF('query (2)'!D591="","",'query (2)'!D591)</f>
        <v>HUB2.5</v>
      </c>
      <c r="L591" s="24" t="str">
        <f>IF($J591="UNKNOWN","",_xlfn.TEXTBEFORE($J591,{"0","1","2","3","4","5","6","7","8","9"," ","-","."},1,,,$J591))</f>
        <v>HUB</v>
      </c>
      <c r="M591" s="24" t="str">
        <f>IF('query (2)'!I591&lt;&gt;"",TRIM(UPPER('query (2)'!I591)),IF($L591="","UNKNOWN",$L591))</f>
        <v>HUB</v>
      </c>
      <c r="N591" s="24" t="str">
        <f>IF('query (2)'!I591&lt;&gt;"","SOURCE",IF($L591="","UNKNOWN","DERIVED"))</f>
        <v>SOURCE</v>
      </c>
      <c r="O591" s="24" t="str">
        <f>IF('query (2)'!E591="","NOT_SPECIFIED",TRIM(UPPER('query (2)'!E591)))</f>
        <v>ASSEMBLY</v>
      </c>
      <c r="P591" s="24" t="str">
        <f>IF('query (2)'!F591="","",TRIM(UPPER('query (2)'!F591)))</f>
        <v>3503-H2.5AI</v>
      </c>
      <c r="Q591" s="24" t="str">
        <f>IF('query (2)'!G591="","UNKNOWN",IFERROR(INDEX(Cleaning_Rules!$B$38:$B$46,MATCH(TRIM(UPPER('query (2)'!G591)),Cleaning_Rules!$A$38:$A$46,0)),"UNKNOWN"))</f>
        <v>OTHER</v>
      </c>
      <c r="R591" s="24" t="str">
        <f>IF('query (2)'!H591="","",TRIM(UPPER('query (2)'!H591)))</f>
        <v>GREASE INJECTION MACHINE</v>
      </c>
      <c r="S591" s="25" t="str">
        <f>IF('query (2)'!H591="","",'query (2)'!H591)</f>
        <v>Grease injection machine</v>
      </c>
      <c r="T591" s="24" t="str">
        <f>IF('query (2)'!J591="","",TRIM(UPPER('query (2)'!J591)))</f>
        <v>GREASE INJECTION MACHINE</v>
      </c>
      <c r="U591" s="24" t="str">
        <f t="shared" si="66"/>
        <v/>
      </c>
      <c r="V591" s="24" t="str">
        <f>IF('query (2)'!K591="","NOT_SPECIFIED",IFERROR(INDEX(Cleaning_Rules!$B$32:$B$34,MATCH(TRIM(UPPER('query (2)'!K591)),Cleaning_Rules!$A$32:$A$34,0)),"UNKNOWN"))</f>
        <v>NOT_SPECIFIED</v>
      </c>
      <c r="W591" s="24" t="str">
        <f t="shared" si="67"/>
        <v>AS-1045 | FACTORY3 | HUB2.5 | HUB | ASSEMBLY | 3503-H2.5AI | OTHER | GREASE INJECTION MACHINE | GREASE INJECTION MACHINE | NOT_SPECIFIED</v>
      </c>
      <c r="X591" s="24" t="str">
        <f t="shared" si="68"/>
        <v/>
      </c>
      <c r="Y591" s="24" t="str">
        <f t="shared" si="69"/>
        <v>MISSING_STATUS; CATEGORY_NOT_USEFUL</v>
      </c>
    </row>
    <row r="592" spans="1:25" x14ac:dyDescent="0.3">
      <c r="A592" s="24" t="str">
        <f t="shared" si="63"/>
        <v>AS-1046#0591</v>
      </c>
      <c r="B592" s="24" t="str">
        <f>IF('query (2)'!B592="","",TRIM(UPPER('query (2)'!B592)))</f>
        <v>AS-1046</v>
      </c>
      <c r="C592" s="25" t="str">
        <f>IF('query (2)'!B592="","",'query (2)'!B592)</f>
        <v>AS-1046</v>
      </c>
      <c r="D592" s="24" t="str">
        <f t="shared" si="64"/>
        <v>AS</v>
      </c>
      <c r="E592" s="24">
        <f t="shared" si="65"/>
        <v>1</v>
      </c>
      <c r="F592" s="24">
        <f>IF('query (2)'!A592="","",IFERROR(VALUE('query (2)'!A592),""))</f>
        <v>610</v>
      </c>
      <c r="G592" s="24" t="str">
        <f>IF('query (2)'!C592="","UNKNOWN",IFERROR(INDEX(Cleaning_Rules!$B$15:$B$20,MATCH(TRIM(UPPER('query (2)'!C592)),Cleaning_Rules!$A$15:$A$20,0)),"UNKNOWN"))</f>
        <v>FACTORY3</v>
      </c>
      <c r="H592" s="25" t="str">
        <f>IF('query (2)'!C592="","",'query (2)'!C592)</f>
        <v>FACTORY3</v>
      </c>
      <c r="I592" s="24" t="str" cm="1">
        <f t="array" ref="I592">_xlfn.IFS($G592="UNKNOWN","UNKNOWN",OR($G592="FACTORY1",$G592="FACTORY2",$G592="FACTORY3"),"PLANT",TRUE,"SHARED")</f>
        <v>PLANT</v>
      </c>
      <c r="J592" s="24" t="str">
        <f>IF('query (2)'!D592="","UNKNOWN",IF(COUNTIF(Cleaning_Rules!$A$6:$A$11,TRIM('query (2)'!D592))&gt;0,"UNKNOWN",IFERROR(INDEX(Cleaning_Rules!$B$24:$B$28,MATCH(TRIM(UPPER('query (2)'!D592)),Cleaning_Rules!$A$24:$A$28,0)),TRIM(UPPER('query (2)'!D592)))))</f>
        <v>HUB2.5</v>
      </c>
      <c r="K592" s="25" t="str">
        <f>IF('query (2)'!D592="","",'query (2)'!D592)</f>
        <v>HUB2.5</v>
      </c>
      <c r="L592" s="24" t="str">
        <f>IF($J592="UNKNOWN","",_xlfn.TEXTBEFORE($J592,{"0","1","2","3","4","5","6","7","8","9"," ","-","."},1,,,$J592))</f>
        <v>HUB</v>
      </c>
      <c r="M592" s="24" t="str">
        <f>IF('query (2)'!I592&lt;&gt;"",TRIM(UPPER('query (2)'!I592)),IF($L592="","UNKNOWN",$L592))</f>
        <v>HUB</v>
      </c>
      <c r="N592" s="24" t="str">
        <f>IF('query (2)'!I592&lt;&gt;"","SOURCE",IF($L592="","UNKNOWN","DERIVED"))</f>
        <v>SOURCE</v>
      </c>
      <c r="O592" s="24" t="str">
        <f>IF('query (2)'!E592="","NOT_SPECIFIED",TRIM(UPPER('query (2)'!E592)))</f>
        <v>ASSEMBLY</v>
      </c>
      <c r="P592" s="24" t="str">
        <f>IF('query (2)'!F592="","",TRIM(UPPER('query (2)'!F592)))</f>
        <v>3503-H2.5AI</v>
      </c>
      <c r="Q592" s="24" t="str">
        <f>IF('query (2)'!G592="","UNKNOWN",IFERROR(INDEX(Cleaning_Rules!$B$38:$B$46,MATCH(TRIM(UPPER('query (2)'!G592)),Cleaning_Rules!$A$38:$A$46,0)),"UNKNOWN"))</f>
        <v>OTHER</v>
      </c>
      <c r="R592" s="24" t="str">
        <f>IF('query (2)'!H592="","",TRIM(UPPER('query (2)'!H592)))</f>
        <v>HIGH INTEGRAL SEAL PRESS &amp; INSPECTION MACHINE</v>
      </c>
      <c r="S592" s="25" t="str">
        <f>IF('query (2)'!H592="","",'query (2)'!H592)</f>
        <v>High integral seal press &amp; inspection machine</v>
      </c>
      <c r="T592" s="24" t="str">
        <f>IF('query (2)'!J592="","",TRIM(UPPER('query (2)'!J592)))</f>
        <v>HIGH INTEGRAL SEAL PRESS &amp; INSPECTION MACHINE</v>
      </c>
      <c r="U592" s="24" t="str">
        <f t="shared" si="66"/>
        <v/>
      </c>
      <c r="V592" s="24" t="str">
        <f>IF('query (2)'!K592="","NOT_SPECIFIED",IFERROR(INDEX(Cleaning_Rules!$B$32:$B$34,MATCH(TRIM(UPPER('query (2)'!K592)),Cleaning_Rules!$A$32:$A$34,0)),"UNKNOWN"))</f>
        <v>NOT_SPECIFIED</v>
      </c>
      <c r="W592" s="24" t="str">
        <f t="shared" si="67"/>
        <v>AS-1046 | FACTORY3 | HUB2.5 | HUB | ASSEMBLY | 3503-H2.5AI | OTHER | HIGH INTEGRAL SEAL PRESS &amp; INSPECTION MACHINE | HIGH INTEGRAL SEAL PRESS &amp; INSPECTION MACHINE | NOT_SPECIFIED</v>
      </c>
      <c r="X592" s="24" t="str">
        <f t="shared" si="68"/>
        <v/>
      </c>
      <c r="Y592" s="24" t="str">
        <f t="shared" si="69"/>
        <v>MISSING_STATUS; CATEGORY_NOT_USEFUL</v>
      </c>
    </row>
    <row r="593" spans="1:25" x14ac:dyDescent="0.3">
      <c r="A593" s="24" t="str">
        <f t="shared" si="63"/>
        <v>AS-1047#0592</v>
      </c>
      <c r="B593" s="24" t="str">
        <f>IF('query (2)'!B593="","",TRIM(UPPER('query (2)'!B593)))</f>
        <v>AS-1047</v>
      </c>
      <c r="C593" s="25" t="str">
        <f>IF('query (2)'!B593="","",'query (2)'!B593)</f>
        <v>AS-1047</v>
      </c>
      <c r="D593" s="24" t="str">
        <f t="shared" si="64"/>
        <v>AS</v>
      </c>
      <c r="E593" s="24">
        <f t="shared" si="65"/>
        <v>1</v>
      </c>
      <c r="F593" s="24">
        <f>IF('query (2)'!A593="","",IFERROR(VALUE('query (2)'!A593),""))</f>
        <v>611</v>
      </c>
      <c r="G593" s="24" t="str">
        <f>IF('query (2)'!C593="","UNKNOWN",IFERROR(INDEX(Cleaning_Rules!$B$15:$B$20,MATCH(TRIM(UPPER('query (2)'!C593)),Cleaning_Rules!$A$15:$A$20,0)),"UNKNOWN"))</f>
        <v>FACTORY3</v>
      </c>
      <c r="H593" s="25" t="str">
        <f>IF('query (2)'!C593="","",'query (2)'!C593)</f>
        <v>FACTORY3</v>
      </c>
      <c r="I593" s="24" t="str" cm="1">
        <f t="array" ref="I593">_xlfn.IFS($G593="UNKNOWN","UNKNOWN",OR($G593="FACTORY1",$G593="FACTORY2",$G593="FACTORY3"),"PLANT",TRUE,"SHARED")</f>
        <v>PLANT</v>
      </c>
      <c r="J593" s="24" t="str">
        <f>IF('query (2)'!D593="","UNKNOWN",IF(COUNTIF(Cleaning_Rules!$A$6:$A$11,TRIM('query (2)'!D593))&gt;0,"UNKNOWN",IFERROR(INDEX(Cleaning_Rules!$B$24:$B$28,MATCH(TRIM(UPPER('query (2)'!D593)),Cleaning_Rules!$A$24:$A$28,0)),TRIM(UPPER('query (2)'!D593)))))</f>
        <v>HUB2.5</v>
      </c>
      <c r="K593" s="25" t="str">
        <f>IF('query (2)'!D593="","",'query (2)'!D593)</f>
        <v>HUB2.5</v>
      </c>
      <c r="L593" s="24" t="str">
        <f>IF($J593="UNKNOWN","",_xlfn.TEXTBEFORE($J593,{"0","1","2","3","4","5","6","7","8","9"," ","-","."},1,,,$J593))</f>
        <v>HUB</v>
      </c>
      <c r="M593" s="24" t="str">
        <f>IF('query (2)'!I593&lt;&gt;"",TRIM(UPPER('query (2)'!I593)),IF($L593="","UNKNOWN",$L593))</f>
        <v>HUB</v>
      </c>
      <c r="N593" s="24" t="str">
        <f>IF('query (2)'!I593&lt;&gt;"","SOURCE",IF($L593="","UNKNOWN","DERIVED"))</f>
        <v>SOURCE</v>
      </c>
      <c r="O593" s="24" t="str">
        <f>IF('query (2)'!E593="","NOT_SPECIFIED",TRIM(UPPER('query (2)'!E593)))</f>
        <v>ASSEMBLY</v>
      </c>
      <c r="P593" s="24" t="str">
        <f>IF('query (2)'!F593="","",TRIM(UPPER('query (2)'!F593)))</f>
        <v>3503-H2.5AI</v>
      </c>
      <c r="Q593" s="24" t="str">
        <f>IF('query (2)'!G593="","UNKNOWN",IFERROR(INDEX(Cleaning_Rules!$B$38:$B$46,MATCH(TRIM(UPPER('query (2)'!G593)),Cleaning_Rules!$A$38:$A$46,0)),"UNKNOWN"))</f>
        <v>OTHER</v>
      </c>
      <c r="R593" s="24" t="str">
        <f>IF('query (2)'!H593="","",TRIM(UPPER('query (2)'!H593)))</f>
        <v>EXTERIOR SEAL PRESS &amp; INSPECTION MACHINE</v>
      </c>
      <c r="S593" s="25" t="str">
        <f>IF('query (2)'!H593="","",'query (2)'!H593)</f>
        <v>Exterior seal press &amp; inspection machine</v>
      </c>
      <c r="T593" s="24" t="str">
        <f>IF('query (2)'!J593="","",TRIM(UPPER('query (2)'!J593)))</f>
        <v>EXTERIOR SEAL PRESS &amp; INSPECTION MACHINE</v>
      </c>
      <c r="U593" s="24" t="str">
        <f t="shared" si="66"/>
        <v/>
      </c>
      <c r="V593" s="24" t="str">
        <f>IF('query (2)'!K593="","NOT_SPECIFIED",IFERROR(INDEX(Cleaning_Rules!$B$32:$B$34,MATCH(TRIM(UPPER('query (2)'!K593)),Cleaning_Rules!$A$32:$A$34,0)),"UNKNOWN"))</f>
        <v>NOT_SPECIFIED</v>
      </c>
      <c r="W593" s="24" t="str">
        <f t="shared" si="67"/>
        <v>AS-1047 | FACTORY3 | HUB2.5 | HUB | ASSEMBLY | 3503-H2.5AI | OTHER | EXTERIOR SEAL PRESS &amp; INSPECTION MACHINE | EXTERIOR SEAL PRESS &amp; INSPECTION MACHINE | NOT_SPECIFIED</v>
      </c>
      <c r="X593" s="24" t="str">
        <f t="shared" si="68"/>
        <v/>
      </c>
      <c r="Y593" s="24" t="str">
        <f t="shared" si="69"/>
        <v>MISSING_STATUS; CATEGORY_NOT_USEFUL</v>
      </c>
    </row>
    <row r="594" spans="1:25" x14ac:dyDescent="0.3">
      <c r="A594" s="24" t="str">
        <f t="shared" si="63"/>
        <v>CH-1048#0593</v>
      </c>
      <c r="B594" s="24" t="str">
        <f>IF('query (2)'!B594="","",TRIM(UPPER('query (2)'!B594)))</f>
        <v>CH-1048</v>
      </c>
      <c r="C594" s="25" t="str">
        <f>IF('query (2)'!B594="","",'query (2)'!B594)</f>
        <v>CH-1048</v>
      </c>
      <c r="D594" s="24" t="str">
        <f t="shared" si="64"/>
        <v>CH</v>
      </c>
      <c r="E594" s="24">
        <f t="shared" si="65"/>
        <v>1</v>
      </c>
      <c r="F594" s="24">
        <f>IF('query (2)'!A594="","",IFERROR(VALUE('query (2)'!A594),""))</f>
        <v>612</v>
      </c>
      <c r="G594" s="24" t="str">
        <f>IF('query (2)'!C594="","UNKNOWN",IFERROR(INDEX(Cleaning_Rules!$B$15:$B$20,MATCH(TRIM(UPPER('query (2)'!C594)),Cleaning_Rules!$A$15:$A$20,0)),"UNKNOWN"))</f>
        <v>FACTORY3</v>
      </c>
      <c r="H594" s="25" t="str">
        <f>IF('query (2)'!C594="","",'query (2)'!C594)</f>
        <v>FACTORY3</v>
      </c>
      <c r="I594" s="24" t="str" cm="1">
        <f t="array" ref="I594">_xlfn.IFS($G594="UNKNOWN","UNKNOWN",OR($G594="FACTORY1",$G594="FACTORY2",$G594="FACTORY3"),"PLANT",TRUE,"SHARED")</f>
        <v>PLANT</v>
      </c>
      <c r="J594" s="24" t="str">
        <f>IF('query (2)'!D594="","UNKNOWN",IF(COUNTIF(Cleaning_Rules!$A$6:$A$11,TRIM('query (2)'!D594))&gt;0,"UNKNOWN",IFERROR(INDEX(Cleaning_Rules!$B$24:$B$28,MATCH(TRIM(UPPER('query (2)'!D594)),Cleaning_Rules!$A$24:$A$28,0)),TRIM(UPPER('query (2)'!D594)))))</f>
        <v>HUB2.5</v>
      </c>
      <c r="K594" s="25" t="str">
        <f>IF('query (2)'!D594="","",'query (2)'!D594)</f>
        <v>HUB2.5</v>
      </c>
      <c r="L594" s="24" t="str">
        <f>IF($J594="UNKNOWN","",_xlfn.TEXTBEFORE($J594,{"0","1","2","3","4","5","6","7","8","9"," ","-","."},1,,,$J594))</f>
        <v>HUB</v>
      </c>
      <c r="M594" s="24" t="str">
        <f>IF('query (2)'!I594&lt;&gt;"",TRIM(UPPER('query (2)'!I594)),IF($L594="","UNKNOWN",$L594))</f>
        <v>HUB</v>
      </c>
      <c r="N594" s="24" t="str">
        <f>IF('query (2)'!I594&lt;&gt;"","SOURCE",IF($L594="","UNKNOWN","DERIVED"))</f>
        <v>SOURCE</v>
      </c>
      <c r="O594" s="24" t="str">
        <f>IF('query (2)'!E594="","NOT_SPECIFIED",TRIM(UPPER('query (2)'!E594)))</f>
        <v>ASSEMBLY</v>
      </c>
      <c r="P594" s="24" t="str">
        <f>IF('query (2)'!F594="","",TRIM(UPPER('query (2)'!F594)))</f>
        <v>3503-H2.5AI</v>
      </c>
      <c r="Q594" s="24" t="str">
        <f>IF('query (2)'!G594="","UNKNOWN",IFERROR(INDEX(Cleaning_Rules!$B$38:$B$46,MATCH(TRIM(UPPER('query (2)'!G594)),Cleaning_Rules!$A$38:$A$46,0)),"UNKNOWN"))</f>
        <v>OTHER</v>
      </c>
      <c r="R594" s="24" t="str">
        <f>IF('query (2)'!H594="","",TRIM(UPPER('query (2)'!H594)))</f>
        <v>HUB2 APPERANCE CHECK TABLE MACHINE</v>
      </c>
      <c r="S594" s="25" t="str">
        <f>IF('query (2)'!H594="","",'query (2)'!H594)</f>
        <v>HUB2 Apperance check table machine</v>
      </c>
      <c r="T594" s="24" t="str">
        <f>IF('query (2)'!J594="","",TRIM(UPPER('query (2)'!J594)))</f>
        <v>HUB2 APPERANCE CHECK TABLE MACHINE</v>
      </c>
      <c r="U594" s="24" t="str">
        <f t="shared" si="66"/>
        <v/>
      </c>
      <c r="V594" s="24" t="str">
        <f>IF('query (2)'!K594="","NOT_SPECIFIED",IFERROR(INDEX(Cleaning_Rules!$B$32:$B$34,MATCH(TRIM(UPPER('query (2)'!K594)),Cleaning_Rules!$A$32:$A$34,0)),"UNKNOWN"))</f>
        <v>NOT_SPECIFIED</v>
      </c>
      <c r="W594" s="24" t="str">
        <f t="shared" si="67"/>
        <v>CH-1048 | FACTORY3 | HUB2.5 | HUB | ASSEMBLY | 3503-H2.5AI | OTHER | HUB2 APPERANCE CHECK TABLE MACHINE | HUB2 APPERANCE CHECK TABLE MACHINE | NOT_SPECIFIED</v>
      </c>
      <c r="X594" s="24" t="str">
        <f t="shared" si="68"/>
        <v/>
      </c>
      <c r="Y594" s="24" t="str">
        <f t="shared" si="69"/>
        <v>MISSING_STATUS; CATEGORY_NOT_USEFUL</v>
      </c>
    </row>
    <row r="595" spans="1:25" x14ac:dyDescent="0.3">
      <c r="A595" s="24" t="str">
        <f t="shared" si="63"/>
        <v>SU-1049#0594</v>
      </c>
      <c r="B595" s="24" t="str">
        <f>IF('query (2)'!B595="","",TRIM(UPPER('query (2)'!B595)))</f>
        <v>SU-1049</v>
      </c>
      <c r="C595" s="25" t="str">
        <f>IF('query (2)'!B595="","",'query (2)'!B595)</f>
        <v>SU-1049</v>
      </c>
      <c r="D595" s="24" t="str">
        <f t="shared" si="64"/>
        <v>SU</v>
      </c>
      <c r="E595" s="24">
        <f t="shared" si="65"/>
        <v>1</v>
      </c>
      <c r="F595" s="24">
        <f>IF('query (2)'!A595="","",IFERROR(VALUE('query (2)'!A595),""))</f>
        <v>613</v>
      </c>
      <c r="G595" s="24" t="str">
        <f>IF('query (2)'!C595="","UNKNOWN",IFERROR(INDEX(Cleaning_Rules!$B$15:$B$20,MATCH(TRIM(UPPER('query (2)'!C595)),Cleaning_Rules!$A$15:$A$20,0)),"UNKNOWN"))</f>
        <v>FACTORY3</v>
      </c>
      <c r="H595" s="25" t="str">
        <f>IF('query (2)'!C595="","",'query (2)'!C595)</f>
        <v>FACTORY3</v>
      </c>
      <c r="I595" s="24" t="str" cm="1">
        <f t="array" ref="I595">_xlfn.IFS($G595="UNKNOWN","UNKNOWN",OR($G595="FACTORY1",$G595="FACTORY2",$G595="FACTORY3"),"PLANT",TRUE,"SHARED")</f>
        <v>PLANT</v>
      </c>
      <c r="J595" s="24" t="str">
        <f>IF('query (2)'!D595="","UNKNOWN",IF(COUNTIF(Cleaning_Rules!$A$6:$A$11,TRIM('query (2)'!D595))&gt;0,"UNKNOWN",IFERROR(INDEX(Cleaning_Rules!$B$24:$B$28,MATCH(TRIM(UPPER('query (2)'!D595)),Cleaning_Rules!$A$24:$A$28,0)),TRIM(UPPER('query (2)'!D595)))))</f>
        <v>HUB2.5</v>
      </c>
      <c r="K595" s="25" t="str">
        <f>IF('query (2)'!D595="","",'query (2)'!D595)</f>
        <v>HUB2.5</v>
      </c>
      <c r="L595" s="24" t="str">
        <f>IF($J595="UNKNOWN","",_xlfn.TEXTBEFORE($J595,{"0","1","2","3","4","5","6","7","8","9"," ","-","."},1,,,$J595))</f>
        <v>HUB</v>
      </c>
      <c r="M595" s="24" t="str">
        <f>IF('query (2)'!I595&lt;&gt;"",TRIM(UPPER('query (2)'!I595)),IF($L595="","UNKNOWN",$L595))</f>
        <v>HUB</v>
      </c>
      <c r="N595" s="24" t="str">
        <f>IF('query (2)'!I595&lt;&gt;"","SOURCE",IF($L595="","UNKNOWN","DERIVED"))</f>
        <v>SOURCE</v>
      </c>
      <c r="O595" s="24" t="str">
        <f>IF('query (2)'!E595="","NOT_SPECIFIED",TRIM(UPPER('query (2)'!E595)))</f>
        <v>GRINDING 2</v>
      </c>
      <c r="P595" s="24" t="str">
        <f>IF('query (2)'!F595="","",TRIM(UPPER('query (2)'!F595)))</f>
        <v>3502-H2.5G</v>
      </c>
      <c r="Q595" s="24" t="str">
        <f>IF('query (2)'!G595="","UNKNOWN",IFERROR(INDEX(Cleaning_Rules!$B$38:$B$46,MATCH(TRIM(UPPER('query (2)'!G595)),Cleaning_Rules!$A$38:$A$46,0)),"UNKNOWN"))</f>
        <v>OTHER</v>
      </c>
      <c r="R595" s="24" t="str">
        <f>IF('query (2)'!H595="","",TRIM(UPPER('query (2)'!H595)))</f>
        <v>INNER RING FEEDER</v>
      </c>
      <c r="S595" s="25" t="str">
        <f>IF('query (2)'!H595="","",'query (2)'!H595)</f>
        <v>Inner ring feeder</v>
      </c>
      <c r="T595" s="24" t="str">
        <f>IF('query (2)'!J595="","",TRIM(UPPER('query (2)'!J595)))</f>
        <v>INNER RING FEEDER</v>
      </c>
      <c r="U595" s="24" t="str">
        <f t="shared" si="66"/>
        <v/>
      </c>
      <c r="V595" s="24" t="str">
        <f>IF('query (2)'!K595="","NOT_SPECIFIED",IFERROR(INDEX(Cleaning_Rules!$B$32:$B$34,MATCH(TRIM(UPPER('query (2)'!K595)),Cleaning_Rules!$A$32:$A$34,0)),"UNKNOWN"))</f>
        <v>NOT_SPECIFIED</v>
      </c>
      <c r="W595" s="24" t="str">
        <f t="shared" si="67"/>
        <v>SU-1049 | FACTORY3 | HUB2.5 | HUB | GRINDING 2 | 3502-H2.5G | OTHER | INNER RING FEEDER | INNER RING FEEDER | NOT_SPECIFIED</v>
      </c>
      <c r="X595" s="24" t="str">
        <f t="shared" si="68"/>
        <v/>
      </c>
      <c r="Y595" s="24" t="str">
        <f t="shared" si="69"/>
        <v>MISSING_STATUS; CATEGORY_NOT_USEFUL</v>
      </c>
    </row>
    <row r="596" spans="1:25" x14ac:dyDescent="0.3">
      <c r="A596" s="24" t="str">
        <f t="shared" si="63"/>
        <v>L-1050#0595</v>
      </c>
      <c r="B596" s="24" t="str">
        <f>IF('query (2)'!B596="","",TRIM(UPPER('query (2)'!B596)))</f>
        <v>L-1050</v>
      </c>
      <c r="C596" s="25" t="str">
        <f>IF('query (2)'!B596="","",'query (2)'!B596)</f>
        <v>L-1050</v>
      </c>
      <c r="D596" s="24" t="str">
        <f t="shared" si="64"/>
        <v>L</v>
      </c>
      <c r="E596" s="24">
        <f t="shared" si="65"/>
        <v>1</v>
      </c>
      <c r="F596" s="24">
        <f>IF('query (2)'!A596="","",IFERROR(VALUE('query (2)'!A596),""))</f>
        <v>614</v>
      </c>
      <c r="G596" s="24" t="str">
        <f>IF('query (2)'!C596="","UNKNOWN",IFERROR(INDEX(Cleaning_Rules!$B$15:$B$20,MATCH(TRIM(UPPER('query (2)'!C596)),Cleaning_Rules!$A$15:$A$20,0)),"UNKNOWN"))</f>
        <v>FACTORY3</v>
      </c>
      <c r="H596" s="25" t="str">
        <f>IF('query (2)'!C596="","",'query (2)'!C596)</f>
        <v>FACTORY3</v>
      </c>
      <c r="I596" s="24" t="str" cm="1">
        <f t="array" ref="I596">_xlfn.IFS($G596="UNKNOWN","UNKNOWN",OR($G596="FACTORY1",$G596="FACTORY2",$G596="FACTORY3"),"PLANT",TRUE,"SHARED")</f>
        <v>PLANT</v>
      </c>
      <c r="J596" s="24" t="str">
        <f>IF('query (2)'!D596="","UNKNOWN",IF(COUNTIF(Cleaning_Rules!$A$6:$A$11,TRIM('query (2)'!D596))&gt;0,"UNKNOWN",IFERROR(INDEX(Cleaning_Rules!$B$24:$B$28,MATCH(TRIM(UPPER('query (2)'!D596)),Cleaning_Rules!$A$24:$A$28,0)),TRIM(UPPER('query (2)'!D596)))))</f>
        <v>HUB2.5</v>
      </c>
      <c r="K596" s="25" t="str">
        <f>IF('query (2)'!D596="","",'query (2)'!D596)</f>
        <v>HUB2.5</v>
      </c>
      <c r="L596" s="24" t="str">
        <f>IF($J596="UNKNOWN","",_xlfn.TEXTBEFORE($J596,{"0","1","2","3","4","5","6","7","8","9"," ","-","."},1,,,$J596))</f>
        <v>HUB</v>
      </c>
      <c r="M596" s="24" t="str">
        <f>IF('query (2)'!I596&lt;&gt;"",TRIM(UPPER('query (2)'!I596)),IF($L596="","UNKNOWN",$L596))</f>
        <v>HUB</v>
      </c>
      <c r="N596" s="24" t="str">
        <f>IF('query (2)'!I596&lt;&gt;"","SOURCE",IF($L596="","UNKNOWN","DERIVED"))</f>
        <v>SOURCE</v>
      </c>
      <c r="O596" s="24" t="str">
        <f>IF('query (2)'!E596="","NOT_SPECIFIED",TRIM(UPPER('query (2)'!E596)))</f>
        <v>GRINDING 2</v>
      </c>
      <c r="P596" s="24" t="str">
        <f>IF('query (2)'!F596="","",TRIM(UPPER('query (2)'!F596)))</f>
        <v>3502-H2.5G</v>
      </c>
      <c r="Q596" s="24" t="str">
        <f>IF('query (2)'!G596="","UNKNOWN",IFERROR(INDEX(Cleaning_Rules!$B$38:$B$46,MATCH(TRIM(UPPER('query (2)'!G596)),Cleaning_Rules!$A$38:$A$46,0)),"UNKNOWN"))</f>
        <v>OTHER</v>
      </c>
      <c r="R596" s="24" t="str">
        <f>IF('query (2)'!H596="","",TRIM(UPPER('query (2)'!H596)))</f>
        <v>FS4 TYPE NC LATHE M/C</v>
      </c>
      <c r="S596" s="25" t="str">
        <f>IF('query (2)'!H596="","",'query (2)'!H596)</f>
        <v>FS4 Type NC lathe  m/c</v>
      </c>
      <c r="T596" s="24" t="str">
        <f>IF('query (2)'!J596="","",TRIM(UPPER('query (2)'!J596)))</f>
        <v>FS4 TYPE NC LATHE M/C</v>
      </c>
      <c r="U596" s="24" t="str">
        <f t="shared" si="66"/>
        <v/>
      </c>
      <c r="V596" s="24" t="str">
        <f>IF('query (2)'!K596="","NOT_SPECIFIED",IFERROR(INDEX(Cleaning_Rules!$B$32:$B$34,MATCH(TRIM(UPPER('query (2)'!K596)),Cleaning_Rules!$A$32:$A$34,0)),"UNKNOWN"))</f>
        <v>NOT_SPECIFIED</v>
      </c>
      <c r="W596" s="24" t="str">
        <f t="shared" si="67"/>
        <v>L-1050 | FACTORY3 | HUB2.5 | HUB | GRINDING 2 | 3502-H2.5G | OTHER | FS4 TYPE NC LATHE M/C | FS4 TYPE NC LATHE M/C | NOT_SPECIFIED</v>
      </c>
      <c r="X596" s="24" t="str">
        <f t="shared" si="68"/>
        <v/>
      </c>
      <c r="Y596" s="24" t="str">
        <f t="shared" si="69"/>
        <v>MISSING_STATUS; CATEGORY_NOT_USEFUL</v>
      </c>
    </row>
    <row r="597" spans="1:25" x14ac:dyDescent="0.3">
      <c r="A597" s="24" t="str">
        <f t="shared" si="63"/>
        <v>GR-1051#0596</v>
      </c>
      <c r="B597" s="24" t="str">
        <f>IF('query (2)'!B597="","",TRIM(UPPER('query (2)'!B597)))</f>
        <v>GR-1051</v>
      </c>
      <c r="C597" s="25" t="str">
        <f>IF('query (2)'!B597="","",'query (2)'!B597)</f>
        <v>GR-1051</v>
      </c>
      <c r="D597" s="24" t="str">
        <f t="shared" si="64"/>
        <v>GR</v>
      </c>
      <c r="E597" s="24">
        <f t="shared" si="65"/>
        <v>1</v>
      </c>
      <c r="F597" s="24">
        <f>IF('query (2)'!A597="","",IFERROR(VALUE('query (2)'!A597),""))</f>
        <v>615</v>
      </c>
      <c r="G597" s="24" t="str">
        <f>IF('query (2)'!C597="","UNKNOWN",IFERROR(INDEX(Cleaning_Rules!$B$15:$B$20,MATCH(TRIM(UPPER('query (2)'!C597)),Cleaning_Rules!$A$15:$A$20,0)),"UNKNOWN"))</f>
        <v>FACTORY3</v>
      </c>
      <c r="H597" s="25" t="str">
        <f>IF('query (2)'!C597="","",'query (2)'!C597)</f>
        <v>FACTORY3</v>
      </c>
      <c r="I597" s="24" t="str" cm="1">
        <f t="array" ref="I597">_xlfn.IFS($G597="UNKNOWN","UNKNOWN",OR($G597="FACTORY1",$G597="FACTORY2",$G597="FACTORY3"),"PLANT",TRUE,"SHARED")</f>
        <v>PLANT</v>
      </c>
      <c r="J597" s="24" t="str">
        <f>IF('query (2)'!D597="","UNKNOWN",IF(COUNTIF(Cleaning_Rules!$A$6:$A$11,TRIM('query (2)'!D597))&gt;0,"UNKNOWN",IFERROR(INDEX(Cleaning_Rules!$B$24:$B$28,MATCH(TRIM(UPPER('query (2)'!D597)),Cleaning_Rules!$A$24:$A$28,0)),TRIM(UPPER('query (2)'!D597)))))</f>
        <v>HUB2.5</v>
      </c>
      <c r="K597" s="25" t="str">
        <f>IF('query (2)'!D597="","",'query (2)'!D597)</f>
        <v>HUB2.5</v>
      </c>
      <c r="L597" s="24" t="str">
        <f>IF($J597="UNKNOWN","",_xlfn.TEXTBEFORE($J597,{"0","1","2","3","4","5","6","7","8","9"," ","-","."},1,,,$J597))</f>
        <v>HUB</v>
      </c>
      <c r="M597" s="24" t="str">
        <f>IF('query (2)'!I597&lt;&gt;"",TRIM(UPPER('query (2)'!I597)),IF($L597="","UNKNOWN",$L597))</f>
        <v>HUB</v>
      </c>
      <c r="N597" s="24" t="str">
        <f>IF('query (2)'!I597&lt;&gt;"","SOURCE",IF($L597="","UNKNOWN","DERIVED"))</f>
        <v>SOURCE</v>
      </c>
      <c r="O597" s="24" t="str">
        <f>IF('query (2)'!E597="","NOT_SPECIFIED",TRIM(UPPER('query (2)'!E597)))</f>
        <v>GRINDING 2</v>
      </c>
      <c r="P597" s="24" t="str">
        <f>IF('query (2)'!F597="","",TRIM(UPPER('query (2)'!F597)))</f>
        <v>3502-H2.5G</v>
      </c>
      <c r="Q597" s="24" t="str">
        <f>IF('query (2)'!G597="","UNKNOWN",IFERROR(INDEX(Cleaning_Rules!$B$38:$B$46,MATCH(TRIM(UPPER('query (2)'!G597)),Cleaning_Rules!$A$38:$A$46,0)),"UNKNOWN"))</f>
        <v>OTHER</v>
      </c>
      <c r="R597" s="24" t="str">
        <f>IF('query (2)'!H597="","",TRIM(UPPER('query (2)'!H597)))</f>
        <v>INNER RING RACEWAY GRINDING MACHINE</v>
      </c>
      <c r="S597" s="25" t="str">
        <f>IF('query (2)'!H597="","",'query (2)'!H597)</f>
        <v>Inner ring raceway grinding machine</v>
      </c>
      <c r="T597" s="24" t="str">
        <f>IF('query (2)'!J597="","",TRIM(UPPER('query (2)'!J597)))</f>
        <v>B - RACEWAY GRINDING</v>
      </c>
      <c r="U597" s="24" t="str">
        <f t="shared" si="66"/>
        <v/>
      </c>
      <c r="V597" s="24" t="str">
        <f>IF('query (2)'!K597="","NOT_SPECIFIED",IFERROR(INDEX(Cleaning_Rules!$B$32:$B$34,MATCH(TRIM(UPPER('query (2)'!K597)),Cleaning_Rules!$A$32:$A$34,0)),"UNKNOWN"))</f>
        <v>NOT_SPECIFIED</v>
      </c>
      <c r="W597" s="24" t="str">
        <f t="shared" si="67"/>
        <v>GR-1051 | FACTORY3 | HUB2.5 | HUB | GRINDING 2 | 3502-H2.5G | OTHER | INNER RING RACEWAY GRINDING MACHINE | B - RACEWAY GRINDING | NOT_SPECIFIED</v>
      </c>
      <c r="X597" s="24" t="str">
        <f t="shared" si="68"/>
        <v/>
      </c>
      <c r="Y597" s="24" t="str">
        <f t="shared" si="69"/>
        <v>MISSING_STATUS; CATEGORY_NOT_USEFUL</v>
      </c>
    </row>
    <row r="598" spans="1:25" x14ac:dyDescent="0.3">
      <c r="A598" s="24" t="str">
        <f t="shared" si="63"/>
        <v>GR-1052#0597</v>
      </c>
      <c r="B598" s="24" t="str">
        <f>IF('query (2)'!B598="","",TRIM(UPPER('query (2)'!B598)))</f>
        <v>GR-1052</v>
      </c>
      <c r="C598" s="25" t="str">
        <f>IF('query (2)'!B598="","",'query (2)'!B598)</f>
        <v>GR-1052</v>
      </c>
      <c r="D598" s="24" t="str">
        <f t="shared" si="64"/>
        <v>GR</v>
      </c>
      <c r="E598" s="24">
        <f t="shared" si="65"/>
        <v>1</v>
      </c>
      <c r="F598" s="24">
        <f>IF('query (2)'!A598="","",IFERROR(VALUE('query (2)'!A598),""))</f>
        <v>616</v>
      </c>
      <c r="G598" s="24" t="str">
        <f>IF('query (2)'!C598="","UNKNOWN",IFERROR(INDEX(Cleaning_Rules!$B$15:$B$20,MATCH(TRIM(UPPER('query (2)'!C598)),Cleaning_Rules!$A$15:$A$20,0)),"UNKNOWN"))</f>
        <v>FACTORY3</v>
      </c>
      <c r="H598" s="25" t="str">
        <f>IF('query (2)'!C598="","",'query (2)'!C598)</f>
        <v>FACTORY3</v>
      </c>
      <c r="I598" s="24" t="str" cm="1">
        <f t="array" ref="I598">_xlfn.IFS($G598="UNKNOWN","UNKNOWN",OR($G598="FACTORY1",$G598="FACTORY2",$G598="FACTORY3"),"PLANT",TRUE,"SHARED")</f>
        <v>PLANT</v>
      </c>
      <c r="J598" s="24" t="str">
        <f>IF('query (2)'!D598="","UNKNOWN",IF(COUNTIF(Cleaning_Rules!$A$6:$A$11,TRIM('query (2)'!D598))&gt;0,"UNKNOWN",IFERROR(INDEX(Cleaning_Rules!$B$24:$B$28,MATCH(TRIM(UPPER('query (2)'!D598)),Cleaning_Rules!$A$24:$A$28,0)),TRIM(UPPER('query (2)'!D598)))))</f>
        <v>HUB2.5</v>
      </c>
      <c r="K598" s="25" t="str">
        <f>IF('query (2)'!D598="","",'query (2)'!D598)</f>
        <v>HUB2.5</v>
      </c>
      <c r="L598" s="24" t="str">
        <f>IF($J598="UNKNOWN","",_xlfn.TEXTBEFORE($J598,{"0","1","2","3","4","5","6","7","8","9"," ","-","."},1,,,$J598))</f>
        <v>HUB</v>
      </c>
      <c r="M598" s="24" t="str">
        <f>IF('query (2)'!I598&lt;&gt;"",TRIM(UPPER('query (2)'!I598)),IF($L598="","UNKNOWN",$L598))</f>
        <v>HUB</v>
      </c>
      <c r="N598" s="24" t="str">
        <f>IF('query (2)'!I598&lt;&gt;"","SOURCE",IF($L598="","UNKNOWN","DERIVED"))</f>
        <v>SOURCE</v>
      </c>
      <c r="O598" s="24" t="str">
        <f>IF('query (2)'!E598="","NOT_SPECIFIED",TRIM(UPPER('query (2)'!E598)))</f>
        <v>GRINDING 2</v>
      </c>
      <c r="P598" s="24" t="str">
        <f>IF('query (2)'!F598="","",TRIM(UPPER('query (2)'!F598)))</f>
        <v>3502-H2.5G</v>
      </c>
      <c r="Q598" s="24" t="str">
        <f>IF('query (2)'!G598="","UNKNOWN",IFERROR(INDEX(Cleaning_Rules!$B$38:$B$46,MATCH(TRIM(UPPER('query (2)'!G598)),Cleaning_Rules!$A$38:$A$46,0)),"UNKNOWN"))</f>
        <v>OTHER</v>
      </c>
      <c r="R598" s="24" t="str">
        <f>IF('query (2)'!H598="","",TRIM(UPPER('query (2)'!H598)))</f>
        <v>INNER RING RIB GRINDING MACHINE</v>
      </c>
      <c r="S598" s="25" t="str">
        <f>IF('query (2)'!H598="","",'query (2)'!H598)</f>
        <v>Inner ring rib grinding machine</v>
      </c>
      <c r="T598" s="24" t="str">
        <f>IF('query (2)'!J598="","",TRIM(UPPER('query (2)'!J598)))</f>
        <v>INNER RING RIB GRINDING MACHINE</v>
      </c>
      <c r="U598" s="24" t="str">
        <f t="shared" si="66"/>
        <v/>
      </c>
      <c r="V598" s="24" t="str">
        <f>IF('query (2)'!K598="","NOT_SPECIFIED",IFERROR(INDEX(Cleaning_Rules!$B$32:$B$34,MATCH(TRIM(UPPER('query (2)'!K598)),Cleaning_Rules!$A$32:$A$34,0)),"UNKNOWN"))</f>
        <v>NOT_SPECIFIED</v>
      </c>
      <c r="W598" s="24" t="str">
        <f t="shared" si="67"/>
        <v>GR-1052 | FACTORY3 | HUB2.5 | HUB | GRINDING 2 | 3502-H2.5G | OTHER | INNER RING RIB GRINDING MACHINE | INNER RING RIB GRINDING MACHINE | NOT_SPECIFIED</v>
      </c>
      <c r="X598" s="24" t="str">
        <f t="shared" si="68"/>
        <v/>
      </c>
      <c r="Y598" s="24" t="str">
        <f t="shared" si="69"/>
        <v>MISSING_STATUS; CATEGORY_NOT_USEFUL</v>
      </c>
    </row>
    <row r="599" spans="1:25" x14ac:dyDescent="0.3">
      <c r="A599" s="24" t="str">
        <f t="shared" si="63"/>
        <v>GR-984#0598</v>
      </c>
      <c r="B599" s="24" t="str">
        <f>IF('query (2)'!B599="","",TRIM(UPPER('query (2)'!B599)))</f>
        <v>GR-984</v>
      </c>
      <c r="C599" s="25" t="str">
        <f>IF('query (2)'!B599="","",'query (2)'!B599)</f>
        <v>GR-984</v>
      </c>
      <c r="D599" s="24" t="str">
        <f t="shared" si="64"/>
        <v>GR</v>
      </c>
      <c r="E599" s="24">
        <f t="shared" si="65"/>
        <v>1</v>
      </c>
      <c r="F599" s="24">
        <f>IF('query (2)'!A599="","",IFERROR(VALUE('query (2)'!A599),""))</f>
        <v>617</v>
      </c>
      <c r="G599" s="24" t="str">
        <f>IF('query (2)'!C599="","UNKNOWN",IFERROR(INDEX(Cleaning_Rules!$B$15:$B$20,MATCH(TRIM(UPPER('query (2)'!C599)),Cleaning_Rules!$A$15:$A$20,0)),"UNKNOWN"))</f>
        <v>FACTORY3</v>
      </c>
      <c r="H599" s="25" t="str">
        <f>IF('query (2)'!C599="","",'query (2)'!C599)</f>
        <v>FACTORY3</v>
      </c>
      <c r="I599" s="24" t="str" cm="1">
        <f t="array" ref="I599">_xlfn.IFS($G599="UNKNOWN","UNKNOWN",OR($G599="FACTORY1",$G599="FACTORY2",$G599="FACTORY3"),"PLANT",TRUE,"SHARED")</f>
        <v>PLANT</v>
      </c>
      <c r="J599" s="24" t="str">
        <f>IF('query (2)'!D599="","UNKNOWN",IF(COUNTIF(Cleaning_Rules!$A$6:$A$11,TRIM('query (2)'!D599))&gt;0,"UNKNOWN",IFERROR(INDEX(Cleaning_Rules!$B$24:$B$28,MATCH(TRIM(UPPER('query (2)'!D599)),Cleaning_Rules!$A$24:$A$28,0)),TRIM(UPPER('query (2)'!D599)))))</f>
        <v>HUB2.5</v>
      </c>
      <c r="K599" s="25" t="str">
        <f>IF('query (2)'!D599="","",'query (2)'!D599)</f>
        <v>HUB2.5</v>
      </c>
      <c r="L599" s="24" t="str">
        <f>IF($J599="UNKNOWN","",_xlfn.TEXTBEFORE($J599,{"0","1","2","3","4","5","6","7","8","9"," ","-","."},1,,,$J599))</f>
        <v>HUB</v>
      </c>
      <c r="M599" s="24" t="str">
        <f>IF('query (2)'!I599&lt;&gt;"",TRIM(UPPER('query (2)'!I599)),IF($L599="","UNKNOWN",$L599))</f>
        <v>HUB</v>
      </c>
      <c r="N599" s="24" t="str">
        <f>IF('query (2)'!I599&lt;&gt;"","SOURCE",IF($L599="","UNKNOWN","DERIVED"))</f>
        <v>SOURCE</v>
      </c>
      <c r="O599" s="24" t="str">
        <f>IF('query (2)'!E599="","NOT_SPECIFIED",TRIM(UPPER('query (2)'!E599)))</f>
        <v>GRINDING 2</v>
      </c>
      <c r="P599" s="24" t="str">
        <f>IF('query (2)'!F599="","",TRIM(UPPER('query (2)'!F599)))</f>
        <v>3502-H2.5G</v>
      </c>
      <c r="Q599" s="24" t="str">
        <f>IF('query (2)'!G599="","UNKNOWN",IFERROR(INDEX(Cleaning_Rules!$B$38:$B$46,MATCH(TRIM(UPPER('query (2)'!G599)),Cleaning_Rules!$A$38:$A$46,0)),"UNKNOWN"))</f>
        <v>OTHER</v>
      </c>
      <c r="R599" s="24" t="str">
        <f>IF('query (2)'!H599="","",TRIM(UPPER('query (2)'!H599)))</f>
        <v>INNER RING BORE GRINDING MACHINE</v>
      </c>
      <c r="S599" s="25" t="str">
        <f>IF('query (2)'!H599="","",'query (2)'!H599)</f>
        <v>Inner ring bore grinding machine</v>
      </c>
      <c r="T599" s="24" t="str">
        <f>IF('query (2)'!J599="","",TRIM(UPPER('query (2)'!J599)))</f>
        <v>INNER RING BORE GRINDING MACHINE</v>
      </c>
      <c r="U599" s="24" t="str">
        <f t="shared" si="66"/>
        <v/>
      </c>
      <c r="V599" s="24" t="str">
        <f>IF('query (2)'!K599="","NOT_SPECIFIED",IFERROR(INDEX(Cleaning_Rules!$B$32:$B$34,MATCH(TRIM(UPPER('query (2)'!K599)),Cleaning_Rules!$A$32:$A$34,0)),"UNKNOWN"))</f>
        <v>NOT_SPECIFIED</v>
      </c>
      <c r="W599" s="24" t="str">
        <f t="shared" si="67"/>
        <v>GR-984 | FACTORY3 | HUB2.5 | HUB | GRINDING 2 | 3502-H2.5G | OTHER | INNER RING BORE GRINDING MACHINE | INNER RING BORE GRINDING MACHINE | NOT_SPECIFIED</v>
      </c>
      <c r="X599" s="24" t="str">
        <f t="shared" si="68"/>
        <v/>
      </c>
      <c r="Y599" s="24" t="str">
        <f t="shared" si="69"/>
        <v>MISSING_STATUS; CATEGORY_NOT_USEFUL</v>
      </c>
    </row>
    <row r="600" spans="1:25" x14ac:dyDescent="0.3">
      <c r="A600" s="24" t="str">
        <f t="shared" si="63"/>
        <v>GR-1053#0599</v>
      </c>
      <c r="B600" s="24" t="str">
        <f>IF('query (2)'!B600="","",TRIM(UPPER('query (2)'!B600)))</f>
        <v>GR-1053</v>
      </c>
      <c r="C600" s="25" t="str">
        <f>IF('query (2)'!B600="","",'query (2)'!B600)</f>
        <v>GR-1053</v>
      </c>
      <c r="D600" s="24" t="str">
        <f t="shared" si="64"/>
        <v>GR</v>
      </c>
      <c r="E600" s="24">
        <f t="shared" si="65"/>
        <v>1</v>
      </c>
      <c r="F600" s="24">
        <f>IF('query (2)'!A600="","",IFERROR(VALUE('query (2)'!A600),""))</f>
        <v>618</v>
      </c>
      <c r="G600" s="24" t="str">
        <f>IF('query (2)'!C600="","UNKNOWN",IFERROR(INDEX(Cleaning_Rules!$B$15:$B$20,MATCH(TRIM(UPPER('query (2)'!C600)),Cleaning_Rules!$A$15:$A$20,0)),"UNKNOWN"))</f>
        <v>FACTORY3</v>
      </c>
      <c r="H600" s="25" t="str">
        <f>IF('query (2)'!C600="","",'query (2)'!C600)</f>
        <v>FACTORY3</v>
      </c>
      <c r="I600" s="24" t="str" cm="1">
        <f t="array" ref="I600">_xlfn.IFS($G600="UNKNOWN","UNKNOWN",OR($G600="FACTORY1",$G600="FACTORY2",$G600="FACTORY3"),"PLANT",TRUE,"SHARED")</f>
        <v>PLANT</v>
      </c>
      <c r="J600" s="24" t="str">
        <f>IF('query (2)'!D600="","UNKNOWN",IF(COUNTIF(Cleaning_Rules!$A$6:$A$11,TRIM('query (2)'!D600))&gt;0,"UNKNOWN",IFERROR(INDEX(Cleaning_Rules!$B$24:$B$28,MATCH(TRIM(UPPER('query (2)'!D600)),Cleaning_Rules!$A$24:$A$28,0)),TRIM(UPPER('query (2)'!D600)))))</f>
        <v>HUB2.5</v>
      </c>
      <c r="K600" s="25" t="str">
        <f>IF('query (2)'!D600="","",'query (2)'!D600)</f>
        <v>HUB2.5</v>
      </c>
      <c r="L600" s="24" t="str">
        <f>IF($J600="UNKNOWN","",_xlfn.TEXTBEFORE($J600,{"0","1","2","3","4","5","6","7","8","9"," ","-","."},1,,,$J600))</f>
        <v>HUB</v>
      </c>
      <c r="M600" s="24" t="str">
        <f>IF('query (2)'!I600&lt;&gt;"",TRIM(UPPER('query (2)'!I600)),IF($L600="","UNKNOWN",$L600))</f>
        <v>HUB</v>
      </c>
      <c r="N600" s="24" t="str">
        <f>IF('query (2)'!I600&lt;&gt;"","SOURCE",IF($L600="","UNKNOWN","DERIVED"))</f>
        <v>SOURCE</v>
      </c>
      <c r="O600" s="24" t="str">
        <f>IF('query (2)'!E600="","NOT_SPECIFIED",TRIM(UPPER('query (2)'!E600)))</f>
        <v>GRINDING 2</v>
      </c>
      <c r="P600" s="24" t="str">
        <f>IF('query (2)'!F600="","",TRIM(UPPER('query (2)'!F600)))</f>
        <v>3502-H2.5G</v>
      </c>
      <c r="Q600" s="24" t="str">
        <f>IF('query (2)'!G600="","UNKNOWN",IFERROR(INDEX(Cleaning_Rules!$B$38:$B$46,MATCH(TRIM(UPPER('query (2)'!G600)),Cleaning_Rules!$A$38:$A$46,0)),"UNKNOWN"))</f>
        <v>OTHER</v>
      </c>
      <c r="R600" s="24" t="str">
        <f>IF('query (2)'!H600="","",TRIM(UPPER('query (2)'!H600)))</f>
        <v>INNER RACEWAY SUPER FINISHING MACHINE</v>
      </c>
      <c r="S600" s="25" t="str">
        <f>IF('query (2)'!H600="","",'query (2)'!H600)</f>
        <v>Inner raceway super finishing machine</v>
      </c>
      <c r="T600" s="24" t="str">
        <f>IF('query (2)'!J600="","",TRIM(UPPER('query (2)'!J600)))</f>
        <v>INNER RACEWAY SUPER FINISHING MACHINE</v>
      </c>
      <c r="U600" s="24" t="str">
        <f t="shared" si="66"/>
        <v/>
      </c>
      <c r="V600" s="24" t="str">
        <f>IF('query (2)'!K600="","NOT_SPECIFIED",IFERROR(INDEX(Cleaning_Rules!$B$32:$B$34,MATCH(TRIM(UPPER('query (2)'!K600)),Cleaning_Rules!$A$32:$A$34,0)),"UNKNOWN"))</f>
        <v>NOT_SPECIFIED</v>
      </c>
      <c r="W600" s="24" t="str">
        <f t="shared" si="67"/>
        <v>GR-1053 | FACTORY3 | HUB2.5 | HUB | GRINDING 2 | 3502-H2.5G | OTHER | INNER RACEWAY SUPER FINISHING MACHINE | INNER RACEWAY SUPER FINISHING MACHINE | NOT_SPECIFIED</v>
      </c>
      <c r="X600" s="24" t="str">
        <f t="shared" si="68"/>
        <v/>
      </c>
      <c r="Y600" s="24" t="str">
        <f t="shared" si="69"/>
        <v>MISSING_STATUS; CATEGORY_NOT_USEFUL</v>
      </c>
    </row>
    <row r="601" spans="1:25" x14ac:dyDescent="0.3">
      <c r="A601" s="24" t="str">
        <f t="shared" si="63"/>
        <v>CH-1054#0600</v>
      </c>
      <c r="B601" s="24" t="str">
        <f>IF('query (2)'!B601="","",TRIM(UPPER('query (2)'!B601)))</f>
        <v>CH-1054</v>
      </c>
      <c r="C601" s="25" t="str">
        <f>IF('query (2)'!B601="","",'query (2)'!B601)</f>
        <v>CH-1054</v>
      </c>
      <c r="D601" s="24" t="str">
        <f t="shared" si="64"/>
        <v>CH</v>
      </c>
      <c r="E601" s="24">
        <f t="shared" si="65"/>
        <v>1</v>
      </c>
      <c r="F601" s="24">
        <f>IF('query (2)'!A601="","",IFERROR(VALUE('query (2)'!A601),""))</f>
        <v>619</v>
      </c>
      <c r="G601" s="24" t="str">
        <f>IF('query (2)'!C601="","UNKNOWN",IFERROR(INDEX(Cleaning_Rules!$B$15:$B$20,MATCH(TRIM(UPPER('query (2)'!C601)),Cleaning_Rules!$A$15:$A$20,0)),"UNKNOWN"))</f>
        <v>FACTORY3</v>
      </c>
      <c r="H601" s="25" t="str">
        <f>IF('query (2)'!C601="","",'query (2)'!C601)</f>
        <v>FACTORY3</v>
      </c>
      <c r="I601" s="24" t="str" cm="1">
        <f t="array" ref="I601">_xlfn.IFS($G601="UNKNOWN","UNKNOWN",OR($G601="FACTORY1",$G601="FACTORY2",$G601="FACTORY3"),"PLANT",TRUE,"SHARED")</f>
        <v>PLANT</v>
      </c>
      <c r="J601" s="24" t="str">
        <f>IF('query (2)'!D601="","UNKNOWN",IF(COUNTIF(Cleaning_Rules!$A$6:$A$11,TRIM('query (2)'!D601))&gt;0,"UNKNOWN",IFERROR(INDEX(Cleaning_Rules!$B$24:$B$28,MATCH(TRIM(UPPER('query (2)'!D601)),Cleaning_Rules!$A$24:$A$28,0)),TRIM(UPPER('query (2)'!D601)))))</f>
        <v>HUB2.5</v>
      </c>
      <c r="K601" s="25" t="str">
        <f>IF('query (2)'!D601="","",'query (2)'!D601)</f>
        <v>HUB2.5</v>
      </c>
      <c r="L601" s="24" t="str">
        <f>IF($J601="UNKNOWN","",_xlfn.TEXTBEFORE($J601,{"0","1","2","3","4","5","6","7","8","9"," ","-","."},1,,,$J601))</f>
        <v>HUB</v>
      </c>
      <c r="M601" s="24" t="str">
        <f>IF('query (2)'!I601&lt;&gt;"",TRIM(UPPER('query (2)'!I601)),IF($L601="","UNKNOWN",$L601))</f>
        <v>HUB</v>
      </c>
      <c r="N601" s="24" t="str">
        <f>IF('query (2)'!I601&lt;&gt;"","SOURCE",IF($L601="","UNKNOWN","DERIVED"))</f>
        <v>SOURCE</v>
      </c>
      <c r="O601" s="24" t="str">
        <f>IF('query (2)'!E601="","NOT_SPECIFIED",TRIM(UPPER('query (2)'!E601)))</f>
        <v>GRINDING 2</v>
      </c>
      <c r="P601" s="24" t="str">
        <f>IF('query (2)'!F601="","",TRIM(UPPER('query (2)'!F601)))</f>
        <v>3502-H2.5G</v>
      </c>
      <c r="Q601" s="24" t="str">
        <f>IF('query (2)'!G601="","UNKNOWN",IFERROR(INDEX(Cleaning_Rules!$B$38:$B$46,MATCH(TRIM(UPPER('query (2)'!G601)),Cleaning_Rules!$A$38:$A$46,0)),"UNKNOWN"))</f>
        <v>OTHER</v>
      </c>
      <c r="R601" s="24" t="str">
        <f>IF('query (2)'!H601="","",TRIM(UPPER('query (2)'!H601)))</f>
        <v>INNER RING ECT CONVEYOR</v>
      </c>
      <c r="S601" s="25" t="str">
        <f>IF('query (2)'!H601="","",'query (2)'!H601)</f>
        <v>Inner ring ECT conveyor</v>
      </c>
      <c r="T601" s="24" t="str">
        <f>IF('query (2)'!J601="","",TRIM(UPPER('query (2)'!J601)))</f>
        <v>INNER RING ECT CONVEYOR</v>
      </c>
      <c r="U601" s="24" t="str">
        <f t="shared" si="66"/>
        <v/>
      </c>
      <c r="V601" s="24" t="str">
        <f>IF('query (2)'!K601="","NOT_SPECIFIED",IFERROR(INDEX(Cleaning_Rules!$B$32:$B$34,MATCH(TRIM(UPPER('query (2)'!K601)),Cleaning_Rules!$A$32:$A$34,0)),"UNKNOWN"))</f>
        <v>NOT_SPECIFIED</v>
      </c>
      <c r="W601" s="24" t="str">
        <f t="shared" si="67"/>
        <v>CH-1054 | FACTORY3 | HUB2.5 | HUB | GRINDING 2 | 3502-H2.5G | OTHER | INNER RING ECT CONVEYOR | INNER RING ECT CONVEYOR | NOT_SPECIFIED</v>
      </c>
      <c r="X601" s="24" t="str">
        <f t="shared" si="68"/>
        <v/>
      </c>
      <c r="Y601" s="24" t="str">
        <f t="shared" si="69"/>
        <v>MISSING_STATUS; CATEGORY_NOT_USEFUL</v>
      </c>
    </row>
    <row r="602" spans="1:25" x14ac:dyDescent="0.3">
      <c r="A602" s="24" t="str">
        <f t="shared" si="63"/>
        <v>AS-1055#0601</v>
      </c>
      <c r="B602" s="24" t="str">
        <f>IF('query (2)'!B602="","",TRIM(UPPER('query (2)'!B602)))</f>
        <v>AS-1055</v>
      </c>
      <c r="C602" s="25" t="str">
        <f>IF('query (2)'!B602="","",'query (2)'!B602)</f>
        <v>AS-1055</v>
      </c>
      <c r="D602" s="24" t="str">
        <f t="shared" si="64"/>
        <v>AS</v>
      </c>
      <c r="E602" s="24">
        <f t="shared" si="65"/>
        <v>1</v>
      </c>
      <c r="F602" s="24">
        <f>IF('query (2)'!A602="","",IFERROR(VALUE('query (2)'!A602),""))</f>
        <v>620</v>
      </c>
      <c r="G602" s="24" t="str">
        <f>IF('query (2)'!C602="","UNKNOWN",IFERROR(INDEX(Cleaning_Rules!$B$15:$B$20,MATCH(TRIM(UPPER('query (2)'!C602)),Cleaning_Rules!$A$15:$A$20,0)),"UNKNOWN"))</f>
        <v>FACTORY3</v>
      </c>
      <c r="H602" s="25" t="str">
        <f>IF('query (2)'!C602="","",'query (2)'!C602)</f>
        <v>FACTORY3</v>
      </c>
      <c r="I602" s="24" t="str" cm="1">
        <f t="array" ref="I602">_xlfn.IFS($G602="UNKNOWN","UNKNOWN",OR($G602="FACTORY1",$G602="FACTORY2",$G602="FACTORY3"),"PLANT",TRUE,"SHARED")</f>
        <v>PLANT</v>
      </c>
      <c r="J602" s="24" t="str">
        <f>IF('query (2)'!D602="","UNKNOWN",IF(COUNTIF(Cleaning_Rules!$A$6:$A$11,TRIM('query (2)'!D602))&gt;0,"UNKNOWN",IFERROR(INDEX(Cleaning_Rules!$B$24:$B$28,MATCH(TRIM(UPPER('query (2)'!D602)),Cleaning_Rules!$A$24:$A$28,0)),TRIM(UPPER('query (2)'!D602)))))</f>
        <v>HUB2.5</v>
      </c>
      <c r="K602" s="25" t="str">
        <f>IF('query (2)'!D602="","",'query (2)'!D602)</f>
        <v>HUB2.5</v>
      </c>
      <c r="L602" s="24" t="str">
        <f>IF($J602="UNKNOWN","",_xlfn.TEXTBEFORE($J602,{"0","1","2","3","4","5","6","7","8","9"," ","-","."},1,,,$J602))</f>
        <v>HUB</v>
      </c>
      <c r="M602" s="24" t="str">
        <f>IF('query (2)'!I602&lt;&gt;"",TRIM(UPPER('query (2)'!I602)),IF($L602="","UNKNOWN",$L602))</f>
        <v>HUB</v>
      </c>
      <c r="N602" s="24" t="str">
        <f>IF('query (2)'!I602&lt;&gt;"","SOURCE",IF($L602="","UNKNOWN","DERIVED"))</f>
        <v>SOURCE</v>
      </c>
      <c r="O602" s="24" t="str">
        <f>IF('query (2)'!E602="","NOT_SPECIFIED",TRIM(UPPER('query (2)'!E602)))</f>
        <v>ASSEMBLY</v>
      </c>
      <c r="P602" s="24" t="str">
        <f>IF('query (2)'!F602="","",TRIM(UPPER('query (2)'!F602)))</f>
        <v>3503-H2.5AI</v>
      </c>
      <c r="Q602" s="24" t="str">
        <f>IF('query (2)'!G602="","UNKNOWN",IFERROR(INDEX(Cleaning_Rules!$B$38:$B$46,MATCH(TRIM(UPPER('query (2)'!G602)),Cleaning_Rules!$A$38:$A$46,0)),"UNKNOWN"))</f>
        <v>OTHER</v>
      </c>
      <c r="R602" s="24" t="str">
        <f>IF('query (2)'!H602="","",TRIM(UPPER('query (2)'!H602)))</f>
        <v>BCD AUTO ASSEMBLY MACHINE</v>
      </c>
      <c r="S602" s="25" t="str">
        <f>IF('query (2)'!H602="","",'query (2)'!H602)</f>
        <v>BCD Auto assembly machine</v>
      </c>
      <c r="T602" s="24" t="str">
        <f>IF('query (2)'!J602="","",TRIM(UPPER('query (2)'!J602)))</f>
        <v>BCD AUTO ASSEMBLY MACHINE</v>
      </c>
      <c r="U602" s="24" t="str">
        <f t="shared" si="66"/>
        <v/>
      </c>
      <c r="V602" s="24" t="str">
        <f>IF('query (2)'!K602="","NOT_SPECIFIED",IFERROR(INDEX(Cleaning_Rules!$B$32:$B$34,MATCH(TRIM(UPPER('query (2)'!K602)),Cleaning_Rules!$A$32:$A$34,0)),"UNKNOWN"))</f>
        <v>NOT_SPECIFIED</v>
      </c>
      <c r="W602" s="24" t="str">
        <f t="shared" si="67"/>
        <v>AS-1055 | FACTORY3 | HUB2.5 | HUB | ASSEMBLY | 3503-H2.5AI | OTHER | BCD AUTO ASSEMBLY MACHINE | BCD AUTO ASSEMBLY MACHINE | NOT_SPECIFIED</v>
      </c>
      <c r="X602" s="24" t="str">
        <f t="shared" si="68"/>
        <v/>
      </c>
      <c r="Y602" s="24" t="str">
        <f t="shared" si="69"/>
        <v>MISSING_STATUS; CATEGORY_NOT_USEFUL</v>
      </c>
    </row>
    <row r="603" spans="1:25" x14ac:dyDescent="0.3">
      <c r="A603" s="24" t="str">
        <f t="shared" si="63"/>
        <v>WA-1056#0602</v>
      </c>
      <c r="B603" s="24" t="str">
        <f>IF('query (2)'!B603="","",TRIM(UPPER('query (2)'!B603)))</f>
        <v>WA-1056</v>
      </c>
      <c r="C603" s="25" t="str">
        <f>IF('query (2)'!B603="","",'query (2)'!B603)</f>
        <v>WA-1056</v>
      </c>
      <c r="D603" s="24" t="str">
        <f t="shared" si="64"/>
        <v>WA</v>
      </c>
      <c r="E603" s="24">
        <f t="shared" si="65"/>
        <v>1</v>
      </c>
      <c r="F603" s="24">
        <f>IF('query (2)'!A603="","",IFERROR(VALUE('query (2)'!A603),""))</f>
        <v>621</v>
      </c>
      <c r="G603" s="24" t="str">
        <f>IF('query (2)'!C603="","UNKNOWN",IFERROR(INDEX(Cleaning_Rules!$B$15:$B$20,MATCH(TRIM(UPPER('query (2)'!C603)),Cleaning_Rules!$A$15:$A$20,0)),"UNKNOWN"))</f>
        <v>FACTORY3</v>
      </c>
      <c r="H603" s="25" t="str">
        <f>IF('query (2)'!C603="","",'query (2)'!C603)</f>
        <v>FACTORY3</v>
      </c>
      <c r="I603" s="24" t="str" cm="1">
        <f t="array" ref="I603">_xlfn.IFS($G603="UNKNOWN","UNKNOWN",OR($G603="FACTORY1",$G603="FACTORY2",$G603="FACTORY3"),"PLANT",TRUE,"SHARED")</f>
        <v>PLANT</v>
      </c>
      <c r="J603" s="24" t="str">
        <f>IF('query (2)'!D603="","UNKNOWN",IF(COUNTIF(Cleaning_Rules!$A$6:$A$11,TRIM('query (2)'!D603))&gt;0,"UNKNOWN",IFERROR(INDEX(Cleaning_Rules!$B$24:$B$28,MATCH(TRIM(UPPER('query (2)'!D603)),Cleaning_Rules!$A$24:$A$28,0)),TRIM(UPPER('query (2)'!D603)))))</f>
        <v>HUB2.5</v>
      </c>
      <c r="K603" s="25" t="str">
        <f>IF('query (2)'!D603="","",'query (2)'!D603)</f>
        <v>HUB2.5</v>
      </c>
      <c r="L603" s="24" t="str">
        <f>IF($J603="UNKNOWN","",_xlfn.TEXTBEFORE($J603,{"0","1","2","3","4","5","6","7","8","9"," ","-","."},1,,,$J603))</f>
        <v>HUB</v>
      </c>
      <c r="M603" s="24" t="str">
        <f>IF('query (2)'!I603&lt;&gt;"",TRIM(UPPER('query (2)'!I603)),IF($L603="","UNKNOWN",$L603))</f>
        <v>HUB</v>
      </c>
      <c r="N603" s="24" t="str">
        <f>IF('query (2)'!I603&lt;&gt;"","SOURCE",IF($L603="","UNKNOWN","DERIVED"))</f>
        <v>SOURCE</v>
      </c>
      <c r="O603" s="24" t="str">
        <f>IF('query (2)'!E603="","NOT_SPECIFIED",TRIM(UPPER('query (2)'!E603)))</f>
        <v>ASSEMBLY</v>
      </c>
      <c r="P603" s="24" t="str">
        <f>IF('query (2)'!F603="","",TRIM(UPPER('query (2)'!F603)))</f>
        <v>3503-H2.5AI</v>
      </c>
      <c r="Q603" s="24" t="str">
        <f>IF('query (2)'!G603="","UNKNOWN",IFERROR(INDEX(Cleaning_Rules!$B$38:$B$46,MATCH(TRIM(UPPER('query (2)'!G603)),Cleaning_Rules!$A$38:$A$46,0)),"UNKNOWN"))</f>
        <v>OTHER</v>
      </c>
      <c r="R603" s="24" t="str">
        <f>IF('query (2)'!H603="","",TRIM(UPPER('query (2)'!H603)))</f>
        <v>BCD FINISH WASHING MACHINE</v>
      </c>
      <c r="S603" s="25" t="str">
        <f>IF('query (2)'!H603="","",'query (2)'!H603)</f>
        <v>BCD Finish washing machine</v>
      </c>
      <c r="T603" s="24" t="str">
        <f>IF('query (2)'!J603="","",TRIM(UPPER('query (2)'!J603)))</f>
        <v>BCD FINISH WASHING MACHINE</v>
      </c>
      <c r="U603" s="24" t="str">
        <f t="shared" si="66"/>
        <v/>
      </c>
      <c r="V603" s="24" t="str">
        <f>IF('query (2)'!K603="","NOT_SPECIFIED",IFERROR(INDEX(Cleaning_Rules!$B$32:$B$34,MATCH(TRIM(UPPER('query (2)'!K603)),Cleaning_Rules!$A$32:$A$34,0)),"UNKNOWN"))</f>
        <v>NOT_SPECIFIED</v>
      </c>
      <c r="W603" s="24" t="str">
        <f t="shared" si="67"/>
        <v>WA-1056 | FACTORY3 | HUB2.5 | HUB | ASSEMBLY | 3503-H2.5AI | OTHER | BCD FINISH WASHING MACHINE | BCD FINISH WASHING MACHINE | NOT_SPECIFIED</v>
      </c>
      <c r="X603" s="24" t="str">
        <f t="shared" si="68"/>
        <v/>
      </c>
      <c r="Y603" s="24" t="str">
        <f t="shared" si="69"/>
        <v>MISSING_STATUS; CATEGORY_NOT_USEFUL</v>
      </c>
    </row>
    <row r="604" spans="1:25" x14ac:dyDescent="0.3">
      <c r="A604" s="24" t="str">
        <f t="shared" si="63"/>
        <v>CH-1057#0603</v>
      </c>
      <c r="B604" s="24" t="str">
        <f>IF('query (2)'!B604="","",TRIM(UPPER('query (2)'!B604)))</f>
        <v>CH-1057</v>
      </c>
      <c r="C604" s="25" t="str">
        <f>IF('query (2)'!B604="","",'query (2)'!B604)</f>
        <v>CH-1057</v>
      </c>
      <c r="D604" s="24" t="str">
        <f t="shared" si="64"/>
        <v>CH</v>
      </c>
      <c r="E604" s="24">
        <f t="shared" si="65"/>
        <v>1</v>
      </c>
      <c r="F604" s="24">
        <f>IF('query (2)'!A604="","",IFERROR(VALUE('query (2)'!A604),""))</f>
        <v>622</v>
      </c>
      <c r="G604" s="24" t="str">
        <f>IF('query (2)'!C604="","UNKNOWN",IFERROR(INDEX(Cleaning_Rules!$B$15:$B$20,MATCH(TRIM(UPPER('query (2)'!C604)),Cleaning_Rules!$A$15:$A$20,0)),"UNKNOWN"))</f>
        <v>FACTORY3</v>
      </c>
      <c r="H604" s="25" t="str">
        <f>IF('query (2)'!C604="","",'query (2)'!C604)</f>
        <v>FACTORY3</v>
      </c>
      <c r="I604" s="24" t="str" cm="1">
        <f t="array" ref="I604">_xlfn.IFS($G604="UNKNOWN","UNKNOWN",OR($G604="FACTORY1",$G604="FACTORY2",$G604="FACTORY3"),"PLANT",TRUE,"SHARED")</f>
        <v>PLANT</v>
      </c>
      <c r="J604" s="24" t="str">
        <f>IF('query (2)'!D604="","UNKNOWN",IF(COUNTIF(Cleaning_Rules!$A$6:$A$11,TRIM('query (2)'!D604))&gt;0,"UNKNOWN",IFERROR(INDEX(Cleaning_Rules!$B$24:$B$28,MATCH(TRIM(UPPER('query (2)'!D604)),Cleaning_Rules!$A$24:$A$28,0)),TRIM(UPPER('query (2)'!D604)))))</f>
        <v>HUB2.5</v>
      </c>
      <c r="K604" s="25" t="str">
        <f>IF('query (2)'!D604="","",'query (2)'!D604)</f>
        <v>HUB2.5</v>
      </c>
      <c r="L604" s="24" t="str">
        <f>IF($J604="UNKNOWN","",_xlfn.TEXTBEFORE($J604,{"0","1","2","3","4","5","6","7","8","9"," ","-","."},1,,,$J604))</f>
        <v>HUB</v>
      </c>
      <c r="M604" s="24" t="str">
        <f>IF('query (2)'!I604&lt;&gt;"",TRIM(UPPER('query (2)'!I604)),IF($L604="","UNKNOWN",$L604))</f>
        <v>HUB</v>
      </c>
      <c r="N604" s="24" t="str">
        <f>IF('query (2)'!I604&lt;&gt;"","SOURCE",IF($L604="","UNKNOWN","DERIVED"))</f>
        <v>SOURCE</v>
      </c>
      <c r="O604" s="24" t="str">
        <f>IF('query (2)'!E604="","NOT_SPECIFIED",TRIM(UPPER('query (2)'!E604)))</f>
        <v>ASSEMBLY</v>
      </c>
      <c r="P604" s="24" t="str">
        <f>IF('query (2)'!F604="","",TRIM(UPPER('query (2)'!F604)))</f>
        <v>3503-H2.5AI</v>
      </c>
      <c r="Q604" s="24" t="str">
        <f>IF('query (2)'!G604="","UNKNOWN",IFERROR(INDEX(Cleaning_Rules!$B$38:$B$46,MATCH(TRIM(UPPER('query (2)'!G604)),Cleaning_Rules!$A$38:$A$46,0)),"UNKNOWN"))</f>
        <v>OTHER</v>
      </c>
      <c r="R604" s="24" t="str">
        <f>IF('query (2)'!H604="","",TRIM(UPPER('query (2)'!H604)))</f>
        <v>BCD VIBRATION TESTING MACHINE</v>
      </c>
      <c r="S604" s="25" t="str">
        <f>IF('query (2)'!H604="","",'query (2)'!H604)</f>
        <v>BCD Vibration testing machine</v>
      </c>
      <c r="T604" s="24" t="str">
        <f>IF('query (2)'!J604="","",TRIM(UPPER('query (2)'!J604)))</f>
        <v>BCD VIBRATION TESTING MACHINE</v>
      </c>
      <c r="U604" s="24" t="str">
        <f t="shared" si="66"/>
        <v/>
      </c>
      <c r="V604" s="24" t="str">
        <f>IF('query (2)'!K604="","NOT_SPECIFIED",IFERROR(INDEX(Cleaning_Rules!$B$32:$B$34,MATCH(TRIM(UPPER('query (2)'!K604)),Cleaning_Rules!$A$32:$A$34,0)),"UNKNOWN"))</f>
        <v>NOT_SPECIFIED</v>
      </c>
      <c r="W604" s="24" t="str">
        <f t="shared" si="67"/>
        <v>CH-1057 | FACTORY3 | HUB2.5 | HUB | ASSEMBLY | 3503-H2.5AI | OTHER | BCD VIBRATION TESTING MACHINE | BCD VIBRATION TESTING MACHINE | NOT_SPECIFIED</v>
      </c>
      <c r="X604" s="24" t="str">
        <f t="shared" si="68"/>
        <v/>
      </c>
      <c r="Y604" s="24" t="str">
        <f t="shared" si="69"/>
        <v>MISSING_STATUS; CATEGORY_NOT_USEFUL</v>
      </c>
    </row>
    <row r="605" spans="1:25" x14ac:dyDescent="0.3">
      <c r="A605" s="24" t="str">
        <f t="shared" si="63"/>
        <v>CH-1058#0604</v>
      </c>
      <c r="B605" s="24" t="str">
        <f>IF('query (2)'!B605="","",TRIM(UPPER('query (2)'!B605)))</f>
        <v>CH-1058</v>
      </c>
      <c r="C605" s="25" t="str">
        <f>IF('query (2)'!B605="","",'query (2)'!B605)</f>
        <v>CH-1058</v>
      </c>
      <c r="D605" s="24" t="str">
        <f t="shared" si="64"/>
        <v>CH</v>
      </c>
      <c r="E605" s="24">
        <f t="shared" si="65"/>
        <v>1</v>
      </c>
      <c r="F605" s="24">
        <f>IF('query (2)'!A605="","",IFERROR(VALUE('query (2)'!A605),""))</f>
        <v>623</v>
      </c>
      <c r="G605" s="24" t="str">
        <f>IF('query (2)'!C605="","UNKNOWN",IFERROR(INDEX(Cleaning_Rules!$B$15:$B$20,MATCH(TRIM(UPPER('query (2)'!C605)),Cleaning_Rules!$A$15:$A$20,0)),"UNKNOWN"))</f>
        <v>FACTORY3</v>
      </c>
      <c r="H605" s="25" t="str">
        <f>IF('query (2)'!C605="","",'query (2)'!C605)</f>
        <v>FACTORY3</v>
      </c>
      <c r="I605" s="24" t="str" cm="1">
        <f t="array" ref="I605">_xlfn.IFS($G605="UNKNOWN","UNKNOWN",OR($G605="FACTORY1",$G605="FACTORY2",$G605="FACTORY3"),"PLANT",TRUE,"SHARED")</f>
        <v>PLANT</v>
      </c>
      <c r="J605" s="24" t="str">
        <f>IF('query (2)'!D605="","UNKNOWN",IF(COUNTIF(Cleaning_Rules!$A$6:$A$11,TRIM('query (2)'!D605))&gt;0,"UNKNOWN",IFERROR(INDEX(Cleaning_Rules!$B$24:$B$28,MATCH(TRIM(UPPER('query (2)'!D605)),Cleaning_Rules!$A$24:$A$28,0)),TRIM(UPPER('query (2)'!D605)))))</f>
        <v>HUB2.5</v>
      </c>
      <c r="K605" s="25" t="str">
        <f>IF('query (2)'!D605="","",'query (2)'!D605)</f>
        <v>HUB2.5</v>
      </c>
      <c r="L605" s="24" t="str">
        <f>IF($J605="UNKNOWN","",_xlfn.TEXTBEFORE($J605,{"0","1","2","3","4","5","6","7","8","9"," ","-","."},1,,,$J605))</f>
        <v>HUB</v>
      </c>
      <c r="M605" s="24" t="str">
        <f>IF('query (2)'!I605&lt;&gt;"",TRIM(UPPER('query (2)'!I605)),IF($L605="","UNKNOWN",$L605))</f>
        <v>HUB</v>
      </c>
      <c r="N605" s="24" t="str">
        <f>IF('query (2)'!I605&lt;&gt;"","SOURCE",IF($L605="","UNKNOWN","DERIVED"))</f>
        <v>SOURCE</v>
      </c>
      <c r="O605" s="24" t="str">
        <f>IF('query (2)'!E605="","NOT_SPECIFIED",TRIM(UPPER('query (2)'!E605)))</f>
        <v>ASSEMBLY</v>
      </c>
      <c r="P605" s="24" t="str">
        <f>IF('query (2)'!F605="","",TRIM(UPPER('query (2)'!F605)))</f>
        <v>3503-H2.5AI</v>
      </c>
      <c r="Q605" s="24" t="str">
        <f>IF('query (2)'!G605="","UNKNOWN",IFERROR(INDEX(Cleaning_Rules!$B$38:$B$46,MATCH(TRIM(UPPER('query (2)'!G605)),Cleaning_Rules!$A$38:$A$46,0)),"UNKNOWN"))</f>
        <v>OTHER</v>
      </c>
      <c r="R605" s="24" t="str">
        <f>IF('query (2)'!H605="","",TRIM(UPPER('query (2)'!H605)))</f>
        <v>BCD APPERANCE CHECK TABLE &amp; BCD CARRIER</v>
      </c>
      <c r="S605" s="25" t="str">
        <f>IF('query (2)'!H605="","",'query (2)'!H605)</f>
        <v>BCD Apperance check table &amp; BCD carrier</v>
      </c>
      <c r="T605" s="24" t="str">
        <f>IF('query (2)'!J605="","",TRIM(UPPER('query (2)'!J605)))</f>
        <v>BCD APPERANCE CHECK TABLE &amp; BCD CARRIER</v>
      </c>
      <c r="U605" s="24" t="str">
        <f t="shared" si="66"/>
        <v/>
      </c>
      <c r="V605" s="24" t="str">
        <f>IF('query (2)'!K605="","NOT_SPECIFIED",IFERROR(INDEX(Cleaning_Rules!$B$32:$B$34,MATCH(TRIM(UPPER('query (2)'!K605)),Cleaning_Rules!$A$32:$A$34,0)),"UNKNOWN"))</f>
        <v>NOT_SPECIFIED</v>
      </c>
      <c r="W605" s="24" t="str">
        <f t="shared" si="67"/>
        <v>CH-1058 | FACTORY3 | HUB2.5 | HUB | ASSEMBLY | 3503-H2.5AI | OTHER | BCD APPERANCE CHECK TABLE &amp; BCD CARRIER | BCD APPERANCE CHECK TABLE &amp; BCD CARRIER | NOT_SPECIFIED</v>
      </c>
      <c r="X605" s="24" t="str">
        <f t="shared" si="68"/>
        <v/>
      </c>
      <c r="Y605" s="24" t="str">
        <f t="shared" si="69"/>
        <v>MISSING_STATUS; CATEGORY_NOT_USEFUL</v>
      </c>
    </row>
    <row r="606" spans="1:25" x14ac:dyDescent="0.3">
      <c r="A606" s="24" t="str">
        <f t="shared" si="63"/>
        <v>SU-1059#0605</v>
      </c>
      <c r="B606" s="24" t="str">
        <f>IF('query (2)'!B606="","",TRIM(UPPER('query (2)'!B606)))</f>
        <v>SU-1059</v>
      </c>
      <c r="C606" s="25" t="str">
        <f>IF('query (2)'!B606="","",'query (2)'!B606)</f>
        <v>SU-1059</v>
      </c>
      <c r="D606" s="24" t="str">
        <f t="shared" si="64"/>
        <v>SU</v>
      </c>
      <c r="E606" s="24">
        <f t="shared" si="65"/>
        <v>1</v>
      </c>
      <c r="F606" s="24">
        <f>IF('query (2)'!A606="","",IFERROR(VALUE('query (2)'!A606),""))</f>
        <v>624</v>
      </c>
      <c r="G606" s="24" t="str">
        <f>IF('query (2)'!C606="","UNKNOWN",IFERROR(INDEX(Cleaning_Rules!$B$15:$B$20,MATCH(TRIM(UPPER('query (2)'!C606)),Cleaning_Rules!$A$15:$A$20,0)),"UNKNOWN"))</f>
        <v>FACTORY3</v>
      </c>
      <c r="H606" s="25" t="str">
        <f>IF('query (2)'!C606="","",'query (2)'!C606)</f>
        <v>FACTORY3</v>
      </c>
      <c r="I606" s="24" t="str" cm="1">
        <f t="array" ref="I606">_xlfn.IFS($G606="UNKNOWN","UNKNOWN",OR($G606="FACTORY1",$G606="FACTORY2",$G606="FACTORY3"),"PLANT",TRUE,"SHARED")</f>
        <v>PLANT</v>
      </c>
      <c r="J606" s="24" t="str">
        <f>IF('query (2)'!D606="","UNKNOWN",IF(COUNTIF(Cleaning_Rules!$A$6:$A$11,TRIM('query (2)'!D606))&gt;0,"UNKNOWN",IFERROR(INDEX(Cleaning_Rules!$B$24:$B$28,MATCH(TRIM(UPPER('query (2)'!D606)),Cleaning_Rules!$A$24:$A$28,0)),TRIM(UPPER('query (2)'!D606)))))</f>
        <v>HUB2.5</v>
      </c>
      <c r="K606" s="25" t="str">
        <f>IF('query (2)'!D606="","",'query (2)'!D606)</f>
        <v>HUB2.5</v>
      </c>
      <c r="L606" s="24" t="str">
        <f>IF($J606="UNKNOWN","",_xlfn.TEXTBEFORE($J606,{"0","1","2","3","4","5","6","7","8","9"," ","-","."},1,,,$J606))</f>
        <v>HUB</v>
      </c>
      <c r="M606" s="24" t="str">
        <f>IF('query (2)'!I606&lt;&gt;"",TRIM(UPPER('query (2)'!I606)),IF($L606="","UNKNOWN",$L606))</f>
        <v>HUB</v>
      </c>
      <c r="N606" s="24" t="str">
        <f>IF('query (2)'!I606&lt;&gt;"","SOURCE",IF($L606="","UNKNOWN","DERIVED"))</f>
        <v>SOURCE</v>
      </c>
      <c r="O606" s="24" t="str">
        <f>IF('query (2)'!E606="","NOT_SPECIFIED",TRIM(UPPER('query (2)'!E606)))</f>
        <v>ASSEMBLY</v>
      </c>
      <c r="P606" s="24" t="str">
        <f>IF('query (2)'!F606="","",TRIM(UPPER('query (2)'!F606)))</f>
        <v>3503-H2.5AI</v>
      </c>
      <c r="Q606" s="24" t="str">
        <f>IF('query (2)'!G606="","UNKNOWN",IFERROR(INDEX(Cleaning_Rules!$B$38:$B$46,MATCH(TRIM(UPPER('query (2)'!G606)),Cleaning_Rules!$A$38:$A$46,0)),"UNKNOWN"))</f>
        <v>OTHER</v>
      </c>
      <c r="R606" s="24" t="str">
        <f>IF('query (2)'!H606="","",TRIM(UPPER('query (2)'!H606)))</f>
        <v>HUB2 CONVEYOR</v>
      </c>
      <c r="S606" s="25" t="str">
        <f>IF('query (2)'!H606="","",'query (2)'!H606)</f>
        <v>HUB2 Conveyor</v>
      </c>
      <c r="T606" s="24" t="str">
        <f>IF('query (2)'!J606="","",TRIM(UPPER('query (2)'!J606)))</f>
        <v>HUB2 CONVEYOR</v>
      </c>
      <c r="U606" s="24" t="str">
        <f t="shared" si="66"/>
        <v/>
      </c>
      <c r="V606" s="24" t="str">
        <f>IF('query (2)'!K606="","NOT_SPECIFIED",IFERROR(INDEX(Cleaning_Rules!$B$32:$B$34,MATCH(TRIM(UPPER('query (2)'!K606)),Cleaning_Rules!$A$32:$A$34,0)),"UNKNOWN"))</f>
        <v>NOT_SPECIFIED</v>
      </c>
      <c r="W606" s="24" t="str">
        <f t="shared" si="67"/>
        <v>SU-1059 | FACTORY3 | HUB2.5 | HUB | ASSEMBLY | 3503-H2.5AI | OTHER | HUB2 CONVEYOR | HUB2 CONVEYOR | NOT_SPECIFIED</v>
      </c>
      <c r="X606" s="24" t="str">
        <f t="shared" si="68"/>
        <v/>
      </c>
      <c r="Y606" s="24" t="str">
        <f t="shared" si="69"/>
        <v>MISSING_STATUS; CATEGORY_NOT_USEFUL</v>
      </c>
    </row>
    <row r="607" spans="1:25" x14ac:dyDescent="0.3">
      <c r="A607" s="24" t="str">
        <f t="shared" si="63"/>
        <v>AS-1066#0606</v>
      </c>
      <c r="B607" s="24" t="str">
        <f>IF('query (2)'!B607="","",TRIM(UPPER('query (2)'!B607)))</f>
        <v>AS-1066</v>
      </c>
      <c r="C607" s="25" t="str">
        <f>IF('query (2)'!B607="","",'query (2)'!B607)</f>
        <v>AS-1066</v>
      </c>
      <c r="D607" s="24" t="str">
        <f t="shared" si="64"/>
        <v>AS</v>
      </c>
      <c r="E607" s="24">
        <f t="shared" si="65"/>
        <v>1</v>
      </c>
      <c r="F607" s="24">
        <f>IF('query (2)'!A607="","",IFERROR(VALUE('query (2)'!A607),""))</f>
        <v>625</v>
      </c>
      <c r="G607" s="24" t="str">
        <f>IF('query (2)'!C607="","UNKNOWN",IFERROR(INDEX(Cleaning_Rules!$B$15:$B$20,MATCH(TRIM(UPPER('query (2)'!C607)),Cleaning_Rules!$A$15:$A$20,0)),"UNKNOWN"))</f>
        <v>FACTORY3</v>
      </c>
      <c r="H607" s="25" t="str">
        <f>IF('query (2)'!C607="","",'query (2)'!C607)</f>
        <v>FACTORY3</v>
      </c>
      <c r="I607" s="24" t="str" cm="1">
        <f t="array" ref="I607">_xlfn.IFS($G607="UNKNOWN","UNKNOWN",OR($G607="FACTORY1",$G607="FACTORY2",$G607="FACTORY3"),"PLANT",TRUE,"SHARED")</f>
        <v>PLANT</v>
      </c>
      <c r="J607" s="24" t="str">
        <f>IF('query (2)'!D607="","UNKNOWN",IF(COUNTIF(Cleaning_Rules!$A$6:$A$11,TRIM('query (2)'!D607))&gt;0,"UNKNOWN",IFERROR(INDEX(Cleaning_Rules!$B$24:$B$28,MATCH(TRIM(UPPER('query (2)'!D607)),Cleaning_Rules!$A$24:$A$28,0)),TRIM(UPPER('query (2)'!D607)))))</f>
        <v>HUB2.5</v>
      </c>
      <c r="K607" s="25" t="str">
        <f>IF('query (2)'!D607="","",'query (2)'!D607)</f>
        <v>HUB2.5</v>
      </c>
      <c r="L607" s="24" t="str">
        <f>IF($J607="UNKNOWN","",_xlfn.TEXTBEFORE($J607,{"0","1","2","3","4","5","6","7","8","9"," ","-","."},1,,,$J607))</f>
        <v>HUB</v>
      </c>
      <c r="M607" s="24" t="str">
        <f>IF('query (2)'!I607&lt;&gt;"",TRIM(UPPER('query (2)'!I607)),IF($L607="","UNKNOWN",$L607))</f>
        <v>HUB</v>
      </c>
      <c r="N607" s="24" t="str">
        <f>IF('query (2)'!I607&lt;&gt;"","SOURCE",IF($L607="","UNKNOWN","DERIVED"))</f>
        <v>SOURCE</v>
      </c>
      <c r="O607" s="24" t="str">
        <f>IF('query (2)'!E607="","NOT_SPECIFIED",TRIM(UPPER('query (2)'!E607)))</f>
        <v>ASSEMBLY</v>
      </c>
      <c r="P607" s="24" t="str">
        <f>IF('query (2)'!F607="","",TRIM(UPPER('query (2)'!F607)))</f>
        <v>3503-H2.5AI</v>
      </c>
      <c r="Q607" s="24" t="str">
        <f>IF('query (2)'!G607="","UNKNOWN",IFERROR(INDEX(Cleaning_Rules!$B$38:$B$46,MATCH(TRIM(UPPER('query (2)'!G607)),Cleaning_Rules!$A$38:$A$46,0)),"UNKNOWN"))</f>
        <v>OTHER</v>
      </c>
      <c r="R607" s="24" t="str">
        <f>IF('query (2)'!H607="","",TRIM(UPPER('query (2)'!H607)))</f>
        <v>PAINTING HUB2.5</v>
      </c>
      <c r="S607" s="25" t="str">
        <f>IF('query (2)'!H607="","",'query (2)'!H607)</f>
        <v>Painting HUB2.5</v>
      </c>
      <c r="T607" s="24" t="str">
        <f>IF('query (2)'!J607="","",TRIM(UPPER('query (2)'!J607)))</f>
        <v>PAINTING HUB2.5</v>
      </c>
      <c r="U607" s="24" t="str">
        <f t="shared" si="66"/>
        <v/>
      </c>
      <c r="V607" s="24" t="str">
        <f>IF('query (2)'!K607="","NOT_SPECIFIED",IFERROR(INDEX(Cleaning_Rules!$B$32:$B$34,MATCH(TRIM(UPPER('query (2)'!K607)),Cleaning_Rules!$A$32:$A$34,0)),"UNKNOWN"))</f>
        <v>NOT_SPECIFIED</v>
      </c>
      <c r="W607" s="24" t="str">
        <f t="shared" si="67"/>
        <v>AS-1066 | FACTORY3 | HUB2.5 | HUB | ASSEMBLY | 3503-H2.5AI | OTHER | PAINTING HUB2.5 | PAINTING HUB2.5 | NOT_SPECIFIED</v>
      </c>
      <c r="X607" s="24" t="str">
        <f t="shared" si="68"/>
        <v/>
      </c>
      <c r="Y607" s="24" t="str">
        <f t="shared" si="69"/>
        <v>MISSING_STATUS; CATEGORY_NOT_USEFUL</v>
      </c>
    </row>
    <row r="608" spans="1:25" x14ac:dyDescent="0.3">
      <c r="A608" s="24" t="str">
        <f t="shared" si="63"/>
        <v>GR-388#0607</v>
      </c>
      <c r="B608" s="24" t="str">
        <f>IF('query (2)'!B608="","",TRIM(UPPER('query (2)'!B608)))</f>
        <v>GR-388</v>
      </c>
      <c r="C608" s="25" t="str">
        <f>IF('query (2)'!B608="","",'query (2)'!B608)</f>
        <v>GR-388</v>
      </c>
      <c r="D608" s="24" t="str">
        <f t="shared" si="64"/>
        <v>GR</v>
      </c>
      <c r="E608" s="24">
        <f t="shared" si="65"/>
        <v>1</v>
      </c>
      <c r="F608" s="24">
        <f>IF('query (2)'!A608="","",IFERROR(VALUE('query (2)'!A608),""))</f>
        <v>626</v>
      </c>
      <c r="G608" s="24" t="str">
        <f>IF('query (2)'!C608="","UNKNOWN",IFERROR(INDEX(Cleaning_Rules!$B$15:$B$20,MATCH(TRIM(UPPER('query (2)'!C608)),Cleaning_Rules!$A$15:$A$20,0)),"UNKNOWN"))</f>
        <v>FACTORY3</v>
      </c>
      <c r="H608" s="25" t="str">
        <f>IF('query (2)'!C608="","",'query (2)'!C608)</f>
        <v>FACTORY3</v>
      </c>
      <c r="I608" s="24" t="str" cm="1">
        <f t="array" ref="I608">_xlfn.IFS($G608="UNKNOWN","UNKNOWN",OR($G608="FACTORY1",$G608="FACTORY2",$G608="FACTORY3"),"PLANT",TRUE,"SHARED")</f>
        <v>PLANT</v>
      </c>
      <c r="J608" s="24" t="str">
        <f>IF('query (2)'!D608="","UNKNOWN",IF(COUNTIF(Cleaning_Rules!$A$6:$A$11,TRIM('query (2)'!D608))&gt;0,"UNKNOWN",IFERROR(INDEX(Cleaning_Rules!$B$24:$B$28,MATCH(TRIM(UPPER('query (2)'!D608)),Cleaning_Rules!$A$24:$A$28,0)),TRIM(UPPER('query (2)'!D608)))))</f>
        <v>HUB3-1</v>
      </c>
      <c r="K608" s="25" t="str">
        <f>IF('query (2)'!D608="","",'query (2)'!D608)</f>
        <v>HUB3-1</v>
      </c>
      <c r="L608" s="24" t="str">
        <f>IF($J608="UNKNOWN","",_xlfn.TEXTBEFORE($J608,{"0","1","2","3","4","5","6","7","8","9"," ","-","."},1,,,$J608))</f>
        <v>HUB</v>
      </c>
      <c r="M608" s="24" t="str">
        <f>IF('query (2)'!I608&lt;&gt;"",TRIM(UPPER('query (2)'!I608)),IF($L608="","UNKNOWN",$L608))</f>
        <v>HUB</v>
      </c>
      <c r="N608" s="24" t="str">
        <f>IF('query (2)'!I608&lt;&gt;"","SOURCE",IF($L608="","UNKNOWN","DERIVED"))</f>
        <v>SOURCE</v>
      </c>
      <c r="O608" s="24" t="str">
        <f>IF('query (2)'!E608="","NOT_SPECIFIED",TRIM(UPPER('query (2)'!E608)))</f>
        <v>GRINDING 2</v>
      </c>
      <c r="P608" s="24" t="str">
        <f>IF('query (2)'!F608="","",TRIM(UPPER('query (2)'!F608)))</f>
        <v>1814-H31G</v>
      </c>
      <c r="Q608" s="24" t="str">
        <f>IF('query (2)'!G608="","UNKNOWN",IFERROR(INDEX(Cleaning_Rules!$B$38:$B$46,MATCH(TRIM(UPPER('query (2)'!G608)),Cleaning_Rules!$A$38:$A$46,0)),"UNKNOWN"))</f>
        <v>OTHER</v>
      </c>
      <c r="R608" s="24" t="str">
        <f>IF('query (2)'!H608="","",TRIM(UPPER('query (2)'!H608)))</f>
        <v>SHAFT RACEWAY GRINDING MACHINE.</v>
      </c>
      <c r="S608" s="25" t="str">
        <f>IF('query (2)'!H608="","",'query (2)'!H608)</f>
        <v>Shaft raceway grinding machine.</v>
      </c>
      <c r="T608" s="24" t="str">
        <f>IF('query (2)'!J608="","",TRIM(UPPER('query (2)'!J608)))</f>
        <v>SHAFT RACEWAY GRINDING MACHINE.</v>
      </c>
      <c r="U608" s="24" t="str">
        <f t="shared" si="66"/>
        <v/>
      </c>
      <c r="V608" s="24" t="str">
        <f>IF('query (2)'!K608="","NOT_SPECIFIED",IFERROR(INDEX(Cleaning_Rules!$B$32:$B$34,MATCH(TRIM(UPPER('query (2)'!K608)),Cleaning_Rules!$A$32:$A$34,0)),"UNKNOWN"))</f>
        <v>NOT_SPECIFIED</v>
      </c>
      <c r="W608" s="24" t="str">
        <f t="shared" si="67"/>
        <v>GR-388 | FACTORY3 | HUB3-1 | HUB | GRINDING 2 | 1814-H31G | OTHER | SHAFT RACEWAY GRINDING MACHINE. | SHAFT RACEWAY GRINDING MACHINE. | NOT_SPECIFIED</v>
      </c>
      <c r="X608" s="24" t="str">
        <f t="shared" si="68"/>
        <v/>
      </c>
      <c r="Y608" s="24" t="str">
        <f t="shared" si="69"/>
        <v>MISSING_STATUS; CATEGORY_NOT_USEFUL</v>
      </c>
    </row>
    <row r="609" spans="1:25" x14ac:dyDescent="0.3">
      <c r="A609" s="24" t="str">
        <f t="shared" si="63"/>
        <v>GR-385#0608</v>
      </c>
      <c r="B609" s="24" t="str">
        <f>IF('query (2)'!B609="","",TRIM(UPPER('query (2)'!B609)))</f>
        <v>GR-385</v>
      </c>
      <c r="C609" s="25" t="str">
        <f>IF('query (2)'!B609="","",'query (2)'!B609)</f>
        <v>GR-385</v>
      </c>
      <c r="D609" s="24" t="str">
        <f t="shared" si="64"/>
        <v>GR</v>
      </c>
      <c r="E609" s="24">
        <f t="shared" si="65"/>
        <v>1</v>
      </c>
      <c r="F609" s="24">
        <f>IF('query (2)'!A609="","",IFERROR(VALUE('query (2)'!A609),""))</f>
        <v>627</v>
      </c>
      <c r="G609" s="24" t="str">
        <f>IF('query (2)'!C609="","UNKNOWN",IFERROR(INDEX(Cleaning_Rules!$B$15:$B$20,MATCH(TRIM(UPPER('query (2)'!C609)),Cleaning_Rules!$A$15:$A$20,0)),"UNKNOWN"))</f>
        <v>FACTORY3</v>
      </c>
      <c r="H609" s="25" t="str">
        <f>IF('query (2)'!C609="","",'query (2)'!C609)</f>
        <v>FACTORY3</v>
      </c>
      <c r="I609" s="24" t="str" cm="1">
        <f t="array" ref="I609">_xlfn.IFS($G609="UNKNOWN","UNKNOWN",OR($G609="FACTORY1",$G609="FACTORY2",$G609="FACTORY3"),"PLANT",TRUE,"SHARED")</f>
        <v>PLANT</v>
      </c>
      <c r="J609" s="24" t="str">
        <f>IF('query (2)'!D609="","UNKNOWN",IF(COUNTIF(Cleaning_Rules!$A$6:$A$11,TRIM('query (2)'!D609))&gt;0,"UNKNOWN",IFERROR(INDEX(Cleaning_Rules!$B$24:$B$28,MATCH(TRIM(UPPER('query (2)'!D609)),Cleaning_Rules!$A$24:$A$28,0)),TRIM(UPPER('query (2)'!D609)))))</f>
        <v>HUB3-1</v>
      </c>
      <c r="K609" s="25" t="str">
        <f>IF('query (2)'!D609="","",'query (2)'!D609)</f>
        <v>HUB3-1</v>
      </c>
      <c r="L609" s="24" t="str">
        <f>IF($J609="UNKNOWN","",_xlfn.TEXTBEFORE($J609,{"0","1","2","3","4","5","6","7","8","9"," ","-","."},1,,,$J609))</f>
        <v>HUB</v>
      </c>
      <c r="M609" s="24" t="str">
        <f>IF('query (2)'!I609&lt;&gt;"",TRIM(UPPER('query (2)'!I609)),IF($L609="","UNKNOWN",$L609))</f>
        <v>HUB</v>
      </c>
      <c r="N609" s="24" t="str">
        <f>IF('query (2)'!I609&lt;&gt;"","SOURCE",IF($L609="","UNKNOWN","DERIVED"))</f>
        <v>SOURCE</v>
      </c>
      <c r="O609" s="24" t="str">
        <f>IF('query (2)'!E609="","NOT_SPECIFIED",TRIM(UPPER('query (2)'!E609)))</f>
        <v>GRINDING 2</v>
      </c>
      <c r="P609" s="24" t="str">
        <f>IF('query (2)'!F609="","",TRIM(UPPER('query (2)'!F609)))</f>
        <v>1814-H31G</v>
      </c>
      <c r="Q609" s="24" t="str">
        <f>IF('query (2)'!G609="","UNKNOWN",IFERROR(INDEX(Cleaning_Rules!$B$38:$B$46,MATCH(TRIM(UPPER('query (2)'!G609)),Cleaning_Rules!$A$38:$A$46,0)),"UNKNOWN"))</f>
        <v>OTHER</v>
      </c>
      <c r="R609" s="24" t="str">
        <f>IF('query (2)'!H609="","",TRIM(UPPER('query (2)'!H609)))</f>
        <v>SHAFT RACEWAY SUPER FINISH WITH DEMAGNITIZING MACHINE.</v>
      </c>
      <c r="S609" s="25" t="str">
        <f>IF('query (2)'!H609="","",'query (2)'!H609)</f>
        <v>Shaft raceway super finish with demagnitizing  machine.</v>
      </c>
      <c r="T609" s="24" t="str">
        <f>IF('query (2)'!J609="","",TRIM(UPPER('query (2)'!J609)))</f>
        <v>SHAFT RACEWAY SUPER FINISH WITH DEMAGNITIZING MACHINE.</v>
      </c>
      <c r="U609" s="24" t="str">
        <f t="shared" si="66"/>
        <v/>
      </c>
      <c r="V609" s="24" t="str">
        <f>IF('query (2)'!K609="","NOT_SPECIFIED",IFERROR(INDEX(Cleaning_Rules!$B$32:$B$34,MATCH(TRIM(UPPER('query (2)'!K609)),Cleaning_Rules!$A$32:$A$34,0)),"UNKNOWN"))</f>
        <v>NOT_SPECIFIED</v>
      </c>
      <c r="W609" s="24" t="str">
        <f t="shared" si="67"/>
        <v>GR-385 | FACTORY3 | HUB3-1 | HUB | GRINDING 2 | 1814-H31G | OTHER | SHAFT RACEWAY SUPER FINISH WITH DEMAGNITIZING MACHINE. | SHAFT RACEWAY SUPER FINISH WITH DEMAGNITIZING MACHINE. | NOT_SPECIFIED</v>
      </c>
      <c r="X609" s="24" t="str">
        <f t="shared" si="68"/>
        <v/>
      </c>
      <c r="Y609" s="24" t="str">
        <f t="shared" si="69"/>
        <v>MISSING_STATUS; CATEGORY_NOT_USEFUL</v>
      </c>
    </row>
    <row r="610" spans="1:25" x14ac:dyDescent="0.3">
      <c r="A610" s="24" t="str">
        <f t="shared" si="63"/>
        <v>GR-389#0609</v>
      </c>
      <c r="B610" s="24" t="str">
        <f>IF('query (2)'!B610="","",TRIM(UPPER('query (2)'!B610)))</f>
        <v>GR-389</v>
      </c>
      <c r="C610" s="25" t="str">
        <f>IF('query (2)'!B610="","",'query (2)'!B610)</f>
        <v>GR-389</v>
      </c>
      <c r="D610" s="24" t="str">
        <f t="shared" si="64"/>
        <v>GR</v>
      </c>
      <c r="E610" s="24">
        <f t="shared" si="65"/>
        <v>1</v>
      </c>
      <c r="F610" s="24">
        <f>IF('query (2)'!A610="","",IFERROR(VALUE('query (2)'!A610),""))</f>
        <v>628</v>
      </c>
      <c r="G610" s="24" t="str">
        <f>IF('query (2)'!C610="","UNKNOWN",IFERROR(INDEX(Cleaning_Rules!$B$15:$B$20,MATCH(TRIM(UPPER('query (2)'!C610)),Cleaning_Rules!$A$15:$A$20,0)),"UNKNOWN"))</f>
        <v>FACTORY3</v>
      </c>
      <c r="H610" s="25" t="str">
        <f>IF('query (2)'!C610="","",'query (2)'!C610)</f>
        <v>FACTORY3</v>
      </c>
      <c r="I610" s="24" t="str" cm="1">
        <f t="array" ref="I610">_xlfn.IFS($G610="UNKNOWN","UNKNOWN",OR($G610="FACTORY1",$G610="FACTORY2",$G610="FACTORY3"),"PLANT",TRUE,"SHARED")</f>
        <v>PLANT</v>
      </c>
      <c r="J610" s="24" t="str">
        <f>IF('query (2)'!D610="","UNKNOWN",IF(COUNTIF(Cleaning_Rules!$A$6:$A$11,TRIM('query (2)'!D610))&gt;0,"UNKNOWN",IFERROR(INDEX(Cleaning_Rules!$B$24:$B$28,MATCH(TRIM(UPPER('query (2)'!D610)),Cleaning_Rules!$A$24:$A$28,0)),TRIM(UPPER('query (2)'!D610)))))</f>
        <v>HUB3-1</v>
      </c>
      <c r="K610" s="25" t="str">
        <f>IF('query (2)'!D610="","",'query (2)'!D610)</f>
        <v>HUB3-1</v>
      </c>
      <c r="L610" s="24" t="str">
        <f>IF($J610="UNKNOWN","",_xlfn.TEXTBEFORE($J610,{"0","1","2","3","4","5","6","7","8","9"," ","-","."},1,,,$J610))</f>
        <v>HUB</v>
      </c>
      <c r="M610" s="24" t="str">
        <f>IF('query (2)'!I610&lt;&gt;"",TRIM(UPPER('query (2)'!I610)),IF($L610="","UNKNOWN",$L610))</f>
        <v>HUB</v>
      </c>
      <c r="N610" s="24" t="str">
        <f>IF('query (2)'!I610&lt;&gt;"","SOURCE",IF($L610="","UNKNOWN","DERIVED"))</f>
        <v>SOURCE</v>
      </c>
      <c r="O610" s="24" t="str">
        <f>IF('query (2)'!E610="","NOT_SPECIFIED",TRIM(UPPER('query (2)'!E610)))</f>
        <v>GRINDING 2</v>
      </c>
      <c r="P610" s="24" t="str">
        <f>IF('query (2)'!F610="","",TRIM(UPPER('query (2)'!F610)))</f>
        <v>1814-H31G</v>
      </c>
      <c r="Q610" s="24" t="str">
        <f>IF('query (2)'!G610="","UNKNOWN",IFERROR(INDEX(Cleaning_Rules!$B$38:$B$46,MATCH(TRIM(UPPER('query (2)'!G610)),Cleaning_Rules!$A$38:$A$46,0)),"UNKNOWN"))</f>
        <v>OTHER</v>
      </c>
      <c r="R610" s="24" t="str">
        <f>IF('query (2)'!H610="","",TRIM(UPPER('query (2)'!H610)))</f>
        <v>OUTER OUT SIDE DIAMETER GRINDING MACHINE.</v>
      </c>
      <c r="S610" s="25" t="str">
        <f>IF('query (2)'!H610="","",'query (2)'!H610)</f>
        <v>Outer out side diameter grinding machine.</v>
      </c>
      <c r="T610" s="24" t="str">
        <f>IF('query (2)'!J610="","",TRIM(UPPER('query (2)'!J610)))</f>
        <v>OUTER OUT SIDE DIAMETER GRINDING MACHINE.</v>
      </c>
      <c r="U610" s="24" t="str">
        <f t="shared" si="66"/>
        <v/>
      </c>
      <c r="V610" s="24" t="str">
        <f>IF('query (2)'!K610="","NOT_SPECIFIED",IFERROR(INDEX(Cleaning_Rules!$B$32:$B$34,MATCH(TRIM(UPPER('query (2)'!K610)),Cleaning_Rules!$A$32:$A$34,0)),"UNKNOWN"))</f>
        <v>NOT_SPECIFIED</v>
      </c>
      <c r="W610" s="24" t="str">
        <f t="shared" si="67"/>
        <v>GR-389 | FACTORY3 | HUB3-1 | HUB | GRINDING 2 | 1814-H31G | OTHER | OUTER OUT SIDE DIAMETER GRINDING MACHINE. | OUTER OUT SIDE DIAMETER GRINDING MACHINE. | NOT_SPECIFIED</v>
      </c>
      <c r="X610" s="24" t="str">
        <f t="shared" si="68"/>
        <v/>
      </c>
      <c r="Y610" s="24" t="str">
        <f t="shared" si="69"/>
        <v>MISSING_STATUS; CATEGORY_NOT_USEFUL</v>
      </c>
    </row>
    <row r="611" spans="1:25" x14ac:dyDescent="0.3">
      <c r="A611" s="24" t="str">
        <f t="shared" si="63"/>
        <v>FI-390#0610</v>
      </c>
      <c r="B611" s="24" t="str">
        <f>IF('query (2)'!B611="","",TRIM(UPPER('query (2)'!B611)))</f>
        <v>FI-390</v>
      </c>
      <c r="C611" s="25" t="str">
        <f>IF('query (2)'!B611="","",'query (2)'!B611)</f>
        <v>FI-390</v>
      </c>
      <c r="D611" s="24" t="str">
        <f t="shared" si="64"/>
        <v>FI</v>
      </c>
      <c r="E611" s="24">
        <f t="shared" si="65"/>
        <v>1</v>
      </c>
      <c r="F611" s="24">
        <f>IF('query (2)'!A611="","",IFERROR(VALUE('query (2)'!A611),""))</f>
        <v>629</v>
      </c>
      <c r="G611" s="24" t="str">
        <f>IF('query (2)'!C611="","UNKNOWN",IFERROR(INDEX(Cleaning_Rules!$B$15:$B$20,MATCH(TRIM(UPPER('query (2)'!C611)),Cleaning_Rules!$A$15:$A$20,0)),"UNKNOWN"))</f>
        <v>FACTORY3</v>
      </c>
      <c r="H611" s="25" t="str">
        <f>IF('query (2)'!C611="","",'query (2)'!C611)</f>
        <v>FACTORY3</v>
      </c>
      <c r="I611" s="24" t="str" cm="1">
        <f t="array" ref="I611">_xlfn.IFS($G611="UNKNOWN","UNKNOWN",OR($G611="FACTORY1",$G611="FACTORY2",$G611="FACTORY3"),"PLANT",TRUE,"SHARED")</f>
        <v>PLANT</v>
      </c>
      <c r="J611" s="24" t="str">
        <f>IF('query (2)'!D611="","UNKNOWN",IF(COUNTIF(Cleaning_Rules!$A$6:$A$11,TRIM('query (2)'!D611))&gt;0,"UNKNOWN",IFERROR(INDEX(Cleaning_Rules!$B$24:$B$28,MATCH(TRIM(UPPER('query (2)'!D611)),Cleaning_Rules!$A$24:$A$28,0)),TRIM(UPPER('query (2)'!D611)))))</f>
        <v>HUB3-1</v>
      </c>
      <c r="K611" s="25" t="str">
        <f>IF('query (2)'!D611="","",'query (2)'!D611)</f>
        <v>HUB3-1</v>
      </c>
      <c r="L611" s="24" t="str">
        <f>IF($J611="UNKNOWN","",_xlfn.TEXTBEFORE($J611,{"0","1","2","3","4","5","6","7","8","9"," ","-","."},1,,,$J611))</f>
        <v>HUB</v>
      </c>
      <c r="M611" s="24" t="str">
        <f>IF('query (2)'!I611&lt;&gt;"",TRIM(UPPER('query (2)'!I611)),IF($L611="","UNKNOWN",$L611))</f>
        <v>HUB</v>
      </c>
      <c r="N611" s="24" t="str">
        <f>IF('query (2)'!I611&lt;&gt;"","SOURCE",IF($L611="","UNKNOWN","DERIVED"))</f>
        <v>SOURCE</v>
      </c>
      <c r="O611" s="24" t="str">
        <f>IF('query (2)'!E611="","NOT_SPECIFIED",TRIM(UPPER('query (2)'!E611)))</f>
        <v>GRINDING 2</v>
      </c>
      <c r="P611" s="24" t="str">
        <f>IF('query (2)'!F611="","",TRIM(UPPER('query (2)'!F611)))</f>
        <v>1814-H31G</v>
      </c>
      <c r="Q611" s="24" t="str">
        <f>IF('query (2)'!G611="","UNKNOWN",IFERROR(INDEX(Cleaning_Rules!$B$38:$B$46,MATCH(TRIM(UPPER('query (2)'!G611)),Cleaning_Rules!$A$38:$A$46,0)),"UNKNOWN"))</f>
        <v>OTHER</v>
      </c>
      <c r="R611" s="24" t="str">
        <f>IF('query (2)'!H611="","",TRIM(UPPER('query (2)'!H611)))</f>
        <v>MAGNET FILTER COOLANT TANK.</v>
      </c>
      <c r="S611" s="25" t="str">
        <f>IF('query (2)'!H611="","",'query (2)'!H611)</f>
        <v>Magnet filter coolant tank.</v>
      </c>
      <c r="T611" s="24" t="str">
        <f>IF('query (2)'!J611="","",TRIM(UPPER('query (2)'!J611)))</f>
        <v>MAGNET FILTER COOLANT TANK.</v>
      </c>
      <c r="U611" s="24" t="str">
        <f t="shared" si="66"/>
        <v/>
      </c>
      <c r="V611" s="24" t="str">
        <f>IF('query (2)'!K611="","NOT_SPECIFIED",IFERROR(INDEX(Cleaning_Rules!$B$32:$B$34,MATCH(TRIM(UPPER('query (2)'!K611)),Cleaning_Rules!$A$32:$A$34,0)),"UNKNOWN"))</f>
        <v>NOT_SPECIFIED</v>
      </c>
      <c r="W611" s="24" t="str">
        <f t="shared" si="67"/>
        <v>FI-390 | FACTORY3 | HUB3-1 | HUB | GRINDING 2 | 1814-H31G | OTHER | MAGNET FILTER COOLANT TANK. | MAGNET FILTER COOLANT TANK. | NOT_SPECIFIED</v>
      </c>
      <c r="X611" s="24" t="str">
        <f t="shared" si="68"/>
        <v/>
      </c>
      <c r="Y611" s="24" t="str">
        <f t="shared" si="69"/>
        <v>MISSING_STATUS; CATEGORY_NOT_USEFUL</v>
      </c>
    </row>
    <row r="612" spans="1:25" x14ac:dyDescent="0.3">
      <c r="A612" s="24" t="str">
        <f t="shared" si="63"/>
        <v>GR-391#0611</v>
      </c>
      <c r="B612" s="24" t="str">
        <f>IF('query (2)'!B612="","",TRIM(UPPER('query (2)'!B612)))</f>
        <v>GR-391</v>
      </c>
      <c r="C612" s="25" t="str">
        <f>IF('query (2)'!B612="","",'query (2)'!B612)</f>
        <v>GR-391</v>
      </c>
      <c r="D612" s="24" t="str">
        <f t="shared" si="64"/>
        <v>GR</v>
      </c>
      <c r="E612" s="24">
        <f t="shared" si="65"/>
        <v>1</v>
      </c>
      <c r="F612" s="24">
        <f>IF('query (2)'!A612="","",IFERROR(VALUE('query (2)'!A612),""))</f>
        <v>630</v>
      </c>
      <c r="G612" s="24" t="str">
        <f>IF('query (2)'!C612="","UNKNOWN",IFERROR(INDEX(Cleaning_Rules!$B$15:$B$20,MATCH(TRIM(UPPER('query (2)'!C612)),Cleaning_Rules!$A$15:$A$20,0)),"UNKNOWN"))</f>
        <v>FACTORY3</v>
      </c>
      <c r="H612" s="25" t="str">
        <f>IF('query (2)'!C612="","",'query (2)'!C612)</f>
        <v>FACTORY3</v>
      </c>
      <c r="I612" s="24" t="str" cm="1">
        <f t="array" ref="I612">_xlfn.IFS($G612="UNKNOWN","UNKNOWN",OR($G612="FACTORY1",$G612="FACTORY2",$G612="FACTORY3"),"PLANT",TRUE,"SHARED")</f>
        <v>PLANT</v>
      </c>
      <c r="J612" s="24" t="str">
        <f>IF('query (2)'!D612="","UNKNOWN",IF(COUNTIF(Cleaning_Rules!$A$6:$A$11,TRIM('query (2)'!D612))&gt;0,"UNKNOWN",IFERROR(INDEX(Cleaning_Rules!$B$24:$B$28,MATCH(TRIM(UPPER('query (2)'!D612)),Cleaning_Rules!$A$24:$A$28,0)),TRIM(UPPER('query (2)'!D612)))))</f>
        <v>HUB3-1</v>
      </c>
      <c r="K612" s="25" t="str">
        <f>IF('query (2)'!D612="","",'query (2)'!D612)</f>
        <v>HUB3-1</v>
      </c>
      <c r="L612" s="24" t="str">
        <f>IF($J612="UNKNOWN","",_xlfn.TEXTBEFORE($J612,{"0","1","2","3","4","5","6","7","8","9"," ","-","."},1,,,$J612))</f>
        <v>HUB</v>
      </c>
      <c r="M612" s="24" t="str">
        <f>IF('query (2)'!I612&lt;&gt;"",TRIM(UPPER('query (2)'!I612)),IF($L612="","UNKNOWN",$L612))</f>
        <v>HUB</v>
      </c>
      <c r="N612" s="24" t="str">
        <f>IF('query (2)'!I612&lt;&gt;"","SOURCE",IF($L612="","UNKNOWN","DERIVED"))</f>
        <v>SOURCE</v>
      </c>
      <c r="O612" s="24" t="str">
        <f>IF('query (2)'!E612="","NOT_SPECIFIED",TRIM(UPPER('query (2)'!E612)))</f>
        <v>GRINDING 2</v>
      </c>
      <c r="P612" s="24" t="str">
        <f>IF('query (2)'!F612="","",TRIM(UPPER('query (2)'!F612)))</f>
        <v>1814-H31G</v>
      </c>
      <c r="Q612" s="24" t="str">
        <f>IF('query (2)'!G612="","UNKNOWN",IFERROR(INDEX(Cleaning_Rules!$B$38:$B$46,MATCH(TRIM(UPPER('query (2)'!G612)),Cleaning_Rules!$A$38:$A$46,0)),"UNKNOWN"))</f>
        <v>OTHER</v>
      </c>
      <c r="R612" s="24" t="str">
        <f>IF('query (2)'!H612="","",TRIM(UPPER('query (2)'!H612)))</f>
        <v>HUB3 OUTER RING GRINDING MACHINE.</v>
      </c>
      <c r="S612" s="25" t="str">
        <f>IF('query (2)'!H612="","",'query (2)'!H612)</f>
        <v>Hub3 outer ring grinding machine.</v>
      </c>
      <c r="T612" s="24" t="str">
        <f>IF('query (2)'!J612="","",TRIM(UPPER('query (2)'!J612)))</f>
        <v>HUB3 OUTER RING GRINDING MACHINE.</v>
      </c>
      <c r="U612" s="24" t="str">
        <f t="shared" si="66"/>
        <v/>
      </c>
      <c r="V612" s="24" t="str">
        <f>IF('query (2)'!K612="","NOT_SPECIFIED",IFERROR(INDEX(Cleaning_Rules!$B$32:$B$34,MATCH(TRIM(UPPER('query (2)'!K612)),Cleaning_Rules!$A$32:$A$34,0)),"UNKNOWN"))</f>
        <v>NOT_SPECIFIED</v>
      </c>
      <c r="W612" s="24" t="str">
        <f t="shared" si="67"/>
        <v>GR-391 | FACTORY3 | HUB3-1 | HUB | GRINDING 2 | 1814-H31G | OTHER | HUB3 OUTER RING GRINDING MACHINE. | HUB3 OUTER RING GRINDING MACHINE. | NOT_SPECIFIED</v>
      </c>
      <c r="X612" s="24" t="str">
        <f t="shared" si="68"/>
        <v/>
      </c>
      <c r="Y612" s="24" t="str">
        <f t="shared" si="69"/>
        <v>MISSING_STATUS; CATEGORY_NOT_USEFUL</v>
      </c>
    </row>
    <row r="613" spans="1:25" x14ac:dyDescent="0.3">
      <c r="A613" s="24" t="str">
        <f t="shared" si="63"/>
        <v>FI-392#0612</v>
      </c>
      <c r="B613" s="24" t="str">
        <f>IF('query (2)'!B613="","",TRIM(UPPER('query (2)'!B613)))</f>
        <v>FI-392</v>
      </c>
      <c r="C613" s="25" t="str">
        <f>IF('query (2)'!B613="","",'query (2)'!B613)</f>
        <v>FI-392</v>
      </c>
      <c r="D613" s="24" t="str">
        <f t="shared" si="64"/>
        <v>FI</v>
      </c>
      <c r="E613" s="24">
        <f t="shared" si="65"/>
        <v>1</v>
      </c>
      <c r="F613" s="24">
        <f>IF('query (2)'!A613="","",IFERROR(VALUE('query (2)'!A613),""))</f>
        <v>631</v>
      </c>
      <c r="G613" s="24" t="str">
        <f>IF('query (2)'!C613="","UNKNOWN",IFERROR(INDEX(Cleaning_Rules!$B$15:$B$20,MATCH(TRIM(UPPER('query (2)'!C613)),Cleaning_Rules!$A$15:$A$20,0)),"UNKNOWN"))</f>
        <v>FACTORY3</v>
      </c>
      <c r="H613" s="25" t="str">
        <f>IF('query (2)'!C613="","",'query (2)'!C613)</f>
        <v>FACTORY3</v>
      </c>
      <c r="I613" s="24" t="str" cm="1">
        <f t="array" ref="I613">_xlfn.IFS($G613="UNKNOWN","UNKNOWN",OR($G613="FACTORY1",$G613="FACTORY2",$G613="FACTORY3"),"PLANT",TRUE,"SHARED")</f>
        <v>PLANT</v>
      </c>
      <c r="J613" s="24" t="str">
        <f>IF('query (2)'!D613="","UNKNOWN",IF(COUNTIF(Cleaning_Rules!$A$6:$A$11,TRIM('query (2)'!D613))&gt;0,"UNKNOWN",IFERROR(INDEX(Cleaning_Rules!$B$24:$B$28,MATCH(TRIM(UPPER('query (2)'!D613)),Cleaning_Rules!$A$24:$A$28,0)),TRIM(UPPER('query (2)'!D613)))))</f>
        <v>HUB3-1</v>
      </c>
      <c r="K613" s="25" t="str">
        <f>IF('query (2)'!D613="","",'query (2)'!D613)</f>
        <v>HUB3-1</v>
      </c>
      <c r="L613" s="24" t="str">
        <f>IF($J613="UNKNOWN","",_xlfn.TEXTBEFORE($J613,{"0","1","2","3","4","5","6","7","8","9"," ","-","."},1,,,$J613))</f>
        <v>HUB</v>
      </c>
      <c r="M613" s="24" t="str">
        <f>IF('query (2)'!I613&lt;&gt;"",TRIM(UPPER('query (2)'!I613)),IF($L613="","UNKNOWN",$L613))</f>
        <v>HUB</v>
      </c>
      <c r="N613" s="24" t="str">
        <f>IF('query (2)'!I613&lt;&gt;"","SOURCE",IF($L613="","UNKNOWN","DERIVED"))</f>
        <v>SOURCE</v>
      </c>
      <c r="O613" s="24" t="str">
        <f>IF('query (2)'!E613="","NOT_SPECIFIED",TRIM(UPPER('query (2)'!E613)))</f>
        <v>GRINDING 2</v>
      </c>
      <c r="P613" s="24" t="str">
        <f>IF('query (2)'!F613="","",TRIM(UPPER('query (2)'!F613)))</f>
        <v>1814-H31G</v>
      </c>
      <c r="Q613" s="24" t="str">
        <f>IF('query (2)'!G613="","UNKNOWN",IFERROR(INDEX(Cleaning_Rules!$B$38:$B$46,MATCH(TRIM(UPPER('query (2)'!G613)),Cleaning_Rules!$A$38:$A$46,0)),"UNKNOWN"))</f>
        <v>OTHER</v>
      </c>
      <c r="R613" s="24" t="str">
        <f>IF('query (2)'!H613="","",TRIM(UPPER('query (2)'!H613)))</f>
        <v>MAGNET FILTER COOLANT TANK.</v>
      </c>
      <c r="S613" s="25" t="str">
        <f>IF('query (2)'!H613="","",'query (2)'!H613)</f>
        <v>Magnet filter coolant tank.</v>
      </c>
      <c r="T613" s="24" t="str">
        <f>IF('query (2)'!J613="","",TRIM(UPPER('query (2)'!J613)))</f>
        <v>MAGNET FILTER COOLANT TANK.</v>
      </c>
      <c r="U613" s="24" t="str">
        <f t="shared" si="66"/>
        <v/>
      </c>
      <c r="V613" s="24" t="str">
        <f>IF('query (2)'!K613="","NOT_SPECIFIED",IFERROR(INDEX(Cleaning_Rules!$B$32:$B$34,MATCH(TRIM(UPPER('query (2)'!K613)),Cleaning_Rules!$A$32:$A$34,0)),"UNKNOWN"))</f>
        <v>NOT_SPECIFIED</v>
      </c>
      <c r="W613" s="24" t="str">
        <f t="shared" si="67"/>
        <v>FI-392 | FACTORY3 | HUB3-1 | HUB | GRINDING 2 | 1814-H31G | OTHER | MAGNET FILTER COOLANT TANK. | MAGNET FILTER COOLANT TANK. | NOT_SPECIFIED</v>
      </c>
      <c r="X613" s="24" t="str">
        <f t="shared" si="68"/>
        <v/>
      </c>
      <c r="Y613" s="24" t="str">
        <f t="shared" si="69"/>
        <v>MISSING_STATUS; CATEGORY_NOT_USEFUL</v>
      </c>
    </row>
    <row r="614" spans="1:25" x14ac:dyDescent="0.3">
      <c r="A614" s="24" t="str">
        <f t="shared" si="63"/>
        <v>GR-396#0613</v>
      </c>
      <c r="B614" s="24" t="str">
        <f>IF('query (2)'!B614="","",TRIM(UPPER('query (2)'!B614)))</f>
        <v>GR-396</v>
      </c>
      <c r="C614" s="25" t="str">
        <f>IF('query (2)'!B614="","",'query (2)'!B614)</f>
        <v>GR-396</v>
      </c>
      <c r="D614" s="24" t="str">
        <f t="shared" si="64"/>
        <v>GR</v>
      </c>
      <c r="E614" s="24">
        <f t="shared" si="65"/>
        <v>1</v>
      </c>
      <c r="F614" s="24">
        <f>IF('query (2)'!A614="","",IFERROR(VALUE('query (2)'!A614),""))</f>
        <v>632</v>
      </c>
      <c r="G614" s="24" t="str">
        <f>IF('query (2)'!C614="","UNKNOWN",IFERROR(INDEX(Cleaning_Rules!$B$15:$B$20,MATCH(TRIM(UPPER('query (2)'!C614)),Cleaning_Rules!$A$15:$A$20,0)),"UNKNOWN"))</f>
        <v>FACTORY3</v>
      </c>
      <c r="H614" s="25" t="str">
        <f>IF('query (2)'!C614="","",'query (2)'!C614)</f>
        <v>FACTORY3</v>
      </c>
      <c r="I614" s="24" t="str" cm="1">
        <f t="array" ref="I614">_xlfn.IFS($G614="UNKNOWN","UNKNOWN",OR($G614="FACTORY1",$G614="FACTORY2",$G614="FACTORY3"),"PLANT",TRUE,"SHARED")</f>
        <v>PLANT</v>
      </c>
      <c r="J614" s="24" t="str">
        <f>IF('query (2)'!D614="","UNKNOWN",IF(COUNTIF(Cleaning_Rules!$A$6:$A$11,TRIM('query (2)'!D614))&gt;0,"UNKNOWN",IFERROR(INDEX(Cleaning_Rules!$B$24:$B$28,MATCH(TRIM(UPPER('query (2)'!D614)),Cleaning_Rules!$A$24:$A$28,0)),TRIM(UPPER('query (2)'!D614)))))</f>
        <v>HUB3-1</v>
      </c>
      <c r="K614" s="25" t="str">
        <f>IF('query (2)'!D614="","",'query (2)'!D614)</f>
        <v>HUB3-1</v>
      </c>
      <c r="L614" s="24" t="str">
        <f>IF($J614="UNKNOWN","",_xlfn.TEXTBEFORE($J614,{"0","1","2","3","4","5","6","7","8","9"," ","-","."},1,,,$J614))</f>
        <v>HUB</v>
      </c>
      <c r="M614" s="24" t="str">
        <f>IF('query (2)'!I614&lt;&gt;"",TRIM(UPPER('query (2)'!I614)),IF($L614="","UNKNOWN",$L614))</f>
        <v>HUB</v>
      </c>
      <c r="N614" s="24" t="str">
        <f>IF('query (2)'!I614&lt;&gt;"","SOURCE",IF($L614="","UNKNOWN","DERIVED"))</f>
        <v>SOURCE</v>
      </c>
      <c r="O614" s="24" t="str">
        <f>IF('query (2)'!E614="","NOT_SPECIFIED",TRIM(UPPER('query (2)'!E614)))</f>
        <v>GRINDING 2</v>
      </c>
      <c r="P614" s="24" t="str">
        <f>IF('query (2)'!F614="","",TRIM(UPPER('query (2)'!F614)))</f>
        <v>1814-H31G</v>
      </c>
      <c r="Q614" s="24" t="str">
        <f>IF('query (2)'!G614="","UNKNOWN",IFERROR(INDEX(Cleaning_Rules!$B$38:$B$46,MATCH(TRIM(UPPER('query (2)'!G614)),Cleaning_Rules!$A$38:$A$46,0)),"UNKNOWN"))</f>
        <v>OTHER</v>
      </c>
      <c r="R614" s="24" t="str">
        <f>IF('query (2)'!H614="","",TRIM(UPPER('query (2)'!H614)))</f>
        <v>B1 INNER RING GRINDING MACHINE.</v>
      </c>
      <c r="S614" s="25" t="str">
        <f>IF('query (2)'!H614="","",'query (2)'!H614)</f>
        <v>B1 inner ring grinding machine.</v>
      </c>
      <c r="T614" s="24" t="str">
        <f>IF('query (2)'!J614="","",TRIM(UPPER('query (2)'!J614)))</f>
        <v>B1 INNER RING GRINDING MACHINE.</v>
      </c>
      <c r="U614" s="24" t="str">
        <f t="shared" si="66"/>
        <v/>
      </c>
      <c r="V614" s="24" t="str">
        <f>IF('query (2)'!K614="","NOT_SPECIFIED",IFERROR(INDEX(Cleaning_Rules!$B$32:$B$34,MATCH(TRIM(UPPER('query (2)'!K614)),Cleaning_Rules!$A$32:$A$34,0)),"UNKNOWN"))</f>
        <v>NOT_SPECIFIED</v>
      </c>
      <c r="W614" s="24" t="str">
        <f t="shared" si="67"/>
        <v>GR-396 | FACTORY3 | HUB3-1 | HUB | GRINDING 2 | 1814-H31G | OTHER | B1 INNER RING GRINDING MACHINE. | B1 INNER RING GRINDING MACHINE. | NOT_SPECIFIED</v>
      </c>
      <c r="X614" s="24" t="str">
        <f t="shared" si="68"/>
        <v/>
      </c>
      <c r="Y614" s="24" t="str">
        <f t="shared" si="69"/>
        <v>MISSING_STATUS; CATEGORY_NOT_USEFUL</v>
      </c>
    </row>
    <row r="615" spans="1:25" x14ac:dyDescent="0.3">
      <c r="A615" s="24" t="str">
        <f t="shared" si="63"/>
        <v>GR-398#0614</v>
      </c>
      <c r="B615" s="24" t="str">
        <f>IF('query (2)'!B615="","",TRIM(UPPER('query (2)'!B615)))</f>
        <v>GR-398</v>
      </c>
      <c r="C615" s="25" t="str">
        <f>IF('query (2)'!B615="","",'query (2)'!B615)</f>
        <v>GR-398</v>
      </c>
      <c r="D615" s="24" t="str">
        <f t="shared" si="64"/>
        <v>GR</v>
      </c>
      <c r="E615" s="24">
        <f t="shared" si="65"/>
        <v>1</v>
      </c>
      <c r="F615" s="24">
        <f>IF('query (2)'!A615="","",IFERROR(VALUE('query (2)'!A615),""))</f>
        <v>633</v>
      </c>
      <c r="G615" s="24" t="str">
        <f>IF('query (2)'!C615="","UNKNOWN",IFERROR(INDEX(Cleaning_Rules!$B$15:$B$20,MATCH(TRIM(UPPER('query (2)'!C615)),Cleaning_Rules!$A$15:$A$20,0)),"UNKNOWN"))</f>
        <v>FACTORY3</v>
      </c>
      <c r="H615" s="25" t="str">
        <f>IF('query (2)'!C615="","",'query (2)'!C615)</f>
        <v>FACTORY3</v>
      </c>
      <c r="I615" s="24" t="str" cm="1">
        <f t="array" ref="I615">_xlfn.IFS($G615="UNKNOWN","UNKNOWN",OR($G615="FACTORY1",$G615="FACTORY2",$G615="FACTORY3"),"PLANT",TRUE,"SHARED")</f>
        <v>PLANT</v>
      </c>
      <c r="J615" s="24" t="str">
        <f>IF('query (2)'!D615="","UNKNOWN",IF(COUNTIF(Cleaning_Rules!$A$6:$A$11,TRIM('query (2)'!D615))&gt;0,"UNKNOWN",IFERROR(INDEX(Cleaning_Rules!$B$24:$B$28,MATCH(TRIM(UPPER('query (2)'!D615)),Cleaning_Rules!$A$24:$A$28,0)),TRIM(UPPER('query (2)'!D615)))))</f>
        <v>HUB3-1</v>
      </c>
      <c r="K615" s="25" t="str">
        <f>IF('query (2)'!D615="","",'query (2)'!D615)</f>
        <v>HUB3-1</v>
      </c>
      <c r="L615" s="24" t="str">
        <f>IF($J615="UNKNOWN","",_xlfn.TEXTBEFORE($J615,{"0","1","2","3","4","5","6","7","8","9"," ","-","."},1,,,$J615))</f>
        <v>HUB</v>
      </c>
      <c r="M615" s="24" t="str">
        <f>IF('query (2)'!I615&lt;&gt;"",TRIM(UPPER('query (2)'!I615)),IF($L615="","UNKNOWN",$L615))</f>
        <v>HUB</v>
      </c>
      <c r="N615" s="24" t="str">
        <f>IF('query (2)'!I615&lt;&gt;"","SOURCE",IF($L615="","UNKNOWN","DERIVED"))</f>
        <v>SOURCE</v>
      </c>
      <c r="O615" s="24" t="str">
        <f>IF('query (2)'!E615="","NOT_SPECIFIED",TRIM(UPPER('query (2)'!E615)))</f>
        <v>GRINDING 2</v>
      </c>
      <c r="P615" s="24" t="str">
        <f>IF('query (2)'!F615="","",TRIM(UPPER('query (2)'!F615)))</f>
        <v>1814-H31G</v>
      </c>
      <c r="Q615" s="24" t="str">
        <f>IF('query (2)'!G615="","UNKNOWN",IFERROR(INDEX(Cleaning_Rules!$B$38:$B$46,MATCH(TRIM(UPPER('query (2)'!G615)),Cleaning_Rules!$A$38:$A$46,0)),"UNKNOWN"))</f>
        <v>OTHER</v>
      </c>
      <c r="R615" s="24" t="str">
        <f>IF('query (2)'!H615="","",TRIM(UPPER('query (2)'!H615)))</f>
        <v>B1 INNER RING BORE GRINDING MACHINE.</v>
      </c>
      <c r="S615" s="25" t="str">
        <f>IF('query (2)'!H615="","",'query (2)'!H615)</f>
        <v>B1 inner ring bore grinding machine.</v>
      </c>
      <c r="T615" s="24" t="str">
        <f>IF('query (2)'!J615="","",TRIM(UPPER('query (2)'!J615)))</f>
        <v>B1 INNER RING BORE GRINDING MACHINE.</v>
      </c>
      <c r="U615" s="24" t="str">
        <f t="shared" si="66"/>
        <v/>
      </c>
      <c r="V615" s="24" t="str">
        <f>IF('query (2)'!K615="","NOT_SPECIFIED",IFERROR(INDEX(Cleaning_Rules!$B$32:$B$34,MATCH(TRIM(UPPER('query (2)'!K615)),Cleaning_Rules!$A$32:$A$34,0)),"UNKNOWN"))</f>
        <v>NOT_SPECIFIED</v>
      </c>
      <c r="W615" s="24" t="str">
        <f t="shared" si="67"/>
        <v>GR-398 | FACTORY3 | HUB3-1 | HUB | GRINDING 2 | 1814-H31G | OTHER | B1 INNER RING BORE GRINDING MACHINE. | B1 INNER RING BORE GRINDING MACHINE. | NOT_SPECIFIED</v>
      </c>
      <c r="X615" s="24" t="str">
        <f t="shared" si="68"/>
        <v/>
      </c>
      <c r="Y615" s="24" t="str">
        <f t="shared" si="69"/>
        <v>MISSING_STATUS; CATEGORY_NOT_USEFUL</v>
      </c>
    </row>
    <row r="616" spans="1:25" x14ac:dyDescent="0.3">
      <c r="A616" s="24" t="str">
        <f t="shared" si="63"/>
        <v>DE-399#0615</v>
      </c>
      <c r="B616" s="24" t="str">
        <f>IF('query (2)'!B616="","",TRIM(UPPER('query (2)'!B616)))</f>
        <v>DE-399</v>
      </c>
      <c r="C616" s="25" t="str">
        <f>IF('query (2)'!B616="","",'query (2)'!B616)</f>
        <v>DE-399</v>
      </c>
      <c r="D616" s="24" t="str">
        <f t="shared" si="64"/>
        <v>DE</v>
      </c>
      <c r="E616" s="24">
        <f t="shared" si="65"/>
        <v>1</v>
      </c>
      <c r="F616" s="24">
        <f>IF('query (2)'!A616="","",IFERROR(VALUE('query (2)'!A616),""))</f>
        <v>634</v>
      </c>
      <c r="G616" s="24" t="str">
        <f>IF('query (2)'!C616="","UNKNOWN",IFERROR(INDEX(Cleaning_Rules!$B$15:$B$20,MATCH(TRIM(UPPER('query (2)'!C616)),Cleaning_Rules!$A$15:$A$20,0)),"UNKNOWN"))</f>
        <v>FACTORY3</v>
      </c>
      <c r="H616" s="25" t="str">
        <f>IF('query (2)'!C616="","",'query (2)'!C616)</f>
        <v>FACTORY3</v>
      </c>
      <c r="I616" s="24" t="str" cm="1">
        <f t="array" ref="I616">_xlfn.IFS($G616="UNKNOWN","UNKNOWN",OR($G616="FACTORY1",$G616="FACTORY2",$G616="FACTORY3"),"PLANT",TRUE,"SHARED")</f>
        <v>PLANT</v>
      </c>
      <c r="J616" s="24" t="str">
        <f>IF('query (2)'!D616="","UNKNOWN",IF(COUNTIF(Cleaning_Rules!$A$6:$A$11,TRIM('query (2)'!D616))&gt;0,"UNKNOWN",IFERROR(INDEX(Cleaning_Rules!$B$24:$B$28,MATCH(TRIM(UPPER('query (2)'!D616)),Cleaning_Rules!$A$24:$A$28,0)),TRIM(UPPER('query (2)'!D616)))))</f>
        <v>HUB3-1</v>
      </c>
      <c r="K616" s="25" t="str">
        <f>IF('query (2)'!D616="","",'query (2)'!D616)</f>
        <v>HUB3-1</v>
      </c>
      <c r="L616" s="24" t="str">
        <f>IF($J616="UNKNOWN","",_xlfn.TEXTBEFORE($J616,{"0","1","2","3","4","5","6","7","8","9"," ","-","."},1,,,$J616))</f>
        <v>HUB</v>
      </c>
      <c r="M616" s="24" t="str">
        <f>IF('query (2)'!I616&lt;&gt;"",TRIM(UPPER('query (2)'!I616)),IF($L616="","UNKNOWN",$L616))</f>
        <v>HUB</v>
      </c>
      <c r="N616" s="24" t="str">
        <f>IF('query (2)'!I616&lt;&gt;"","SOURCE",IF($L616="","UNKNOWN","DERIVED"))</f>
        <v>SOURCE</v>
      </c>
      <c r="O616" s="24" t="str">
        <f>IF('query (2)'!E616="","NOT_SPECIFIED",TRIM(UPPER('query (2)'!E616)))</f>
        <v>GRINDING 2</v>
      </c>
      <c r="P616" s="24" t="str">
        <f>IF('query (2)'!F616="","",TRIM(UPPER('query (2)'!F616)))</f>
        <v>1814-H31G</v>
      </c>
      <c r="Q616" s="24" t="str">
        <f>IF('query (2)'!G616="","UNKNOWN",IFERROR(INDEX(Cleaning_Rules!$B$38:$B$46,MATCH(TRIM(UPPER('query (2)'!G616)),Cleaning_Rules!$A$38:$A$46,0)),"UNKNOWN"))</f>
        <v>OTHER</v>
      </c>
      <c r="R616" s="24" t="str">
        <f>IF('query (2)'!H616="","",TRIM(UPPER('query (2)'!H616)))</f>
        <v>B1 DEMAGNETIZER MACHINE.</v>
      </c>
      <c r="S616" s="25" t="str">
        <f>IF('query (2)'!H616="","",'query (2)'!H616)</f>
        <v>B1 demagnetizer machine.</v>
      </c>
      <c r="T616" s="24" t="str">
        <f>IF('query (2)'!J616="","",TRIM(UPPER('query (2)'!J616)))</f>
        <v>B1 DEMAGNETIZER MACHINE.</v>
      </c>
      <c r="U616" s="24" t="str">
        <f t="shared" si="66"/>
        <v/>
      </c>
      <c r="V616" s="24" t="str">
        <f>IF('query (2)'!K616="","NOT_SPECIFIED",IFERROR(INDEX(Cleaning_Rules!$B$32:$B$34,MATCH(TRIM(UPPER('query (2)'!K616)),Cleaning_Rules!$A$32:$A$34,0)),"UNKNOWN"))</f>
        <v>NOT_SPECIFIED</v>
      </c>
      <c r="W616" s="24" t="str">
        <f t="shared" si="67"/>
        <v>DE-399 | FACTORY3 | HUB3-1 | HUB | GRINDING 2 | 1814-H31G | OTHER | B1 DEMAGNETIZER MACHINE. | B1 DEMAGNETIZER MACHINE. | NOT_SPECIFIED</v>
      </c>
      <c r="X616" s="24" t="str">
        <f t="shared" si="68"/>
        <v/>
      </c>
      <c r="Y616" s="24" t="str">
        <f t="shared" si="69"/>
        <v>MISSING_STATUS; CATEGORY_NOT_USEFUL</v>
      </c>
    </row>
    <row r="617" spans="1:25" x14ac:dyDescent="0.3">
      <c r="A617" s="24" t="str">
        <f t="shared" si="63"/>
        <v>GR-400#0616</v>
      </c>
      <c r="B617" s="24" t="str">
        <f>IF('query (2)'!B617="","",TRIM(UPPER('query (2)'!B617)))</f>
        <v>GR-400</v>
      </c>
      <c r="C617" s="25" t="str">
        <f>IF('query (2)'!B617="","",'query (2)'!B617)</f>
        <v>GR-400</v>
      </c>
      <c r="D617" s="24" t="str">
        <f t="shared" si="64"/>
        <v>GR</v>
      </c>
      <c r="E617" s="24">
        <f t="shared" si="65"/>
        <v>1</v>
      </c>
      <c r="F617" s="24">
        <f>IF('query (2)'!A617="","",IFERROR(VALUE('query (2)'!A617),""))</f>
        <v>635</v>
      </c>
      <c r="G617" s="24" t="str">
        <f>IF('query (2)'!C617="","UNKNOWN",IFERROR(INDEX(Cleaning_Rules!$B$15:$B$20,MATCH(TRIM(UPPER('query (2)'!C617)),Cleaning_Rules!$A$15:$A$20,0)),"UNKNOWN"))</f>
        <v>FACTORY3</v>
      </c>
      <c r="H617" s="25" t="str">
        <f>IF('query (2)'!C617="","",'query (2)'!C617)</f>
        <v>FACTORY3</v>
      </c>
      <c r="I617" s="24" t="str" cm="1">
        <f t="array" ref="I617">_xlfn.IFS($G617="UNKNOWN","UNKNOWN",OR($G617="FACTORY1",$G617="FACTORY2",$G617="FACTORY3"),"PLANT",TRUE,"SHARED")</f>
        <v>PLANT</v>
      </c>
      <c r="J617" s="24" t="str">
        <f>IF('query (2)'!D617="","UNKNOWN",IF(COUNTIF(Cleaning_Rules!$A$6:$A$11,TRIM('query (2)'!D617))&gt;0,"UNKNOWN",IFERROR(INDEX(Cleaning_Rules!$B$24:$B$28,MATCH(TRIM(UPPER('query (2)'!D617)),Cleaning_Rules!$A$24:$A$28,0)),TRIM(UPPER('query (2)'!D617)))))</f>
        <v>HUB3-1</v>
      </c>
      <c r="K617" s="25" t="str">
        <f>IF('query (2)'!D617="","",'query (2)'!D617)</f>
        <v>HUB3-1</v>
      </c>
      <c r="L617" s="24" t="str">
        <f>IF($J617="UNKNOWN","",_xlfn.TEXTBEFORE($J617,{"0","1","2","3","4","5","6","7","8","9"," ","-","."},1,,,$J617))</f>
        <v>HUB</v>
      </c>
      <c r="M617" s="24" t="str">
        <f>IF('query (2)'!I617&lt;&gt;"",TRIM(UPPER('query (2)'!I617)),IF($L617="","UNKNOWN",$L617))</f>
        <v>HUB</v>
      </c>
      <c r="N617" s="24" t="str">
        <f>IF('query (2)'!I617&lt;&gt;"","SOURCE",IF($L617="","UNKNOWN","DERIVED"))</f>
        <v>SOURCE</v>
      </c>
      <c r="O617" s="24" t="str">
        <f>IF('query (2)'!E617="","NOT_SPECIFIED",TRIM(UPPER('query (2)'!E617)))</f>
        <v>GRINDING 2</v>
      </c>
      <c r="P617" s="24" t="str">
        <f>IF('query (2)'!F617="","",TRIM(UPPER('query (2)'!F617)))</f>
        <v>1814-H31G</v>
      </c>
      <c r="Q617" s="24" t="str">
        <f>IF('query (2)'!G617="","UNKNOWN",IFERROR(INDEX(Cleaning_Rules!$B$38:$B$46,MATCH(TRIM(UPPER('query (2)'!G617)),Cleaning_Rules!$A$38:$A$46,0)),"UNKNOWN"))</f>
        <v>OTHER</v>
      </c>
      <c r="R617" s="24" t="str">
        <f>IF('query (2)'!H617="","",TRIM(UPPER('query (2)'!H617)))</f>
        <v>B1 RACEWAY SUPER FINISH MACHINE.</v>
      </c>
      <c r="S617" s="25" t="str">
        <f>IF('query (2)'!H617="","",'query (2)'!H617)</f>
        <v>B1 raceway super finish machine.</v>
      </c>
      <c r="T617" s="24" t="str">
        <f>IF('query (2)'!J617="","",TRIM(UPPER('query (2)'!J617)))</f>
        <v>B1 RACEWAY SUPER FINISH MACHINE.</v>
      </c>
      <c r="U617" s="24" t="str">
        <f t="shared" si="66"/>
        <v/>
      </c>
      <c r="V617" s="24" t="str">
        <f>IF('query (2)'!K617="","NOT_SPECIFIED",IFERROR(INDEX(Cleaning_Rules!$B$32:$B$34,MATCH(TRIM(UPPER('query (2)'!K617)),Cleaning_Rules!$A$32:$A$34,0)),"UNKNOWN"))</f>
        <v>NOT_SPECIFIED</v>
      </c>
      <c r="W617" s="24" t="str">
        <f t="shared" si="67"/>
        <v>GR-400 | FACTORY3 | HUB3-1 | HUB | GRINDING 2 | 1814-H31G | OTHER | B1 RACEWAY SUPER FINISH MACHINE. | B1 RACEWAY SUPER FINISH MACHINE. | NOT_SPECIFIED</v>
      </c>
      <c r="X617" s="24" t="str">
        <f t="shared" si="68"/>
        <v/>
      </c>
      <c r="Y617" s="24" t="str">
        <f t="shared" si="69"/>
        <v>MISSING_STATUS; CATEGORY_NOT_USEFUL</v>
      </c>
    </row>
    <row r="618" spans="1:25" x14ac:dyDescent="0.3">
      <c r="A618" s="24" t="str">
        <f t="shared" si="63"/>
        <v>CH-402#0617</v>
      </c>
      <c r="B618" s="24" t="str">
        <f>IF('query (2)'!B618="","",TRIM(UPPER('query (2)'!B618)))</f>
        <v>CH-402</v>
      </c>
      <c r="C618" s="25" t="str">
        <f>IF('query (2)'!B618="","",'query (2)'!B618)</f>
        <v>CH-402</v>
      </c>
      <c r="D618" s="24" t="str">
        <f t="shared" si="64"/>
        <v>CH</v>
      </c>
      <c r="E618" s="24">
        <f t="shared" si="65"/>
        <v>1</v>
      </c>
      <c r="F618" s="24">
        <f>IF('query (2)'!A618="","",IFERROR(VALUE('query (2)'!A618),""))</f>
        <v>636</v>
      </c>
      <c r="G618" s="24" t="str">
        <f>IF('query (2)'!C618="","UNKNOWN",IFERROR(INDEX(Cleaning_Rules!$B$15:$B$20,MATCH(TRIM(UPPER('query (2)'!C618)),Cleaning_Rules!$A$15:$A$20,0)),"UNKNOWN"))</f>
        <v>FACTORY3</v>
      </c>
      <c r="H618" s="25" t="str">
        <f>IF('query (2)'!C618="","",'query (2)'!C618)</f>
        <v>FACTORY3</v>
      </c>
      <c r="I618" s="24" t="str" cm="1">
        <f t="array" ref="I618">_xlfn.IFS($G618="UNKNOWN","UNKNOWN",OR($G618="FACTORY1",$G618="FACTORY2",$G618="FACTORY3"),"PLANT",TRUE,"SHARED")</f>
        <v>PLANT</v>
      </c>
      <c r="J618" s="24" t="str">
        <f>IF('query (2)'!D618="","UNKNOWN",IF(COUNTIF(Cleaning_Rules!$A$6:$A$11,TRIM('query (2)'!D618))&gt;0,"UNKNOWN",IFERROR(INDEX(Cleaning_Rules!$B$24:$B$28,MATCH(TRIM(UPPER('query (2)'!D618)),Cleaning_Rules!$A$24:$A$28,0)),TRIM(UPPER('query (2)'!D618)))))</f>
        <v>HUB3-1</v>
      </c>
      <c r="K618" s="25" t="str">
        <f>IF('query (2)'!D618="","",'query (2)'!D618)</f>
        <v>HUB3-1</v>
      </c>
      <c r="L618" s="24" t="str">
        <f>IF($J618="UNKNOWN","",_xlfn.TEXTBEFORE($J618,{"0","1","2","3","4","5","6","7","8","9"," ","-","."},1,,,$J618))</f>
        <v>HUB</v>
      </c>
      <c r="M618" s="24" t="str">
        <f>IF('query (2)'!I618&lt;&gt;"",TRIM(UPPER('query (2)'!I618)),IF($L618="","UNKNOWN",$L618))</f>
        <v>HUB</v>
      </c>
      <c r="N618" s="24" t="str">
        <f>IF('query (2)'!I618&lt;&gt;"","SOURCE",IF($L618="","UNKNOWN","DERIVED"))</f>
        <v>SOURCE</v>
      </c>
      <c r="O618" s="24" t="str">
        <f>IF('query (2)'!E618="","NOT_SPECIFIED",TRIM(UPPER('query (2)'!E618)))</f>
        <v>ASSEMBLY</v>
      </c>
      <c r="P618" s="24" t="str">
        <f>IF('query (2)'!F618="","",TRIM(UPPER('query (2)'!F618)))</f>
        <v>1815-H31AI</v>
      </c>
      <c r="Q618" s="24" t="str">
        <f>IF('query (2)'!G618="","UNKNOWN",IFERROR(INDEX(Cleaning_Rules!$B$38:$B$46,MATCH(TRIM(UPPER('query (2)'!G618)),Cleaning_Rules!$A$38:$A$46,0)),"UNKNOWN"))</f>
        <v>OTHER</v>
      </c>
      <c r="R618" s="24" t="str">
        <f>IF('query (2)'!H618="","",TRIM(UPPER('query (2)'!H618)))</f>
        <v>EDDY CURRENT TESTER MACHINE.</v>
      </c>
      <c r="S618" s="25" t="str">
        <f>IF('query (2)'!H618="","",'query (2)'!H618)</f>
        <v>Eddy current tester machine.</v>
      </c>
      <c r="T618" s="24" t="str">
        <f>IF('query (2)'!J618="","",TRIM(UPPER('query (2)'!J618)))</f>
        <v>EDDY CURRENT TESTER MACHINE.</v>
      </c>
      <c r="U618" s="24" t="str">
        <f t="shared" si="66"/>
        <v/>
      </c>
      <c r="V618" s="24" t="str">
        <f>IF('query (2)'!K618="","NOT_SPECIFIED",IFERROR(INDEX(Cleaning_Rules!$B$32:$B$34,MATCH(TRIM(UPPER('query (2)'!K618)),Cleaning_Rules!$A$32:$A$34,0)),"UNKNOWN"))</f>
        <v>NOT_SPECIFIED</v>
      </c>
      <c r="W618" s="24" t="str">
        <f t="shared" si="67"/>
        <v>CH-402 | FACTORY3 | HUB3-1 | HUB | ASSEMBLY | 1815-H31AI | OTHER | EDDY CURRENT TESTER MACHINE. | EDDY CURRENT TESTER MACHINE. | NOT_SPECIFIED</v>
      </c>
      <c r="X618" s="24" t="str">
        <f t="shared" si="68"/>
        <v/>
      </c>
      <c r="Y618" s="24" t="str">
        <f t="shared" si="69"/>
        <v>MISSING_STATUS; CATEGORY_NOT_USEFUL</v>
      </c>
    </row>
    <row r="619" spans="1:25" x14ac:dyDescent="0.3">
      <c r="A619" s="24" t="str">
        <f t="shared" si="63"/>
        <v>CH-403#0618</v>
      </c>
      <c r="B619" s="24" t="str">
        <f>IF('query (2)'!B619="","",TRIM(UPPER('query (2)'!B619)))</f>
        <v>CH-403</v>
      </c>
      <c r="C619" s="25" t="str">
        <f>IF('query (2)'!B619="","",'query (2)'!B619)</f>
        <v>CH-403</v>
      </c>
      <c r="D619" s="24" t="str">
        <f t="shared" si="64"/>
        <v>CH</v>
      </c>
      <c r="E619" s="24">
        <f t="shared" si="65"/>
        <v>1</v>
      </c>
      <c r="F619" s="24">
        <f>IF('query (2)'!A619="","",IFERROR(VALUE('query (2)'!A619),""))</f>
        <v>637</v>
      </c>
      <c r="G619" s="24" t="str">
        <f>IF('query (2)'!C619="","UNKNOWN",IFERROR(INDEX(Cleaning_Rules!$B$15:$B$20,MATCH(TRIM(UPPER('query (2)'!C619)),Cleaning_Rules!$A$15:$A$20,0)),"UNKNOWN"))</f>
        <v>FACTORY3</v>
      </c>
      <c r="H619" s="25" t="str">
        <f>IF('query (2)'!C619="","",'query (2)'!C619)</f>
        <v>FACTORY3</v>
      </c>
      <c r="I619" s="24" t="str" cm="1">
        <f t="array" ref="I619">_xlfn.IFS($G619="UNKNOWN","UNKNOWN",OR($G619="FACTORY1",$G619="FACTORY2",$G619="FACTORY3"),"PLANT",TRUE,"SHARED")</f>
        <v>PLANT</v>
      </c>
      <c r="J619" s="24" t="str">
        <f>IF('query (2)'!D619="","UNKNOWN",IF(COUNTIF(Cleaning_Rules!$A$6:$A$11,TRIM('query (2)'!D619))&gt;0,"UNKNOWN",IFERROR(INDEX(Cleaning_Rules!$B$24:$B$28,MATCH(TRIM(UPPER('query (2)'!D619)),Cleaning_Rules!$A$24:$A$28,0)),TRIM(UPPER('query (2)'!D619)))))</f>
        <v>HUB3-1</v>
      </c>
      <c r="K619" s="25" t="str">
        <f>IF('query (2)'!D619="","",'query (2)'!D619)</f>
        <v>HUB3-1</v>
      </c>
      <c r="L619" s="24" t="str">
        <f>IF($J619="UNKNOWN","",_xlfn.TEXTBEFORE($J619,{"0","1","2","3","4","5","6","7","8","9"," ","-","."},1,,,$J619))</f>
        <v>HUB</v>
      </c>
      <c r="M619" s="24" t="str">
        <f>IF('query (2)'!I619&lt;&gt;"",TRIM(UPPER('query (2)'!I619)),IF($L619="","UNKNOWN",$L619))</f>
        <v>HUB</v>
      </c>
      <c r="N619" s="24" t="str">
        <f>IF('query (2)'!I619&lt;&gt;"","SOURCE",IF($L619="","UNKNOWN","DERIVED"))</f>
        <v>SOURCE</v>
      </c>
      <c r="O619" s="24" t="str">
        <f>IF('query (2)'!E619="","NOT_SPECIFIED",TRIM(UPPER('query (2)'!E619)))</f>
        <v>ASSEMBLY</v>
      </c>
      <c r="P619" s="24" t="str">
        <f>IF('query (2)'!F619="","",TRIM(UPPER('query (2)'!F619)))</f>
        <v>1815-H31AI</v>
      </c>
      <c r="Q619" s="24" t="str">
        <f>IF('query (2)'!G619="","UNKNOWN",IFERROR(INDEX(Cleaning_Rules!$B$38:$B$46,MATCH(TRIM(UPPER('query (2)'!G619)),Cleaning_Rules!$A$38:$A$46,0)),"UNKNOWN"))</f>
        <v>OTHER</v>
      </c>
      <c r="R619" s="24" t="str">
        <f>IF('query (2)'!H619="","",TRIM(UPPER('query (2)'!H619)))</f>
        <v>A , B2 &amp;B1 CONTACT PITCH MEASURING MACHINE.</v>
      </c>
      <c r="S619" s="25" t="str">
        <f>IF('query (2)'!H619="","",'query (2)'!H619)</f>
        <v>A , B2 &amp;B1 Contact pitch measuring machine.</v>
      </c>
      <c r="T619" s="24" t="str">
        <f>IF('query (2)'!J619="","",TRIM(UPPER('query (2)'!J619)))</f>
        <v>A , B2 &amp;B1 CONTACT PITCH MEASURING MACHINE.</v>
      </c>
      <c r="U619" s="24" t="str">
        <f t="shared" si="66"/>
        <v/>
      </c>
      <c r="V619" s="24" t="str">
        <f>IF('query (2)'!K619="","NOT_SPECIFIED",IFERROR(INDEX(Cleaning_Rules!$B$32:$B$34,MATCH(TRIM(UPPER('query (2)'!K619)),Cleaning_Rules!$A$32:$A$34,0)),"UNKNOWN"))</f>
        <v>NOT_SPECIFIED</v>
      </c>
      <c r="W619" s="24" t="str">
        <f t="shared" si="67"/>
        <v>CH-403 | FACTORY3 | HUB3-1 | HUB | ASSEMBLY | 1815-H31AI | OTHER | A , B2 &amp;B1 CONTACT PITCH MEASURING MACHINE. | A , B2 &amp;B1 CONTACT PITCH MEASURING MACHINE. | NOT_SPECIFIED</v>
      </c>
      <c r="X619" s="24" t="str">
        <f t="shared" si="68"/>
        <v/>
      </c>
      <c r="Y619" s="24" t="str">
        <f t="shared" si="69"/>
        <v>MISSING_STATUS; CATEGORY_NOT_USEFUL</v>
      </c>
    </row>
    <row r="620" spans="1:25" x14ac:dyDescent="0.3">
      <c r="A620" s="24" t="str">
        <f t="shared" si="63"/>
        <v>AS-404#0619</v>
      </c>
      <c r="B620" s="24" t="str">
        <f>IF('query (2)'!B620="","",TRIM(UPPER('query (2)'!B620)))</f>
        <v>AS-404</v>
      </c>
      <c r="C620" s="25" t="str">
        <f>IF('query (2)'!B620="","",'query (2)'!B620)</f>
        <v>AS-404</v>
      </c>
      <c r="D620" s="24" t="str">
        <f t="shared" si="64"/>
        <v>AS</v>
      </c>
      <c r="E620" s="24">
        <f t="shared" si="65"/>
        <v>1</v>
      </c>
      <c r="F620" s="24">
        <f>IF('query (2)'!A620="","",IFERROR(VALUE('query (2)'!A620),""))</f>
        <v>638</v>
      </c>
      <c r="G620" s="24" t="str">
        <f>IF('query (2)'!C620="","UNKNOWN",IFERROR(INDEX(Cleaning_Rules!$B$15:$B$20,MATCH(TRIM(UPPER('query (2)'!C620)),Cleaning_Rules!$A$15:$A$20,0)),"UNKNOWN"))</f>
        <v>FACTORY3</v>
      </c>
      <c r="H620" s="25" t="str">
        <f>IF('query (2)'!C620="","",'query (2)'!C620)</f>
        <v>FACTORY3</v>
      </c>
      <c r="I620" s="24" t="str" cm="1">
        <f t="array" ref="I620">_xlfn.IFS($G620="UNKNOWN","UNKNOWN",OR($G620="FACTORY1",$G620="FACTORY2",$G620="FACTORY3"),"PLANT",TRUE,"SHARED")</f>
        <v>PLANT</v>
      </c>
      <c r="J620" s="24" t="str">
        <f>IF('query (2)'!D620="","UNKNOWN",IF(COUNTIF(Cleaning_Rules!$A$6:$A$11,TRIM('query (2)'!D620))&gt;0,"UNKNOWN",IFERROR(INDEX(Cleaning_Rules!$B$24:$B$28,MATCH(TRIM(UPPER('query (2)'!D620)),Cleaning_Rules!$A$24:$A$28,0)),TRIM(UPPER('query (2)'!D620)))))</f>
        <v>HUB3-1</v>
      </c>
      <c r="K620" s="25" t="str">
        <f>IF('query (2)'!D620="","",'query (2)'!D620)</f>
        <v>HUB3-1</v>
      </c>
      <c r="L620" s="24" t="str">
        <f>IF($J620="UNKNOWN","",_xlfn.TEXTBEFORE($J620,{"0","1","2","3","4","5","6","7","8","9"," ","-","."},1,,,$J620))</f>
        <v>HUB</v>
      </c>
      <c r="M620" s="24" t="str">
        <f>IF('query (2)'!I620&lt;&gt;"",TRIM(UPPER('query (2)'!I620)),IF($L620="","UNKNOWN",$L620))</f>
        <v>HUB</v>
      </c>
      <c r="N620" s="24" t="str">
        <f>IF('query (2)'!I620&lt;&gt;"","SOURCE",IF($L620="","UNKNOWN","DERIVED"))</f>
        <v>SOURCE</v>
      </c>
      <c r="O620" s="24" t="str">
        <f>IF('query (2)'!E620="","NOT_SPECIFIED",TRIM(UPPER('query (2)'!E620)))</f>
        <v>ASSEMBLY</v>
      </c>
      <c r="P620" s="24" t="str">
        <f>IF('query (2)'!F620="","",TRIM(UPPER('query (2)'!F620)))</f>
        <v>1815-H31AI</v>
      </c>
      <c r="Q620" s="24" t="str">
        <f>IF('query (2)'!G620="","UNKNOWN",IFERROR(INDEX(Cleaning_Rules!$B$38:$B$46,MATCH(TRIM(UPPER('query (2)'!G620)),Cleaning_Rules!$A$38:$A$46,0)),"UNKNOWN"))</f>
        <v>OTHER</v>
      </c>
      <c r="R620" s="24" t="str">
        <f>IF('query (2)'!H620="","",TRIM(UPPER('query (2)'!H620)))</f>
        <v>GREASE INJECTION MACHINE.</v>
      </c>
      <c r="S620" s="25" t="str">
        <f>IF('query (2)'!H620="","",'query (2)'!H620)</f>
        <v>Grease injection machine.</v>
      </c>
      <c r="T620" s="24" t="str">
        <f>IF('query (2)'!J620="","",TRIM(UPPER('query (2)'!J620)))</f>
        <v>GREASE INJECTION MACHINE.</v>
      </c>
      <c r="U620" s="24" t="str">
        <f t="shared" si="66"/>
        <v/>
      </c>
      <c r="V620" s="24" t="str">
        <f>IF('query (2)'!K620="","NOT_SPECIFIED",IFERROR(INDEX(Cleaning_Rules!$B$32:$B$34,MATCH(TRIM(UPPER('query (2)'!K620)),Cleaning_Rules!$A$32:$A$34,0)),"UNKNOWN"))</f>
        <v>NOT_SPECIFIED</v>
      </c>
      <c r="W620" s="24" t="str">
        <f t="shared" si="67"/>
        <v>AS-404 | FACTORY3 | HUB3-1 | HUB | ASSEMBLY | 1815-H31AI | OTHER | GREASE INJECTION MACHINE. | GREASE INJECTION MACHINE. | NOT_SPECIFIED</v>
      </c>
      <c r="X620" s="24" t="str">
        <f t="shared" si="68"/>
        <v/>
      </c>
      <c r="Y620" s="24" t="str">
        <f t="shared" si="69"/>
        <v>MISSING_STATUS; CATEGORY_NOT_USEFUL</v>
      </c>
    </row>
    <row r="621" spans="1:25" x14ac:dyDescent="0.3">
      <c r="A621" s="24" t="str">
        <f t="shared" si="63"/>
        <v>AS-405#0620</v>
      </c>
      <c r="B621" s="24" t="str">
        <f>IF('query (2)'!B621="","",TRIM(UPPER('query (2)'!B621)))</f>
        <v>AS-405</v>
      </c>
      <c r="C621" s="25" t="str">
        <f>IF('query (2)'!B621="","",'query (2)'!B621)</f>
        <v>AS-405</v>
      </c>
      <c r="D621" s="24" t="str">
        <f t="shared" si="64"/>
        <v>AS</v>
      </c>
      <c r="E621" s="24">
        <f t="shared" si="65"/>
        <v>1</v>
      </c>
      <c r="F621" s="24">
        <f>IF('query (2)'!A621="","",IFERROR(VALUE('query (2)'!A621),""))</f>
        <v>639</v>
      </c>
      <c r="G621" s="24" t="str">
        <f>IF('query (2)'!C621="","UNKNOWN",IFERROR(INDEX(Cleaning_Rules!$B$15:$B$20,MATCH(TRIM(UPPER('query (2)'!C621)),Cleaning_Rules!$A$15:$A$20,0)),"UNKNOWN"))</f>
        <v>FACTORY3</v>
      </c>
      <c r="H621" s="25" t="str">
        <f>IF('query (2)'!C621="","",'query (2)'!C621)</f>
        <v>FACTORY3</v>
      </c>
      <c r="I621" s="24" t="str" cm="1">
        <f t="array" ref="I621">_xlfn.IFS($G621="UNKNOWN","UNKNOWN",OR($G621="FACTORY1",$G621="FACTORY2",$G621="FACTORY3"),"PLANT",TRUE,"SHARED")</f>
        <v>PLANT</v>
      </c>
      <c r="J621" s="24" t="str">
        <f>IF('query (2)'!D621="","UNKNOWN",IF(COUNTIF(Cleaning_Rules!$A$6:$A$11,TRIM('query (2)'!D621))&gt;0,"UNKNOWN",IFERROR(INDEX(Cleaning_Rules!$B$24:$B$28,MATCH(TRIM(UPPER('query (2)'!D621)),Cleaning_Rules!$A$24:$A$28,0)),TRIM(UPPER('query (2)'!D621)))))</f>
        <v>HUB3-1</v>
      </c>
      <c r="K621" s="25" t="str">
        <f>IF('query (2)'!D621="","",'query (2)'!D621)</f>
        <v>HUB3-1</v>
      </c>
      <c r="L621" s="24" t="str">
        <f>IF($J621="UNKNOWN","",_xlfn.TEXTBEFORE($J621,{"0","1","2","3","4","5","6","7","8","9"," ","-","."},1,,,$J621))</f>
        <v>HUB</v>
      </c>
      <c r="M621" s="24" t="str">
        <f>IF('query (2)'!I621&lt;&gt;"",TRIM(UPPER('query (2)'!I621)),IF($L621="","UNKNOWN",$L621))</f>
        <v>HUB</v>
      </c>
      <c r="N621" s="24" t="str">
        <f>IF('query (2)'!I621&lt;&gt;"","SOURCE",IF($L621="","UNKNOWN","DERIVED"))</f>
        <v>SOURCE</v>
      </c>
      <c r="O621" s="24" t="str">
        <f>IF('query (2)'!E621="","NOT_SPECIFIED",TRIM(UPPER('query (2)'!E621)))</f>
        <v>ASSEMBLY</v>
      </c>
      <c r="P621" s="24" t="str">
        <f>IF('query (2)'!F621="","",TRIM(UPPER('query (2)'!F621)))</f>
        <v>1815-H31AI</v>
      </c>
      <c r="Q621" s="24" t="str">
        <f>IF('query (2)'!G621="","UNKNOWN",IFERROR(INDEX(Cleaning_Rules!$B$38:$B$46,MATCH(TRIM(UPPER('query (2)'!G621)),Cleaning_Rules!$A$38:$A$46,0)),"UNKNOWN"))</f>
        <v>OTHER</v>
      </c>
      <c r="R621" s="24" t="str">
        <f>IF('query (2)'!H621="","",TRIM(UPPER('query (2)'!H621)))</f>
        <v>SEAL PRESS MACHINE.</v>
      </c>
      <c r="S621" s="25" t="str">
        <f>IF('query (2)'!H621="","",'query (2)'!H621)</f>
        <v>Seal press machine.</v>
      </c>
      <c r="T621" s="24" t="str">
        <f>IF('query (2)'!J621="","",TRIM(UPPER('query (2)'!J621)))</f>
        <v>SEAL PRESS MACHINE.</v>
      </c>
      <c r="U621" s="24" t="str">
        <f t="shared" si="66"/>
        <v/>
      </c>
      <c r="V621" s="24" t="str">
        <f>IF('query (2)'!K621="","NOT_SPECIFIED",IFERROR(INDEX(Cleaning_Rules!$B$32:$B$34,MATCH(TRIM(UPPER('query (2)'!K621)),Cleaning_Rules!$A$32:$A$34,0)),"UNKNOWN"))</f>
        <v>NOT_SPECIFIED</v>
      </c>
      <c r="W621" s="24" t="str">
        <f t="shared" si="67"/>
        <v>AS-405 | FACTORY3 | HUB3-1 | HUB | ASSEMBLY | 1815-H31AI | OTHER | SEAL PRESS MACHINE. | SEAL PRESS MACHINE. | NOT_SPECIFIED</v>
      </c>
      <c r="X621" s="24" t="str">
        <f t="shared" si="68"/>
        <v/>
      </c>
      <c r="Y621" s="24" t="str">
        <f t="shared" si="69"/>
        <v>MISSING_STATUS; CATEGORY_NOT_USEFUL</v>
      </c>
    </row>
    <row r="622" spans="1:25" x14ac:dyDescent="0.3">
      <c r="A622" s="24" t="str">
        <f t="shared" si="63"/>
        <v>CH-406#0621</v>
      </c>
      <c r="B622" s="24" t="str">
        <f>IF('query (2)'!B622="","",TRIM(UPPER('query (2)'!B622)))</f>
        <v>CH-406</v>
      </c>
      <c r="C622" s="25" t="str">
        <f>IF('query (2)'!B622="","",'query (2)'!B622)</f>
        <v>CH-406</v>
      </c>
      <c r="D622" s="24" t="str">
        <f t="shared" si="64"/>
        <v>CH</v>
      </c>
      <c r="E622" s="24">
        <f t="shared" si="65"/>
        <v>1</v>
      </c>
      <c r="F622" s="24">
        <f>IF('query (2)'!A622="","",IFERROR(VALUE('query (2)'!A622),""))</f>
        <v>640</v>
      </c>
      <c r="G622" s="24" t="str">
        <f>IF('query (2)'!C622="","UNKNOWN",IFERROR(INDEX(Cleaning_Rules!$B$15:$B$20,MATCH(TRIM(UPPER('query (2)'!C622)),Cleaning_Rules!$A$15:$A$20,0)),"UNKNOWN"))</f>
        <v>FACTORY3</v>
      </c>
      <c r="H622" s="25" t="str">
        <f>IF('query (2)'!C622="","",'query (2)'!C622)</f>
        <v>FACTORY3</v>
      </c>
      <c r="I622" s="24" t="str" cm="1">
        <f t="array" ref="I622">_xlfn.IFS($G622="UNKNOWN","UNKNOWN",OR($G622="FACTORY1",$G622="FACTORY2",$G622="FACTORY3"),"PLANT",TRUE,"SHARED")</f>
        <v>PLANT</v>
      </c>
      <c r="J622" s="24" t="str">
        <f>IF('query (2)'!D622="","UNKNOWN",IF(COUNTIF(Cleaning_Rules!$A$6:$A$11,TRIM('query (2)'!D622))&gt;0,"UNKNOWN",IFERROR(INDEX(Cleaning_Rules!$B$24:$B$28,MATCH(TRIM(UPPER('query (2)'!D622)),Cleaning_Rules!$A$24:$A$28,0)),TRIM(UPPER('query (2)'!D622)))))</f>
        <v>HUB3-1</v>
      </c>
      <c r="K622" s="25" t="str">
        <f>IF('query (2)'!D622="","",'query (2)'!D622)</f>
        <v>HUB3-1</v>
      </c>
      <c r="L622" s="24" t="str">
        <f>IF($J622="UNKNOWN","",_xlfn.TEXTBEFORE($J622,{"0","1","2","3","4","5","6","7","8","9"," ","-","."},1,,,$J622))</f>
        <v>HUB</v>
      </c>
      <c r="M622" s="24" t="str">
        <f>IF('query (2)'!I622&lt;&gt;"",TRIM(UPPER('query (2)'!I622)),IF($L622="","UNKNOWN",$L622))</f>
        <v>HUB</v>
      </c>
      <c r="N622" s="24" t="str">
        <f>IF('query (2)'!I622&lt;&gt;"","SOURCE",IF($L622="","UNKNOWN","DERIVED"))</f>
        <v>SOURCE</v>
      </c>
      <c r="O622" s="24" t="str">
        <f>IF('query (2)'!E622="","NOT_SPECIFIED",TRIM(UPPER('query (2)'!E622)))</f>
        <v>ASSEMBLY</v>
      </c>
      <c r="P622" s="24" t="str">
        <f>IF('query (2)'!F622="","",TRIM(UPPER('query (2)'!F622)))</f>
        <v>1815-H31AI</v>
      </c>
      <c r="Q622" s="24" t="str">
        <f>IF('query (2)'!G622="","UNKNOWN",IFERROR(INDEX(Cleaning_Rules!$B$38:$B$46,MATCH(TRIM(UPPER('query (2)'!G622)),Cleaning_Rules!$A$38:$A$46,0)),"UNKNOWN"))</f>
        <v>OTHER</v>
      </c>
      <c r="R622" s="24" t="str">
        <f>IF('query (2)'!H622="","",TRIM(UPPER('query (2)'!H622)))</f>
        <v>SEAL CHECKER MACHINE.</v>
      </c>
      <c r="S622" s="25" t="str">
        <f>IF('query (2)'!H622="","",'query (2)'!H622)</f>
        <v>Seal checker machine.</v>
      </c>
      <c r="T622" s="24" t="str">
        <f>IF('query (2)'!J622="","",TRIM(UPPER('query (2)'!J622)))</f>
        <v>SEAL CHECKER MACHINE.</v>
      </c>
      <c r="U622" s="24" t="str">
        <f t="shared" si="66"/>
        <v/>
      </c>
      <c r="V622" s="24" t="str">
        <f>IF('query (2)'!K622="","NOT_SPECIFIED",IFERROR(INDEX(Cleaning_Rules!$B$32:$B$34,MATCH(TRIM(UPPER('query (2)'!K622)),Cleaning_Rules!$A$32:$A$34,0)),"UNKNOWN"))</f>
        <v>NOT_SPECIFIED</v>
      </c>
      <c r="W622" s="24" t="str">
        <f t="shared" si="67"/>
        <v>CH-406 | FACTORY3 | HUB3-1 | HUB | ASSEMBLY | 1815-H31AI | OTHER | SEAL CHECKER MACHINE. | SEAL CHECKER MACHINE. | NOT_SPECIFIED</v>
      </c>
      <c r="X622" s="24" t="str">
        <f t="shared" si="68"/>
        <v/>
      </c>
      <c r="Y622" s="24" t="str">
        <f t="shared" si="69"/>
        <v>MISSING_STATUS; CATEGORY_NOT_USEFUL</v>
      </c>
    </row>
    <row r="623" spans="1:25" x14ac:dyDescent="0.3">
      <c r="A623" s="24" t="str">
        <f t="shared" si="63"/>
        <v>AS-407#0622</v>
      </c>
      <c r="B623" s="24" t="str">
        <f>IF('query (2)'!B623="","",TRIM(UPPER('query (2)'!B623)))</f>
        <v>AS-407</v>
      </c>
      <c r="C623" s="25" t="str">
        <f>IF('query (2)'!B623="","",'query (2)'!B623)</f>
        <v>AS-407</v>
      </c>
      <c r="D623" s="24" t="str">
        <f t="shared" si="64"/>
        <v>AS</v>
      </c>
      <c r="E623" s="24">
        <f t="shared" si="65"/>
        <v>1</v>
      </c>
      <c r="F623" s="24">
        <f>IF('query (2)'!A623="","",IFERROR(VALUE('query (2)'!A623),""))</f>
        <v>641</v>
      </c>
      <c r="G623" s="24" t="str">
        <f>IF('query (2)'!C623="","UNKNOWN",IFERROR(INDEX(Cleaning_Rules!$B$15:$B$20,MATCH(TRIM(UPPER('query (2)'!C623)),Cleaning_Rules!$A$15:$A$20,0)),"UNKNOWN"))</f>
        <v>FACTORY3</v>
      </c>
      <c r="H623" s="25" t="str">
        <f>IF('query (2)'!C623="","",'query (2)'!C623)</f>
        <v>FACTORY3</v>
      </c>
      <c r="I623" s="24" t="str" cm="1">
        <f t="array" ref="I623">_xlfn.IFS($G623="UNKNOWN","UNKNOWN",OR($G623="FACTORY1",$G623="FACTORY2",$G623="FACTORY3"),"PLANT",TRUE,"SHARED")</f>
        <v>PLANT</v>
      </c>
      <c r="J623" s="24" t="str">
        <f>IF('query (2)'!D623="","UNKNOWN",IF(COUNTIF(Cleaning_Rules!$A$6:$A$11,TRIM('query (2)'!D623))&gt;0,"UNKNOWN",IFERROR(INDEX(Cleaning_Rules!$B$24:$B$28,MATCH(TRIM(UPPER('query (2)'!D623)),Cleaning_Rules!$A$24:$A$28,0)),TRIM(UPPER('query (2)'!D623)))))</f>
        <v>HUB3-1</v>
      </c>
      <c r="K623" s="25" t="str">
        <f>IF('query (2)'!D623="","",'query (2)'!D623)</f>
        <v>HUB3-1</v>
      </c>
      <c r="L623" s="24" t="str">
        <f>IF($J623="UNKNOWN","",_xlfn.TEXTBEFORE($J623,{"0","1","2","3","4","5","6","7","8","9"," ","-","."},1,,,$J623))</f>
        <v>HUB</v>
      </c>
      <c r="M623" s="24" t="str">
        <f>IF('query (2)'!I623&lt;&gt;"",TRIM(UPPER('query (2)'!I623)),IF($L623="","UNKNOWN",$L623))</f>
        <v>HUB</v>
      </c>
      <c r="N623" s="24" t="str">
        <f>IF('query (2)'!I623&lt;&gt;"","SOURCE",IF($L623="","UNKNOWN","DERIVED"))</f>
        <v>SOURCE</v>
      </c>
      <c r="O623" s="24" t="str">
        <f>IF('query (2)'!E623="","NOT_SPECIFIED",TRIM(UPPER('query (2)'!E623)))</f>
        <v>ASSEMBLY</v>
      </c>
      <c r="P623" s="24" t="str">
        <f>IF('query (2)'!F623="","",TRIM(UPPER('query (2)'!F623)))</f>
        <v>1815-H31AI</v>
      </c>
      <c r="Q623" s="24" t="str">
        <f>IF('query (2)'!G623="","UNKNOWN",IFERROR(INDEX(Cleaning_Rules!$B$38:$B$46,MATCH(TRIM(UPPER('query (2)'!G623)),Cleaning_Rules!$A$38:$A$46,0)),"UNKNOWN"))</f>
        <v>OTHER</v>
      </c>
      <c r="R623" s="24" t="str">
        <f>IF('query (2)'!H623="","",TRIM(UPPER('query (2)'!H623)))</f>
        <v>INNER RING PRESS MACHINE.</v>
      </c>
      <c r="S623" s="25" t="str">
        <f>IF('query (2)'!H623="","",'query (2)'!H623)</f>
        <v>Inner ring press machine.</v>
      </c>
      <c r="T623" s="24" t="str">
        <f>IF('query (2)'!J623="","",TRIM(UPPER('query (2)'!J623)))</f>
        <v>INNER RING PRESS MACHINE.</v>
      </c>
      <c r="U623" s="24" t="str">
        <f t="shared" si="66"/>
        <v/>
      </c>
      <c r="V623" s="24" t="str">
        <f>IF('query (2)'!K623="","NOT_SPECIFIED",IFERROR(INDEX(Cleaning_Rules!$B$32:$B$34,MATCH(TRIM(UPPER('query (2)'!K623)),Cleaning_Rules!$A$32:$A$34,0)),"UNKNOWN"))</f>
        <v>NOT_SPECIFIED</v>
      </c>
      <c r="W623" s="24" t="str">
        <f t="shared" si="67"/>
        <v>AS-407 | FACTORY3 | HUB3-1 | HUB | ASSEMBLY | 1815-H31AI | OTHER | INNER RING PRESS MACHINE. | INNER RING PRESS MACHINE. | NOT_SPECIFIED</v>
      </c>
      <c r="X623" s="24" t="str">
        <f t="shared" si="68"/>
        <v/>
      </c>
      <c r="Y623" s="24" t="str">
        <f t="shared" si="69"/>
        <v>MISSING_STATUS; CATEGORY_NOT_USEFUL</v>
      </c>
    </row>
    <row r="624" spans="1:25" x14ac:dyDescent="0.3">
      <c r="A624" s="24" t="str">
        <f t="shared" si="63"/>
        <v>AS-408#0623</v>
      </c>
      <c r="B624" s="24" t="str">
        <f>IF('query (2)'!B624="","",TRIM(UPPER('query (2)'!B624)))</f>
        <v>AS-408</v>
      </c>
      <c r="C624" s="25" t="str">
        <f>IF('query (2)'!B624="","",'query (2)'!B624)</f>
        <v>AS-408</v>
      </c>
      <c r="D624" s="24" t="str">
        <f t="shared" si="64"/>
        <v>AS</v>
      </c>
      <c r="E624" s="24">
        <f t="shared" si="65"/>
        <v>1</v>
      </c>
      <c r="F624" s="24">
        <f>IF('query (2)'!A624="","",IFERROR(VALUE('query (2)'!A624),""))</f>
        <v>642</v>
      </c>
      <c r="G624" s="24" t="str">
        <f>IF('query (2)'!C624="","UNKNOWN",IFERROR(INDEX(Cleaning_Rules!$B$15:$B$20,MATCH(TRIM(UPPER('query (2)'!C624)),Cleaning_Rules!$A$15:$A$20,0)),"UNKNOWN"))</f>
        <v>FACTORY3</v>
      </c>
      <c r="H624" s="25" t="str">
        <f>IF('query (2)'!C624="","",'query (2)'!C624)</f>
        <v>FACTORY3</v>
      </c>
      <c r="I624" s="24" t="str" cm="1">
        <f t="array" ref="I624">_xlfn.IFS($G624="UNKNOWN","UNKNOWN",OR($G624="FACTORY1",$G624="FACTORY2",$G624="FACTORY3"),"PLANT",TRUE,"SHARED")</f>
        <v>PLANT</v>
      </c>
      <c r="J624" s="24" t="str">
        <f>IF('query (2)'!D624="","UNKNOWN",IF(COUNTIF(Cleaning_Rules!$A$6:$A$11,TRIM('query (2)'!D624))&gt;0,"UNKNOWN",IFERROR(INDEX(Cleaning_Rules!$B$24:$B$28,MATCH(TRIM(UPPER('query (2)'!D624)),Cleaning_Rules!$A$24:$A$28,0)),TRIM(UPPER('query (2)'!D624)))))</f>
        <v>HUB3-1</v>
      </c>
      <c r="K624" s="25" t="str">
        <f>IF('query (2)'!D624="","",'query (2)'!D624)</f>
        <v>HUB3-1</v>
      </c>
      <c r="L624" s="24" t="str">
        <f>IF($J624="UNKNOWN","",_xlfn.TEXTBEFORE($J624,{"0","1","2","3","4","5","6","7","8","9"," ","-","."},1,,,$J624))</f>
        <v>HUB</v>
      </c>
      <c r="M624" s="24" t="str">
        <f>IF('query (2)'!I624&lt;&gt;"",TRIM(UPPER('query (2)'!I624)),IF($L624="","UNKNOWN",$L624))</f>
        <v>HUB</v>
      </c>
      <c r="N624" s="24" t="str">
        <f>IF('query (2)'!I624&lt;&gt;"","SOURCE",IF($L624="","UNKNOWN","DERIVED"))</f>
        <v>SOURCE</v>
      </c>
      <c r="O624" s="24" t="str">
        <f>IF('query (2)'!E624="","NOT_SPECIFIED",TRIM(UPPER('query (2)'!E624)))</f>
        <v>ASSEMBLY</v>
      </c>
      <c r="P624" s="24" t="str">
        <f>IF('query (2)'!F624="","",TRIM(UPPER('query (2)'!F624)))</f>
        <v>1815-H31AI</v>
      </c>
      <c r="Q624" s="24" t="str">
        <f>IF('query (2)'!G624="","UNKNOWN",IFERROR(INDEX(Cleaning_Rules!$B$38:$B$46,MATCH(TRIM(UPPER('query (2)'!G624)),Cleaning_Rules!$A$38:$A$46,0)),"UNKNOWN"))</f>
        <v>OTHER</v>
      </c>
      <c r="R624" s="24" t="str">
        <f>IF('query (2)'!H624="","",TRIM(UPPER('query (2)'!H624)))</f>
        <v>SWING PRESS MACHINE.</v>
      </c>
      <c r="S624" s="25" t="str">
        <f>IF('query (2)'!H624="","",'query (2)'!H624)</f>
        <v>Swing press machine.</v>
      </c>
      <c r="T624" s="24" t="str">
        <f>IF('query (2)'!J624="","",TRIM(UPPER('query (2)'!J624)))</f>
        <v>SWING PRESS MACHINE.</v>
      </c>
      <c r="U624" s="24" t="str">
        <f t="shared" si="66"/>
        <v/>
      </c>
      <c r="V624" s="24" t="str">
        <f>IF('query (2)'!K624="","NOT_SPECIFIED",IFERROR(INDEX(Cleaning_Rules!$B$32:$B$34,MATCH(TRIM(UPPER('query (2)'!K624)),Cleaning_Rules!$A$32:$A$34,0)),"UNKNOWN"))</f>
        <v>NOT_SPECIFIED</v>
      </c>
      <c r="W624" s="24" t="str">
        <f t="shared" si="67"/>
        <v>AS-408 | FACTORY3 | HUB3-1 | HUB | ASSEMBLY | 1815-H31AI | OTHER | SWING PRESS MACHINE. | SWING PRESS MACHINE. | NOT_SPECIFIED</v>
      </c>
      <c r="X624" s="24" t="str">
        <f t="shared" si="68"/>
        <v/>
      </c>
      <c r="Y624" s="24" t="str">
        <f t="shared" si="69"/>
        <v>MISSING_STATUS; CATEGORY_NOT_USEFUL</v>
      </c>
    </row>
    <row r="625" spans="1:25" x14ac:dyDescent="0.3">
      <c r="A625" s="24" t="str">
        <f t="shared" si="63"/>
        <v>CH-409#0624</v>
      </c>
      <c r="B625" s="24" t="str">
        <f>IF('query (2)'!B625="","",TRIM(UPPER('query (2)'!B625)))</f>
        <v>CH-409</v>
      </c>
      <c r="C625" s="25" t="str">
        <f>IF('query (2)'!B625="","",'query (2)'!B625)</f>
        <v>CH-409</v>
      </c>
      <c r="D625" s="24" t="str">
        <f t="shared" si="64"/>
        <v>CH</v>
      </c>
      <c r="E625" s="24">
        <f t="shared" si="65"/>
        <v>1</v>
      </c>
      <c r="F625" s="24">
        <f>IF('query (2)'!A625="","",IFERROR(VALUE('query (2)'!A625),""))</f>
        <v>643</v>
      </c>
      <c r="G625" s="24" t="str">
        <f>IF('query (2)'!C625="","UNKNOWN",IFERROR(INDEX(Cleaning_Rules!$B$15:$B$20,MATCH(TRIM(UPPER('query (2)'!C625)),Cleaning_Rules!$A$15:$A$20,0)),"UNKNOWN"))</f>
        <v>FACTORY3</v>
      </c>
      <c r="H625" s="25" t="str">
        <f>IF('query (2)'!C625="","",'query (2)'!C625)</f>
        <v>FACTORY3</v>
      </c>
      <c r="I625" s="24" t="str" cm="1">
        <f t="array" ref="I625">_xlfn.IFS($G625="UNKNOWN","UNKNOWN",OR($G625="FACTORY1",$G625="FACTORY2",$G625="FACTORY3"),"PLANT",TRUE,"SHARED")</f>
        <v>PLANT</v>
      </c>
      <c r="J625" s="24" t="str">
        <f>IF('query (2)'!D625="","UNKNOWN",IF(COUNTIF(Cleaning_Rules!$A$6:$A$11,TRIM('query (2)'!D625))&gt;0,"UNKNOWN",IFERROR(INDEX(Cleaning_Rules!$B$24:$B$28,MATCH(TRIM(UPPER('query (2)'!D625)),Cleaning_Rules!$A$24:$A$28,0)),TRIM(UPPER('query (2)'!D625)))))</f>
        <v>HUB3-1</v>
      </c>
      <c r="K625" s="25" t="str">
        <f>IF('query (2)'!D625="","",'query (2)'!D625)</f>
        <v>HUB3-1</v>
      </c>
      <c r="L625" s="24" t="str">
        <f>IF($J625="UNKNOWN","",_xlfn.TEXTBEFORE($J625,{"0","1","2","3","4","5","6","7","8","9"," ","-","."},1,,,$J625))</f>
        <v>HUB</v>
      </c>
      <c r="M625" s="24" t="str">
        <f>IF('query (2)'!I625&lt;&gt;"",TRIM(UPPER('query (2)'!I625)),IF($L625="","UNKNOWN",$L625))</f>
        <v>HUB</v>
      </c>
      <c r="N625" s="24" t="str">
        <f>IF('query (2)'!I625&lt;&gt;"","SOURCE",IF($L625="","UNKNOWN","DERIVED"))</f>
        <v>SOURCE</v>
      </c>
      <c r="O625" s="24" t="str">
        <f>IF('query (2)'!E625="","NOT_SPECIFIED",TRIM(UPPER('query (2)'!E625)))</f>
        <v>ASSEMBLY</v>
      </c>
      <c r="P625" s="24" t="str">
        <f>IF('query (2)'!F625="","",TRIM(UPPER('query (2)'!F625)))</f>
        <v>1815-H31AI</v>
      </c>
      <c r="Q625" s="24" t="str">
        <f>IF('query (2)'!G625="","UNKNOWN",IFERROR(INDEX(Cleaning_Rules!$B$38:$B$46,MATCH(TRIM(UPPER('query (2)'!G625)),Cleaning_Rules!$A$38:$A$46,0)),"UNKNOWN"))</f>
        <v>OTHER</v>
      </c>
      <c r="R625" s="24" t="str">
        <f>IF('query (2)'!H625="","",TRIM(UPPER('query (2)'!H625)))</f>
        <v>VIBRATION TESTING MACHINE.</v>
      </c>
      <c r="S625" s="25" t="str">
        <f>IF('query (2)'!H625="","",'query (2)'!H625)</f>
        <v>Vibration testing machine.</v>
      </c>
      <c r="T625" s="24" t="str">
        <f>IF('query (2)'!J625="","",TRIM(UPPER('query (2)'!J625)))</f>
        <v>VIBRATION TESTING MACHINE.</v>
      </c>
      <c r="U625" s="24" t="str">
        <f t="shared" si="66"/>
        <v/>
      </c>
      <c r="V625" s="24" t="str">
        <f>IF('query (2)'!K625="","NOT_SPECIFIED",IFERROR(INDEX(Cleaning_Rules!$B$32:$B$34,MATCH(TRIM(UPPER('query (2)'!K625)),Cleaning_Rules!$A$32:$A$34,0)),"UNKNOWN"))</f>
        <v>NOT_SPECIFIED</v>
      </c>
      <c r="W625" s="24" t="str">
        <f t="shared" si="67"/>
        <v>CH-409 | FACTORY3 | HUB3-1 | HUB | ASSEMBLY | 1815-H31AI | OTHER | VIBRATION TESTING MACHINE. | VIBRATION TESTING MACHINE. | NOT_SPECIFIED</v>
      </c>
      <c r="X625" s="24" t="str">
        <f t="shared" si="68"/>
        <v/>
      </c>
      <c r="Y625" s="24" t="str">
        <f t="shared" si="69"/>
        <v>MISSING_STATUS; CATEGORY_NOT_USEFUL</v>
      </c>
    </row>
    <row r="626" spans="1:25" x14ac:dyDescent="0.3">
      <c r="A626" s="24" t="str">
        <f t="shared" si="63"/>
        <v>CH-410#0625</v>
      </c>
      <c r="B626" s="24" t="str">
        <f>IF('query (2)'!B626="","",TRIM(UPPER('query (2)'!B626)))</f>
        <v>CH-410</v>
      </c>
      <c r="C626" s="25" t="str">
        <f>IF('query (2)'!B626="","",'query (2)'!B626)</f>
        <v>CH-410</v>
      </c>
      <c r="D626" s="24" t="str">
        <f t="shared" si="64"/>
        <v>CH</v>
      </c>
      <c r="E626" s="24">
        <f t="shared" si="65"/>
        <v>1</v>
      </c>
      <c r="F626" s="24">
        <f>IF('query (2)'!A626="","",IFERROR(VALUE('query (2)'!A626),""))</f>
        <v>644</v>
      </c>
      <c r="G626" s="24" t="str">
        <f>IF('query (2)'!C626="","UNKNOWN",IFERROR(INDEX(Cleaning_Rules!$B$15:$B$20,MATCH(TRIM(UPPER('query (2)'!C626)),Cleaning_Rules!$A$15:$A$20,0)),"UNKNOWN"))</f>
        <v>FACTORY3</v>
      </c>
      <c r="H626" s="25" t="str">
        <f>IF('query (2)'!C626="","",'query (2)'!C626)</f>
        <v>FACTORY3</v>
      </c>
      <c r="I626" s="24" t="str" cm="1">
        <f t="array" ref="I626">_xlfn.IFS($G626="UNKNOWN","UNKNOWN",OR($G626="FACTORY1",$G626="FACTORY2",$G626="FACTORY3"),"PLANT",TRUE,"SHARED")</f>
        <v>PLANT</v>
      </c>
      <c r="J626" s="24" t="str">
        <f>IF('query (2)'!D626="","UNKNOWN",IF(COUNTIF(Cleaning_Rules!$A$6:$A$11,TRIM('query (2)'!D626))&gt;0,"UNKNOWN",IFERROR(INDEX(Cleaning_Rules!$B$24:$B$28,MATCH(TRIM(UPPER('query (2)'!D626)),Cleaning_Rules!$A$24:$A$28,0)),TRIM(UPPER('query (2)'!D626)))))</f>
        <v>HUB3-1</v>
      </c>
      <c r="K626" s="25" t="str">
        <f>IF('query (2)'!D626="","",'query (2)'!D626)</f>
        <v>HUB3-1</v>
      </c>
      <c r="L626" s="24" t="str">
        <f>IF($J626="UNKNOWN","",_xlfn.TEXTBEFORE($J626,{"0","1","2","3","4","5","6","7","8","9"," ","-","."},1,,,$J626))</f>
        <v>HUB</v>
      </c>
      <c r="M626" s="24" t="str">
        <f>IF('query (2)'!I626&lt;&gt;"",TRIM(UPPER('query (2)'!I626)),IF($L626="","UNKNOWN",$L626))</f>
        <v>HUB</v>
      </c>
      <c r="N626" s="24" t="str">
        <f>IF('query (2)'!I626&lt;&gt;"","SOURCE",IF($L626="","UNKNOWN","DERIVED"))</f>
        <v>SOURCE</v>
      </c>
      <c r="O626" s="24" t="str">
        <f>IF('query (2)'!E626="","NOT_SPECIFIED",TRIM(UPPER('query (2)'!E626)))</f>
        <v>ASSEMBLY</v>
      </c>
      <c r="P626" s="24" t="str">
        <f>IF('query (2)'!F626="","",TRIM(UPPER('query (2)'!F626)))</f>
        <v>1815-H31AI</v>
      </c>
      <c r="Q626" s="24" t="str">
        <f>IF('query (2)'!G626="","UNKNOWN",IFERROR(INDEX(Cleaning_Rules!$B$38:$B$46,MATCH(TRIM(UPPER('query (2)'!G626)),Cleaning_Rules!$A$38:$A$46,0)),"UNKNOWN"))</f>
        <v>OTHER</v>
      </c>
      <c r="R626" s="24" t="str">
        <f>IF('query (2)'!H626="","",TRIM(UPPER('query (2)'!H626)))</f>
        <v>RIGIDITY CHECK MACHINE.</v>
      </c>
      <c r="S626" s="25" t="str">
        <f>IF('query (2)'!H626="","",'query (2)'!H626)</f>
        <v>Rigidity check machine.</v>
      </c>
      <c r="T626" s="24" t="str">
        <f>IF('query (2)'!J626="","",TRIM(UPPER('query (2)'!J626)))</f>
        <v>RIGIDITY CHECK MACHINE.</v>
      </c>
      <c r="U626" s="24" t="str">
        <f t="shared" si="66"/>
        <v/>
      </c>
      <c r="V626" s="24" t="str">
        <f>IF('query (2)'!K626="","NOT_SPECIFIED",IFERROR(INDEX(Cleaning_Rules!$B$32:$B$34,MATCH(TRIM(UPPER('query (2)'!K626)),Cleaning_Rules!$A$32:$A$34,0)),"UNKNOWN"))</f>
        <v>NOT_SPECIFIED</v>
      </c>
      <c r="W626" s="24" t="str">
        <f t="shared" si="67"/>
        <v>CH-410 | FACTORY3 | HUB3-1 | HUB | ASSEMBLY | 1815-H31AI | OTHER | RIGIDITY CHECK MACHINE. | RIGIDITY CHECK MACHINE. | NOT_SPECIFIED</v>
      </c>
      <c r="X626" s="24" t="str">
        <f t="shared" si="68"/>
        <v/>
      </c>
      <c r="Y626" s="24" t="str">
        <f t="shared" si="69"/>
        <v>MISSING_STATUS; CATEGORY_NOT_USEFUL</v>
      </c>
    </row>
    <row r="627" spans="1:25" x14ac:dyDescent="0.3">
      <c r="A627" s="24" t="str">
        <f t="shared" si="63"/>
        <v>AS-411#0626</v>
      </c>
      <c r="B627" s="24" t="str">
        <f>IF('query (2)'!B627="","",TRIM(UPPER('query (2)'!B627)))</f>
        <v>AS-411</v>
      </c>
      <c r="C627" s="25" t="str">
        <f>IF('query (2)'!B627="","",'query (2)'!B627)</f>
        <v>AS-411</v>
      </c>
      <c r="D627" s="24" t="str">
        <f t="shared" si="64"/>
        <v>AS</v>
      </c>
      <c r="E627" s="24">
        <f t="shared" si="65"/>
        <v>1</v>
      </c>
      <c r="F627" s="24">
        <f>IF('query (2)'!A627="","",IFERROR(VALUE('query (2)'!A627),""))</f>
        <v>645</v>
      </c>
      <c r="G627" s="24" t="str">
        <f>IF('query (2)'!C627="","UNKNOWN",IFERROR(INDEX(Cleaning_Rules!$B$15:$B$20,MATCH(TRIM(UPPER('query (2)'!C627)),Cleaning_Rules!$A$15:$A$20,0)),"UNKNOWN"))</f>
        <v>FACTORY3</v>
      </c>
      <c r="H627" s="25" t="str">
        <f>IF('query (2)'!C627="","",'query (2)'!C627)</f>
        <v>FACTORY3</v>
      </c>
      <c r="I627" s="24" t="str" cm="1">
        <f t="array" ref="I627">_xlfn.IFS($G627="UNKNOWN","UNKNOWN",OR($G627="FACTORY1",$G627="FACTORY2",$G627="FACTORY3"),"PLANT",TRUE,"SHARED")</f>
        <v>PLANT</v>
      </c>
      <c r="J627" s="24" t="str">
        <f>IF('query (2)'!D627="","UNKNOWN",IF(COUNTIF(Cleaning_Rules!$A$6:$A$11,TRIM('query (2)'!D627))&gt;0,"UNKNOWN",IFERROR(INDEX(Cleaning_Rules!$B$24:$B$28,MATCH(TRIM(UPPER('query (2)'!D627)),Cleaning_Rules!$A$24:$A$28,0)),TRIM(UPPER('query (2)'!D627)))))</f>
        <v>HUB3-1</v>
      </c>
      <c r="K627" s="25" t="str">
        <f>IF('query (2)'!D627="","",'query (2)'!D627)</f>
        <v>HUB3-1</v>
      </c>
      <c r="L627" s="24" t="str">
        <f>IF($J627="UNKNOWN","",_xlfn.TEXTBEFORE($J627,{"0","1","2","3","4","5","6","7","8","9"," ","-","."},1,,,$J627))</f>
        <v>HUB</v>
      </c>
      <c r="M627" s="24" t="str">
        <f>IF('query (2)'!I627&lt;&gt;"",TRIM(UPPER('query (2)'!I627)),IF($L627="","UNKNOWN",$L627))</f>
        <v>HUB</v>
      </c>
      <c r="N627" s="24" t="str">
        <f>IF('query (2)'!I627&lt;&gt;"","SOURCE",IF($L627="","UNKNOWN","DERIVED"))</f>
        <v>SOURCE</v>
      </c>
      <c r="O627" s="24" t="str">
        <f>IF('query (2)'!E627="","NOT_SPECIFIED",TRIM(UPPER('query (2)'!E627)))</f>
        <v>ASSEMBLY</v>
      </c>
      <c r="P627" s="24" t="str">
        <f>IF('query (2)'!F627="","",TRIM(UPPER('query (2)'!F627)))</f>
        <v>1815-H31AI</v>
      </c>
      <c r="Q627" s="24" t="str">
        <f>IF('query (2)'!G627="","UNKNOWN",IFERROR(INDEX(Cleaning_Rules!$B$38:$B$46,MATCH(TRIM(UPPER('query (2)'!G627)),Cleaning_Rules!$A$38:$A$46,0)),"UNKNOWN"))</f>
        <v>OTHER</v>
      </c>
      <c r="R627" s="24" t="str">
        <f>IF('query (2)'!H627="","",TRIM(UPPER('query (2)'!H627)))</f>
        <v>BOLT PRESS MACHINE.</v>
      </c>
      <c r="S627" s="25" t="str">
        <f>IF('query (2)'!H627="","",'query (2)'!H627)</f>
        <v>Bolt press machine.</v>
      </c>
      <c r="T627" s="24" t="str">
        <f>IF('query (2)'!J627="","",TRIM(UPPER('query (2)'!J627)))</f>
        <v>BOLT PRESS MACHINE.</v>
      </c>
      <c r="U627" s="24" t="str">
        <f t="shared" si="66"/>
        <v/>
      </c>
      <c r="V627" s="24" t="str">
        <f>IF('query (2)'!K627="","NOT_SPECIFIED",IFERROR(INDEX(Cleaning_Rules!$B$32:$B$34,MATCH(TRIM(UPPER('query (2)'!K627)),Cleaning_Rules!$A$32:$A$34,0)),"UNKNOWN"))</f>
        <v>NOT_SPECIFIED</v>
      </c>
      <c r="W627" s="24" t="str">
        <f t="shared" si="67"/>
        <v>AS-411 | FACTORY3 | HUB3-1 | HUB | ASSEMBLY | 1815-H31AI | OTHER | BOLT PRESS MACHINE. | BOLT PRESS MACHINE. | NOT_SPECIFIED</v>
      </c>
      <c r="X627" s="24" t="str">
        <f t="shared" si="68"/>
        <v/>
      </c>
      <c r="Y627" s="24" t="str">
        <f t="shared" si="69"/>
        <v>MISSING_STATUS; CATEGORY_NOT_USEFUL</v>
      </c>
    </row>
    <row r="628" spans="1:25" x14ac:dyDescent="0.3">
      <c r="A628" s="24" t="str">
        <f t="shared" si="63"/>
        <v>AS-412#0627</v>
      </c>
      <c r="B628" s="24" t="str">
        <f>IF('query (2)'!B628="","",TRIM(UPPER('query (2)'!B628)))</f>
        <v>AS-412</v>
      </c>
      <c r="C628" s="25" t="str">
        <f>IF('query (2)'!B628="","",'query (2)'!B628)</f>
        <v>AS-412</v>
      </c>
      <c r="D628" s="24" t="str">
        <f t="shared" si="64"/>
        <v>AS</v>
      </c>
      <c r="E628" s="24">
        <f t="shared" si="65"/>
        <v>1</v>
      </c>
      <c r="F628" s="24">
        <f>IF('query (2)'!A628="","",IFERROR(VALUE('query (2)'!A628),""))</f>
        <v>646</v>
      </c>
      <c r="G628" s="24" t="str">
        <f>IF('query (2)'!C628="","UNKNOWN",IFERROR(INDEX(Cleaning_Rules!$B$15:$B$20,MATCH(TRIM(UPPER('query (2)'!C628)),Cleaning_Rules!$A$15:$A$20,0)),"UNKNOWN"))</f>
        <v>FACTORY3</v>
      </c>
      <c r="H628" s="25" t="str">
        <f>IF('query (2)'!C628="","",'query (2)'!C628)</f>
        <v>FACTORY3</v>
      </c>
      <c r="I628" s="24" t="str" cm="1">
        <f t="array" ref="I628">_xlfn.IFS($G628="UNKNOWN","UNKNOWN",OR($G628="FACTORY1",$G628="FACTORY2",$G628="FACTORY3"),"PLANT",TRUE,"SHARED")</f>
        <v>PLANT</v>
      </c>
      <c r="J628" s="24" t="str">
        <f>IF('query (2)'!D628="","UNKNOWN",IF(COUNTIF(Cleaning_Rules!$A$6:$A$11,TRIM('query (2)'!D628))&gt;0,"UNKNOWN",IFERROR(INDEX(Cleaning_Rules!$B$24:$B$28,MATCH(TRIM(UPPER('query (2)'!D628)),Cleaning_Rules!$A$24:$A$28,0)),TRIM(UPPER('query (2)'!D628)))))</f>
        <v>HUB3-1</v>
      </c>
      <c r="K628" s="25" t="str">
        <f>IF('query (2)'!D628="","",'query (2)'!D628)</f>
        <v>HUB3-1</v>
      </c>
      <c r="L628" s="24" t="str">
        <f>IF($J628="UNKNOWN","",_xlfn.TEXTBEFORE($J628,{"0","1","2","3","4","5","6","7","8","9"," ","-","."},1,,,$J628))</f>
        <v>HUB</v>
      </c>
      <c r="M628" s="24" t="str">
        <f>IF('query (2)'!I628&lt;&gt;"",TRIM(UPPER('query (2)'!I628)),IF($L628="","UNKNOWN",$L628))</f>
        <v>HUB</v>
      </c>
      <c r="N628" s="24" t="str">
        <f>IF('query (2)'!I628&lt;&gt;"","SOURCE",IF($L628="","UNKNOWN","DERIVED"))</f>
        <v>SOURCE</v>
      </c>
      <c r="O628" s="24" t="str">
        <f>IF('query (2)'!E628="","NOT_SPECIFIED",TRIM(UPPER('query (2)'!E628)))</f>
        <v>ASSEMBLY</v>
      </c>
      <c r="P628" s="24" t="str">
        <f>IF('query (2)'!F628="","",TRIM(UPPER('query (2)'!F628)))</f>
        <v>1815-H31AI</v>
      </c>
      <c r="Q628" s="24" t="str">
        <f>IF('query (2)'!G628="","UNKNOWN",IFERROR(INDEX(Cleaning_Rules!$B$38:$B$46,MATCH(TRIM(UPPER('query (2)'!G628)),Cleaning_Rules!$A$38:$A$46,0)),"UNKNOWN"))</f>
        <v>OTHER</v>
      </c>
      <c r="R628" s="24" t="str">
        <f>IF('query (2)'!H628="","",TRIM(UPPER('query (2)'!H628)))</f>
        <v>PRESS MACHINE.</v>
      </c>
      <c r="S628" s="25" t="str">
        <f>IF('query (2)'!H628="","",'query (2)'!H628)</f>
        <v>Press machine.</v>
      </c>
      <c r="T628" s="24" t="str">
        <f>IF('query (2)'!J628="","",TRIM(UPPER('query (2)'!J628)))</f>
        <v>PRESS MACHINE.</v>
      </c>
      <c r="U628" s="24" t="str">
        <f t="shared" si="66"/>
        <v/>
      </c>
      <c r="V628" s="24" t="str">
        <f>IF('query (2)'!K628="","NOT_SPECIFIED",IFERROR(INDEX(Cleaning_Rules!$B$32:$B$34,MATCH(TRIM(UPPER('query (2)'!K628)),Cleaning_Rules!$A$32:$A$34,0)),"UNKNOWN"))</f>
        <v>NOT_SPECIFIED</v>
      </c>
      <c r="W628" s="24" t="str">
        <f t="shared" si="67"/>
        <v>AS-412 | FACTORY3 | HUB3-1 | HUB | ASSEMBLY | 1815-H31AI | OTHER | PRESS MACHINE. | PRESS MACHINE. | NOT_SPECIFIED</v>
      </c>
      <c r="X628" s="24" t="str">
        <f t="shared" si="68"/>
        <v/>
      </c>
      <c r="Y628" s="24" t="str">
        <f t="shared" si="69"/>
        <v>MISSING_STATUS; CATEGORY_NOT_USEFUL</v>
      </c>
    </row>
    <row r="629" spans="1:25" x14ac:dyDescent="0.3">
      <c r="A629" s="24" t="str">
        <f t="shared" si="63"/>
        <v>CH-413#0628</v>
      </c>
      <c r="B629" s="24" t="str">
        <f>IF('query (2)'!B629="","",TRIM(UPPER('query (2)'!B629)))</f>
        <v>CH-413</v>
      </c>
      <c r="C629" s="25" t="str">
        <f>IF('query (2)'!B629="","",'query (2)'!B629)</f>
        <v>CH-413</v>
      </c>
      <c r="D629" s="24" t="str">
        <f t="shared" si="64"/>
        <v>CH</v>
      </c>
      <c r="E629" s="24">
        <f t="shared" si="65"/>
        <v>1</v>
      </c>
      <c r="F629" s="24">
        <f>IF('query (2)'!A629="","",IFERROR(VALUE('query (2)'!A629),""))</f>
        <v>647</v>
      </c>
      <c r="G629" s="24" t="str">
        <f>IF('query (2)'!C629="","UNKNOWN",IFERROR(INDEX(Cleaning_Rules!$B$15:$B$20,MATCH(TRIM(UPPER('query (2)'!C629)),Cleaning_Rules!$A$15:$A$20,0)),"UNKNOWN"))</f>
        <v>FACTORY3</v>
      </c>
      <c r="H629" s="25" t="str">
        <f>IF('query (2)'!C629="","",'query (2)'!C629)</f>
        <v>FACTORY3</v>
      </c>
      <c r="I629" s="24" t="str" cm="1">
        <f t="array" ref="I629">_xlfn.IFS($G629="UNKNOWN","UNKNOWN",OR($G629="FACTORY1",$G629="FACTORY2",$G629="FACTORY3"),"PLANT",TRUE,"SHARED")</f>
        <v>PLANT</v>
      </c>
      <c r="J629" s="24" t="str">
        <f>IF('query (2)'!D629="","UNKNOWN",IF(COUNTIF(Cleaning_Rules!$A$6:$A$11,TRIM('query (2)'!D629))&gt;0,"UNKNOWN",IFERROR(INDEX(Cleaning_Rules!$B$24:$B$28,MATCH(TRIM(UPPER('query (2)'!D629)),Cleaning_Rules!$A$24:$A$28,0)),TRIM(UPPER('query (2)'!D629)))))</f>
        <v>HUB3-1</v>
      </c>
      <c r="K629" s="25" t="str">
        <f>IF('query (2)'!D629="","",'query (2)'!D629)</f>
        <v>HUB3-1</v>
      </c>
      <c r="L629" s="24" t="str">
        <f>IF($J629="UNKNOWN","",_xlfn.TEXTBEFORE($J629,{"0","1","2","3","4","5","6","7","8","9"," ","-","."},1,,,$J629))</f>
        <v>HUB</v>
      </c>
      <c r="M629" s="24" t="str">
        <f>IF('query (2)'!I629&lt;&gt;"",TRIM(UPPER('query (2)'!I629)),IF($L629="","UNKNOWN",$L629))</f>
        <v>HUB</v>
      </c>
      <c r="N629" s="24" t="str">
        <f>IF('query (2)'!I629&lt;&gt;"","SOURCE",IF($L629="","UNKNOWN","DERIVED"))</f>
        <v>SOURCE</v>
      </c>
      <c r="O629" s="24" t="str">
        <f>IF('query (2)'!E629="","NOT_SPECIFIED",TRIM(UPPER('query (2)'!E629)))</f>
        <v>ASSEMBLY</v>
      </c>
      <c r="P629" s="24" t="str">
        <f>IF('query (2)'!F629="","",TRIM(UPPER('query (2)'!F629)))</f>
        <v>1815-H31AI</v>
      </c>
      <c r="Q629" s="24" t="str">
        <f>IF('query (2)'!G629="","UNKNOWN",IFERROR(INDEX(Cleaning_Rules!$B$38:$B$46,MATCH(TRIM(UPPER('query (2)'!G629)),Cleaning_Rules!$A$38:$A$46,0)),"UNKNOWN"))</f>
        <v>OTHER</v>
      </c>
      <c r="R629" s="24" t="str">
        <f>IF('query (2)'!H629="","",TRIM(UPPER('query (2)'!H629)))</f>
        <v>SENSOR CHECKER MACHINE.</v>
      </c>
      <c r="S629" s="25" t="str">
        <f>IF('query (2)'!H629="","",'query (2)'!H629)</f>
        <v>Sensor checker machine.</v>
      </c>
      <c r="T629" s="24" t="str">
        <f>IF('query (2)'!J629="","",TRIM(UPPER('query (2)'!J629)))</f>
        <v>SENSOR CHECKER MACHINE.</v>
      </c>
      <c r="U629" s="24" t="str">
        <f t="shared" si="66"/>
        <v/>
      </c>
      <c r="V629" s="24" t="str">
        <f>IF('query (2)'!K629="","NOT_SPECIFIED",IFERROR(INDEX(Cleaning_Rules!$B$32:$B$34,MATCH(TRIM(UPPER('query (2)'!K629)),Cleaning_Rules!$A$32:$A$34,0)),"UNKNOWN"))</f>
        <v>NOT_SPECIFIED</v>
      </c>
      <c r="W629" s="24" t="str">
        <f t="shared" si="67"/>
        <v>CH-413 | FACTORY3 | HUB3-1 | HUB | ASSEMBLY | 1815-H31AI | OTHER | SENSOR CHECKER MACHINE. | SENSOR CHECKER MACHINE. | NOT_SPECIFIED</v>
      </c>
      <c r="X629" s="24" t="str">
        <f t="shared" si="68"/>
        <v/>
      </c>
      <c r="Y629" s="24" t="str">
        <f t="shared" si="69"/>
        <v>MISSING_STATUS; CATEGORY_NOT_USEFUL</v>
      </c>
    </row>
    <row r="630" spans="1:25" x14ac:dyDescent="0.3">
      <c r="A630" s="24" t="str">
        <f t="shared" si="63"/>
        <v>CH-414#0629</v>
      </c>
      <c r="B630" s="24" t="str">
        <f>IF('query (2)'!B630="","",TRIM(UPPER('query (2)'!B630)))</f>
        <v>CH-414</v>
      </c>
      <c r="C630" s="25" t="str">
        <f>IF('query (2)'!B630="","",'query (2)'!B630)</f>
        <v>CH-414</v>
      </c>
      <c r="D630" s="24" t="str">
        <f t="shared" si="64"/>
        <v>CH</v>
      </c>
      <c r="E630" s="24">
        <f t="shared" si="65"/>
        <v>1</v>
      </c>
      <c r="F630" s="24">
        <f>IF('query (2)'!A630="","",IFERROR(VALUE('query (2)'!A630),""))</f>
        <v>648</v>
      </c>
      <c r="G630" s="24" t="str">
        <f>IF('query (2)'!C630="","UNKNOWN",IFERROR(INDEX(Cleaning_Rules!$B$15:$B$20,MATCH(TRIM(UPPER('query (2)'!C630)),Cleaning_Rules!$A$15:$A$20,0)),"UNKNOWN"))</f>
        <v>FACTORY3</v>
      </c>
      <c r="H630" s="25" t="str">
        <f>IF('query (2)'!C630="","",'query (2)'!C630)</f>
        <v>FACTORY3</v>
      </c>
      <c r="I630" s="24" t="str" cm="1">
        <f t="array" ref="I630">_xlfn.IFS($G630="UNKNOWN","UNKNOWN",OR($G630="FACTORY1",$G630="FACTORY2",$G630="FACTORY3"),"PLANT",TRUE,"SHARED")</f>
        <v>PLANT</v>
      </c>
      <c r="J630" s="24" t="str">
        <f>IF('query (2)'!D630="","UNKNOWN",IF(COUNTIF(Cleaning_Rules!$A$6:$A$11,TRIM('query (2)'!D630))&gt;0,"UNKNOWN",IFERROR(INDEX(Cleaning_Rules!$B$24:$B$28,MATCH(TRIM(UPPER('query (2)'!D630)),Cleaning_Rules!$A$24:$A$28,0)),TRIM(UPPER('query (2)'!D630)))))</f>
        <v>HUB3-1</v>
      </c>
      <c r="K630" s="25" t="str">
        <f>IF('query (2)'!D630="","",'query (2)'!D630)</f>
        <v>HUB3-1</v>
      </c>
      <c r="L630" s="24" t="str">
        <f>IF($J630="UNKNOWN","",_xlfn.TEXTBEFORE($J630,{"0","1","2","3","4","5","6","7","8","9"," ","-","."},1,,,$J630))</f>
        <v>HUB</v>
      </c>
      <c r="M630" s="24" t="str">
        <f>IF('query (2)'!I630&lt;&gt;"",TRIM(UPPER('query (2)'!I630)),IF($L630="","UNKNOWN",$L630))</f>
        <v>HUB</v>
      </c>
      <c r="N630" s="24" t="str">
        <f>IF('query (2)'!I630&lt;&gt;"","SOURCE",IF($L630="","UNKNOWN","DERIVED"))</f>
        <v>SOURCE</v>
      </c>
      <c r="O630" s="24" t="str">
        <f>IF('query (2)'!E630="","NOT_SPECIFIED",TRIM(UPPER('query (2)'!E630)))</f>
        <v>ASSEMBLY</v>
      </c>
      <c r="P630" s="24" t="str">
        <f>IF('query (2)'!F630="","",TRIM(UPPER('query (2)'!F630)))</f>
        <v>1815-H31AI</v>
      </c>
      <c r="Q630" s="24" t="str">
        <f>IF('query (2)'!G630="","UNKNOWN",IFERROR(INDEX(Cleaning_Rules!$B$38:$B$46,MATCH(TRIM(UPPER('query (2)'!G630)),Cleaning_Rules!$A$38:$A$46,0)),"UNKNOWN"))</f>
        <v>OTHER</v>
      </c>
      <c r="R630" s="24" t="str">
        <f>IF('query (2)'!H630="","",TRIM(UPPER('query (2)'!H630)))</f>
        <v>FLANGE RUN-OUT MEASURING MACHINE.</v>
      </c>
      <c r="S630" s="25" t="str">
        <f>IF('query (2)'!H630="","",'query (2)'!H630)</f>
        <v>Flange run-out measuring machine.</v>
      </c>
      <c r="T630" s="24" t="str">
        <f>IF('query (2)'!J630="","",TRIM(UPPER('query (2)'!J630)))</f>
        <v>FLANGE RUN-OUT MEASURING MACHINE.</v>
      </c>
      <c r="U630" s="24" t="str">
        <f t="shared" si="66"/>
        <v/>
      </c>
      <c r="V630" s="24" t="str">
        <f>IF('query (2)'!K630="","NOT_SPECIFIED",IFERROR(INDEX(Cleaning_Rules!$B$32:$B$34,MATCH(TRIM(UPPER('query (2)'!K630)),Cleaning_Rules!$A$32:$A$34,0)),"UNKNOWN"))</f>
        <v>NOT_SPECIFIED</v>
      </c>
      <c r="W630" s="24" t="str">
        <f t="shared" si="67"/>
        <v>CH-414 | FACTORY3 | HUB3-1 | HUB | ASSEMBLY | 1815-H31AI | OTHER | FLANGE RUN-OUT MEASURING MACHINE. | FLANGE RUN-OUT MEASURING MACHINE. | NOT_SPECIFIED</v>
      </c>
      <c r="X630" s="24" t="str">
        <f t="shared" si="68"/>
        <v/>
      </c>
      <c r="Y630" s="24" t="str">
        <f t="shared" si="69"/>
        <v>MISSING_STATUS; CATEGORY_NOT_USEFUL</v>
      </c>
    </row>
    <row r="631" spans="1:25" x14ac:dyDescent="0.3">
      <c r="A631" s="24" t="str">
        <f t="shared" si="63"/>
        <v>AS-415#0630</v>
      </c>
      <c r="B631" s="24" t="str">
        <f>IF('query (2)'!B631="","",TRIM(UPPER('query (2)'!B631)))</f>
        <v>AS-415</v>
      </c>
      <c r="C631" s="25" t="str">
        <f>IF('query (2)'!B631="","",'query (2)'!B631)</f>
        <v>AS-415</v>
      </c>
      <c r="D631" s="24" t="str">
        <f t="shared" si="64"/>
        <v>AS</v>
      </c>
      <c r="E631" s="24">
        <f t="shared" si="65"/>
        <v>1</v>
      </c>
      <c r="F631" s="24">
        <f>IF('query (2)'!A631="","",IFERROR(VALUE('query (2)'!A631),""))</f>
        <v>649</v>
      </c>
      <c r="G631" s="24" t="str">
        <f>IF('query (2)'!C631="","UNKNOWN",IFERROR(INDEX(Cleaning_Rules!$B$15:$B$20,MATCH(TRIM(UPPER('query (2)'!C631)),Cleaning_Rules!$A$15:$A$20,0)),"UNKNOWN"))</f>
        <v>FACTORY3</v>
      </c>
      <c r="H631" s="25" t="str">
        <f>IF('query (2)'!C631="","",'query (2)'!C631)</f>
        <v>FACTORY3</v>
      </c>
      <c r="I631" s="24" t="str" cm="1">
        <f t="array" ref="I631">_xlfn.IFS($G631="UNKNOWN","UNKNOWN",OR($G631="FACTORY1",$G631="FACTORY2",$G631="FACTORY3"),"PLANT",TRUE,"SHARED")</f>
        <v>PLANT</v>
      </c>
      <c r="J631" s="24" t="str">
        <f>IF('query (2)'!D631="","UNKNOWN",IF(COUNTIF(Cleaning_Rules!$A$6:$A$11,TRIM('query (2)'!D631))&gt;0,"UNKNOWN",IFERROR(INDEX(Cleaning_Rules!$B$24:$B$28,MATCH(TRIM(UPPER('query (2)'!D631)),Cleaning_Rules!$A$24:$A$28,0)),TRIM(UPPER('query (2)'!D631)))))</f>
        <v>HUB3-1</v>
      </c>
      <c r="K631" s="25" t="str">
        <f>IF('query (2)'!D631="","",'query (2)'!D631)</f>
        <v>HUB3-1</v>
      </c>
      <c r="L631" s="24" t="str">
        <f>IF($J631="UNKNOWN","",_xlfn.TEXTBEFORE($J631,{"0","1","2","3","4","5","6","7","8","9"," ","-","."},1,,,$J631))</f>
        <v>HUB</v>
      </c>
      <c r="M631" s="24" t="str">
        <f>IF('query (2)'!I631&lt;&gt;"",TRIM(UPPER('query (2)'!I631)),IF($L631="","UNKNOWN",$L631))</f>
        <v>HUB</v>
      </c>
      <c r="N631" s="24" t="str">
        <f>IF('query (2)'!I631&lt;&gt;"","SOURCE",IF($L631="","UNKNOWN","DERIVED"))</f>
        <v>SOURCE</v>
      </c>
      <c r="O631" s="24" t="str">
        <f>IF('query (2)'!E631="","NOT_SPECIFIED",TRIM(UPPER('query (2)'!E631)))</f>
        <v>ASSEMBLY</v>
      </c>
      <c r="P631" s="24" t="str">
        <f>IF('query (2)'!F631="","",TRIM(UPPER('query (2)'!F631)))</f>
        <v>1815-H31AI</v>
      </c>
      <c r="Q631" s="24" t="str">
        <f>IF('query (2)'!G631="","UNKNOWN",IFERROR(INDEX(Cleaning_Rules!$B$38:$B$46,MATCH(TRIM(UPPER('query (2)'!G631)),Cleaning_Rules!$A$38:$A$46,0)),"UNKNOWN"))</f>
        <v>OTHER</v>
      </c>
      <c r="R631" s="24" t="str">
        <f>IF('query (2)'!H631="","",TRIM(UPPER('query (2)'!H631)))</f>
        <v>BALL &amp; CAGE ASSEMBLY MACHINE.</v>
      </c>
      <c r="S631" s="25" t="str">
        <f>IF('query (2)'!H631="","",'query (2)'!H631)</f>
        <v>Ball &amp; Cage assembly machine.</v>
      </c>
      <c r="T631" s="24" t="str">
        <f>IF('query (2)'!J631="","",TRIM(UPPER('query (2)'!J631)))</f>
        <v>BALL &amp; CAGE ASSEMBLY MACHINE.</v>
      </c>
      <c r="U631" s="24" t="str">
        <f t="shared" si="66"/>
        <v/>
      </c>
      <c r="V631" s="24" t="str">
        <f>IF('query (2)'!K631="","NOT_SPECIFIED",IFERROR(INDEX(Cleaning_Rules!$B$32:$B$34,MATCH(TRIM(UPPER('query (2)'!K631)),Cleaning_Rules!$A$32:$A$34,0)),"UNKNOWN"))</f>
        <v>NOT_SPECIFIED</v>
      </c>
      <c r="W631" s="24" t="str">
        <f t="shared" si="67"/>
        <v>AS-415 | FACTORY3 | HUB3-1 | HUB | ASSEMBLY | 1815-H31AI | OTHER | BALL &amp; CAGE ASSEMBLY MACHINE. | BALL &amp; CAGE ASSEMBLY MACHINE. | NOT_SPECIFIED</v>
      </c>
      <c r="X631" s="24" t="str">
        <f t="shared" si="68"/>
        <v/>
      </c>
      <c r="Y631" s="24" t="str">
        <f t="shared" si="69"/>
        <v>MISSING_STATUS; CATEGORY_NOT_USEFUL</v>
      </c>
    </row>
    <row r="632" spans="1:25" x14ac:dyDescent="0.3">
      <c r="A632" s="24" t="str">
        <f t="shared" si="63"/>
        <v>AS-515#0631</v>
      </c>
      <c r="B632" s="24" t="str">
        <f>IF('query (2)'!B632="","",TRIM(UPPER('query (2)'!B632)))</f>
        <v>AS-515</v>
      </c>
      <c r="C632" s="25" t="str">
        <f>IF('query (2)'!B632="","",'query (2)'!B632)</f>
        <v>AS-515</v>
      </c>
      <c r="D632" s="24" t="str">
        <f t="shared" si="64"/>
        <v>AS</v>
      </c>
      <c r="E632" s="24">
        <f t="shared" si="65"/>
        <v>1</v>
      </c>
      <c r="F632" s="24">
        <f>IF('query (2)'!A632="","",IFERROR(VALUE('query (2)'!A632),""))</f>
        <v>650</v>
      </c>
      <c r="G632" s="24" t="str">
        <f>IF('query (2)'!C632="","UNKNOWN",IFERROR(INDEX(Cleaning_Rules!$B$15:$B$20,MATCH(TRIM(UPPER('query (2)'!C632)),Cleaning_Rules!$A$15:$A$20,0)),"UNKNOWN"))</f>
        <v>FACTORY3</v>
      </c>
      <c r="H632" s="25" t="str">
        <f>IF('query (2)'!C632="","",'query (2)'!C632)</f>
        <v>FACTORY3</v>
      </c>
      <c r="I632" s="24" t="str" cm="1">
        <f t="array" ref="I632">_xlfn.IFS($G632="UNKNOWN","UNKNOWN",OR($G632="FACTORY1",$G632="FACTORY2",$G632="FACTORY3"),"PLANT",TRUE,"SHARED")</f>
        <v>PLANT</v>
      </c>
      <c r="J632" s="24" t="str">
        <f>IF('query (2)'!D632="","UNKNOWN",IF(COUNTIF(Cleaning_Rules!$A$6:$A$11,TRIM('query (2)'!D632))&gt;0,"UNKNOWN",IFERROR(INDEX(Cleaning_Rules!$B$24:$B$28,MATCH(TRIM(UPPER('query (2)'!D632)),Cleaning_Rules!$A$24:$A$28,0)),TRIM(UPPER('query (2)'!D632)))))</f>
        <v>HUB3-1</v>
      </c>
      <c r="K632" s="25" t="str">
        <f>IF('query (2)'!D632="","",'query (2)'!D632)</f>
        <v>HUB3-1</v>
      </c>
      <c r="L632" s="24" t="str">
        <f>IF($J632="UNKNOWN","",_xlfn.TEXTBEFORE($J632,{"0","1","2","3","4","5","6","7","8","9"," ","-","."},1,,,$J632))</f>
        <v>HUB</v>
      </c>
      <c r="M632" s="24" t="str">
        <f>IF('query (2)'!I632&lt;&gt;"",TRIM(UPPER('query (2)'!I632)),IF($L632="","UNKNOWN",$L632))</f>
        <v>HUB</v>
      </c>
      <c r="N632" s="24" t="str">
        <f>IF('query (2)'!I632&lt;&gt;"","SOURCE",IF($L632="","UNKNOWN","DERIVED"))</f>
        <v>SOURCE</v>
      </c>
      <c r="O632" s="24" t="str">
        <f>IF('query (2)'!E632="","NOT_SPECIFIED",TRIM(UPPER('query (2)'!E632)))</f>
        <v>ASSEMBLY</v>
      </c>
      <c r="P632" s="24" t="str">
        <f>IF('query (2)'!F632="","",TRIM(UPPER('query (2)'!F632)))</f>
        <v>1815-H31AI</v>
      </c>
      <c r="Q632" s="24" t="str">
        <f>IF('query (2)'!G632="","UNKNOWN",IFERROR(INDEX(Cleaning_Rules!$B$38:$B$46,MATCH(TRIM(UPPER('query (2)'!G632)),Cleaning_Rules!$A$38:$A$46,0)),"UNKNOWN"))</f>
        <v>OTHER</v>
      </c>
      <c r="R632" s="24" t="str">
        <f>IF('query (2)'!H632="","",TRIM(UPPER('query (2)'!H632)))</f>
        <v>PRESS MACHINE NO.2</v>
      </c>
      <c r="S632" s="25" t="str">
        <f>IF('query (2)'!H632="","",'query (2)'!H632)</f>
        <v>Press machine No.2</v>
      </c>
      <c r="T632" s="24" t="str">
        <f>IF('query (2)'!J632="","",TRIM(UPPER('query (2)'!J632)))</f>
        <v>PRESS MACHINE NO.2</v>
      </c>
      <c r="U632" s="24" t="str">
        <f t="shared" si="66"/>
        <v/>
      </c>
      <c r="V632" s="24" t="str">
        <f>IF('query (2)'!K632="","NOT_SPECIFIED",IFERROR(INDEX(Cleaning_Rules!$B$32:$B$34,MATCH(TRIM(UPPER('query (2)'!K632)),Cleaning_Rules!$A$32:$A$34,0)),"UNKNOWN"))</f>
        <v>NOT_SPECIFIED</v>
      </c>
      <c r="W632" s="24" t="str">
        <f t="shared" si="67"/>
        <v>AS-515 | FACTORY3 | HUB3-1 | HUB | ASSEMBLY | 1815-H31AI | OTHER | PRESS MACHINE NO.2 | PRESS MACHINE NO.2 | NOT_SPECIFIED</v>
      </c>
      <c r="X632" s="24" t="str">
        <f t="shared" si="68"/>
        <v/>
      </c>
      <c r="Y632" s="24" t="str">
        <f t="shared" si="69"/>
        <v>MISSING_STATUS; CATEGORY_NOT_USEFUL</v>
      </c>
    </row>
    <row r="633" spans="1:25" x14ac:dyDescent="0.3">
      <c r="A633" s="24" t="str">
        <f t="shared" si="63"/>
        <v>AS-519#0632</v>
      </c>
      <c r="B633" s="24" t="str">
        <f>IF('query (2)'!B633="","",TRIM(UPPER('query (2)'!B633)))</f>
        <v>AS-519</v>
      </c>
      <c r="C633" s="25" t="str">
        <f>IF('query (2)'!B633="","",'query (2)'!B633)</f>
        <v>AS-519</v>
      </c>
      <c r="D633" s="24" t="str">
        <f t="shared" si="64"/>
        <v>AS</v>
      </c>
      <c r="E633" s="24">
        <f t="shared" si="65"/>
        <v>1</v>
      </c>
      <c r="F633" s="24">
        <f>IF('query (2)'!A633="","",IFERROR(VALUE('query (2)'!A633),""))</f>
        <v>651</v>
      </c>
      <c r="G633" s="24" t="str">
        <f>IF('query (2)'!C633="","UNKNOWN",IFERROR(INDEX(Cleaning_Rules!$B$15:$B$20,MATCH(TRIM(UPPER('query (2)'!C633)),Cleaning_Rules!$A$15:$A$20,0)),"UNKNOWN"))</f>
        <v>FACTORY3</v>
      </c>
      <c r="H633" s="25" t="str">
        <f>IF('query (2)'!C633="","",'query (2)'!C633)</f>
        <v>FACTORY3</v>
      </c>
      <c r="I633" s="24" t="str" cm="1">
        <f t="array" ref="I633">_xlfn.IFS($G633="UNKNOWN","UNKNOWN",OR($G633="FACTORY1",$G633="FACTORY2",$G633="FACTORY3"),"PLANT",TRUE,"SHARED")</f>
        <v>PLANT</v>
      </c>
      <c r="J633" s="24" t="str">
        <f>IF('query (2)'!D633="","UNKNOWN",IF(COUNTIF(Cleaning_Rules!$A$6:$A$11,TRIM('query (2)'!D633))&gt;0,"UNKNOWN",IFERROR(INDEX(Cleaning_Rules!$B$24:$B$28,MATCH(TRIM(UPPER('query (2)'!D633)),Cleaning_Rules!$A$24:$A$28,0)),TRIM(UPPER('query (2)'!D633)))))</f>
        <v>HUB3-1</v>
      </c>
      <c r="K633" s="25" t="str">
        <f>IF('query (2)'!D633="","",'query (2)'!D633)</f>
        <v>HUB3-1</v>
      </c>
      <c r="L633" s="24" t="str">
        <f>IF($J633="UNKNOWN","",_xlfn.TEXTBEFORE($J633,{"0","1","2","3","4","5","6","7","8","9"," ","-","."},1,,,$J633))</f>
        <v>HUB</v>
      </c>
      <c r="M633" s="24" t="str">
        <f>IF('query (2)'!I633&lt;&gt;"",TRIM(UPPER('query (2)'!I633)),IF($L633="","UNKNOWN",$L633))</f>
        <v>HUB</v>
      </c>
      <c r="N633" s="24" t="str">
        <f>IF('query (2)'!I633&lt;&gt;"","SOURCE",IF($L633="","UNKNOWN","DERIVED"))</f>
        <v>SOURCE</v>
      </c>
      <c r="O633" s="24" t="str">
        <f>IF('query (2)'!E633="","NOT_SPECIFIED",TRIM(UPPER('query (2)'!E633)))</f>
        <v>ASSEMBLY</v>
      </c>
      <c r="P633" s="24" t="str">
        <f>IF('query (2)'!F633="","",TRIM(UPPER('query (2)'!F633)))</f>
        <v>1815-H31AI</v>
      </c>
      <c r="Q633" s="24" t="str">
        <f>IF('query (2)'!G633="","UNKNOWN",IFERROR(INDEX(Cleaning_Rules!$B$38:$B$46,MATCH(TRIM(UPPER('query (2)'!G633)),Cleaning_Rules!$A$38:$A$46,0)),"UNKNOWN"))</f>
        <v>OTHER</v>
      </c>
      <c r="R633" s="24" t="str">
        <f>IF('query (2)'!H633="","",TRIM(UPPER('query (2)'!H633)))</f>
        <v>PAINTING DISK MACHINE.</v>
      </c>
      <c r="S633" s="25" t="str">
        <f>IF('query (2)'!H633="","",'query (2)'!H633)</f>
        <v>Painting disk machine.</v>
      </c>
      <c r="T633" s="24" t="str">
        <f>IF('query (2)'!J633="","",TRIM(UPPER('query (2)'!J633)))</f>
        <v>PAINTING DISK MACHINE.</v>
      </c>
      <c r="U633" s="24" t="str">
        <f t="shared" si="66"/>
        <v/>
      </c>
      <c r="V633" s="24" t="str">
        <f>IF('query (2)'!K633="","NOT_SPECIFIED",IFERROR(INDEX(Cleaning_Rules!$B$32:$B$34,MATCH(TRIM(UPPER('query (2)'!K633)),Cleaning_Rules!$A$32:$A$34,0)),"UNKNOWN"))</f>
        <v>NOT_SPECIFIED</v>
      </c>
      <c r="W633" s="24" t="str">
        <f t="shared" si="67"/>
        <v>AS-519 | FACTORY3 | HUB3-1 | HUB | ASSEMBLY | 1815-H31AI | OTHER | PAINTING DISK MACHINE. | PAINTING DISK MACHINE. | NOT_SPECIFIED</v>
      </c>
      <c r="X633" s="24" t="str">
        <f t="shared" si="68"/>
        <v/>
      </c>
      <c r="Y633" s="24" t="str">
        <f t="shared" si="69"/>
        <v>MISSING_STATUS; CATEGORY_NOT_USEFUL</v>
      </c>
    </row>
    <row r="634" spans="1:25" x14ac:dyDescent="0.3">
      <c r="A634" s="24" t="str">
        <f t="shared" si="63"/>
        <v>GR-551#0633</v>
      </c>
      <c r="B634" s="24" t="str">
        <f>IF('query (2)'!B634="","",TRIM(UPPER('query (2)'!B634)))</f>
        <v>GR-551</v>
      </c>
      <c r="C634" s="25" t="str">
        <f>IF('query (2)'!B634="","",'query (2)'!B634)</f>
        <v>GR-551</v>
      </c>
      <c r="D634" s="24" t="str">
        <f t="shared" si="64"/>
        <v>GR</v>
      </c>
      <c r="E634" s="24">
        <f t="shared" si="65"/>
        <v>1</v>
      </c>
      <c r="F634" s="24">
        <f>IF('query (2)'!A634="","",IFERROR(VALUE('query (2)'!A634),""))</f>
        <v>652</v>
      </c>
      <c r="G634" s="24" t="str">
        <f>IF('query (2)'!C634="","UNKNOWN",IFERROR(INDEX(Cleaning_Rules!$B$15:$B$20,MATCH(TRIM(UPPER('query (2)'!C634)),Cleaning_Rules!$A$15:$A$20,0)),"UNKNOWN"))</f>
        <v>FACTORY3</v>
      </c>
      <c r="H634" s="25" t="str">
        <f>IF('query (2)'!C634="","",'query (2)'!C634)</f>
        <v>FACTORY3</v>
      </c>
      <c r="I634" s="24" t="str" cm="1">
        <f t="array" ref="I634">_xlfn.IFS($G634="UNKNOWN","UNKNOWN",OR($G634="FACTORY1",$G634="FACTORY2",$G634="FACTORY3"),"PLANT",TRUE,"SHARED")</f>
        <v>PLANT</v>
      </c>
      <c r="J634" s="24" t="str">
        <f>IF('query (2)'!D634="","UNKNOWN",IF(COUNTIF(Cleaning_Rules!$A$6:$A$11,TRIM('query (2)'!D634))&gt;0,"UNKNOWN",IFERROR(INDEX(Cleaning_Rules!$B$24:$B$28,MATCH(TRIM(UPPER('query (2)'!D634)),Cleaning_Rules!$A$24:$A$28,0)),TRIM(UPPER('query (2)'!D634)))))</f>
        <v>HUB3-1</v>
      </c>
      <c r="K634" s="25" t="str">
        <f>IF('query (2)'!D634="","",'query (2)'!D634)</f>
        <v>HUB3-1</v>
      </c>
      <c r="L634" s="24" t="str">
        <f>IF($J634="UNKNOWN","",_xlfn.TEXTBEFORE($J634,{"0","1","2","3","4","5","6","7","8","9"," ","-","."},1,,,$J634))</f>
        <v>HUB</v>
      </c>
      <c r="M634" s="24" t="str">
        <f>IF('query (2)'!I634&lt;&gt;"",TRIM(UPPER('query (2)'!I634)),IF($L634="","UNKNOWN",$L634))</f>
        <v>HUB</v>
      </c>
      <c r="N634" s="24" t="str">
        <f>IF('query (2)'!I634&lt;&gt;"","SOURCE",IF($L634="","UNKNOWN","DERIVED"))</f>
        <v>SOURCE</v>
      </c>
      <c r="O634" s="24" t="str">
        <f>IF('query (2)'!E634="","NOT_SPECIFIED",TRIM(UPPER('query (2)'!E634)))</f>
        <v>GRINDING 2</v>
      </c>
      <c r="P634" s="24" t="str">
        <f>IF('query (2)'!F634="","",TRIM(UPPER('query (2)'!F634)))</f>
        <v>1814-H31G</v>
      </c>
      <c r="Q634" s="24" t="str">
        <f>IF('query (2)'!G634="","UNKNOWN",IFERROR(INDEX(Cleaning_Rules!$B$38:$B$46,MATCH(TRIM(UPPER('query (2)'!G634)),Cleaning_Rules!$A$38:$A$46,0)),"UNKNOWN"))</f>
        <v>OTHER</v>
      </c>
      <c r="R634" s="24" t="str">
        <f>IF('query (2)'!H634="","",TRIM(UPPER('query (2)'!H634)))</f>
        <v>OUTER RING RACEWAY SUPER FINISH MACHINE.NO.2</v>
      </c>
      <c r="S634" s="25" t="str">
        <f>IF('query (2)'!H634="","",'query (2)'!H634)</f>
        <v>Outer ring raceway super finish machine.No.2</v>
      </c>
      <c r="T634" s="24" t="str">
        <f>IF('query (2)'!J634="","",TRIM(UPPER('query (2)'!J634)))</f>
        <v>OUTER RING RACEWAY SUPER FINISH MACHINE.NO.2</v>
      </c>
      <c r="U634" s="24" t="str">
        <f t="shared" si="66"/>
        <v/>
      </c>
      <c r="V634" s="24" t="str">
        <f>IF('query (2)'!K634="","NOT_SPECIFIED",IFERROR(INDEX(Cleaning_Rules!$B$32:$B$34,MATCH(TRIM(UPPER('query (2)'!K634)),Cleaning_Rules!$A$32:$A$34,0)),"UNKNOWN"))</f>
        <v>NOT_SPECIFIED</v>
      </c>
      <c r="W634" s="24" t="str">
        <f t="shared" si="67"/>
        <v>GR-551 | FACTORY3 | HUB3-1 | HUB | GRINDING 2 | 1814-H31G | OTHER | OUTER RING RACEWAY SUPER FINISH MACHINE.NO.2 | OUTER RING RACEWAY SUPER FINISH MACHINE.NO.2 | NOT_SPECIFIED</v>
      </c>
      <c r="X634" s="24" t="str">
        <f t="shared" si="68"/>
        <v/>
      </c>
      <c r="Y634" s="24" t="str">
        <f t="shared" si="69"/>
        <v>MISSING_STATUS; CATEGORY_NOT_USEFUL</v>
      </c>
    </row>
    <row r="635" spans="1:25" x14ac:dyDescent="0.3">
      <c r="A635" s="24" t="str">
        <f t="shared" si="63"/>
        <v>CH-685#0634</v>
      </c>
      <c r="B635" s="24" t="str">
        <f>IF('query (2)'!B635="","",TRIM(UPPER('query (2)'!B635)))</f>
        <v>CH-685</v>
      </c>
      <c r="C635" s="25" t="str">
        <f>IF('query (2)'!B635="","",'query (2)'!B635)</f>
        <v>CH-685</v>
      </c>
      <c r="D635" s="24" t="str">
        <f t="shared" si="64"/>
        <v>CH</v>
      </c>
      <c r="E635" s="24">
        <f t="shared" si="65"/>
        <v>1</v>
      </c>
      <c r="F635" s="24">
        <f>IF('query (2)'!A635="","",IFERROR(VALUE('query (2)'!A635),""))</f>
        <v>653</v>
      </c>
      <c r="G635" s="24" t="str">
        <f>IF('query (2)'!C635="","UNKNOWN",IFERROR(INDEX(Cleaning_Rules!$B$15:$B$20,MATCH(TRIM(UPPER('query (2)'!C635)),Cleaning_Rules!$A$15:$A$20,0)),"UNKNOWN"))</f>
        <v>FACTORY3</v>
      </c>
      <c r="H635" s="25" t="str">
        <f>IF('query (2)'!C635="","",'query (2)'!C635)</f>
        <v>FACTORY3</v>
      </c>
      <c r="I635" s="24" t="str" cm="1">
        <f t="array" ref="I635">_xlfn.IFS($G635="UNKNOWN","UNKNOWN",OR($G635="FACTORY1",$G635="FACTORY2",$G635="FACTORY3"),"PLANT",TRUE,"SHARED")</f>
        <v>PLANT</v>
      </c>
      <c r="J635" s="24" t="str">
        <f>IF('query (2)'!D635="","UNKNOWN",IF(COUNTIF(Cleaning_Rules!$A$6:$A$11,TRIM('query (2)'!D635))&gt;0,"UNKNOWN",IFERROR(INDEX(Cleaning_Rules!$B$24:$B$28,MATCH(TRIM(UPPER('query (2)'!D635)),Cleaning_Rules!$A$24:$A$28,0)),TRIM(UPPER('query (2)'!D635)))))</f>
        <v>HUB3-1</v>
      </c>
      <c r="K635" s="25" t="str">
        <f>IF('query (2)'!D635="","",'query (2)'!D635)</f>
        <v>HUB3-1</v>
      </c>
      <c r="L635" s="24" t="str">
        <f>IF($J635="UNKNOWN","",_xlfn.TEXTBEFORE($J635,{"0","1","2","3","4","5","6","7","8","9"," ","-","."},1,,,$J635))</f>
        <v>HUB</v>
      </c>
      <c r="M635" s="24" t="str">
        <f>IF('query (2)'!I635&lt;&gt;"",TRIM(UPPER('query (2)'!I635)),IF($L635="","UNKNOWN",$L635))</f>
        <v>HUB</v>
      </c>
      <c r="N635" s="24" t="str">
        <f>IF('query (2)'!I635&lt;&gt;"","SOURCE",IF($L635="","UNKNOWN","DERIVED"))</f>
        <v>SOURCE</v>
      </c>
      <c r="O635" s="24" t="str">
        <f>IF('query (2)'!E635="","NOT_SPECIFIED",TRIM(UPPER('query (2)'!E635)))</f>
        <v>ASSEMBLY</v>
      </c>
      <c r="P635" s="24" t="str">
        <f>IF('query (2)'!F635="","",TRIM(UPPER('query (2)'!F635)))</f>
        <v>1815-H31AI</v>
      </c>
      <c r="Q635" s="24" t="str">
        <f>IF('query (2)'!G635="","UNKNOWN",IFERROR(INDEX(Cleaning_Rules!$B$38:$B$46,MATCH(TRIM(UPPER('query (2)'!G635)),Cleaning_Rules!$A$38:$A$46,0)),"UNKNOWN"))</f>
        <v>OTHER</v>
      </c>
      <c r="R635" s="24" t="str">
        <f>IF('query (2)'!H635="","",TRIM(UPPER('query (2)'!H635)))</f>
        <v>ENCODER CHECK MACHINE</v>
      </c>
      <c r="S635" s="25" t="str">
        <f>IF('query (2)'!H635="","",'query (2)'!H635)</f>
        <v>Encoder Check Machine</v>
      </c>
      <c r="T635" s="24" t="str">
        <f>IF('query (2)'!J635="","",TRIM(UPPER('query (2)'!J635)))</f>
        <v>ENCODER CHECK MACHINE</v>
      </c>
      <c r="U635" s="24" t="str">
        <f t="shared" si="66"/>
        <v/>
      </c>
      <c r="V635" s="24" t="str">
        <f>IF('query (2)'!K635="","NOT_SPECIFIED",IFERROR(INDEX(Cleaning_Rules!$B$32:$B$34,MATCH(TRIM(UPPER('query (2)'!K635)),Cleaning_Rules!$A$32:$A$34,0)),"UNKNOWN"))</f>
        <v>NOT_SPECIFIED</v>
      </c>
      <c r="W635" s="24" t="str">
        <f t="shared" si="67"/>
        <v>CH-685 | FACTORY3 | HUB3-1 | HUB | ASSEMBLY | 1815-H31AI | OTHER | ENCODER CHECK MACHINE | ENCODER CHECK MACHINE | NOT_SPECIFIED</v>
      </c>
      <c r="X635" s="24" t="str">
        <f t="shared" si="68"/>
        <v/>
      </c>
      <c r="Y635" s="24" t="str">
        <f t="shared" si="69"/>
        <v>MISSING_STATUS; CATEGORY_NOT_USEFUL</v>
      </c>
    </row>
    <row r="636" spans="1:25" x14ac:dyDescent="0.3">
      <c r="A636" s="24" t="str">
        <f t="shared" si="63"/>
        <v>WA-856#0635</v>
      </c>
      <c r="B636" s="24" t="str">
        <f>IF('query (2)'!B636="","",TRIM(UPPER('query (2)'!B636)))</f>
        <v>WA-856</v>
      </c>
      <c r="C636" s="25" t="str">
        <f>IF('query (2)'!B636="","",'query (2)'!B636)</f>
        <v>WA-856</v>
      </c>
      <c r="D636" s="24" t="str">
        <f t="shared" si="64"/>
        <v>WA</v>
      </c>
      <c r="E636" s="24">
        <f t="shared" si="65"/>
        <v>1</v>
      </c>
      <c r="F636" s="24">
        <f>IF('query (2)'!A636="","",IFERROR(VALUE('query (2)'!A636),""))</f>
        <v>654</v>
      </c>
      <c r="G636" s="24" t="str">
        <f>IF('query (2)'!C636="","UNKNOWN",IFERROR(INDEX(Cleaning_Rules!$B$15:$B$20,MATCH(TRIM(UPPER('query (2)'!C636)),Cleaning_Rules!$A$15:$A$20,0)),"UNKNOWN"))</f>
        <v>FACTORY3</v>
      </c>
      <c r="H636" s="25" t="str">
        <f>IF('query (2)'!C636="","",'query (2)'!C636)</f>
        <v>FACTORY3</v>
      </c>
      <c r="I636" s="24" t="str" cm="1">
        <f t="array" ref="I636">_xlfn.IFS($G636="UNKNOWN","UNKNOWN",OR($G636="FACTORY1",$G636="FACTORY2",$G636="FACTORY3"),"PLANT",TRUE,"SHARED")</f>
        <v>PLANT</v>
      </c>
      <c r="J636" s="24" t="str">
        <f>IF('query (2)'!D636="","UNKNOWN",IF(COUNTIF(Cleaning_Rules!$A$6:$A$11,TRIM('query (2)'!D636))&gt;0,"UNKNOWN",IFERROR(INDEX(Cleaning_Rules!$B$24:$B$28,MATCH(TRIM(UPPER('query (2)'!D636)),Cleaning_Rules!$A$24:$A$28,0)),TRIM(UPPER('query (2)'!D636)))))</f>
        <v>HUB3-1</v>
      </c>
      <c r="K636" s="25" t="str">
        <f>IF('query (2)'!D636="","",'query (2)'!D636)</f>
        <v>HUB3-1</v>
      </c>
      <c r="L636" s="24" t="str">
        <f>IF($J636="UNKNOWN","",_xlfn.TEXTBEFORE($J636,{"0","1","2","3","4","5","6","7","8","9"," ","-","."},1,,,$J636))</f>
        <v>HUB</v>
      </c>
      <c r="M636" s="24" t="str">
        <f>IF('query (2)'!I636&lt;&gt;"",TRIM(UPPER('query (2)'!I636)),IF($L636="","UNKNOWN",$L636))</f>
        <v>HUB</v>
      </c>
      <c r="N636" s="24" t="str">
        <f>IF('query (2)'!I636&lt;&gt;"","SOURCE",IF($L636="","UNKNOWN","DERIVED"))</f>
        <v>SOURCE</v>
      </c>
      <c r="O636" s="24" t="str">
        <f>IF('query (2)'!E636="","NOT_SPECIFIED",TRIM(UPPER('query (2)'!E636)))</f>
        <v>GRINDING 2</v>
      </c>
      <c r="P636" s="24" t="str">
        <f>IF('query (2)'!F636="","",TRIM(UPPER('query (2)'!F636)))</f>
        <v>1814-H31G</v>
      </c>
      <c r="Q636" s="24" t="str">
        <f>IF('query (2)'!G636="","UNKNOWN",IFERROR(INDEX(Cleaning_Rules!$B$38:$B$46,MATCH(TRIM(UPPER('query (2)'!G636)),Cleaning_Rules!$A$38:$A$46,0)),"UNKNOWN"))</f>
        <v>OTHER</v>
      </c>
      <c r="R636" s="24" t="str">
        <f>IF('query (2)'!H636="","",TRIM(UPPER('query (2)'!H636)))</f>
        <v>WASHING EQUIPMENT M/C</v>
      </c>
      <c r="S636" s="25" t="str">
        <f>IF('query (2)'!H636="","",'query (2)'!H636)</f>
        <v>Washing equipment m/c</v>
      </c>
      <c r="T636" s="24" t="str">
        <f>IF('query (2)'!J636="","",TRIM(UPPER('query (2)'!J636)))</f>
        <v>WASHING EQUIPMENT M/C</v>
      </c>
      <c r="U636" s="24" t="str">
        <f t="shared" si="66"/>
        <v/>
      </c>
      <c r="V636" s="24" t="str">
        <f>IF('query (2)'!K636="","NOT_SPECIFIED",IFERROR(INDEX(Cleaning_Rules!$B$32:$B$34,MATCH(TRIM(UPPER('query (2)'!K636)),Cleaning_Rules!$A$32:$A$34,0)),"UNKNOWN"))</f>
        <v>NOT_SPECIFIED</v>
      </c>
      <c r="W636" s="24" t="str">
        <f t="shared" si="67"/>
        <v>WA-856 | FACTORY3 | HUB3-1 | HUB | GRINDING 2 | 1814-H31G | OTHER | WASHING EQUIPMENT M/C | WASHING EQUIPMENT M/C | NOT_SPECIFIED</v>
      </c>
      <c r="X636" s="24" t="str">
        <f t="shared" si="68"/>
        <v/>
      </c>
      <c r="Y636" s="24" t="str">
        <f t="shared" si="69"/>
        <v>MISSING_STATUS; CATEGORY_NOT_USEFUL</v>
      </c>
    </row>
    <row r="637" spans="1:25" x14ac:dyDescent="0.3">
      <c r="A637" s="24" t="str">
        <f t="shared" si="63"/>
        <v>L-904#0636</v>
      </c>
      <c r="B637" s="24" t="str">
        <f>IF('query (2)'!B637="","",TRIM(UPPER('query (2)'!B637)))</f>
        <v>L-904</v>
      </c>
      <c r="C637" s="25" t="str">
        <f>IF('query (2)'!B637="","",'query (2)'!B637)</f>
        <v>L-904</v>
      </c>
      <c r="D637" s="24" t="str">
        <f t="shared" si="64"/>
        <v>L</v>
      </c>
      <c r="E637" s="24">
        <f t="shared" si="65"/>
        <v>1</v>
      </c>
      <c r="F637" s="24">
        <f>IF('query (2)'!A637="","",IFERROR(VALUE('query (2)'!A637),""))</f>
        <v>655</v>
      </c>
      <c r="G637" s="24" t="str">
        <f>IF('query (2)'!C637="","UNKNOWN",IFERROR(INDEX(Cleaning_Rules!$B$15:$B$20,MATCH(TRIM(UPPER('query (2)'!C637)),Cleaning_Rules!$A$15:$A$20,0)),"UNKNOWN"))</f>
        <v>FACTORY3</v>
      </c>
      <c r="H637" s="25" t="str">
        <f>IF('query (2)'!C637="","",'query (2)'!C637)</f>
        <v>FACTORY3</v>
      </c>
      <c r="I637" s="24" t="str" cm="1">
        <f t="array" ref="I637">_xlfn.IFS($G637="UNKNOWN","UNKNOWN",OR($G637="FACTORY1",$G637="FACTORY2",$G637="FACTORY3"),"PLANT",TRUE,"SHARED")</f>
        <v>PLANT</v>
      </c>
      <c r="J637" s="24" t="str">
        <f>IF('query (2)'!D637="","UNKNOWN",IF(COUNTIF(Cleaning_Rules!$A$6:$A$11,TRIM('query (2)'!D637))&gt;0,"UNKNOWN",IFERROR(INDEX(Cleaning_Rules!$B$24:$B$28,MATCH(TRIM(UPPER('query (2)'!D637)),Cleaning_Rules!$A$24:$A$28,0)),TRIM(UPPER('query (2)'!D637)))))</f>
        <v>HUB3-1</v>
      </c>
      <c r="K637" s="25" t="str">
        <f>IF('query (2)'!D637="","",'query (2)'!D637)</f>
        <v>HUB3-1</v>
      </c>
      <c r="L637" s="24" t="str">
        <f>IF($J637="UNKNOWN","",_xlfn.TEXTBEFORE($J637,{"0","1","2","3","4","5","6","7","8","9"," ","-","."},1,,,$J637))</f>
        <v>HUB</v>
      </c>
      <c r="M637" s="24" t="str">
        <f>IF('query (2)'!I637&lt;&gt;"",TRIM(UPPER('query (2)'!I637)),IF($L637="","UNKNOWN",$L637))</f>
        <v>HUB</v>
      </c>
      <c r="N637" s="24" t="str">
        <f>IF('query (2)'!I637&lt;&gt;"","SOURCE",IF($L637="","UNKNOWN","DERIVED"))</f>
        <v>SOURCE</v>
      </c>
      <c r="O637" s="24" t="str">
        <f>IF('query (2)'!E637="","NOT_SPECIFIED",TRIM(UPPER('query (2)'!E637)))</f>
        <v>GRINDING 2</v>
      </c>
      <c r="P637" s="24" t="str">
        <f>IF('query (2)'!F637="","",TRIM(UPPER('query (2)'!F637)))</f>
        <v>1814-H31G</v>
      </c>
      <c r="Q637" s="24" t="str">
        <f>IF('query (2)'!G637="","UNKNOWN",IFERROR(INDEX(Cleaning_Rules!$B$38:$B$46,MATCH(TRIM(UPPER('query (2)'!G637)),Cleaning_Rules!$A$38:$A$46,0)),"UNKNOWN"))</f>
        <v>OTHER</v>
      </c>
      <c r="R637" s="24" t="str">
        <f>IF('query (2)'!H637="","",TRIM(UPPER('query (2)'!H637)))</f>
        <v>FS4 TYPE NC LATHE M/C</v>
      </c>
      <c r="S637" s="25" t="str">
        <f>IF('query (2)'!H637="","",'query (2)'!H637)</f>
        <v>FS4 Type NC lathe  m/c</v>
      </c>
      <c r="T637" s="24" t="str">
        <f>IF('query (2)'!J637="","",TRIM(UPPER('query (2)'!J637)))</f>
        <v>FS4 TYPE NC LATHE M/C</v>
      </c>
      <c r="U637" s="24" t="str">
        <f t="shared" si="66"/>
        <v/>
      </c>
      <c r="V637" s="24" t="str">
        <f>IF('query (2)'!K637="","NOT_SPECIFIED",IFERROR(INDEX(Cleaning_Rules!$B$32:$B$34,MATCH(TRIM(UPPER('query (2)'!K637)),Cleaning_Rules!$A$32:$A$34,0)),"UNKNOWN"))</f>
        <v>NOT_SPECIFIED</v>
      </c>
      <c r="W637" s="24" t="str">
        <f t="shared" si="67"/>
        <v>L-904 | FACTORY3 | HUB3-1 | HUB | GRINDING 2 | 1814-H31G | OTHER | FS4 TYPE NC LATHE M/C | FS4 TYPE NC LATHE M/C | NOT_SPECIFIED</v>
      </c>
      <c r="X637" s="24" t="str">
        <f t="shared" si="68"/>
        <v/>
      </c>
      <c r="Y637" s="24" t="str">
        <f t="shared" si="69"/>
        <v>MISSING_STATUS; CATEGORY_NOT_USEFUL</v>
      </c>
    </row>
    <row r="638" spans="1:25" x14ac:dyDescent="0.3">
      <c r="A638" s="24" t="str">
        <f t="shared" si="63"/>
        <v>FI-123#0637</v>
      </c>
      <c r="B638" s="24" t="str">
        <f>IF('query (2)'!B638="","",TRIM(UPPER('query (2)'!B638)))</f>
        <v>FI-123</v>
      </c>
      <c r="C638" s="25" t="str">
        <f>IF('query (2)'!B638="","",'query (2)'!B638)</f>
        <v>FI-123</v>
      </c>
      <c r="D638" s="24" t="str">
        <f t="shared" si="64"/>
        <v>FI</v>
      </c>
      <c r="E638" s="24">
        <f t="shared" si="65"/>
        <v>1</v>
      </c>
      <c r="F638" s="24">
        <f>IF('query (2)'!A638="","",IFERROR(VALUE('query (2)'!A638),""))</f>
        <v>656</v>
      </c>
      <c r="G638" s="24" t="str">
        <f>IF('query (2)'!C638="","UNKNOWN",IFERROR(INDEX(Cleaning_Rules!$B$15:$B$20,MATCH(TRIM(UPPER('query (2)'!C638)),Cleaning_Rules!$A$15:$A$20,0)),"UNKNOWN"))</f>
        <v>FACTORY3</v>
      </c>
      <c r="H638" s="25" t="str">
        <f>IF('query (2)'!C638="","",'query (2)'!C638)</f>
        <v>FACTORY3</v>
      </c>
      <c r="I638" s="24" t="str" cm="1">
        <f t="array" ref="I638">_xlfn.IFS($G638="UNKNOWN","UNKNOWN",OR($G638="FACTORY1",$G638="FACTORY2",$G638="FACTORY3"),"PLANT",TRUE,"SHARED")</f>
        <v>PLANT</v>
      </c>
      <c r="J638" s="24" t="str">
        <f>IF('query (2)'!D638="","UNKNOWN",IF(COUNTIF(Cleaning_Rules!$A$6:$A$11,TRIM('query (2)'!D638))&gt;0,"UNKNOWN",IFERROR(INDEX(Cleaning_Rules!$B$24:$B$28,MATCH(TRIM(UPPER('query (2)'!D638)),Cleaning_Rules!$A$24:$A$28,0)),TRIM(UPPER('query (2)'!D638)))))</f>
        <v>HUB3-1</v>
      </c>
      <c r="K638" s="25" t="str">
        <f>IF('query (2)'!D638="","",'query (2)'!D638)</f>
        <v>HUB3-1</v>
      </c>
      <c r="L638" s="24" t="str">
        <f>IF($J638="UNKNOWN","",_xlfn.TEXTBEFORE($J638,{"0","1","2","3","4","5","6","7","8","9"," ","-","."},1,,,$J638))</f>
        <v>HUB</v>
      </c>
      <c r="M638" s="24" t="str">
        <f>IF('query (2)'!I638&lt;&gt;"",TRIM(UPPER('query (2)'!I638)),IF($L638="","UNKNOWN",$L638))</f>
        <v>HUB</v>
      </c>
      <c r="N638" s="24" t="str">
        <f>IF('query (2)'!I638&lt;&gt;"","SOURCE",IF($L638="","UNKNOWN","DERIVED"))</f>
        <v>SOURCE</v>
      </c>
      <c r="O638" s="24" t="str">
        <f>IF('query (2)'!E638="","NOT_SPECIFIED",TRIM(UPPER('query (2)'!E638)))</f>
        <v>GRINDING 2</v>
      </c>
      <c r="P638" s="24" t="str">
        <f>IF('query (2)'!F638="","",TRIM(UPPER('query (2)'!F638)))</f>
        <v>1814-H31G</v>
      </c>
      <c r="Q638" s="24" t="str">
        <f>IF('query (2)'!G638="","UNKNOWN",IFERROR(INDEX(Cleaning_Rules!$B$38:$B$46,MATCH(TRIM(UPPER('query (2)'!G638)),Cleaning_Rules!$A$38:$A$46,0)),"UNKNOWN"))</f>
        <v>OTHER</v>
      </c>
      <c r="R638" s="24" t="str">
        <f>IF('query (2)'!H638="","",TRIM(UPPER('query (2)'!H638)))</f>
        <v>MAGNET FILTER COOLANT TANK</v>
      </c>
      <c r="S638" s="25" t="str">
        <f>IF('query (2)'!H638="","",'query (2)'!H638)</f>
        <v>Magnet filter coolant tank</v>
      </c>
      <c r="T638" s="24" t="str">
        <f>IF('query (2)'!J638="","",TRIM(UPPER('query (2)'!J638)))</f>
        <v>MAGNET FILTER COOLANT TANK</v>
      </c>
      <c r="U638" s="24" t="str">
        <f t="shared" si="66"/>
        <v/>
      </c>
      <c r="V638" s="24" t="str">
        <f>IF('query (2)'!K638="","NOT_SPECIFIED",IFERROR(INDEX(Cleaning_Rules!$B$32:$B$34,MATCH(TRIM(UPPER('query (2)'!K638)),Cleaning_Rules!$A$32:$A$34,0)),"UNKNOWN"))</f>
        <v>NOT_SPECIFIED</v>
      </c>
      <c r="W638" s="24" t="str">
        <f t="shared" si="67"/>
        <v>FI-123 | FACTORY3 | HUB3-1 | HUB | GRINDING 2 | 1814-H31G | OTHER | MAGNET FILTER COOLANT TANK | MAGNET FILTER COOLANT TANK | NOT_SPECIFIED</v>
      </c>
      <c r="X638" s="24" t="str">
        <f t="shared" si="68"/>
        <v/>
      </c>
      <c r="Y638" s="24" t="str">
        <f t="shared" si="69"/>
        <v>MISSING_STATUS; CATEGORY_NOT_USEFUL</v>
      </c>
    </row>
    <row r="639" spans="1:25" x14ac:dyDescent="0.3">
      <c r="A639" s="24" t="str">
        <f t="shared" si="63"/>
        <v>GR-1065#0638</v>
      </c>
      <c r="B639" s="24" t="str">
        <f>IF('query (2)'!B639="","",TRIM(UPPER('query (2)'!B639)))</f>
        <v>GR-1065</v>
      </c>
      <c r="C639" s="25" t="str">
        <f>IF('query (2)'!B639="","",'query (2)'!B639)</f>
        <v>GR-1065</v>
      </c>
      <c r="D639" s="24" t="str">
        <f t="shared" si="64"/>
        <v>GR</v>
      </c>
      <c r="E639" s="24">
        <f t="shared" si="65"/>
        <v>1</v>
      </c>
      <c r="F639" s="24">
        <f>IF('query (2)'!A639="","",IFERROR(VALUE('query (2)'!A639),""))</f>
        <v>657</v>
      </c>
      <c r="G639" s="24" t="str">
        <f>IF('query (2)'!C639="","UNKNOWN",IFERROR(INDEX(Cleaning_Rules!$B$15:$B$20,MATCH(TRIM(UPPER('query (2)'!C639)),Cleaning_Rules!$A$15:$A$20,0)),"UNKNOWN"))</f>
        <v>FACTORY3</v>
      </c>
      <c r="H639" s="25" t="str">
        <f>IF('query (2)'!C639="","",'query (2)'!C639)</f>
        <v>FACTORY3</v>
      </c>
      <c r="I639" s="24" t="str" cm="1">
        <f t="array" ref="I639">_xlfn.IFS($G639="UNKNOWN","UNKNOWN",OR($G639="FACTORY1",$G639="FACTORY2",$G639="FACTORY3"),"PLANT",TRUE,"SHARED")</f>
        <v>PLANT</v>
      </c>
      <c r="J639" s="24" t="str">
        <f>IF('query (2)'!D639="","UNKNOWN",IF(COUNTIF(Cleaning_Rules!$A$6:$A$11,TRIM('query (2)'!D639))&gt;0,"UNKNOWN",IFERROR(INDEX(Cleaning_Rules!$B$24:$B$28,MATCH(TRIM(UPPER('query (2)'!D639)),Cleaning_Rules!$A$24:$A$28,0)),TRIM(UPPER('query (2)'!D639)))))</f>
        <v>HUB3-1</v>
      </c>
      <c r="K639" s="25" t="str">
        <f>IF('query (2)'!D639="","",'query (2)'!D639)</f>
        <v>HUB3-1</v>
      </c>
      <c r="L639" s="24" t="str">
        <f>IF($J639="UNKNOWN","",_xlfn.TEXTBEFORE($J639,{"0","1","2","3","4","5","6","7","8","9"," ","-","."},1,,,$J639))</f>
        <v>HUB</v>
      </c>
      <c r="M639" s="24" t="str">
        <f>IF('query (2)'!I639&lt;&gt;"",TRIM(UPPER('query (2)'!I639)),IF($L639="","UNKNOWN",$L639))</f>
        <v>HUB</v>
      </c>
      <c r="N639" s="24" t="str">
        <f>IF('query (2)'!I639&lt;&gt;"","SOURCE",IF($L639="","UNKNOWN","DERIVED"))</f>
        <v>SOURCE</v>
      </c>
      <c r="O639" s="24" t="str">
        <f>IF('query (2)'!E639="","NOT_SPECIFIED",TRIM(UPPER('query (2)'!E639)))</f>
        <v>GRINDING 2</v>
      </c>
      <c r="P639" s="24" t="str">
        <f>IF('query (2)'!F639="","",TRIM(UPPER('query (2)'!F639)))</f>
        <v>1814-H31G</v>
      </c>
      <c r="Q639" s="24" t="str">
        <f>IF('query (2)'!G639="","UNKNOWN",IFERROR(INDEX(Cleaning_Rules!$B$38:$B$46,MATCH(TRIM(UPPER('query (2)'!G639)),Cleaning_Rules!$A$38:$A$46,0)),"UNKNOWN"))</f>
        <v>OTHER</v>
      </c>
      <c r="R639" s="24" t="str">
        <f>IF('query (2)'!H639="","",TRIM(UPPER('query (2)'!H639)))</f>
        <v>OUTER RING RACEWAY SUPER FINISH WITH DEMAGNETIZING</v>
      </c>
      <c r="S639" s="25" t="str">
        <f>IF('query (2)'!H639="","",'query (2)'!H639)</f>
        <v>Outer ring raceway super finish with demagnetizing</v>
      </c>
      <c r="T639" s="24" t="str">
        <f>IF('query (2)'!J639="","",TRIM(UPPER('query (2)'!J639)))</f>
        <v>OUTER RING RACEWAY SUPER FINISH WITH DEMAGNETIZING</v>
      </c>
      <c r="U639" s="24" t="str">
        <f t="shared" si="66"/>
        <v/>
      </c>
      <c r="V639" s="24" t="str">
        <f>IF('query (2)'!K639="","NOT_SPECIFIED",IFERROR(INDEX(Cleaning_Rules!$B$32:$B$34,MATCH(TRIM(UPPER('query (2)'!K639)),Cleaning_Rules!$A$32:$A$34,0)),"UNKNOWN"))</f>
        <v>NOT_SPECIFIED</v>
      </c>
      <c r="W639" s="24" t="str">
        <f t="shared" si="67"/>
        <v>GR-1065 | FACTORY3 | HUB3-1 | HUB | GRINDING 2 | 1814-H31G | OTHER | OUTER RING RACEWAY SUPER FINISH WITH DEMAGNETIZING | OUTER RING RACEWAY SUPER FINISH WITH DEMAGNETIZING | NOT_SPECIFIED</v>
      </c>
      <c r="X639" s="24" t="str">
        <f t="shared" si="68"/>
        <v/>
      </c>
      <c r="Y639" s="24" t="str">
        <f t="shared" si="69"/>
        <v>MISSING_STATUS; CATEGORY_NOT_USEFUL</v>
      </c>
    </row>
    <row r="640" spans="1:25" x14ac:dyDescent="0.3">
      <c r="A640" s="24" t="str">
        <f t="shared" si="63"/>
        <v>SU-1064#0639</v>
      </c>
      <c r="B640" s="24" t="str">
        <f>IF('query (2)'!B640="","",TRIM(UPPER('query (2)'!B640)))</f>
        <v>SU-1064</v>
      </c>
      <c r="C640" s="25" t="str">
        <f>IF('query (2)'!B640="","",'query (2)'!B640)</f>
        <v>SU-1064</v>
      </c>
      <c r="D640" s="24" t="str">
        <f t="shared" si="64"/>
        <v>SU</v>
      </c>
      <c r="E640" s="24">
        <f t="shared" si="65"/>
        <v>1</v>
      </c>
      <c r="F640" s="24">
        <f>IF('query (2)'!A640="","",IFERROR(VALUE('query (2)'!A640),""))</f>
        <v>658</v>
      </c>
      <c r="G640" s="24" t="str">
        <f>IF('query (2)'!C640="","UNKNOWN",IFERROR(INDEX(Cleaning_Rules!$B$15:$B$20,MATCH(TRIM(UPPER('query (2)'!C640)),Cleaning_Rules!$A$15:$A$20,0)),"UNKNOWN"))</f>
        <v>FACTORY3</v>
      </c>
      <c r="H640" s="25" t="str">
        <f>IF('query (2)'!C640="","",'query (2)'!C640)</f>
        <v>FACTORY3</v>
      </c>
      <c r="I640" s="24" t="str" cm="1">
        <f t="array" ref="I640">_xlfn.IFS($G640="UNKNOWN","UNKNOWN",OR($G640="FACTORY1",$G640="FACTORY2",$G640="FACTORY3"),"PLANT",TRUE,"SHARED")</f>
        <v>PLANT</v>
      </c>
      <c r="J640" s="24" t="str">
        <f>IF('query (2)'!D640="","UNKNOWN",IF(COUNTIF(Cleaning_Rules!$A$6:$A$11,TRIM('query (2)'!D640))&gt;0,"UNKNOWN",IFERROR(INDEX(Cleaning_Rules!$B$24:$B$28,MATCH(TRIM(UPPER('query (2)'!D640)),Cleaning_Rules!$A$24:$A$28,0)),TRIM(UPPER('query (2)'!D640)))))</f>
        <v>HUB3-1</v>
      </c>
      <c r="K640" s="25" t="str">
        <f>IF('query (2)'!D640="","",'query (2)'!D640)</f>
        <v>HUB3-1</v>
      </c>
      <c r="L640" s="24" t="str">
        <f>IF($J640="UNKNOWN","",_xlfn.TEXTBEFORE($J640,{"0","1","2","3","4","5","6","7","8","9"," ","-","."},1,,,$J640))</f>
        <v>HUB</v>
      </c>
      <c r="M640" s="24" t="str">
        <f>IF('query (2)'!I640&lt;&gt;"",TRIM(UPPER('query (2)'!I640)),IF($L640="","UNKNOWN",$L640))</f>
        <v>HUB</v>
      </c>
      <c r="N640" s="24" t="str">
        <f>IF('query (2)'!I640&lt;&gt;"","SOURCE",IF($L640="","UNKNOWN","DERIVED"))</f>
        <v>SOURCE</v>
      </c>
      <c r="O640" s="24" t="str">
        <f>IF('query (2)'!E640="","NOT_SPECIFIED",TRIM(UPPER('query (2)'!E640)))</f>
        <v>GRINDING 2</v>
      </c>
      <c r="P640" s="24" t="str">
        <f>IF('query (2)'!F640="","",TRIM(UPPER('query (2)'!F640)))</f>
        <v>1814-H31G</v>
      </c>
      <c r="Q640" s="24" t="str">
        <f>IF('query (2)'!G640="","UNKNOWN",IFERROR(INDEX(Cleaning_Rules!$B$38:$B$46,MATCH(TRIM(UPPER('query (2)'!G640)),Cleaning_Rules!$A$38:$A$46,0)),"UNKNOWN"))</f>
        <v>OTHER</v>
      </c>
      <c r="R640" s="24" t="str">
        <f>IF('query (2)'!H640="","",TRIM(UPPER('query (2)'!H640)))</f>
        <v>OUTER FEEDER</v>
      </c>
      <c r="S640" s="25" t="str">
        <f>IF('query (2)'!H640="","",'query (2)'!H640)</f>
        <v>Outer feeder</v>
      </c>
      <c r="T640" s="24" t="str">
        <f>IF('query (2)'!J640="","",TRIM(UPPER('query (2)'!J640)))</f>
        <v>OUTER FEEDER</v>
      </c>
      <c r="U640" s="24" t="str">
        <f t="shared" si="66"/>
        <v/>
      </c>
      <c r="V640" s="24" t="str">
        <f>IF('query (2)'!K640="","NOT_SPECIFIED",IFERROR(INDEX(Cleaning_Rules!$B$32:$B$34,MATCH(TRIM(UPPER('query (2)'!K640)),Cleaning_Rules!$A$32:$A$34,0)),"UNKNOWN"))</f>
        <v>NOT_SPECIFIED</v>
      </c>
      <c r="W640" s="24" t="str">
        <f t="shared" si="67"/>
        <v>SU-1064 | FACTORY3 | HUB3-1 | HUB | GRINDING 2 | 1814-H31G | OTHER | OUTER FEEDER | OUTER FEEDER | NOT_SPECIFIED</v>
      </c>
      <c r="X640" s="24" t="str">
        <f t="shared" si="68"/>
        <v/>
      </c>
      <c r="Y640" s="24" t="str">
        <f t="shared" si="69"/>
        <v>MISSING_STATUS; CATEGORY_NOT_USEFUL</v>
      </c>
    </row>
    <row r="641" spans="1:25" x14ac:dyDescent="0.3">
      <c r="A641" s="24" t="str">
        <f t="shared" si="63"/>
        <v>SU-1063#0640</v>
      </c>
      <c r="B641" s="24" t="str">
        <f>IF('query (2)'!B641="","",TRIM(UPPER('query (2)'!B641)))</f>
        <v>SU-1063</v>
      </c>
      <c r="C641" s="25" t="str">
        <f>IF('query (2)'!B641="","",'query (2)'!B641)</f>
        <v>SU-1063</v>
      </c>
      <c r="D641" s="24" t="str">
        <f t="shared" si="64"/>
        <v>SU</v>
      </c>
      <c r="E641" s="24">
        <f t="shared" si="65"/>
        <v>1</v>
      </c>
      <c r="F641" s="24">
        <f>IF('query (2)'!A641="","",IFERROR(VALUE('query (2)'!A641),""))</f>
        <v>659</v>
      </c>
      <c r="G641" s="24" t="str">
        <f>IF('query (2)'!C641="","UNKNOWN",IFERROR(INDEX(Cleaning_Rules!$B$15:$B$20,MATCH(TRIM(UPPER('query (2)'!C641)),Cleaning_Rules!$A$15:$A$20,0)),"UNKNOWN"))</f>
        <v>FACTORY3</v>
      </c>
      <c r="H641" s="25" t="str">
        <f>IF('query (2)'!C641="","",'query (2)'!C641)</f>
        <v>FACTORY3</v>
      </c>
      <c r="I641" s="24" t="str" cm="1">
        <f t="array" ref="I641">_xlfn.IFS($G641="UNKNOWN","UNKNOWN",OR($G641="FACTORY1",$G641="FACTORY2",$G641="FACTORY3"),"PLANT",TRUE,"SHARED")</f>
        <v>PLANT</v>
      </c>
      <c r="J641" s="24" t="str">
        <f>IF('query (2)'!D641="","UNKNOWN",IF(COUNTIF(Cleaning_Rules!$A$6:$A$11,TRIM('query (2)'!D641))&gt;0,"UNKNOWN",IFERROR(INDEX(Cleaning_Rules!$B$24:$B$28,MATCH(TRIM(UPPER('query (2)'!D641)),Cleaning_Rules!$A$24:$A$28,0)),TRIM(UPPER('query (2)'!D641)))))</f>
        <v>HUB3-1</v>
      </c>
      <c r="K641" s="25" t="str">
        <f>IF('query (2)'!D641="","",'query (2)'!D641)</f>
        <v>HUB3-1</v>
      </c>
      <c r="L641" s="24" t="str">
        <f>IF($J641="UNKNOWN","",_xlfn.TEXTBEFORE($J641,{"0","1","2","3","4","5","6","7","8","9"," ","-","."},1,,,$J641))</f>
        <v>HUB</v>
      </c>
      <c r="M641" s="24" t="str">
        <f>IF('query (2)'!I641&lt;&gt;"",TRIM(UPPER('query (2)'!I641)),IF($L641="","UNKNOWN",$L641))</f>
        <v>HUB</v>
      </c>
      <c r="N641" s="24" t="str">
        <f>IF('query (2)'!I641&lt;&gt;"","SOURCE",IF($L641="","UNKNOWN","DERIVED"))</f>
        <v>SOURCE</v>
      </c>
      <c r="O641" s="24" t="str">
        <f>IF('query (2)'!E641="","NOT_SPECIFIED",TRIM(UPPER('query (2)'!E641)))</f>
        <v>GRINDING 2</v>
      </c>
      <c r="P641" s="24" t="str">
        <f>IF('query (2)'!F641="","",TRIM(UPPER('query (2)'!F641)))</f>
        <v>1814-H31G</v>
      </c>
      <c r="Q641" s="24" t="str">
        <f>IF('query (2)'!G641="","UNKNOWN",IFERROR(INDEX(Cleaning_Rules!$B$38:$B$46,MATCH(TRIM(UPPER('query (2)'!G641)),Cleaning_Rules!$A$38:$A$46,0)),"UNKNOWN"))</f>
        <v>OTHER</v>
      </c>
      <c r="R641" s="24" t="str">
        <f>IF('query (2)'!H641="","",TRIM(UPPER('query (2)'!H641)))</f>
        <v>SHAFT FEEDER</v>
      </c>
      <c r="S641" s="25" t="str">
        <f>IF('query (2)'!H641="","",'query (2)'!H641)</f>
        <v>Shaft feeder</v>
      </c>
      <c r="T641" s="24" t="str">
        <f>IF('query (2)'!J641="","",TRIM(UPPER('query (2)'!J641)))</f>
        <v>SHAFT FEEDER</v>
      </c>
      <c r="U641" s="24" t="str">
        <f t="shared" si="66"/>
        <v/>
      </c>
      <c r="V641" s="24" t="str">
        <f>IF('query (2)'!K641="","NOT_SPECIFIED",IFERROR(INDEX(Cleaning_Rules!$B$32:$B$34,MATCH(TRIM(UPPER('query (2)'!K641)),Cleaning_Rules!$A$32:$A$34,0)),"UNKNOWN"))</f>
        <v>NOT_SPECIFIED</v>
      </c>
      <c r="W641" s="24" t="str">
        <f t="shared" si="67"/>
        <v>SU-1063 | FACTORY3 | HUB3-1 | HUB | GRINDING 2 | 1814-H31G | OTHER | SHAFT FEEDER | SHAFT FEEDER | NOT_SPECIFIED</v>
      </c>
      <c r="X641" s="24" t="str">
        <f t="shared" si="68"/>
        <v/>
      </c>
      <c r="Y641" s="24" t="str">
        <f t="shared" si="69"/>
        <v>MISSING_STATUS; CATEGORY_NOT_USEFUL</v>
      </c>
    </row>
    <row r="642" spans="1:25" x14ac:dyDescent="0.3">
      <c r="A642" s="24" t="str">
        <f t="shared" si="63"/>
        <v>IH-374#0641</v>
      </c>
      <c r="B642" s="24" t="str">
        <f>IF('query (2)'!B642="","",TRIM(UPPER('query (2)'!B642)))</f>
        <v>IH-374</v>
      </c>
      <c r="C642" s="25" t="str">
        <f>IF('query (2)'!B642="","",'query (2)'!B642)</f>
        <v>IH-374</v>
      </c>
      <c r="D642" s="24" t="str">
        <f t="shared" si="64"/>
        <v>IH</v>
      </c>
      <c r="E642" s="24">
        <f t="shared" si="65"/>
        <v>1</v>
      </c>
      <c r="F642" s="24">
        <f>IF('query (2)'!A642="","",IFERROR(VALUE('query (2)'!A642),""))</f>
        <v>660</v>
      </c>
      <c r="G642" s="24" t="str">
        <f>IF('query (2)'!C642="","UNKNOWN",IFERROR(INDEX(Cleaning_Rules!$B$15:$B$20,MATCH(TRIM(UPPER('query (2)'!C642)),Cleaning_Rules!$A$15:$A$20,0)),"UNKNOWN"))</f>
        <v>FACTORY3</v>
      </c>
      <c r="H642" s="25" t="str">
        <f>IF('query (2)'!C642="","",'query (2)'!C642)</f>
        <v>FACTORY3</v>
      </c>
      <c r="I642" s="24" t="str" cm="1">
        <f t="array" ref="I642">_xlfn.IFS($G642="UNKNOWN","UNKNOWN",OR($G642="FACTORY1",$G642="FACTORY2",$G642="FACTORY3"),"PLANT",TRUE,"SHARED")</f>
        <v>PLANT</v>
      </c>
      <c r="J642" s="24" t="str">
        <f>IF('query (2)'!D642="","UNKNOWN",IF(COUNTIF(Cleaning_Rules!$A$6:$A$11,TRIM('query (2)'!D642))&gt;0,"UNKNOWN",IFERROR(INDEX(Cleaning_Rules!$B$24:$B$28,MATCH(TRIM(UPPER('query (2)'!D642)),Cleaning_Rules!$A$24:$A$28,0)),TRIM(UPPER('query (2)'!D642)))))</f>
        <v>HUB3-1</v>
      </c>
      <c r="K642" s="25" t="str">
        <f>IF('query (2)'!D642="","",'query (2)'!D642)</f>
        <v>HUB3-1</v>
      </c>
      <c r="L642" s="24" t="str">
        <f>IF($J642="UNKNOWN","",_xlfn.TEXTBEFORE($J642,{"0","1","2","3","4","5","6","7","8","9"," ","-","."},1,,,$J642))</f>
        <v>HUB</v>
      </c>
      <c r="M642" s="24" t="str">
        <f>IF('query (2)'!I642&lt;&gt;"",TRIM(UPPER('query (2)'!I642)),IF($L642="","UNKNOWN",$L642))</f>
        <v>HUB</v>
      </c>
      <c r="N642" s="24" t="str">
        <f>IF('query (2)'!I642&lt;&gt;"","SOURCE",IF($L642="","UNKNOWN","DERIVED"))</f>
        <v>SOURCE</v>
      </c>
      <c r="O642" s="24" t="str">
        <f>IF('query (2)'!E642="","NOT_SPECIFIED",TRIM(UPPER('query (2)'!E642)))</f>
        <v>GRINDING 2</v>
      </c>
      <c r="P642" s="24" t="str">
        <f>IF('query (2)'!F642="","",TRIM(UPPER('query (2)'!F642)))</f>
        <v>1814-H31G</v>
      </c>
      <c r="Q642" s="24" t="str">
        <f>IF('query (2)'!G642="","UNKNOWN",IFERROR(INDEX(Cleaning_Rules!$B$38:$B$46,MATCH(TRIM(UPPER('query (2)'!G642)),Cleaning_Rules!$A$38:$A$46,0)),"UNKNOWN"))</f>
        <v>OTHER</v>
      </c>
      <c r="R642" s="24" t="str">
        <f>IF('query (2)'!H642="","",TRIM(UPPER('query (2)'!H642)))</f>
        <v>INDUCTION HEAT MACHINE.</v>
      </c>
      <c r="S642" s="25" t="str">
        <f>IF('query (2)'!H642="","",'query (2)'!H642)</f>
        <v>Induction heat machine.</v>
      </c>
      <c r="T642" s="24" t="str">
        <f>IF('query (2)'!J642="","",TRIM(UPPER('query (2)'!J642)))</f>
        <v>INDUCTION HEAT MACHINE.</v>
      </c>
      <c r="U642" s="24" t="str">
        <f t="shared" si="66"/>
        <v/>
      </c>
      <c r="V642" s="24" t="str">
        <f>IF('query (2)'!K642="","NOT_SPECIFIED",IFERROR(INDEX(Cleaning_Rules!$B$32:$B$34,MATCH(TRIM(UPPER('query (2)'!K642)),Cleaning_Rules!$A$32:$A$34,0)),"UNKNOWN"))</f>
        <v>NOT_SPECIFIED</v>
      </c>
      <c r="W642" s="24" t="str">
        <f t="shared" si="67"/>
        <v>IH-374 | FACTORY3 | HUB3-1 | HUB | GRINDING 2 | 1814-H31G | OTHER | INDUCTION HEAT MACHINE. | INDUCTION HEAT MACHINE. | NOT_SPECIFIED</v>
      </c>
      <c r="X642" s="24" t="str">
        <f t="shared" si="68"/>
        <v/>
      </c>
      <c r="Y642" s="24" t="str">
        <f t="shared" si="69"/>
        <v>MISSING_STATUS; CATEGORY_NOT_USEFUL</v>
      </c>
    </row>
    <row r="643" spans="1:25" x14ac:dyDescent="0.3">
      <c r="A643" s="24" t="str">
        <f t="shared" ref="A643:A706" si="70">IF($B643="","NO_QR#"&amp;TEXT(ROW()-1,"0000"),$B643&amp;"#"&amp;TEXT(ROW()-1,"0000"))</f>
        <v>M-375#0642</v>
      </c>
      <c r="B643" s="24" t="str">
        <f>IF('query (2)'!B643="","",TRIM(UPPER('query (2)'!B643)))</f>
        <v>M-375</v>
      </c>
      <c r="C643" s="25" t="str">
        <f>IF('query (2)'!B643="","",'query (2)'!B643)</f>
        <v>M-375</v>
      </c>
      <c r="D643" s="24" t="str">
        <f t="shared" ref="D643:D706" si="71">IF($B643="","",IFERROR(_xlfn.TEXTBEFORE($B643,"-"),"NO_PREFIX"))</f>
        <v>M</v>
      </c>
      <c r="E643" s="24">
        <f t="shared" ref="E643:E706" si="72">IF($B643="","",COUNTIF($B$2:$B$974,$B643))</f>
        <v>1</v>
      </c>
      <c r="F643" s="24">
        <f>IF('query (2)'!A643="","",IFERROR(VALUE('query (2)'!A643),""))</f>
        <v>661</v>
      </c>
      <c r="G643" s="24" t="str">
        <f>IF('query (2)'!C643="","UNKNOWN",IFERROR(INDEX(Cleaning_Rules!$B$15:$B$20,MATCH(TRIM(UPPER('query (2)'!C643)),Cleaning_Rules!$A$15:$A$20,0)),"UNKNOWN"))</f>
        <v>FACTORY3</v>
      </c>
      <c r="H643" s="25" t="str">
        <f>IF('query (2)'!C643="","",'query (2)'!C643)</f>
        <v>FACTORY3</v>
      </c>
      <c r="I643" s="24" t="str" cm="1">
        <f t="array" ref="I643">_xlfn.IFS($G643="UNKNOWN","UNKNOWN",OR($G643="FACTORY1",$G643="FACTORY2",$G643="FACTORY3"),"PLANT",TRUE,"SHARED")</f>
        <v>PLANT</v>
      </c>
      <c r="J643" s="24" t="str">
        <f>IF('query (2)'!D643="","UNKNOWN",IF(COUNTIF(Cleaning_Rules!$A$6:$A$11,TRIM('query (2)'!D643))&gt;0,"UNKNOWN",IFERROR(INDEX(Cleaning_Rules!$B$24:$B$28,MATCH(TRIM(UPPER('query (2)'!D643)),Cleaning_Rules!$A$24:$A$28,0)),TRIM(UPPER('query (2)'!D643)))))</f>
        <v>HUB3-1</v>
      </c>
      <c r="K643" s="25" t="str">
        <f>IF('query (2)'!D643="","",'query (2)'!D643)</f>
        <v>HUB3-1</v>
      </c>
      <c r="L643" s="24" t="str">
        <f>IF($J643="UNKNOWN","",_xlfn.TEXTBEFORE($J643,{"0","1","2","3","4","5","6","7","8","9"," ","-","."},1,,,$J643))</f>
        <v>HUB</v>
      </c>
      <c r="M643" s="24" t="str">
        <f>IF('query (2)'!I643&lt;&gt;"",TRIM(UPPER('query (2)'!I643)),IF($L643="","UNKNOWN",$L643))</f>
        <v>HUB</v>
      </c>
      <c r="N643" s="24" t="str">
        <f>IF('query (2)'!I643&lt;&gt;"","SOURCE",IF($L643="","UNKNOWN","DERIVED"))</f>
        <v>SOURCE</v>
      </c>
      <c r="O643" s="24" t="str">
        <f>IF('query (2)'!E643="","NOT_SPECIFIED",TRIM(UPPER('query (2)'!E643)))</f>
        <v>GRINDING 2</v>
      </c>
      <c r="P643" s="24" t="str">
        <f>IF('query (2)'!F643="","",TRIM(UPPER('query (2)'!F643)))</f>
        <v>1814-H31G</v>
      </c>
      <c r="Q643" s="24" t="str">
        <f>IF('query (2)'!G643="","UNKNOWN",IFERROR(INDEX(Cleaning_Rules!$B$38:$B$46,MATCH(TRIM(UPPER('query (2)'!G643)),Cleaning_Rules!$A$38:$A$46,0)),"UNKNOWN"))</f>
        <v>OTHER</v>
      </c>
      <c r="R643" s="24" t="str">
        <f>IF('query (2)'!H643="","",TRIM(UPPER('query (2)'!H643)))</f>
        <v>MAGNATIC PARTICLE EXAMINATION FOR B2 MACHINE.</v>
      </c>
      <c r="S643" s="25" t="str">
        <f>IF('query (2)'!H643="","",'query (2)'!H643)</f>
        <v>Magnatic particle examination for B2 machine.</v>
      </c>
      <c r="T643" s="24" t="str">
        <f>IF('query (2)'!J643="","",TRIM(UPPER('query (2)'!J643)))</f>
        <v>MAGNATIC PARTICLE EXAMINATION FOR B2 MACHINE.</v>
      </c>
      <c r="U643" s="24" t="str">
        <f t="shared" ref="U643:U706" si="73">IFERROR(IF(ISNUMBER(VALUE(MID($R643,SEARCH("(??-???)",$R643)+4,3))),MID($R643,SEARCH("(??-???)",$R643)+1,6),""),"")</f>
        <v/>
      </c>
      <c r="V643" s="24" t="str">
        <f>IF('query (2)'!K643="","NOT_SPECIFIED",IFERROR(INDEX(Cleaning_Rules!$B$32:$B$34,MATCH(TRIM(UPPER('query (2)'!K643)),Cleaning_Rules!$A$32:$A$34,0)),"UNKNOWN"))</f>
        <v>NOT_SPECIFIED</v>
      </c>
      <c r="W643" s="24" t="str">
        <f t="shared" ref="W643:W706" si="74">_xlfn.TEXTJOIN(" | ",TRUE,$B643,$G643,$J643,$M643,$O643,$P643,$Q643,$R643,$T643,$V643)</f>
        <v>M-375 | FACTORY3 | HUB3-1 | HUB | GRINDING 2 | 1814-H31G | OTHER | MAGNATIC PARTICLE EXAMINATION FOR B2 MACHINE. | MAGNATIC PARTICLE EXAMINATION FOR B2 MACHINE. | NOT_SPECIFIED</v>
      </c>
      <c r="X643" s="24" t="str">
        <f t="shared" ref="X643:X706" si="75">_xlfn.TEXTJOIN("; ",TRUE,IF($B643="","MISSING_QR",""),IF(N($E643)&gt;1,"DUPLICATE_QR",""),IF($F643="","MISSING_NO",""),IF($G643="UNKNOWN","MISSING_LOCATION",""),IF($J643="UNKNOWN","MISSING_DEPARTMENT",""),IF($N643="UNKNOWN","MISSING_SECTION",""),IF($O643="NOT_SPECIFIED","MISSING_RESPONSIBLE",""),IF($P643="","MISSING_COST_CENTER",""),IF($Q643="UNKNOWN","MISSING_CATEGORY",""),IF($R643="","MISSING_DESCRIPTION",""))</f>
        <v/>
      </c>
      <c r="Y643" s="24" t="str">
        <f t="shared" ref="Y643:Y706" si="76">_xlfn.TEXTJOIN("; ",TRUE,IF($V643="NOT_SPECIFIED","MISSING_STATUS",""),IF($Q643="OTHER","CATEGORY_NOT_USEFUL",""),IF($T643="","MISSING_PRODUCTION_NAME",""),IF($N643="DERIVED","SECTION_DERIVED",""))</f>
        <v>MISSING_STATUS; CATEGORY_NOT_USEFUL</v>
      </c>
    </row>
    <row r="644" spans="1:25" x14ac:dyDescent="0.3">
      <c r="A644" s="24" t="str">
        <f t="shared" si="70"/>
        <v>L-376#0643</v>
      </c>
      <c r="B644" s="24" t="str">
        <f>IF('query (2)'!B644="","",TRIM(UPPER('query (2)'!B644)))</f>
        <v>L-376</v>
      </c>
      <c r="C644" s="25" t="str">
        <f>IF('query (2)'!B644="","",'query (2)'!B644)</f>
        <v>L-376</v>
      </c>
      <c r="D644" s="24" t="str">
        <f t="shared" si="71"/>
        <v>L</v>
      </c>
      <c r="E644" s="24">
        <f t="shared" si="72"/>
        <v>1</v>
      </c>
      <c r="F644" s="24">
        <f>IF('query (2)'!A644="","",IFERROR(VALUE('query (2)'!A644),""))</f>
        <v>662</v>
      </c>
      <c r="G644" s="24" t="str">
        <f>IF('query (2)'!C644="","UNKNOWN",IFERROR(INDEX(Cleaning_Rules!$B$15:$B$20,MATCH(TRIM(UPPER('query (2)'!C644)),Cleaning_Rules!$A$15:$A$20,0)),"UNKNOWN"))</f>
        <v>FACTORY3</v>
      </c>
      <c r="H644" s="25" t="str">
        <f>IF('query (2)'!C644="","",'query (2)'!C644)</f>
        <v>FACTORY3</v>
      </c>
      <c r="I644" s="24" t="str" cm="1">
        <f t="array" ref="I644">_xlfn.IFS($G644="UNKNOWN","UNKNOWN",OR($G644="FACTORY1",$G644="FACTORY2",$G644="FACTORY3"),"PLANT",TRUE,"SHARED")</f>
        <v>PLANT</v>
      </c>
      <c r="J644" s="24" t="str">
        <f>IF('query (2)'!D644="","UNKNOWN",IF(COUNTIF(Cleaning_Rules!$A$6:$A$11,TRIM('query (2)'!D644))&gt;0,"UNKNOWN",IFERROR(INDEX(Cleaning_Rules!$B$24:$B$28,MATCH(TRIM(UPPER('query (2)'!D644)),Cleaning_Rules!$A$24:$A$28,0)),TRIM(UPPER('query (2)'!D644)))))</f>
        <v>HUB3-1</v>
      </c>
      <c r="K644" s="25" t="str">
        <f>IF('query (2)'!D644="","",'query (2)'!D644)</f>
        <v>HUB3-1</v>
      </c>
      <c r="L644" s="24" t="str">
        <f>IF($J644="UNKNOWN","",_xlfn.TEXTBEFORE($J644,{"0","1","2","3","4","5","6","7","8","9"," ","-","."},1,,,$J644))</f>
        <v>HUB</v>
      </c>
      <c r="M644" s="24" t="str">
        <f>IF('query (2)'!I644&lt;&gt;"",TRIM(UPPER('query (2)'!I644)),IF($L644="","UNKNOWN",$L644))</f>
        <v>HUB</v>
      </c>
      <c r="N644" s="24" t="str">
        <f>IF('query (2)'!I644&lt;&gt;"","SOURCE",IF($L644="","UNKNOWN","DERIVED"))</f>
        <v>SOURCE</v>
      </c>
      <c r="O644" s="24" t="str">
        <f>IF('query (2)'!E644="","NOT_SPECIFIED",TRIM(UPPER('query (2)'!E644)))</f>
        <v>GRINDING 2</v>
      </c>
      <c r="P644" s="24" t="str">
        <f>IF('query (2)'!F644="","",TRIM(UPPER('query (2)'!F644)))</f>
        <v>1814-H31G</v>
      </c>
      <c r="Q644" s="24" t="str">
        <f>IF('query (2)'!G644="","UNKNOWN",IFERROR(INDEX(Cleaning_Rules!$B$38:$B$46,MATCH(TRIM(UPPER('query (2)'!G644)),Cleaning_Rules!$A$38:$A$46,0)),"UNKNOWN"))</f>
        <v>OTHER</v>
      </c>
      <c r="R644" s="24" t="str">
        <f>IF('query (2)'!H644="","",TRIM(UPPER('query (2)'!H644)))</f>
        <v>CNC FOR B2 MACHINE.</v>
      </c>
      <c r="S644" s="25" t="str">
        <f>IF('query (2)'!H644="","",'query (2)'!H644)</f>
        <v>CNC for B2 machine.</v>
      </c>
      <c r="T644" s="24" t="str">
        <f>IF('query (2)'!J644="","",TRIM(UPPER('query (2)'!J644)))</f>
        <v>CNC FOR B2 MACHINE.</v>
      </c>
      <c r="U644" s="24" t="str">
        <f t="shared" si="73"/>
        <v/>
      </c>
      <c r="V644" s="24" t="str">
        <f>IF('query (2)'!K644="","NOT_SPECIFIED",IFERROR(INDEX(Cleaning_Rules!$B$32:$B$34,MATCH(TRIM(UPPER('query (2)'!K644)),Cleaning_Rules!$A$32:$A$34,0)),"UNKNOWN"))</f>
        <v>NOT_SPECIFIED</v>
      </c>
      <c r="W644" s="24" t="str">
        <f t="shared" si="74"/>
        <v>L-376 | FACTORY3 | HUB3-1 | HUB | GRINDING 2 | 1814-H31G | OTHER | CNC FOR B2 MACHINE. | CNC FOR B2 MACHINE. | NOT_SPECIFIED</v>
      </c>
      <c r="X644" s="24" t="str">
        <f t="shared" si="75"/>
        <v/>
      </c>
      <c r="Y644" s="24" t="str">
        <f t="shared" si="76"/>
        <v>MISSING_STATUS; CATEGORY_NOT_USEFUL</v>
      </c>
    </row>
    <row r="645" spans="1:25" x14ac:dyDescent="0.3">
      <c r="A645" s="24" t="str">
        <f t="shared" si="70"/>
        <v>IH-382#0644</v>
      </c>
      <c r="B645" s="24" t="str">
        <f>IF('query (2)'!B645="","",TRIM(UPPER('query (2)'!B645)))</f>
        <v>IH-382</v>
      </c>
      <c r="C645" s="25" t="str">
        <f>IF('query (2)'!B645="","",'query (2)'!B645)</f>
        <v>IH-382</v>
      </c>
      <c r="D645" s="24" t="str">
        <f t="shared" si="71"/>
        <v>IH</v>
      </c>
      <c r="E645" s="24">
        <f t="shared" si="72"/>
        <v>1</v>
      </c>
      <c r="F645" s="24">
        <f>IF('query (2)'!A645="","",IFERROR(VALUE('query (2)'!A645),""))</f>
        <v>663</v>
      </c>
      <c r="G645" s="24" t="str">
        <f>IF('query (2)'!C645="","UNKNOWN",IFERROR(INDEX(Cleaning_Rules!$B$15:$B$20,MATCH(TRIM(UPPER('query (2)'!C645)),Cleaning_Rules!$A$15:$A$20,0)),"UNKNOWN"))</f>
        <v>FACTORY3</v>
      </c>
      <c r="H645" s="25" t="str">
        <f>IF('query (2)'!C645="","",'query (2)'!C645)</f>
        <v>FACTORY3</v>
      </c>
      <c r="I645" s="24" t="str" cm="1">
        <f t="array" ref="I645">_xlfn.IFS($G645="UNKNOWN","UNKNOWN",OR($G645="FACTORY1",$G645="FACTORY2",$G645="FACTORY3"),"PLANT",TRUE,"SHARED")</f>
        <v>PLANT</v>
      </c>
      <c r="J645" s="24" t="str">
        <f>IF('query (2)'!D645="","UNKNOWN",IF(COUNTIF(Cleaning_Rules!$A$6:$A$11,TRIM('query (2)'!D645))&gt;0,"UNKNOWN",IFERROR(INDEX(Cleaning_Rules!$B$24:$B$28,MATCH(TRIM(UPPER('query (2)'!D645)),Cleaning_Rules!$A$24:$A$28,0)),TRIM(UPPER('query (2)'!D645)))))</f>
        <v>HUB3-1</v>
      </c>
      <c r="K645" s="25" t="str">
        <f>IF('query (2)'!D645="","",'query (2)'!D645)</f>
        <v>HUB3-1</v>
      </c>
      <c r="L645" s="24" t="str">
        <f>IF($J645="UNKNOWN","",_xlfn.TEXTBEFORE($J645,{"0","1","2","3","4","5","6","7","8","9"," ","-","."},1,,,$J645))</f>
        <v>HUB</v>
      </c>
      <c r="M645" s="24" t="str">
        <f>IF('query (2)'!I645&lt;&gt;"",TRIM(UPPER('query (2)'!I645)),IF($L645="","UNKNOWN",$L645))</f>
        <v>HUB</v>
      </c>
      <c r="N645" s="24" t="str">
        <f>IF('query (2)'!I645&lt;&gt;"","SOURCE",IF($L645="","UNKNOWN","DERIVED"))</f>
        <v>SOURCE</v>
      </c>
      <c r="O645" s="24" t="str">
        <f>IF('query (2)'!E645="","NOT_SPECIFIED",TRIM(UPPER('query (2)'!E645)))</f>
        <v>GRINDING 2</v>
      </c>
      <c r="P645" s="24" t="str">
        <f>IF('query (2)'!F645="","",TRIM(UPPER('query (2)'!F645)))</f>
        <v>1814-H31G</v>
      </c>
      <c r="Q645" s="24" t="str">
        <f>IF('query (2)'!G645="","UNKNOWN",IFERROR(INDEX(Cleaning_Rules!$B$38:$B$46,MATCH(TRIM(UPPER('query (2)'!G645)),Cleaning_Rules!$A$38:$A$46,0)),"UNKNOWN"))</f>
        <v>OTHER</v>
      </c>
      <c r="R645" s="24" t="str">
        <f>IF('query (2)'!H645="","",TRIM(UPPER('query (2)'!H645)))</f>
        <v>INDUCTION HEAT MACHINE.</v>
      </c>
      <c r="S645" s="25" t="str">
        <f>IF('query (2)'!H645="","",'query (2)'!H645)</f>
        <v>Induction heat machine.</v>
      </c>
      <c r="T645" s="24" t="str">
        <f>IF('query (2)'!J645="","",TRIM(UPPER('query (2)'!J645)))</f>
        <v>INDUCTION HEAT MACHINE.</v>
      </c>
      <c r="U645" s="24" t="str">
        <f t="shared" si="73"/>
        <v/>
      </c>
      <c r="V645" s="24" t="str">
        <f>IF('query (2)'!K645="","NOT_SPECIFIED",IFERROR(INDEX(Cleaning_Rules!$B$32:$B$34,MATCH(TRIM(UPPER('query (2)'!K645)),Cleaning_Rules!$A$32:$A$34,0)),"UNKNOWN"))</f>
        <v>NOT_SPECIFIED</v>
      </c>
      <c r="W645" s="24" t="str">
        <f t="shared" si="74"/>
        <v>IH-382 | FACTORY3 | HUB3-1 | HUB | GRINDING 2 | 1814-H31G | OTHER | INDUCTION HEAT MACHINE. | INDUCTION HEAT MACHINE. | NOT_SPECIFIED</v>
      </c>
      <c r="X645" s="24" t="str">
        <f t="shared" si="75"/>
        <v/>
      </c>
      <c r="Y645" s="24" t="str">
        <f t="shared" si="76"/>
        <v>MISSING_STATUS; CATEGORY_NOT_USEFUL</v>
      </c>
    </row>
    <row r="646" spans="1:25" x14ac:dyDescent="0.3">
      <c r="A646" s="24" t="str">
        <f t="shared" si="70"/>
        <v>M-383#0645</v>
      </c>
      <c r="B646" s="24" t="str">
        <f>IF('query (2)'!B646="","",TRIM(UPPER('query (2)'!B646)))</f>
        <v>M-383</v>
      </c>
      <c r="C646" s="25" t="str">
        <f>IF('query (2)'!B646="","",'query (2)'!B646)</f>
        <v>M-383</v>
      </c>
      <c r="D646" s="24" t="str">
        <f t="shared" si="71"/>
        <v>M</v>
      </c>
      <c r="E646" s="24">
        <f t="shared" si="72"/>
        <v>1</v>
      </c>
      <c r="F646" s="24">
        <f>IF('query (2)'!A646="","",IFERROR(VALUE('query (2)'!A646),""))</f>
        <v>664</v>
      </c>
      <c r="G646" s="24" t="str">
        <f>IF('query (2)'!C646="","UNKNOWN",IFERROR(INDEX(Cleaning_Rules!$B$15:$B$20,MATCH(TRIM(UPPER('query (2)'!C646)),Cleaning_Rules!$A$15:$A$20,0)),"UNKNOWN"))</f>
        <v>FACTORY3</v>
      </c>
      <c r="H646" s="25" t="str">
        <f>IF('query (2)'!C646="","",'query (2)'!C646)</f>
        <v>FACTORY3</v>
      </c>
      <c r="I646" s="24" t="str" cm="1">
        <f t="array" ref="I646">_xlfn.IFS($G646="UNKNOWN","UNKNOWN",OR($G646="FACTORY1",$G646="FACTORY2",$G646="FACTORY3"),"PLANT",TRUE,"SHARED")</f>
        <v>PLANT</v>
      </c>
      <c r="J646" s="24" t="str">
        <f>IF('query (2)'!D646="","UNKNOWN",IF(COUNTIF(Cleaning_Rules!$A$6:$A$11,TRIM('query (2)'!D646))&gt;0,"UNKNOWN",IFERROR(INDEX(Cleaning_Rules!$B$24:$B$28,MATCH(TRIM(UPPER('query (2)'!D646)),Cleaning_Rules!$A$24:$A$28,0)),TRIM(UPPER('query (2)'!D646)))))</f>
        <v>HUB3-1</v>
      </c>
      <c r="K646" s="25" t="str">
        <f>IF('query (2)'!D646="","",'query (2)'!D646)</f>
        <v>HUB3-1</v>
      </c>
      <c r="L646" s="24" t="str">
        <f>IF($J646="UNKNOWN","",_xlfn.TEXTBEFORE($J646,{"0","1","2","3","4","5","6","7","8","9"," ","-","."},1,,,$J646))</f>
        <v>HUB</v>
      </c>
      <c r="M646" s="24" t="str">
        <f>IF('query (2)'!I646&lt;&gt;"",TRIM(UPPER('query (2)'!I646)),IF($L646="","UNKNOWN",$L646))</f>
        <v>HUB</v>
      </c>
      <c r="N646" s="24" t="str">
        <f>IF('query (2)'!I646&lt;&gt;"","SOURCE",IF($L646="","UNKNOWN","DERIVED"))</f>
        <v>SOURCE</v>
      </c>
      <c r="O646" s="24" t="str">
        <f>IF('query (2)'!E646="","NOT_SPECIFIED",TRIM(UPPER('query (2)'!E646)))</f>
        <v>GRINDING 2</v>
      </c>
      <c r="P646" s="24" t="str">
        <f>IF('query (2)'!F646="","",TRIM(UPPER('query (2)'!F646)))</f>
        <v>1814-H31G</v>
      </c>
      <c r="Q646" s="24" t="str">
        <f>IF('query (2)'!G646="","UNKNOWN",IFERROR(INDEX(Cleaning_Rules!$B$38:$B$46,MATCH(TRIM(UPPER('query (2)'!G646)),Cleaning_Rules!$A$38:$A$46,0)),"UNKNOWN"))</f>
        <v>OTHER</v>
      </c>
      <c r="R646" s="24" t="str">
        <f>IF('query (2)'!H646="","",TRIM(UPPER('query (2)'!H646)))</f>
        <v>MAGNATIC PARTICLE EXAMINATION FOR A MACHINE.</v>
      </c>
      <c r="S646" s="25" t="str">
        <f>IF('query (2)'!H646="","",'query (2)'!H646)</f>
        <v>Magnatic particle examination for A machine.</v>
      </c>
      <c r="T646" s="24" t="str">
        <f>IF('query (2)'!J646="","",TRIM(UPPER('query (2)'!J646)))</f>
        <v>MAGNATIC PARTICLE EXAMINATION FOR A MACHINE.</v>
      </c>
      <c r="U646" s="24" t="str">
        <f t="shared" si="73"/>
        <v/>
      </c>
      <c r="V646" s="24" t="str">
        <f>IF('query (2)'!K646="","NOT_SPECIFIED",IFERROR(INDEX(Cleaning_Rules!$B$32:$B$34,MATCH(TRIM(UPPER('query (2)'!K646)),Cleaning_Rules!$A$32:$A$34,0)),"UNKNOWN"))</f>
        <v>NOT_SPECIFIED</v>
      </c>
      <c r="W646" s="24" t="str">
        <f t="shared" si="74"/>
        <v>M-383 | FACTORY3 | HUB3-1 | HUB | GRINDING 2 | 1814-H31G | OTHER | MAGNATIC PARTICLE EXAMINATION FOR A MACHINE. | MAGNATIC PARTICLE EXAMINATION FOR A MACHINE. | NOT_SPECIFIED</v>
      </c>
      <c r="X646" s="24" t="str">
        <f t="shared" si="75"/>
        <v/>
      </c>
      <c r="Y646" s="24" t="str">
        <f t="shared" si="76"/>
        <v>MISSING_STATUS; CATEGORY_NOT_USEFUL</v>
      </c>
    </row>
    <row r="647" spans="1:25" x14ac:dyDescent="0.3">
      <c r="A647" s="24" t="str">
        <f t="shared" si="70"/>
        <v>L-384#0646</v>
      </c>
      <c r="B647" s="24" t="str">
        <f>IF('query (2)'!B647="","",TRIM(UPPER('query (2)'!B647)))</f>
        <v>L-384</v>
      </c>
      <c r="C647" s="25" t="str">
        <f>IF('query (2)'!B647="","",'query (2)'!B647)</f>
        <v>L-384</v>
      </c>
      <c r="D647" s="24" t="str">
        <f t="shared" si="71"/>
        <v>L</v>
      </c>
      <c r="E647" s="24">
        <f t="shared" si="72"/>
        <v>1</v>
      </c>
      <c r="F647" s="24">
        <f>IF('query (2)'!A647="","",IFERROR(VALUE('query (2)'!A647),""))</f>
        <v>665</v>
      </c>
      <c r="G647" s="24" t="str">
        <f>IF('query (2)'!C647="","UNKNOWN",IFERROR(INDEX(Cleaning_Rules!$B$15:$B$20,MATCH(TRIM(UPPER('query (2)'!C647)),Cleaning_Rules!$A$15:$A$20,0)),"UNKNOWN"))</f>
        <v>FACTORY3</v>
      </c>
      <c r="H647" s="25" t="str">
        <f>IF('query (2)'!C647="","",'query (2)'!C647)</f>
        <v>FACTORY3</v>
      </c>
      <c r="I647" s="24" t="str" cm="1">
        <f t="array" ref="I647">_xlfn.IFS($G647="UNKNOWN","UNKNOWN",OR($G647="FACTORY1",$G647="FACTORY2",$G647="FACTORY3"),"PLANT",TRUE,"SHARED")</f>
        <v>PLANT</v>
      </c>
      <c r="J647" s="24" t="str">
        <f>IF('query (2)'!D647="","UNKNOWN",IF(COUNTIF(Cleaning_Rules!$A$6:$A$11,TRIM('query (2)'!D647))&gt;0,"UNKNOWN",IFERROR(INDEX(Cleaning_Rules!$B$24:$B$28,MATCH(TRIM(UPPER('query (2)'!D647)),Cleaning_Rules!$A$24:$A$28,0)),TRIM(UPPER('query (2)'!D647)))))</f>
        <v>HUB3-1</v>
      </c>
      <c r="K647" s="25" t="str">
        <f>IF('query (2)'!D647="","",'query (2)'!D647)</f>
        <v>HUB3-1</v>
      </c>
      <c r="L647" s="24" t="str">
        <f>IF($J647="UNKNOWN","",_xlfn.TEXTBEFORE($J647,{"0","1","2","3","4","5","6","7","8","9"," ","-","."},1,,,$J647))</f>
        <v>HUB</v>
      </c>
      <c r="M647" s="24" t="str">
        <f>IF('query (2)'!I647&lt;&gt;"",TRIM(UPPER('query (2)'!I647)),IF($L647="","UNKNOWN",$L647))</f>
        <v>HUB</v>
      </c>
      <c r="N647" s="24" t="str">
        <f>IF('query (2)'!I647&lt;&gt;"","SOURCE",IF($L647="","UNKNOWN","DERIVED"))</f>
        <v>SOURCE</v>
      </c>
      <c r="O647" s="24" t="str">
        <f>IF('query (2)'!E647="","NOT_SPECIFIED",TRIM(UPPER('query (2)'!E647)))</f>
        <v>GRINDING 2</v>
      </c>
      <c r="P647" s="24" t="str">
        <f>IF('query (2)'!F647="","",TRIM(UPPER('query (2)'!F647)))</f>
        <v>1814-H31G</v>
      </c>
      <c r="Q647" s="24" t="str">
        <f>IF('query (2)'!G647="","UNKNOWN",IFERROR(INDEX(Cleaning_Rules!$B$38:$B$46,MATCH(TRIM(UPPER('query (2)'!G647)),Cleaning_Rules!$A$38:$A$46,0)),"UNKNOWN"))</f>
        <v>OTHER</v>
      </c>
      <c r="R647" s="24" t="str">
        <f>IF('query (2)'!H647="","",TRIM(UPPER('query (2)'!H647)))</f>
        <v>CNC FOR A MACHINE.</v>
      </c>
      <c r="S647" s="25" t="str">
        <f>IF('query (2)'!H647="","",'query (2)'!H647)</f>
        <v>CNC for A machine.</v>
      </c>
      <c r="T647" s="24" t="str">
        <f>IF('query (2)'!J647="","",TRIM(UPPER('query (2)'!J647)))</f>
        <v>CNC FOR A MACHINE.</v>
      </c>
      <c r="U647" s="24" t="str">
        <f t="shared" si="73"/>
        <v/>
      </c>
      <c r="V647" s="24" t="str">
        <f>IF('query (2)'!K647="","NOT_SPECIFIED",IFERROR(INDEX(Cleaning_Rules!$B$32:$B$34,MATCH(TRIM(UPPER('query (2)'!K647)),Cleaning_Rules!$A$32:$A$34,0)),"UNKNOWN"))</f>
        <v>NOT_SPECIFIED</v>
      </c>
      <c r="W647" s="24" t="str">
        <f t="shared" si="74"/>
        <v>L-384 | FACTORY3 | HUB3-1 | HUB | GRINDING 2 | 1814-H31G | OTHER | CNC FOR A MACHINE. | CNC FOR A MACHINE. | NOT_SPECIFIED</v>
      </c>
      <c r="X647" s="24" t="str">
        <f t="shared" si="75"/>
        <v/>
      </c>
      <c r="Y647" s="24" t="str">
        <f t="shared" si="76"/>
        <v>MISSING_STATUS; CATEGORY_NOT_USEFUL</v>
      </c>
    </row>
    <row r="648" spans="1:25" x14ac:dyDescent="0.3">
      <c r="A648" s="24" t="str">
        <f t="shared" si="70"/>
        <v>L-549#0647</v>
      </c>
      <c r="B648" s="24" t="str">
        <f>IF('query (2)'!B648="","",TRIM(UPPER('query (2)'!B648)))</f>
        <v>L-549</v>
      </c>
      <c r="C648" s="25" t="str">
        <f>IF('query (2)'!B648="","",'query (2)'!B648)</f>
        <v>L-549</v>
      </c>
      <c r="D648" s="24" t="str">
        <f t="shared" si="71"/>
        <v>L</v>
      </c>
      <c r="E648" s="24">
        <f t="shared" si="72"/>
        <v>1</v>
      </c>
      <c r="F648" s="24">
        <f>IF('query (2)'!A648="","",IFERROR(VALUE('query (2)'!A648),""))</f>
        <v>666</v>
      </c>
      <c r="G648" s="24" t="str">
        <f>IF('query (2)'!C648="","UNKNOWN",IFERROR(INDEX(Cleaning_Rules!$B$15:$B$20,MATCH(TRIM(UPPER('query (2)'!C648)),Cleaning_Rules!$A$15:$A$20,0)),"UNKNOWN"))</f>
        <v>FACTORY3</v>
      </c>
      <c r="H648" s="25" t="str">
        <f>IF('query (2)'!C648="","",'query (2)'!C648)</f>
        <v>FACTORY3</v>
      </c>
      <c r="I648" s="24" t="str" cm="1">
        <f t="array" ref="I648">_xlfn.IFS($G648="UNKNOWN","UNKNOWN",OR($G648="FACTORY1",$G648="FACTORY2",$G648="FACTORY3"),"PLANT",TRUE,"SHARED")</f>
        <v>PLANT</v>
      </c>
      <c r="J648" s="24" t="str">
        <f>IF('query (2)'!D648="","UNKNOWN",IF(COUNTIF(Cleaning_Rules!$A$6:$A$11,TRIM('query (2)'!D648))&gt;0,"UNKNOWN",IFERROR(INDEX(Cleaning_Rules!$B$24:$B$28,MATCH(TRIM(UPPER('query (2)'!D648)),Cleaning_Rules!$A$24:$A$28,0)),TRIM(UPPER('query (2)'!D648)))))</f>
        <v>HUB3-1</v>
      </c>
      <c r="K648" s="25" t="str">
        <f>IF('query (2)'!D648="","",'query (2)'!D648)</f>
        <v>HUB3-1</v>
      </c>
      <c r="L648" s="24" t="str">
        <f>IF($J648="UNKNOWN","",_xlfn.TEXTBEFORE($J648,{"0","1","2","3","4","5","6","7","8","9"," ","-","."},1,,,$J648))</f>
        <v>HUB</v>
      </c>
      <c r="M648" s="24" t="str">
        <f>IF('query (2)'!I648&lt;&gt;"",TRIM(UPPER('query (2)'!I648)),IF($L648="","UNKNOWN",$L648))</f>
        <v>HUB</v>
      </c>
      <c r="N648" s="24" t="str">
        <f>IF('query (2)'!I648&lt;&gt;"","SOURCE",IF($L648="","UNKNOWN","DERIVED"))</f>
        <v>SOURCE</v>
      </c>
      <c r="O648" s="24" t="str">
        <f>IF('query (2)'!E648="","NOT_SPECIFIED",TRIM(UPPER('query (2)'!E648)))</f>
        <v>GRINDING 2</v>
      </c>
      <c r="P648" s="24" t="str">
        <f>IF('query (2)'!F648="","",TRIM(UPPER('query (2)'!F648)))</f>
        <v>1814-H31G</v>
      </c>
      <c r="Q648" s="24" t="str">
        <f>IF('query (2)'!G648="","UNKNOWN",IFERROR(INDEX(Cleaning_Rules!$B$38:$B$46,MATCH(TRIM(UPPER('query (2)'!G648)),Cleaning_Rules!$A$38:$A$46,0)),"UNKNOWN"))</f>
        <v>OTHER</v>
      </c>
      <c r="R648" s="24" t="str">
        <f>IF('query (2)'!H648="","",TRIM(UPPER('query (2)'!H648)))</f>
        <v>CNC FOR B2 MACHINE.</v>
      </c>
      <c r="S648" s="25" t="str">
        <f>IF('query (2)'!H648="","",'query (2)'!H648)</f>
        <v>CNC for B2 machine.</v>
      </c>
      <c r="T648" s="24" t="str">
        <f>IF('query (2)'!J648="","",TRIM(UPPER('query (2)'!J648)))</f>
        <v>CNC FOR B2 MACHINE.</v>
      </c>
      <c r="U648" s="24" t="str">
        <f t="shared" si="73"/>
        <v/>
      </c>
      <c r="V648" s="24" t="str">
        <f>IF('query (2)'!K648="","NOT_SPECIFIED",IFERROR(INDEX(Cleaning_Rules!$B$32:$B$34,MATCH(TRIM(UPPER('query (2)'!K648)),Cleaning_Rules!$A$32:$A$34,0)),"UNKNOWN"))</f>
        <v>NOT_SPECIFIED</v>
      </c>
      <c r="W648" s="24" t="str">
        <f t="shared" si="74"/>
        <v>L-549 | FACTORY3 | HUB3-1 | HUB | GRINDING 2 | 1814-H31G | OTHER | CNC FOR B2 MACHINE. | CNC FOR B2 MACHINE. | NOT_SPECIFIED</v>
      </c>
      <c r="X648" s="24" t="str">
        <f t="shared" si="75"/>
        <v/>
      </c>
      <c r="Y648" s="24" t="str">
        <f t="shared" si="76"/>
        <v>MISSING_STATUS; CATEGORY_NOT_USEFUL</v>
      </c>
    </row>
    <row r="649" spans="1:25" x14ac:dyDescent="0.3">
      <c r="A649" s="24" t="str">
        <f t="shared" si="70"/>
        <v>L-550#0648</v>
      </c>
      <c r="B649" s="24" t="str">
        <f>IF('query (2)'!B649="","",TRIM(UPPER('query (2)'!B649)))</f>
        <v>L-550</v>
      </c>
      <c r="C649" s="25" t="str">
        <f>IF('query (2)'!B649="","",'query (2)'!B649)</f>
        <v>L-550</v>
      </c>
      <c r="D649" s="24" t="str">
        <f t="shared" si="71"/>
        <v>L</v>
      </c>
      <c r="E649" s="24">
        <f t="shared" si="72"/>
        <v>1</v>
      </c>
      <c r="F649" s="24">
        <f>IF('query (2)'!A649="","",IFERROR(VALUE('query (2)'!A649),""))</f>
        <v>667</v>
      </c>
      <c r="G649" s="24" t="str">
        <f>IF('query (2)'!C649="","UNKNOWN",IFERROR(INDEX(Cleaning_Rules!$B$15:$B$20,MATCH(TRIM(UPPER('query (2)'!C649)),Cleaning_Rules!$A$15:$A$20,0)),"UNKNOWN"))</f>
        <v>FACTORY3</v>
      </c>
      <c r="H649" s="25" t="str">
        <f>IF('query (2)'!C649="","",'query (2)'!C649)</f>
        <v>FACTORY3</v>
      </c>
      <c r="I649" s="24" t="str" cm="1">
        <f t="array" ref="I649">_xlfn.IFS($G649="UNKNOWN","UNKNOWN",OR($G649="FACTORY1",$G649="FACTORY2",$G649="FACTORY3"),"PLANT",TRUE,"SHARED")</f>
        <v>PLANT</v>
      </c>
      <c r="J649" s="24" t="str">
        <f>IF('query (2)'!D649="","UNKNOWN",IF(COUNTIF(Cleaning_Rules!$A$6:$A$11,TRIM('query (2)'!D649))&gt;0,"UNKNOWN",IFERROR(INDEX(Cleaning_Rules!$B$24:$B$28,MATCH(TRIM(UPPER('query (2)'!D649)),Cleaning_Rules!$A$24:$A$28,0)),TRIM(UPPER('query (2)'!D649)))))</f>
        <v>HUB3-1</v>
      </c>
      <c r="K649" s="25" t="str">
        <f>IF('query (2)'!D649="","",'query (2)'!D649)</f>
        <v>HUB3-1</v>
      </c>
      <c r="L649" s="24" t="str">
        <f>IF($J649="UNKNOWN","",_xlfn.TEXTBEFORE($J649,{"0","1","2","3","4","5","6","7","8","9"," ","-","."},1,,,$J649))</f>
        <v>HUB</v>
      </c>
      <c r="M649" s="24" t="str">
        <f>IF('query (2)'!I649&lt;&gt;"",TRIM(UPPER('query (2)'!I649)),IF($L649="","UNKNOWN",$L649))</f>
        <v>HUB</v>
      </c>
      <c r="N649" s="24" t="str">
        <f>IF('query (2)'!I649&lt;&gt;"","SOURCE",IF($L649="","UNKNOWN","DERIVED"))</f>
        <v>SOURCE</v>
      </c>
      <c r="O649" s="24" t="str">
        <f>IF('query (2)'!E649="","NOT_SPECIFIED",TRIM(UPPER('query (2)'!E649)))</f>
        <v>GRINDING 2</v>
      </c>
      <c r="P649" s="24" t="str">
        <f>IF('query (2)'!F649="","",TRIM(UPPER('query (2)'!F649)))</f>
        <v>1814-H31G</v>
      </c>
      <c r="Q649" s="24" t="str">
        <f>IF('query (2)'!G649="","UNKNOWN",IFERROR(INDEX(Cleaning_Rules!$B$38:$B$46,MATCH(TRIM(UPPER('query (2)'!G649)),Cleaning_Rules!$A$38:$A$46,0)),"UNKNOWN"))</f>
        <v>OTHER</v>
      </c>
      <c r="R649" s="24" t="str">
        <f>IF('query (2)'!H649="","",TRIM(UPPER('query (2)'!H649)))</f>
        <v>CNC FOR A MACHINE NO.2</v>
      </c>
      <c r="S649" s="25" t="str">
        <f>IF('query (2)'!H649="","",'query (2)'!H649)</f>
        <v>CNC for A machine No.2</v>
      </c>
      <c r="T649" s="24" t="str">
        <f>IF('query (2)'!J649="","",TRIM(UPPER('query (2)'!J649)))</f>
        <v>CNC FOR A MACHINE NO.2</v>
      </c>
      <c r="U649" s="24" t="str">
        <f t="shared" si="73"/>
        <v/>
      </c>
      <c r="V649" s="24" t="str">
        <f>IF('query (2)'!K649="","NOT_SPECIFIED",IFERROR(INDEX(Cleaning_Rules!$B$32:$B$34,MATCH(TRIM(UPPER('query (2)'!K649)),Cleaning_Rules!$A$32:$A$34,0)),"UNKNOWN"))</f>
        <v>NOT_SPECIFIED</v>
      </c>
      <c r="W649" s="24" t="str">
        <f t="shared" si="74"/>
        <v>L-550 | FACTORY3 | HUB3-1 | HUB | GRINDING 2 | 1814-H31G | OTHER | CNC FOR A MACHINE NO.2 | CNC FOR A MACHINE NO.2 | NOT_SPECIFIED</v>
      </c>
      <c r="X649" s="24" t="str">
        <f t="shared" si="75"/>
        <v/>
      </c>
      <c r="Y649" s="24" t="str">
        <f t="shared" si="76"/>
        <v>MISSING_STATUS; CATEGORY_NOT_USEFUL</v>
      </c>
    </row>
    <row r="650" spans="1:25" x14ac:dyDescent="0.3">
      <c r="A650" s="24" t="str">
        <f t="shared" si="70"/>
        <v>CU-633#0649</v>
      </c>
      <c r="B650" s="24" t="str">
        <f>IF('query (2)'!B650="","",TRIM(UPPER('query (2)'!B650)))</f>
        <v>CU-633</v>
      </c>
      <c r="C650" s="25" t="str">
        <f>IF('query (2)'!B650="","",'query (2)'!B650)</f>
        <v>CU-633</v>
      </c>
      <c r="D650" s="24" t="str">
        <f t="shared" si="71"/>
        <v>CU</v>
      </c>
      <c r="E650" s="24">
        <f t="shared" si="72"/>
        <v>1</v>
      </c>
      <c r="F650" s="24">
        <f>IF('query (2)'!A650="","",IFERROR(VALUE('query (2)'!A650),""))</f>
        <v>668</v>
      </c>
      <c r="G650" s="24" t="str">
        <f>IF('query (2)'!C650="","UNKNOWN",IFERROR(INDEX(Cleaning_Rules!$B$15:$B$20,MATCH(TRIM(UPPER('query (2)'!C650)),Cleaning_Rules!$A$15:$A$20,0)),"UNKNOWN"))</f>
        <v>FACTORY3</v>
      </c>
      <c r="H650" s="25" t="str">
        <f>IF('query (2)'!C650="","",'query (2)'!C650)</f>
        <v>FACTORY3</v>
      </c>
      <c r="I650" s="24" t="str" cm="1">
        <f t="array" ref="I650">_xlfn.IFS($G650="UNKNOWN","UNKNOWN",OR($G650="FACTORY1",$G650="FACTORY2",$G650="FACTORY3"),"PLANT",TRUE,"SHARED")</f>
        <v>PLANT</v>
      </c>
      <c r="J650" s="24" t="str">
        <f>IF('query (2)'!D650="","UNKNOWN",IF(COUNTIF(Cleaning_Rules!$A$6:$A$11,TRIM('query (2)'!D650))&gt;0,"UNKNOWN",IFERROR(INDEX(Cleaning_Rules!$B$24:$B$28,MATCH(TRIM(UPPER('query (2)'!D650)),Cleaning_Rules!$A$24:$A$28,0)),TRIM(UPPER('query (2)'!D650)))))</f>
        <v>HUB3-1</v>
      </c>
      <c r="K650" s="25" t="str">
        <f>IF('query (2)'!D650="","",'query (2)'!D650)</f>
        <v>HUB3-1</v>
      </c>
      <c r="L650" s="24" t="str">
        <f>IF($J650="UNKNOWN","",_xlfn.TEXTBEFORE($J650,{"0","1","2","3","4","5","6","7","8","9"," ","-","."},1,,,$J650))</f>
        <v>HUB</v>
      </c>
      <c r="M650" s="24" t="str">
        <f>IF('query (2)'!I650&lt;&gt;"",TRIM(UPPER('query (2)'!I650)),IF($L650="","UNKNOWN",$L650))</f>
        <v>HUB</v>
      </c>
      <c r="N650" s="24" t="str">
        <f>IF('query (2)'!I650&lt;&gt;"","SOURCE",IF($L650="","UNKNOWN","DERIVED"))</f>
        <v>SOURCE</v>
      </c>
      <c r="O650" s="24" t="str">
        <f>IF('query (2)'!E650="","NOT_SPECIFIED",TRIM(UPPER('query (2)'!E650)))</f>
        <v>GRINDING 2</v>
      </c>
      <c r="P650" s="24" t="str">
        <f>IF('query (2)'!F650="","",TRIM(UPPER('query (2)'!F650)))</f>
        <v>1814-H31G</v>
      </c>
      <c r="Q650" s="24" t="str">
        <f>IF('query (2)'!G650="","UNKNOWN",IFERROR(INDEX(Cleaning_Rules!$B$38:$B$46,MATCH(TRIM(UPPER('query (2)'!G650)),Cleaning_Rules!$A$38:$A$46,0)),"UNKNOWN"))</f>
        <v>OTHER</v>
      </c>
      <c r="R650" s="24" t="str">
        <f>IF('query (2)'!H650="","",TRIM(UPPER('query (2)'!H650)))</f>
        <v>CUTTING MACHINE.</v>
      </c>
      <c r="S650" s="25" t="str">
        <f>IF('query (2)'!H650="","",'query (2)'!H650)</f>
        <v>Cutting machine.</v>
      </c>
      <c r="T650" s="24" t="str">
        <f>IF('query (2)'!J650="","",TRIM(UPPER('query (2)'!J650)))</f>
        <v>CUTTING MACHINE.</v>
      </c>
      <c r="U650" s="24" t="str">
        <f t="shared" si="73"/>
        <v/>
      </c>
      <c r="V650" s="24" t="str">
        <f>IF('query (2)'!K650="","NOT_SPECIFIED",IFERROR(INDEX(Cleaning_Rules!$B$32:$B$34,MATCH(TRIM(UPPER('query (2)'!K650)),Cleaning_Rules!$A$32:$A$34,0)),"UNKNOWN"))</f>
        <v>NOT_SPECIFIED</v>
      </c>
      <c r="W650" s="24" t="str">
        <f t="shared" si="74"/>
        <v>CU-633 | FACTORY3 | HUB3-1 | HUB | GRINDING 2 | 1814-H31G | OTHER | CUTTING MACHINE. | CUTTING MACHINE. | NOT_SPECIFIED</v>
      </c>
      <c r="X650" s="24" t="str">
        <f t="shared" si="75"/>
        <v/>
      </c>
      <c r="Y650" s="24" t="str">
        <f t="shared" si="76"/>
        <v>MISSING_STATUS; CATEGORY_NOT_USEFUL</v>
      </c>
    </row>
    <row r="651" spans="1:25" x14ac:dyDescent="0.3">
      <c r="A651" s="24" t="str">
        <f t="shared" si="70"/>
        <v>CU-634#0650</v>
      </c>
      <c r="B651" s="24" t="str">
        <f>IF('query (2)'!B651="","",TRIM(UPPER('query (2)'!B651)))</f>
        <v>CU-634</v>
      </c>
      <c r="C651" s="25" t="str">
        <f>IF('query (2)'!B651="","",'query (2)'!B651)</f>
        <v>CU-634</v>
      </c>
      <c r="D651" s="24" t="str">
        <f t="shared" si="71"/>
        <v>CU</v>
      </c>
      <c r="E651" s="24">
        <f t="shared" si="72"/>
        <v>1</v>
      </c>
      <c r="F651" s="24">
        <f>IF('query (2)'!A651="","",IFERROR(VALUE('query (2)'!A651),""))</f>
        <v>669</v>
      </c>
      <c r="G651" s="24" t="str">
        <f>IF('query (2)'!C651="","UNKNOWN",IFERROR(INDEX(Cleaning_Rules!$B$15:$B$20,MATCH(TRIM(UPPER('query (2)'!C651)),Cleaning_Rules!$A$15:$A$20,0)),"UNKNOWN"))</f>
        <v>FACTORY3</v>
      </c>
      <c r="H651" s="25" t="str">
        <f>IF('query (2)'!C651="","",'query (2)'!C651)</f>
        <v>FACTORY3</v>
      </c>
      <c r="I651" s="24" t="str" cm="1">
        <f t="array" ref="I651">_xlfn.IFS($G651="UNKNOWN","UNKNOWN",OR($G651="FACTORY1",$G651="FACTORY2",$G651="FACTORY3"),"PLANT",TRUE,"SHARED")</f>
        <v>PLANT</v>
      </c>
      <c r="J651" s="24" t="str">
        <f>IF('query (2)'!D651="","UNKNOWN",IF(COUNTIF(Cleaning_Rules!$A$6:$A$11,TRIM('query (2)'!D651))&gt;0,"UNKNOWN",IFERROR(INDEX(Cleaning_Rules!$B$24:$B$28,MATCH(TRIM(UPPER('query (2)'!D651)),Cleaning_Rules!$A$24:$A$28,0)),TRIM(UPPER('query (2)'!D651)))))</f>
        <v>HUB3-1</v>
      </c>
      <c r="K651" s="25" t="str">
        <f>IF('query (2)'!D651="","",'query (2)'!D651)</f>
        <v>HUB3-1</v>
      </c>
      <c r="L651" s="24" t="str">
        <f>IF($J651="UNKNOWN","",_xlfn.TEXTBEFORE($J651,{"0","1","2","3","4","5","6","7","8","9"," ","-","."},1,,,$J651))</f>
        <v>HUB</v>
      </c>
      <c r="M651" s="24" t="str">
        <f>IF('query (2)'!I651&lt;&gt;"",TRIM(UPPER('query (2)'!I651)),IF($L651="","UNKNOWN",$L651))</f>
        <v>HUB</v>
      </c>
      <c r="N651" s="24" t="str">
        <f>IF('query (2)'!I651&lt;&gt;"","SOURCE",IF($L651="","UNKNOWN","DERIVED"))</f>
        <v>SOURCE</v>
      </c>
      <c r="O651" s="24" t="str">
        <f>IF('query (2)'!E651="","NOT_SPECIFIED",TRIM(UPPER('query (2)'!E651)))</f>
        <v>GRINDING 2</v>
      </c>
      <c r="P651" s="24" t="str">
        <f>IF('query (2)'!F651="","",TRIM(UPPER('query (2)'!F651)))</f>
        <v>1814-H31G</v>
      </c>
      <c r="Q651" s="24" t="str">
        <f>IF('query (2)'!G651="","UNKNOWN",IFERROR(INDEX(Cleaning_Rules!$B$38:$B$46,MATCH(TRIM(UPPER('query (2)'!G651)),Cleaning_Rules!$A$38:$A$46,0)),"UNKNOWN"))</f>
        <v>OTHER</v>
      </c>
      <c r="R651" s="24" t="str">
        <f>IF('query (2)'!H651="","",TRIM(UPPER('query (2)'!H651)))</f>
        <v>CUTTING MACHINE NO.2</v>
      </c>
      <c r="S651" s="25" t="str">
        <f>IF('query (2)'!H651="","",'query (2)'!H651)</f>
        <v>Cutting machine No.2</v>
      </c>
      <c r="T651" s="24" t="str">
        <f>IF('query (2)'!J651="","",TRIM(UPPER('query (2)'!J651)))</f>
        <v>CUTTING MACHINE NO.2</v>
      </c>
      <c r="U651" s="24" t="str">
        <f t="shared" si="73"/>
        <v/>
      </c>
      <c r="V651" s="24" t="str">
        <f>IF('query (2)'!K651="","NOT_SPECIFIED",IFERROR(INDEX(Cleaning_Rules!$B$32:$B$34,MATCH(TRIM(UPPER('query (2)'!K651)),Cleaning_Rules!$A$32:$A$34,0)),"UNKNOWN"))</f>
        <v>NOT_SPECIFIED</v>
      </c>
      <c r="W651" s="24" t="str">
        <f t="shared" si="74"/>
        <v>CU-634 | FACTORY3 | HUB3-1 | HUB | GRINDING 2 | 1814-H31G | OTHER | CUTTING MACHINE NO.2 | CUTTING MACHINE NO.2 | NOT_SPECIFIED</v>
      </c>
      <c r="X651" s="24" t="str">
        <f t="shared" si="75"/>
        <v/>
      </c>
      <c r="Y651" s="24" t="str">
        <f t="shared" si="76"/>
        <v>MISSING_STATUS; CATEGORY_NOT_USEFUL</v>
      </c>
    </row>
    <row r="652" spans="1:25" x14ac:dyDescent="0.3">
      <c r="A652" s="24" t="str">
        <f t="shared" si="70"/>
        <v>MA-450#0651</v>
      </c>
      <c r="B652" s="24" t="str">
        <f>IF('query (2)'!B652="","",TRIM(UPPER('query (2)'!B652)))</f>
        <v>MA-450</v>
      </c>
      <c r="C652" s="25" t="str">
        <f>IF('query (2)'!B652="","",'query (2)'!B652)</f>
        <v>MA-450</v>
      </c>
      <c r="D652" s="24" t="str">
        <f t="shared" si="71"/>
        <v>MA</v>
      </c>
      <c r="E652" s="24">
        <f t="shared" si="72"/>
        <v>1</v>
      </c>
      <c r="F652" s="24">
        <f>IF('query (2)'!A652="","",IFERROR(VALUE('query (2)'!A652),""))</f>
        <v>670</v>
      </c>
      <c r="G652" s="24" t="str">
        <f>IF('query (2)'!C652="","UNKNOWN",IFERROR(INDEX(Cleaning_Rules!$B$15:$B$20,MATCH(TRIM(UPPER('query (2)'!C652)),Cleaning_Rules!$A$15:$A$20,0)),"UNKNOWN"))</f>
        <v>FACTORY3</v>
      </c>
      <c r="H652" s="25" t="str">
        <f>IF('query (2)'!C652="","",'query (2)'!C652)</f>
        <v>FACTORY3</v>
      </c>
      <c r="I652" s="24" t="str" cm="1">
        <f t="array" ref="I652">_xlfn.IFS($G652="UNKNOWN","UNKNOWN",OR($G652="FACTORY1",$G652="FACTORY2",$G652="FACTORY3"),"PLANT",TRUE,"SHARED")</f>
        <v>PLANT</v>
      </c>
      <c r="J652" s="24" t="str">
        <f>IF('query (2)'!D652="","UNKNOWN",IF(COUNTIF(Cleaning_Rules!$A$6:$A$11,TRIM('query (2)'!D652))&gt;0,"UNKNOWN",IFERROR(INDEX(Cleaning_Rules!$B$24:$B$28,MATCH(TRIM(UPPER('query (2)'!D652)),Cleaning_Rules!$A$24:$A$28,0)),TRIM(UPPER('query (2)'!D652)))))</f>
        <v>HUB3-1</v>
      </c>
      <c r="K652" s="25" t="str">
        <f>IF('query (2)'!D652="","",'query (2)'!D652)</f>
        <v>HUB3-1</v>
      </c>
      <c r="L652" s="24" t="str">
        <f>IF($J652="UNKNOWN","",_xlfn.TEXTBEFORE($J652,{"0","1","2","3","4","5","6","7","8","9"," ","-","."},1,,,$J652))</f>
        <v>HUB</v>
      </c>
      <c r="M652" s="24" t="str">
        <f>IF('query (2)'!I652&lt;&gt;"",TRIM(UPPER('query (2)'!I652)),IF($L652="","UNKNOWN",$L652))</f>
        <v>HUB</v>
      </c>
      <c r="N652" s="24" t="str">
        <f>IF('query (2)'!I652&lt;&gt;"","SOURCE",IF($L652="","UNKNOWN","DERIVED"))</f>
        <v>SOURCE</v>
      </c>
      <c r="O652" s="24" t="str">
        <f>IF('query (2)'!E652="","NOT_SPECIFIED",TRIM(UPPER('query (2)'!E652)))</f>
        <v>ASSEMBLY</v>
      </c>
      <c r="P652" s="24" t="str">
        <f>IF('query (2)'!F652="","",TRIM(UPPER('query (2)'!F652)))</f>
        <v>1815-H31AI</v>
      </c>
      <c r="Q652" s="24" t="str">
        <f>IF('query (2)'!G652="","UNKNOWN",IFERROR(INDEX(Cleaning_Rules!$B$38:$B$46,MATCH(TRIM(UPPER('query (2)'!G652)),Cleaning_Rules!$A$38:$A$46,0)),"UNKNOWN"))</f>
        <v>OTHER</v>
      </c>
      <c r="R652" s="24" t="str">
        <f>IF('query (2)'!H652="","",TRIM(UPPER('query (2)'!H652)))</f>
        <v>OUTER RING MARKING MACHINE.</v>
      </c>
      <c r="S652" s="25" t="str">
        <f>IF('query (2)'!H652="","",'query (2)'!H652)</f>
        <v>Outer ring marking machine.</v>
      </c>
      <c r="T652" s="24" t="str">
        <f>IF('query (2)'!J652="","",TRIM(UPPER('query (2)'!J652)))</f>
        <v>OUTER RING MARKING MACHINE.</v>
      </c>
      <c r="U652" s="24" t="str">
        <f t="shared" si="73"/>
        <v/>
      </c>
      <c r="V652" s="24" t="str">
        <f>IF('query (2)'!K652="","NOT_SPECIFIED",IFERROR(INDEX(Cleaning_Rules!$B$32:$B$34,MATCH(TRIM(UPPER('query (2)'!K652)),Cleaning_Rules!$A$32:$A$34,0)),"UNKNOWN"))</f>
        <v>NOT_SPECIFIED</v>
      </c>
      <c r="W652" s="24" t="str">
        <f t="shared" si="74"/>
        <v>MA-450 | FACTORY3 | HUB3-1 | HUB | ASSEMBLY | 1815-H31AI | OTHER | OUTER RING MARKING MACHINE. | OUTER RING MARKING MACHINE. | NOT_SPECIFIED</v>
      </c>
      <c r="X652" s="24" t="str">
        <f t="shared" si="75"/>
        <v/>
      </c>
      <c r="Y652" s="24" t="str">
        <f t="shared" si="76"/>
        <v>MISSING_STATUS; CATEGORY_NOT_USEFUL</v>
      </c>
    </row>
    <row r="653" spans="1:25" x14ac:dyDescent="0.3">
      <c r="A653" s="24" t="str">
        <f t="shared" si="70"/>
        <v>MA-451#0652</v>
      </c>
      <c r="B653" s="24" t="str">
        <f>IF('query (2)'!B653="","",TRIM(UPPER('query (2)'!B653)))</f>
        <v>MA-451</v>
      </c>
      <c r="C653" s="25" t="str">
        <f>IF('query (2)'!B653="","",'query (2)'!B653)</f>
        <v>MA-451</v>
      </c>
      <c r="D653" s="24" t="str">
        <f t="shared" si="71"/>
        <v>MA</v>
      </c>
      <c r="E653" s="24">
        <f t="shared" si="72"/>
        <v>1</v>
      </c>
      <c r="F653" s="24">
        <f>IF('query (2)'!A653="","",IFERROR(VALUE('query (2)'!A653),""))</f>
        <v>671</v>
      </c>
      <c r="G653" s="24" t="str">
        <f>IF('query (2)'!C653="","UNKNOWN",IFERROR(INDEX(Cleaning_Rules!$B$15:$B$20,MATCH(TRIM(UPPER('query (2)'!C653)),Cleaning_Rules!$A$15:$A$20,0)),"UNKNOWN"))</f>
        <v>FACTORY3</v>
      </c>
      <c r="H653" s="25" t="str">
        <f>IF('query (2)'!C653="","",'query (2)'!C653)</f>
        <v>FACTORY3</v>
      </c>
      <c r="I653" s="24" t="str" cm="1">
        <f t="array" ref="I653">_xlfn.IFS($G653="UNKNOWN","UNKNOWN",OR($G653="FACTORY1",$G653="FACTORY2",$G653="FACTORY3"),"PLANT",TRUE,"SHARED")</f>
        <v>PLANT</v>
      </c>
      <c r="J653" s="24" t="str">
        <f>IF('query (2)'!D653="","UNKNOWN",IF(COUNTIF(Cleaning_Rules!$A$6:$A$11,TRIM('query (2)'!D653))&gt;0,"UNKNOWN",IFERROR(INDEX(Cleaning_Rules!$B$24:$B$28,MATCH(TRIM(UPPER('query (2)'!D653)),Cleaning_Rules!$A$24:$A$28,0)),TRIM(UPPER('query (2)'!D653)))))</f>
        <v>HUB3-1</v>
      </c>
      <c r="K653" s="25" t="str">
        <f>IF('query (2)'!D653="","",'query (2)'!D653)</f>
        <v>HUB3-1</v>
      </c>
      <c r="L653" s="24" t="str">
        <f>IF($J653="UNKNOWN","",_xlfn.TEXTBEFORE($J653,{"0","1","2","3","4","5","6","7","8","9"," ","-","."},1,,,$J653))</f>
        <v>HUB</v>
      </c>
      <c r="M653" s="24" t="str">
        <f>IF('query (2)'!I653&lt;&gt;"",TRIM(UPPER('query (2)'!I653)),IF($L653="","UNKNOWN",$L653))</f>
        <v>HUB</v>
      </c>
      <c r="N653" s="24" t="str">
        <f>IF('query (2)'!I653&lt;&gt;"","SOURCE",IF($L653="","UNKNOWN","DERIVED"))</f>
        <v>SOURCE</v>
      </c>
      <c r="O653" s="24" t="str">
        <f>IF('query (2)'!E653="","NOT_SPECIFIED",TRIM(UPPER('query (2)'!E653)))</f>
        <v>ASSEMBLY</v>
      </c>
      <c r="P653" s="24" t="str">
        <f>IF('query (2)'!F653="","",TRIM(UPPER('query (2)'!F653)))</f>
        <v>1815-H31AI</v>
      </c>
      <c r="Q653" s="24" t="str">
        <f>IF('query (2)'!G653="","UNKNOWN",IFERROR(INDEX(Cleaning_Rules!$B$38:$B$46,MATCH(TRIM(UPPER('query (2)'!G653)),Cleaning_Rules!$A$38:$A$46,0)),"UNKNOWN"))</f>
        <v>OTHER</v>
      </c>
      <c r="R653" s="24" t="str">
        <f>IF('query (2)'!H653="","",TRIM(UPPER('query (2)'!H653)))</f>
        <v>INNER RING MARKING MACHINE.</v>
      </c>
      <c r="S653" s="25" t="str">
        <f>IF('query (2)'!H653="","",'query (2)'!H653)</f>
        <v>Inner ring marking machine.</v>
      </c>
      <c r="T653" s="24" t="str">
        <f>IF('query (2)'!J653="","",TRIM(UPPER('query (2)'!J653)))</f>
        <v>INNER RING MARKING MACHINE.</v>
      </c>
      <c r="U653" s="24" t="str">
        <f t="shared" si="73"/>
        <v/>
      </c>
      <c r="V653" s="24" t="str">
        <f>IF('query (2)'!K653="","NOT_SPECIFIED",IFERROR(INDEX(Cleaning_Rules!$B$32:$B$34,MATCH(TRIM(UPPER('query (2)'!K653)),Cleaning_Rules!$A$32:$A$34,0)),"UNKNOWN"))</f>
        <v>NOT_SPECIFIED</v>
      </c>
      <c r="W653" s="24" t="str">
        <f t="shared" si="74"/>
        <v>MA-451 | FACTORY3 | HUB3-1 | HUB | ASSEMBLY | 1815-H31AI | OTHER | INNER RING MARKING MACHINE. | INNER RING MARKING MACHINE. | NOT_SPECIFIED</v>
      </c>
      <c r="X653" s="24" t="str">
        <f t="shared" si="75"/>
        <v/>
      </c>
      <c r="Y653" s="24" t="str">
        <f t="shared" si="76"/>
        <v>MISSING_STATUS; CATEGORY_NOT_USEFUL</v>
      </c>
    </row>
    <row r="654" spans="1:25" x14ac:dyDescent="0.3">
      <c r="A654" s="24" t="str">
        <f t="shared" si="70"/>
        <v>SU-731#0653</v>
      </c>
      <c r="B654" s="24" t="str">
        <f>IF('query (2)'!B654="","",TRIM(UPPER('query (2)'!B654)))</f>
        <v>SU-731</v>
      </c>
      <c r="C654" s="25" t="str">
        <f>IF('query (2)'!B654="","",'query (2)'!B654)</f>
        <v>SU-731</v>
      </c>
      <c r="D654" s="24" t="str">
        <f t="shared" si="71"/>
        <v>SU</v>
      </c>
      <c r="E654" s="24">
        <f t="shared" si="72"/>
        <v>1</v>
      </c>
      <c r="F654" s="24">
        <f>IF('query (2)'!A654="","",IFERROR(VALUE('query (2)'!A654),""))</f>
        <v>672</v>
      </c>
      <c r="G654" s="24" t="str">
        <f>IF('query (2)'!C654="","UNKNOWN",IFERROR(INDEX(Cleaning_Rules!$B$15:$B$20,MATCH(TRIM(UPPER('query (2)'!C654)),Cleaning_Rules!$A$15:$A$20,0)),"UNKNOWN"))</f>
        <v>FACTORY3</v>
      </c>
      <c r="H654" s="25" t="str">
        <f>IF('query (2)'!C654="","",'query (2)'!C654)</f>
        <v>FACTORY3</v>
      </c>
      <c r="I654" s="24" t="str" cm="1">
        <f t="array" ref="I654">_xlfn.IFS($G654="UNKNOWN","UNKNOWN",OR($G654="FACTORY1",$G654="FACTORY2",$G654="FACTORY3"),"PLANT",TRUE,"SHARED")</f>
        <v>PLANT</v>
      </c>
      <c r="J654" s="24" t="str">
        <f>IF('query (2)'!D654="","UNKNOWN",IF(COUNTIF(Cleaning_Rules!$A$6:$A$11,TRIM('query (2)'!D654))&gt;0,"UNKNOWN",IFERROR(INDEX(Cleaning_Rules!$B$24:$B$28,MATCH(TRIM(UPPER('query (2)'!D654)),Cleaning_Rules!$A$24:$A$28,0)),TRIM(UPPER('query (2)'!D654)))))</f>
        <v>HUB3-2</v>
      </c>
      <c r="K654" s="25" t="str">
        <f>IF('query (2)'!D654="","",'query (2)'!D654)</f>
        <v>HUB3-2</v>
      </c>
      <c r="L654" s="24" t="str">
        <f>IF($J654="UNKNOWN","",_xlfn.TEXTBEFORE($J654,{"0","1","2","3","4","5","6","7","8","9"," ","-","."},1,,,$J654))</f>
        <v>HUB</v>
      </c>
      <c r="M654" s="24" t="str">
        <f>IF('query (2)'!I654&lt;&gt;"",TRIM(UPPER('query (2)'!I654)),IF($L654="","UNKNOWN",$L654))</f>
        <v>HUB</v>
      </c>
      <c r="N654" s="24" t="str">
        <f>IF('query (2)'!I654&lt;&gt;"","SOURCE",IF($L654="","UNKNOWN","DERIVED"))</f>
        <v>SOURCE</v>
      </c>
      <c r="O654" s="24" t="str">
        <f>IF('query (2)'!E654="","NOT_SPECIFIED",TRIM(UPPER('query (2)'!E654)))</f>
        <v>GRINDING 2</v>
      </c>
      <c r="P654" s="24" t="str">
        <f>IF('query (2)'!F654="","",TRIM(UPPER('query (2)'!F654)))</f>
        <v>1821-H32G</v>
      </c>
      <c r="Q654" s="24" t="str">
        <f>IF('query (2)'!G654="","UNKNOWN",IFERROR(INDEX(Cleaning_Rules!$B$38:$B$46,MATCH(TRIM(UPPER('query (2)'!G654)),Cleaning_Rules!$A$38:$A$46,0)),"UNKNOWN"))</f>
        <v>OTHER</v>
      </c>
      <c r="R654" s="24" t="str">
        <f>IF('query (2)'!H654="","",TRIM(UPPER('query (2)'!H654)))</f>
        <v>SPINDLE FEEDER</v>
      </c>
      <c r="S654" s="25" t="str">
        <f>IF('query (2)'!H654="","",'query (2)'!H654)</f>
        <v>Spindle feeder</v>
      </c>
      <c r="T654" s="24" t="str">
        <f>IF('query (2)'!J654="","",TRIM(UPPER('query (2)'!J654)))</f>
        <v>SPINDLE FEEDER</v>
      </c>
      <c r="U654" s="24" t="str">
        <f t="shared" si="73"/>
        <v/>
      </c>
      <c r="V654" s="24" t="str">
        <f>IF('query (2)'!K654="","NOT_SPECIFIED",IFERROR(INDEX(Cleaning_Rules!$B$32:$B$34,MATCH(TRIM(UPPER('query (2)'!K654)),Cleaning_Rules!$A$32:$A$34,0)),"UNKNOWN"))</f>
        <v>NOT_SPECIFIED</v>
      </c>
      <c r="W654" s="24" t="str">
        <f t="shared" si="74"/>
        <v>SU-731 | FACTORY3 | HUB3-2 | HUB | GRINDING 2 | 1821-H32G | OTHER | SPINDLE FEEDER | SPINDLE FEEDER | NOT_SPECIFIED</v>
      </c>
      <c r="X654" s="24" t="str">
        <f t="shared" si="75"/>
        <v/>
      </c>
      <c r="Y654" s="24" t="str">
        <f t="shared" si="76"/>
        <v>MISSING_STATUS; CATEGORY_NOT_USEFUL</v>
      </c>
    </row>
    <row r="655" spans="1:25" x14ac:dyDescent="0.3">
      <c r="A655" s="24" t="str">
        <f t="shared" si="70"/>
        <v>GR-732#0654</v>
      </c>
      <c r="B655" s="24" t="str">
        <f>IF('query (2)'!B655="","",TRIM(UPPER('query (2)'!B655)))</f>
        <v>GR-732</v>
      </c>
      <c r="C655" s="25" t="str">
        <f>IF('query (2)'!B655="","",'query (2)'!B655)</f>
        <v>GR-732</v>
      </c>
      <c r="D655" s="24" t="str">
        <f t="shared" si="71"/>
        <v>GR</v>
      </c>
      <c r="E655" s="24">
        <f t="shared" si="72"/>
        <v>1</v>
      </c>
      <c r="F655" s="24">
        <f>IF('query (2)'!A655="","",IFERROR(VALUE('query (2)'!A655),""))</f>
        <v>673</v>
      </c>
      <c r="G655" s="24" t="str">
        <f>IF('query (2)'!C655="","UNKNOWN",IFERROR(INDEX(Cleaning_Rules!$B$15:$B$20,MATCH(TRIM(UPPER('query (2)'!C655)),Cleaning_Rules!$A$15:$A$20,0)),"UNKNOWN"))</f>
        <v>FACTORY3</v>
      </c>
      <c r="H655" s="25" t="str">
        <f>IF('query (2)'!C655="","",'query (2)'!C655)</f>
        <v>FACTORY3</v>
      </c>
      <c r="I655" s="24" t="str" cm="1">
        <f t="array" ref="I655">_xlfn.IFS($G655="UNKNOWN","UNKNOWN",OR($G655="FACTORY1",$G655="FACTORY2",$G655="FACTORY3"),"PLANT",TRUE,"SHARED")</f>
        <v>PLANT</v>
      </c>
      <c r="J655" s="24" t="str">
        <f>IF('query (2)'!D655="","UNKNOWN",IF(COUNTIF(Cleaning_Rules!$A$6:$A$11,TRIM('query (2)'!D655))&gt;0,"UNKNOWN",IFERROR(INDEX(Cleaning_Rules!$B$24:$B$28,MATCH(TRIM(UPPER('query (2)'!D655)),Cleaning_Rules!$A$24:$A$28,0)),TRIM(UPPER('query (2)'!D655)))))</f>
        <v>HUB3-2</v>
      </c>
      <c r="K655" s="25" t="str">
        <f>IF('query (2)'!D655="","",'query (2)'!D655)</f>
        <v>HUB3-2</v>
      </c>
      <c r="L655" s="24" t="str">
        <f>IF($J655="UNKNOWN","",_xlfn.TEXTBEFORE($J655,{"0","1","2","3","4","5","6","7","8","9"," ","-","."},1,,,$J655))</f>
        <v>HUB</v>
      </c>
      <c r="M655" s="24" t="str">
        <f>IF('query (2)'!I655&lt;&gt;"",TRIM(UPPER('query (2)'!I655)),IF($L655="","UNKNOWN",$L655))</f>
        <v>HUB</v>
      </c>
      <c r="N655" s="24" t="str">
        <f>IF('query (2)'!I655&lt;&gt;"","SOURCE",IF($L655="","UNKNOWN","DERIVED"))</f>
        <v>SOURCE</v>
      </c>
      <c r="O655" s="24" t="str">
        <f>IF('query (2)'!E655="","NOT_SPECIFIED",TRIM(UPPER('query (2)'!E655)))</f>
        <v>GRINDING 2</v>
      </c>
      <c r="P655" s="24" t="str">
        <f>IF('query (2)'!F655="","",TRIM(UPPER('query (2)'!F655)))</f>
        <v>1821-H32G</v>
      </c>
      <c r="Q655" s="24" t="str">
        <f>IF('query (2)'!G655="","UNKNOWN",IFERROR(INDEX(Cleaning_Rules!$B$38:$B$46,MATCH(TRIM(UPPER('query (2)'!G655)),Cleaning_Rules!$A$38:$A$46,0)),"UNKNOWN"))</f>
        <v>OTHER</v>
      </c>
      <c r="R655" s="24" t="str">
        <f>IF('query (2)'!H655="","",TRIM(UPPER('query (2)'!H655)))</f>
        <v>SPINDLE RACEWAY GRINDING MACHINE WITH DEMAGNETIZE</v>
      </c>
      <c r="S655" s="25" t="str">
        <f>IF('query (2)'!H655="","",'query (2)'!H655)</f>
        <v>Spindle raceway grinding machine with demagnetize</v>
      </c>
      <c r="T655" s="24" t="str">
        <f>IF('query (2)'!J655="","",TRIM(UPPER('query (2)'!J655)))</f>
        <v>SPINDLE RACEWAY GRINDING MACHINE WITH DEMAGNETIZE</v>
      </c>
      <c r="U655" s="24" t="str">
        <f t="shared" si="73"/>
        <v/>
      </c>
      <c r="V655" s="24" t="str">
        <f>IF('query (2)'!K655="","NOT_SPECIFIED",IFERROR(INDEX(Cleaning_Rules!$B$32:$B$34,MATCH(TRIM(UPPER('query (2)'!K655)),Cleaning_Rules!$A$32:$A$34,0)),"UNKNOWN"))</f>
        <v>NOT_SPECIFIED</v>
      </c>
      <c r="W655" s="24" t="str">
        <f t="shared" si="74"/>
        <v>GR-732 | FACTORY3 | HUB3-2 | HUB | GRINDING 2 | 1821-H32G | OTHER | SPINDLE RACEWAY GRINDING MACHINE WITH DEMAGNETIZE | SPINDLE RACEWAY GRINDING MACHINE WITH DEMAGNETIZE | NOT_SPECIFIED</v>
      </c>
      <c r="X655" s="24" t="str">
        <f t="shared" si="75"/>
        <v/>
      </c>
      <c r="Y655" s="24" t="str">
        <f t="shared" si="76"/>
        <v>MISSING_STATUS; CATEGORY_NOT_USEFUL</v>
      </c>
    </row>
    <row r="656" spans="1:25" x14ac:dyDescent="0.3">
      <c r="A656" s="24" t="str">
        <f t="shared" si="70"/>
        <v>FI-488#0655</v>
      </c>
      <c r="B656" s="24" t="str">
        <f>IF('query (2)'!B656="","",TRIM(UPPER('query (2)'!B656)))</f>
        <v>FI-488</v>
      </c>
      <c r="C656" s="25" t="str">
        <f>IF('query (2)'!B656="","",'query (2)'!B656)</f>
        <v>FI-488</v>
      </c>
      <c r="D656" s="24" t="str">
        <f t="shared" si="71"/>
        <v>FI</v>
      </c>
      <c r="E656" s="24">
        <f t="shared" si="72"/>
        <v>1</v>
      </c>
      <c r="F656" s="24">
        <f>IF('query (2)'!A656="","",IFERROR(VALUE('query (2)'!A656),""))</f>
        <v>674</v>
      </c>
      <c r="G656" s="24" t="str">
        <f>IF('query (2)'!C656="","UNKNOWN",IFERROR(INDEX(Cleaning_Rules!$B$15:$B$20,MATCH(TRIM(UPPER('query (2)'!C656)),Cleaning_Rules!$A$15:$A$20,0)),"UNKNOWN"))</f>
        <v>FACTORY3</v>
      </c>
      <c r="H656" s="25" t="str">
        <f>IF('query (2)'!C656="","",'query (2)'!C656)</f>
        <v>FACTORY3</v>
      </c>
      <c r="I656" s="24" t="str" cm="1">
        <f t="array" ref="I656">_xlfn.IFS($G656="UNKNOWN","UNKNOWN",OR($G656="FACTORY1",$G656="FACTORY2",$G656="FACTORY3"),"PLANT",TRUE,"SHARED")</f>
        <v>PLANT</v>
      </c>
      <c r="J656" s="24" t="str">
        <f>IF('query (2)'!D656="","UNKNOWN",IF(COUNTIF(Cleaning_Rules!$A$6:$A$11,TRIM('query (2)'!D656))&gt;0,"UNKNOWN",IFERROR(INDEX(Cleaning_Rules!$B$24:$B$28,MATCH(TRIM(UPPER('query (2)'!D656)),Cleaning_Rules!$A$24:$A$28,0)),TRIM(UPPER('query (2)'!D656)))))</f>
        <v>HUB3-2</v>
      </c>
      <c r="K656" s="25" t="str">
        <f>IF('query (2)'!D656="","",'query (2)'!D656)</f>
        <v>HUB3-2</v>
      </c>
      <c r="L656" s="24" t="str">
        <f>IF($J656="UNKNOWN","",_xlfn.TEXTBEFORE($J656,{"0","1","2","3","4","5","6","7","8","9"," ","-","."},1,,,$J656))</f>
        <v>HUB</v>
      </c>
      <c r="M656" s="24" t="str">
        <f>IF('query (2)'!I656&lt;&gt;"",TRIM(UPPER('query (2)'!I656)),IF($L656="","UNKNOWN",$L656))</f>
        <v>HUB</v>
      </c>
      <c r="N656" s="24" t="str">
        <f>IF('query (2)'!I656&lt;&gt;"","SOURCE",IF($L656="","UNKNOWN","DERIVED"))</f>
        <v>SOURCE</v>
      </c>
      <c r="O656" s="24" t="str">
        <f>IF('query (2)'!E656="","NOT_SPECIFIED",TRIM(UPPER('query (2)'!E656)))</f>
        <v>GRINDING 2</v>
      </c>
      <c r="P656" s="24" t="str">
        <f>IF('query (2)'!F656="","",TRIM(UPPER('query (2)'!F656)))</f>
        <v>1821-H32G</v>
      </c>
      <c r="Q656" s="24" t="str">
        <f>IF('query (2)'!G656="","UNKNOWN",IFERROR(INDEX(Cleaning_Rules!$B$38:$B$46,MATCH(TRIM(UPPER('query (2)'!G656)),Cleaning_Rules!$A$38:$A$46,0)),"UNKNOWN"))</f>
        <v>OTHER</v>
      </c>
      <c r="R656" s="24" t="str">
        <f>IF('query (2)'!H656="","",TRIM(UPPER('query (2)'!H656)))</f>
        <v>MAGNET FILTER COOLANT TANK.</v>
      </c>
      <c r="S656" s="25" t="str">
        <f>IF('query (2)'!H656="","",'query (2)'!H656)</f>
        <v>Magnet filter coolant tank.</v>
      </c>
      <c r="T656" s="24" t="str">
        <f>IF('query (2)'!J656="","",TRIM(UPPER('query (2)'!J656)))</f>
        <v>MAGNET FILTER COOLANT TANK.</v>
      </c>
      <c r="U656" s="24" t="str">
        <f t="shared" si="73"/>
        <v/>
      </c>
      <c r="V656" s="24" t="str">
        <f>IF('query (2)'!K656="","NOT_SPECIFIED",IFERROR(INDEX(Cleaning_Rules!$B$32:$B$34,MATCH(TRIM(UPPER('query (2)'!K656)),Cleaning_Rules!$A$32:$A$34,0)),"UNKNOWN"))</f>
        <v>NOT_SPECIFIED</v>
      </c>
      <c r="W656" s="24" t="str">
        <f t="shared" si="74"/>
        <v>FI-488 | FACTORY3 | HUB3-2 | HUB | GRINDING 2 | 1821-H32G | OTHER | MAGNET FILTER COOLANT TANK. | MAGNET FILTER COOLANT TANK. | NOT_SPECIFIED</v>
      </c>
      <c r="X656" s="24" t="str">
        <f t="shared" si="75"/>
        <v/>
      </c>
      <c r="Y656" s="24" t="str">
        <f t="shared" si="76"/>
        <v>MISSING_STATUS; CATEGORY_NOT_USEFUL</v>
      </c>
    </row>
    <row r="657" spans="1:25" x14ac:dyDescent="0.3">
      <c r="A657" s="24" t="str">
        <f t="shared" si="70"/>
        <v>GR-733#0656</v>
      </c>
      <c r="B657" s="24" t="str">
        <f>IF('query (2)'!B657="","",TRIM(UPPER('query (2)'!B657)))</f>
        <v>GR-733</v>
      </c>
      <c r="C657" s="25" t="str">
        <f>IF('query (2)'!B657="","",'query (2)'!B657)</f>
        <v>GR-733</v>
      </c>
      <c r="D657" s="24" t="str">
        <f t="shared" si="71"/>
        <v>GR</v>
      </c>
      <c r="E657" s="24">
        <f t="shared" si="72"/>
        <v>1</v>
      </c>
      <c r="F657" s="24">
        <f>IF('query (2)'!A657="","",IFERROR(VALUE('query (2)'!A657),""))</f>
        <v>675</v>
      </c>
      <c r="G657" s="24" t="str">
        <f>IF('query (2)'!C657="","UNKNOWN",IFERROR(INDEX(Cleaning_Rules!$B$15:$B$20,MATCH(TRIM(UPPER('query (2)'!C657)),Cleaning_Rules!$A$15:$A$20,0)),"UNKNOWN"))</f>
        <v>FACTORY3</v>
      </c>
      <c r="H657" s="25" t="str">
        <f>IF('query (2)'!C657="","",'query (2)'!C657)</f>
        <v>FACTORY3</v>
      </c>
      <c r="I657" s="24" t="str" cm="1">
        <f t="array" ref="I657">_xlfn.IFS($G657="UNKNOWN","UNKNOWN",OR($G657="FACTORY1",$G657="FACTORY2",$G657="FACTORY3"),"PLANT",TRUE,"SHARED")</f>
        <v>PLANT</v>
      </c>
      <c r="J657" s="24" t="str">
        <f>IF('query (2)'!D657="","UNKNOWN",IF(COUNTIF(Cleaning_Rules!$A$6:$A$11,TRIM('query (2)'!D657))&gt;0,"UNKNOWN",IFERROR(INDEX(Cleaning_Rules!$B$24:$B$28,MATCH(TRIM(UPPER('query (2)'!D657)),Cleaning_Rules!$A$24:$A$28,0)),TRIM(UPPER('query (2)'!D657)))))</f>
        <v>HUB3-2</v>
      </c>
      <c r="K657" s="25" t="str">
        <f>IF('query (2)'!D657="","",'query (2)'!D657)</f>
        <v>HUB3-2</v>
      </c>
      <c r="L657" s="24" t="str">
        <f>IF($J657="UNKNOWN","",_xlfn.TEXTBEFORE($J657,{"0","1","2","3","4","5","6","7","8","9"," ","-","."},1,,,$J657))</f>
        <v>HUB</v>
      </c>
      <c r="M657" s="24" t="str">
        <f>IF('query (2)'!I657&lt;&gt;"",TRIM(UPPER('query (2)'!I657)),IF($L657="","UNKNOWN",$L657))</f>
        <v>HUB</v>
      </c>
      <c r="N657" s="24" t="str">
        <f>IF('query (2)'!I657&lt;&gt;"","SOURCE",IF($L657="","UNKNOWN","DERIVED"))</f>
        <v>SOURCE</v>
      </c>
      <c r="O657" s="24" t="str">
        <f>IF('query (2)'!E657="","NOT_SPECIFIED",TRIM(UPPER('query (2)'!E657)))</f>
        <v>GRINDING 2</v>
      </c>
      <c r="P657" s="24" t="str">
        <f>IF('query (2)'!F657="","",TRIM(UPPER('query (2)'!F657)))</f>
        <v>1821-H32G</v>
      </c>
      <c r="Q657" s="24" t="str">
        <f>IF('query (2)'!G657="","UNKNOWN",IFERROR(INDEX(Cleaning_Rules!$B$38:$B$46,MATCH(TRIM(UPPER('query (2)'!G657)),Cleaning_Rules!$A$38:$A$46,0)),"UNKNOWN"))</f>
        <v>OTHER</v>
      </c>
      <c r="R657" s="24" t="str">
        <f>IF('query (2)'!H657="","",TRIM(UPPER('query (2)'!H657)))</f>
        <v>SPINDLE RACEWAY SUPERFINISH MACHINE.</v>
      </c>
      <c r="S657" s="25" t="str">
        <f>IF('query (2)'!H657="","",'query (2)'!H657)</f>
        <v>Spindle raceway superfinish machine.</v>
      </c>
      <c r="T657" s="24" t="str">
        <f>IF('query (2)'!J657="","",TRIM(UPPER('query (2)'!J657)))</f>
        <v>SPINDLE RACEWAY SUPERFINISH MACHINE.</v>
      </c>
      <c r="U657" s="24" t="str">
        <f t="shared" si="73"/>
        <v/>
      </c>
      <c r="V657" s="24" t="str">
        <f>IF('query (2)'!K657="","NOT_SPECIFIED",IFERROR(INDEX(Cleaning_Rules!$B$32:$B$34,MATCH(TRIM(UPPER('query (2)'!K657)),Cleaning_Rules!$A$32:$A$34,0)),"UNKNOWN"))</f>
        <v>NOT_SPECIFIED</v>
      </c>
      <c r="W657" s="24" t="str">
        <f t="shared" si="74"/>
        <v>GR-733 | FACTORY3 | HUB3-2 | HUB | GRINDING 2 | 1821-H32G | OTHER | SPINDLE RACEWAY SUPERFINISH MACHINE. | SPINDLE RACEWAY SUPERFINISH MACHINE. | NOT_SPECIFIED</v>
      </c>
      <c r="X657" s="24" t="str">
        <f t="shared" si="75"/>
        <v/>
      </c>
      <c r="Y657" s="24" t="str">
        <f t="shared" si="76"/>
        <v>MISSING_STATUS; CATEGORY_NOT_USEFUL</v>
      </c>
    </row>
    <row r="658" spans="1:25" x14ac:dyDescent="0.3">
      <c r="A658" s="24" t="str">
        <f t="shared" si="70"/>
        <v>WA-734#0657</v>
      </c>
      <c r="B658" s="24" t="str">
        <f>IF('query (2)'!B658="","",TRIM(UPPER('query (2)'!B658)))</f>
        <v>WA-734</v>
      </c>
      <c r="C658" s="25" t="str">
        <f>IF('query (2)'!B658="","",'query (2)'!B658)</f>
        <v>WA-734</v>
      </c>
      <c r="D658" s="24" t="str">
        <f t="shared" si="71"/>
        <v>WA</v>
      </c>
      <c r="E658" s="24">
        <f t="shared" si="72"/>
        <v>1</v>
      </c>
      <c r="F658" s="24">
        <f>IF('query (2)'!A658="","",IFERROR(VALUE('query (2)'!A658),""))</f>
        <v>676</v>
      </c>
      <c r="G658" s="24" t="str">
        <f>IF('query (2)'!C658="","UNKNOWN",IFERROR(INDEX(Cleaning_Rules!$B$15:$B$20,MATCH(TRIM(UPPER('query (2)'!C658)),Cleaning_Rules!$A$15:$A$20,0)),"UNKNOWN"))</f>
        <v>FACTORY3</v>
      </c>
      <c r="H658" s="25" t="str">
        <f>IF('query (2)'!C658="","",'query (2)'!C658)</f>
        <v>FACTORY3</v>
      </c>
      <c r="I658" s="24" t="str" cm="1">
        <f t="array" ref="I658">_xlfn.IFS($G658="UNKNOWN","UNKNOWN",OR($G658="FACTORY1",$G658="FACTORY2",$G658="FACTORY3"),"PLANT",TRUE,"SHARED")</f>
        <v>PLANT</v>
      </c>
      <c r="J658" s="24" t="str">
        <f>IF('query (2)'!D658="","UNKNOWN",IF(COUNTIF(Cleaning_Rules!$A$6:$A$11,TRIM('query (2)'!D658))&gt;0,"UNKNOWN",IFERROR(INDEX(Cleaning_Rules!$B$24:$B$28,MATCH(TRIM(UPPER('query (2)'!D658)),Cleaning_Rules!$A$24:$A$28,0)),TRIM(UPPER('query (2)'!D658)))))</f>
        <v>HUB3-2</v>
      </c>
      <c r="K658" s="25" t="str">
        <f>IF('query (2)'!D658="","",'query (2)'!D658)</f>
        <v>HUB3-2</v>
      </c>
      <c r="L658" s="24" t="str">
        <f>IF($J658="UNKNOWN","",_xlfn.TEXTBEFORE($J658,{"0","1","2","3","4","5","6","7","8","9"," ","-","."},1,,,$J658))</f>
        <v>HUB</v>
      </c>
      <c r="M658" s="24" t="str">
        <f>IF('query (2)'!I658&lt;&gt;"",TRIM(UPPER('query (2)'!I658)),IF($L658="","UNKNOWN",$L658))</f>
        <v>HUB</v>
      </c>
      <c r="N658" s="24" t="str">
        <f>IF('query (2)'!I658&lt;&gt;"","SOURCE",IF($L658="","UNKNOWN","DERIVED"))</f>
        <v>SOURCE</v>
      </c>
      <c r="O658" s="24" t="str">
        <f>IF('query (2)'!E658="","NOT_SPECIFIED",TRIM(UPPER('query (2)'!E658)))</f>
        <v>GRINDING 2</v>
      </c>
      <c r="P658" s="24" t="str">
        <f>IF('query (2)'!F658="","",TRIM(UPPER('query (2)'!F658)))</f>
        <v>1821-H32G</v>
      </c>
      <c r="Q658" s="24" t="str">
        <f>IF('query (2)'!G658="","UNKNOWN",IFERROR(INDEX(Cleaning_Rules!$B$38:$B$46,MATCH(TRIM(UPPER('query (2)'!G658)),Cleaning_Rules!$A$38:$A$46,0)),"UNKNOWN"))</f>
        <v>OTHER</v>
      </c>
      <c r="R658" s="24" t="str">
        <f>IF('query (2)'!H658="","",TRIM(UPPER('query (2)'!H658)))</f>
        <v>SPINDLE WASHING EQUIPMENT</v>
      </c>
      <c r="S658" s="25" t="str">
        <f>IF('query (2)'!H658="","",'query (2)'!H658)</f>
        <v>Spindle Washing Equipment</v>
      </c>
      <c r="T658" s="24" t="str">
        <f>IF('query (2)'!J658="","",TRIM(UPPER('query (2)'!J658)))</f>
        <v>SPINDLE WASHING EQUIPMENT</v>
      </c>
      <c r="U658" s="24" t="str">
        <f t="shared" si="73"/>
        <v/>
      </c>
      <c r="V658" s="24" t="str">
        <f>IF('query (2)'!K658="","NOT_SPECIFIED",IFERROR(INDEX(Cleaning_Rules!$B$32:$B$34,MATCH(TRIM(UPPER('query (2)'!K658)),Cleaning_Rules!$A$32:$A$34,0)),"UNKNOWN"))</f>
        <v>NOT_SPECIFIED</v>
      </c>
      <c r="W658" s="24" t="str">
        <f t="shared" si="74"/>
        <v>WA-734 | FACTORY3 | HUB3-2 | HUB | GRINDING 2 | 1821-H32G | OTHER | SPINDLE WASHING EQUIPMENT | SPINDLE WASHING EQUIPMENT | NOT_SPECIFIED</v>
      </c>
      <c r="X658" s="24" t="str">
        <f t="shared" si="75"/>
        <v/>
      </c>
      <c r="Y658" s="24" t="str">
        <f t="shared" si="76"/>
        <v>MISSING_STATUS; CATEGORY_NOT_USEFUL</v>
      </c>
    </row>
    <row r="659" spans="1:25" x14ac:dyDescent="0.3">
      <c r="A659" s="24" t="str">
        <f t="shared" si="70"/>
        <v>WA-735#0658</v>
      </c>
      <c r="B659" s="24" t="str">
        <f>IF('query (2)'!B659="","",TRIM(UPPER('query (2)'!B659)))</f>
        <v>WA-735</v>
      </c>
      <c r="C659" s="25" t="str">
        <f>IF('query (2)'!B659="","",'query (2)'!B659)</f>
        <v>WA-735</v>
      </c>
      <c r="D659" s="24" t="str">
        <f t="shared" si="71"/>
        <v>WA</v>
      </c>
      <c r="E659" s="24">
        <f t="shared" si="72"/>
        <v>1</v>
      </c>
      <c r="F659" s="24">
        <f>IF('query (2)'!A659="","",IFERROR(VALUE('query (2)'!A659),""))</f>
        <v>677</v>
      </c>
      <c r="G659" s="24" t="str">
        <f>IF('query (2)'!C659="","UNKNOWN",IFERROR(INDEX(Cleaning_Rules!$B$15:$B$20,MATCH(TRIM(UPPER('query (2)'!C659)),Cleaning_Rules!$A$15:$A$20,0)),"UNKNOWN"))</f>
        <v>FACTORY3</v>
      </c>
      <c r="H659" s="25" t="str">
        <f>IF('query (2)'!C659="","",'query (2)'!C659)</f>
        <v>FACTORY3</v>
      </c>
      <c r="I659" s="24" t="str" cm="1">
        <f t="array" ref="I659">_xlfn.IFS($G659="UNKNOWN","UNKNOWN",OR($G659="FACTORY1",$G659="FACTORY2",$G659="FACTORY3"),"PLANT",TRUE,"SHARED")</f>
        <v>PLANT</v>
      </c>
      <c r="J659" s="24" t="str">
        <f>IF('query (2)'!D659="","UNKNOWN",IF(COUNTIF(Cleaning_Rules!$A$6:$A$11,TRIM('query (2)'!D659))&gt;0,"UNKNOWN",IFERROR(INDEX(Cleaning_Rules!$B$24:$B$28,MATCH(TRIM(UPPER('query (2)'!D659)),Cleaning_Rules!$A$24:$A$28,0)),TRIM(UPPER('query (2)'!D659)))))</f>
        <v>HUB3-2</v>
      </c>
      <c r="K659" s="25" t="str">
        <f>IF('query (2)'!D659="","",'query (2)'!D659)</f>
        <v>HUB3-2</v>
      </c>
      <c r="L659" s="24" t="str">
        <f>IF($J659="UNKNOWN","",_xlfn.TEXTBEFORE($J659,{"0","1","2","3","4","5","6","7","8","9"," ","-","."},1,,,$J659))</f>
        <v>HUB</v>
      </c>
      <c r="M659" s="24" t="str">
        <f>IF('query (2)'!I659&lt;&gt;"",TRIM(UPPER('query (2)'!I659)),IF($L659="","UNKNOWN",$L659))</f>
        <v>HUB</v>
      </c>
      <c r="N659" s="24" t="str">
        <f>IF('query (2)'!I659&lt;&gt;"","SOURCE",IF($L659="","UNKNOWN","DERIVED"))</f>
        <v>SOURCE</v>
      </c>
      <c r="O659" s="24" t="str">
        <f>IF('query (2)'!E659="","NOT_SPECIFIED",TRIM(UPPER('query (2)'!E659)))</f>
        <v>GRINDING 2</v>
      </c>
      <c r="P659" s="24" t="str">
        <f>IF('query (2)'!F659="","",TRIM(UPPER('query (2)'!F659)))</f>
        <v>1821-H32G</v>
      </c>
      <c r="Q659" s="24" t="str">
        <f>IF('query (2)'!G659="","UNKNOWN",IFERROR(INDEX(Cleaning_Rules!$B$38:$B$46,MATCH(TRIM(UPPER('query (2)'!G659)),Cleaning_Rules!$A$38:$A$46,0)),"UNKNOWN"))</f>
        <v>OTHER</v>
      </c>
      <c r="R659" s="24" t="str">
        <f>IF('query (2)'!H659="","",TRIM(UPPER('query (2)'!H659)))</f>
        <v>HUB3 B1SUPPLY,WASH AND ECT MACHINE</v>
      </c>
      <c r="S659" s="25" t="str">
        <f>IF('query (2)'!H659="","",'query (2)'!H659)</f>
        <v>HUB3 B1Supply,Wash AND ECT Machine</v>
      </c>
      <c r="T659" s="24" t="str">
        <f>IF('query (2)'!J659="","",TRIM(UPPER('query (2)'!J659)))</f>
        <v>HUB3 B1SUPPLY,WASH AND ECT MACHINE</v>
      </c>
      <c r="U659" s="24" t="str">
        <f t="shared" si="73"/>
        <v/>
      </c>
      <c r="V659" s="24" t="str">
        <f>IF('query (2)'!K659="","NOT_SPECIFIED",IFERROR(INDEX(Cleaning_Rules!$B$32:$B$34,MATCH(TRIM(UPPER('query (2)'!K659)),Cleaning_Rules!$A$32:$A$34,0)),"UNKNOWN"))</f>
        <v>NOT_SPECIFIED</v>
      </c>
      <c r="W659" s="24" t="str">
        <f t="shared" si="74"/>
        <v>WA-735 | FACTORY3 | HUB3-2 | HUB | GRINDING 2 | 1821-H32G | OTHER | HUB3 B1SUPPLY,WASH AND ECT MACHINE | HUB3 B1SUPPLY,WASH AND ECT MACHINE | NOT_SPECIFIED</v>
      </c>
      <c r="X659" s="24" t="str">
        <f t="shared" si="75"/>
        <v/>
      </c>
      <c r="Y659" s="24" t="str">
        <f t="shared" si="76"/>
        <v>MISSING_STATUS; CATEGORY_NOT_USEFUL</v>
      </c>
    </row>
    <row r="660" spans="1:25" x14ac:dyDescent="0.3">
      <c r="A660" s="24" t="str">
        <f t="shared" si="70"/>
        <v>SU-736#0659</v>
      </c>
      <c r="B660" s="24" t="str">
        <f>IF('query (2)'!B660="","",TRIM(UPPER('query (2)'!B660)))</f>
        <v>SU-736</v>
      </c>
      <c r="C660" s="25" t="str">
        <f>IF('query (2)'!B660="","",'query (2)'!B660)</f>
        <v>SU-736</v>
      </c>
      <c r="D660" s="24" t="str">
        <f t="shared" si="71"/>
        <v>SU</v>
      </c>
      <c r="E660" s="24">
        <f t="shared" si="72"/>
        <v>1</v>
      </c>
      <c r="F660" s="24">
        <f>IF('query (2)'!A660="","",IFERROR(VALUE('query (2)'!A660),""))</f>
        <v>678</v>
      </c>
      <c r="G660" s="24" t="str">
        <f>IF('query (2)'!C660="","UNKNOWN",IFERROR(INDEX(Cleaning_Rules!$B$15:$B$20,MATCH(TRIM(UPPER('query (2)'!C660)),Cleaning_Rules!$A$15:$A$20,0)),"UNKNOWN"))</f>
        <v>FACTORY3</v>
      </c>
      <c r="H660" s="25" t="str">
        <f>IF('query (2)'!C660="","",'query (2)'!C660)</f>
        <v>FACTORY3</v>
      </c>
      <c r="I660" s="24" t="str" cm="1">
        <f t="array" ref="I660">_xlfn.IFS($G660="UNKNOWN","UNKNOWN",OR($G660="FACTORY1",$G660="FACTORY2",$G660="FACTORY3"),"PLANT",TRUE,"SHARED")</f>
        <v>PLANT</v>
      </c>
      <c r="J660" s="24" t="str">
        <f>IF('query (2)'!D660="","UNKNOWN",IF(COUNTIF(Cleaning_Rules!$A$6:$A$11,TRIM('query (2)'!D660))&gt;0,"UNKNOWN",IFERROR(INDEX(Cleaning_Rules!$B$24:$B$28,MATCH(TRIM(UPPER('query (2)'!D660)),Cleaning_Rules!$A$24:$A$28,0)),TRIM(UPPER('query (2)'!D660)))))</f>
        <v>HUB3-2</v>
      </c>
      <c r="K660" s="25" t="str">
        <f>IF('query (2)'!D660="","",'query (2)'!D660)</f>
        <v>HUB3-2</v>
      </c>
      <c r="L660" s="24" t="str">
        <f>IF($J660="UNKNOWN","",_xlfn.TEXTBEFORE($J660,{"0","1","2","3","4","5","6","7","8","9"," ","-","."},1,,,$J660))</f>
        <v>HUB</v>
      </c>
      <c r="M660" s="24" t="str">
        <f>IF('query (2)'!I660&lt;&gt;"",TRIM(UPPER('query (2)'!I660)),IF($L660="","UNKNOWN",$L660))</f>
        <v>HUB</v>
      </c>
      <c r="N660" s="24" t="str">
        <f>IF('query (2)'!I660&lt;&gt;"","SOURCE",IF($L660="","UNKNOWN","DERIVED"))</f>
        <v>SOURCE</v>
      </c>
      <c r="O660" s="24" t="str">
        <f>IF('query (2)'!E660="","NOT_SPECIFIED",TRIM(UPPER('query (2)'!E660)))</f>
        <v>GRINDING 2</v>
      </c>
      <c r="P660" s="24" t="str">
        <f>IF('query (2)'!F660="","",TRIM(UPPER('query (2)'!F660)))</f>
        <v>1821-H32G</v>
      </c>
      <c r="Q660" s="24" t="str">
        <f>IF('query (2)'!G660="","UNKNOWN",IFERROR(INDEX(Cleaning_Rules!$B$38:$B$46,MATCH(TRIM(UPPER('query (2)'!G660)),Cleaning_Rules!$A$38:$A$46,0)),"UNKNOWN"))</f>
        <v>OTHER</v>
      </c>
      <c r="R660" s="24" t="str">
        <f>IF('query (2)'!H660="","",TRIM(UPPER('query (2)'!H660)))</f>
        <v>OUTER RING FEEDER</v>
      </c>
      <c r="S660" s="25" t="str">
        <f>IF('query (2)'!H660="","",'query (2)'!H660)</f>
        <v>Outer ring feeder</v>
      </c>
      <c r="T660" s="24" t="str">
        <f>IF('query (2)'!J660="","",TRIM(UPPER('query (2)'!J660)))</f>
        <v>OUTER RING FEEDER</v>
      </c>
      <c r="U660" s="24" t="str">
        <f t="shared" si="73"/>
        <v/>
      </c>
      <c r="V660" s="24" t="str">
        <f>IF('query (2)'!K660="","NOT_SPECIFIED",IFERROR(INDEX(Cleaning_Rules!$B$32:$B$34,MATCH(TRIM(UPPER('query (2)'!K660)),Cleaning_Rules!$A$32:$A$34,0)),"UNKNOWN"))</f>
        <v>NOT_SPECIFIED</v>
      </c>
      <c r="W660" s="24" t="str">
        <f t="shared" si="74"/>
        <v>SU-736 | FACTORY3 | HUB3-2 | HUB | GRINDING 2 | 1821-H32G | OTHER | OUTER RING FEEDER | OUTER RING FEEDER | NOT_SPECIFIED</v>
      </c>
      <c r="X660" s="24" t="str">
        <f t="shared" si="75"/>
        <v/>
      </c>
      <c r="Y660" s="24" t="str">
        <f t="shared" si="76"/>
        <v>MISSING_STATUS; CATEGORY_NOT_USEFUL</v>
      </c>
    </row>
    <row r="661" spans="1:25" x14ac:dyDescent="0.3">
      <c r="A661" s="24" t="str">
        <f t="shared" si="70"/>
        <v>GR-737#0660</v>
      </c>
      <c r="B661" s="24" t="str">
        <f>IF('query (2)'!B661="","",TRIM(UPPER('query (2)'!B661)))</f>
        <v>GR-737</v>
      </c>
      <c r="C661" s="25" t="str">
        <f>IF('query (2)'!B661="","",'query (2)'!B661)</f>
        <v>GR-737</v>
      </c>
      <c r="D661" s="24" t="str">
        <f t="shared" si="71"/>
        <v>GR</v>
      </c>
      <c r="E661" s="24">
        <f t="shared" si="72"/>
        <v>1</v>
      </c>
      <c r="F661" s="24">
        <f>IF('query (2)'!A661="","",IFERROR(VALUE('query (2)'!A661),""))</f>
        <v>679</v>
      </c>
      <c r="G661" s="24" t="str">
        <f>IF('query (2)'!C661="","UNKNOWN",IFERROR(INDEX(Cleaning_Rules!$B$15:$B$20,MATCH(TRIM(UPPER('query (2)'!C661)),Cleaning_Rules!$A$15:$A$20,0)),"UNKNOWN"))</f>
        <v>FACTORY3</v>
      </c>
      <c r="H661" s="25" t="str">
        <f>IF('query (2)'!C661="","",'query (2)'!C661)</f>
        <v>FACTORY3</v>
      </c>
      <c r="I661" s="24" t="str" cm="1">
        <f t="array" ref="I661">_xlfn.IFS($G661="UNKNOWN","UNKNOWN",OR($G661="FACTORY1",$G661="FACTORY2",$G661="FACTORY3"),"PLANT",TRUE,"SHARED")</f>
        <v>PLANT</v>
      </c>
      <c r="J661" s="24" t="str">
        <f>IF('query (2)'!D661="","UNKNOWN",IF(COUNTIF(Cleaning_Rules!$A$6:$A$11,TRIM('query (2)'!D661))&gt;0,"UNKNOWN",IFERROR(INDEX(Cleaning_Rules!$B$24:$B$28,MATCH(TRIM(UPPER('query (2)'!D661)),Cleaning_Rules!$A$24:$A$28,0)),TRIM(UPPER('query (2)'!D661)))))</f>
        <v>HUB3-2</v>
      </c>
      <c r="K661" s="25" t="str">
        <f>IF('query (2)'!D661="","",'query (2)'!D661)</f>
        <v>HUB3-2</v>
      </c>
      <c r="L661" s="24" t="str">
        <f>IF($J661="UNKNOWN","",_xlfn.TEXTBEFORE($J661,{"0","1","2","3","4","5","6","7","8","9"," ","-","."},1,,,$J661))</f>
        <v>HUB</v>
      </c>
      <c r="M661" s="24" t="str">
        <f>IF('query (2)'!I661&lt;&gt;"",TRIM(UPPER('query (2)'!I661)),IF($L661="","UNKNOWN",$L661))</f>
        <v>HUB</v>
      </c>
      <c r="N661" s="24" t="str">
        <f>IF('query (2)'!I661&lt;&gt;"","SOURCE",IF($L661="","UNKNOWN","DERIVED"))</f>
        <v>SOURCE</v>
      </c>
      <c r="O661" s="24" t="str">
        <f>IF('query (2)'!E661="","NOT_SPECIFIED",TRIM(UPPER('query (2)'!E661)))</f>
        <v>GRINDING 2</v>
      </c>
      <c r="P661" s="24" t="str">
        <f>IF('query (2)'!F661="","",TRIM(UPPER('query (2)'!F661)))</f>
        <v>1821-H32G</v>
      </c>
      <c r="Q661" s="24" t="str">
        <f>IF('query (2)'!G661="","UNKNOWN",IFERROR(INDEX(Cleaning_Rules!$B$38:$B$46,MATCH(TRIM(UPPER('query (2)'!G661)),Cleaning_Rules!$A$38:$A$46,0)),"UNKNOWN"))</f>
        <v>OTHER</v>
      </c>
      <c r="R661" s="24" t="str">
        <f>IF('query (2)'!H661="","",TRIM(UPPER('query (2)'!H661)))</f>
        <v>OUTER RING DATUM DIAMETER GRINDING MACHINE</v>
      </c>
      <c r="S661" s="25" t="str">
        <f>IF('query (2)'!H661="","",'query (2)'!H661)</f>
        <v>Outer ring datum diameter grinding machine</v>
      </c>
      <c r="T661" s="24" t="str">
        <f>IF('query (2)'!J661="","",TRIM(UPPER('query (2)'!J661)))</f>
        <v>OUTER RING DATUM DIAMETER GRINDING MACHINE</v>
      </c>
      <c r="U661" s="24" t="str">
        <f t="shared" si="73"/>
        <v/>
      </c>
      <c r="V661" s="24" t="str">
        <f>IF('query (2)'!K661="","NOT_SPECIFIED",IFERROR(INDEX(Cleaning_Rules!$B$32:$B$34,MATCH(TRIM(UPPER('query (2)'!K661)),Cleaning_Rules!$A$32:$A$34,0)),"UNKNOWN"))</f>
        <v>NOT_SPECIFIED</v>
      </c>
      <c r="W661" s="24" t="str">
        <f t="shared" si="74"/>
        <v>GR-737 | FACTORY3 | HUB3-2 | HUB | GRINDING 2 | 1821-H32G | OTHER | OUTER RING DATUM DIAMETER GRINDING MACHINE | OUTER RING DATUM DIAMETER GRINDING MACHINE | NOT_SPECIFIED</v>
      </c>
      <c r="X661" s="24" t="str">
        <f t="shared" si="75"/>
        <v/>
      </c>
      <c r="Y661" s="24" t="str">
        <f t="shared" si="76"/>
        <v>MISSING_STATUS; CATEGORY_NOT_USEFUL</v>
      </c>
    </row>
    <row r="662" spans="1:25" x14ac:dyDescent="0.3">
      <c r="A662" s="24" t="str">
        <f t="shared" si="70"/>
        <v>GR-738#0661</v>
      </c>
      <c r="B662" s="24" t="str">
        <f>IF('query (2)'!B662="","",TRIM(UPPER('query (2)'!B662)))</f>
        <v>GR-738</v>
      </c>
      <c r="C662" s="25" t="str">
        <f>IF('query (2)'!B662="","",'query (2)'!B662)</f>
        <v>GR-738</v>
      </c>
      <c r="D662" s="24" t="str">
        <f t="shared" si="71"/>
        <v>GR</v>
      </c>
      <c r="E662" s="24">
        <f t="shared" si="72"/>
        <v>1</v>
      </c>
      <c r="F662" s="24">
        <f>IF('query (2)'!A662="","",IFERROR(VALUE('query (2)'!A662),""))</f>
        <v>680</v>
      </c>
      <c r="G662" s="24" t="str">
        <f>IF('query (2)'!C662="","UNKNOWN",IFERROR(INDEX(Cleaning_Rules!$B$15:$B$20,MATCH(TRIM(UPPER('query (2)'!C662)),Cleaning_Rules!$A$15:$A$20,0)),"UNKNOWN"))</f>
        <v>FACTORY3</v>
      </c>
      <c r="H662" s="25" t="str">
        <f>IF('query (2)'!C662="","",'query (2)'!C662)</f>
        <v>FACTORY3</v>
      </c>
      <c r="I662" s="24" t="str" cm="1">
        <f t="array" ref="I662">_xlfn.IFS($G662="UNKNOWN","UNKNOWN",OR($G662="FACTORY1",$G662="FACTORY2",$G662="FACTORY3"),"PLANT",TRUE,"SHARED")</f>
        <v>PLANT</v>
      </c>
      <c r="J662" s="24" t="str">
        <f>IF('query (2)'!D662="","UNKNOWN",IF(COUNTIF(Cleaning_Rules!$A$6:$A$11,TRIM('query (2)'!D662))&gt;0,"UNKNOWN",IFERROR(INDEX(Cleaning_Rules!$B$24:$B$28,MATCH(TRIM(UPPER('query (2)'!D662)),Cleaning_Rules!$A$24:$A$28,0)),TRIM(UPPER('query (2)'!D662)))))</f>
        <v>HUB3-2</v>
      </c>
      <c r="K662" s="25" t="str">
        <f>IF('query (2)'!D662="","",'query (2)'!D662)</f>
        <v>HUB3-2</v>
      </c>
      <c r="L662" s="24" t="str">
        <f>IF($J662="UNKNOWN","",_xlfn.TEXTBEFORE($J662,{"0","1","2","3","4","5","6","7","8","9"," ","-","."},1,,,$J662))</f>
        <v>HUB</v>
      </c>
      <c r="M662" s="24" t="str">
        <f>IF('query (2)'!I662&lt;&gt;"",TRIM(UPPER('query (2)'!I662)),IF($L662="","UNKNOWN",$L662))</f>
        <v>HUB</v>
      </c>
      <c r="N662" s="24" t="str">
        <f>IF('query (2)'!I662&lt;&gt;"","SOURCE",IF($L662="","UNKNOWN","DERIVED"))</f>
        <v>SOURCE</v>
      </c>
      <c r="O662" s="24" t="str">
        <f>IF('query (2)'!E662="","NOT_SPECIFIED",TRIM(UPPER('query (2)'!E662)))</f>
        <v>GRINDING 2</v>
      </c>
      <c r="P662" s="24" t="str">
        <f>IF('query (2)'!F662="","",TRIM(UPPER('query (2)'!F662)))</f>
        <v>1821-H32G</v>
      </c>
      <c r="Q662" s="24" t="str">
        <f>IF('query (2)'!G662="","UNKNOWN",IFERROR(INDEX(Cleaning_Rules!$B$38:$B$46,MATCH(TRIM(UPPER('query (2)'!G662)),Cleaning_Rules!$A$38:$A$46,0)),"UNKNOWN"))</f>
        <v>OTHER</v>
      </c>
      <c r="R662" s="24" t="str">
        <f>IF('query (2)'!H662="","",TRIM(UPPER('query (2)'!H662)))</f>
        <v>OUTER RING RACEWAY GRINDING MACHINE WITH DEMAGNETIZE</v>
      </c>
      <c r="S662" s="25" t="str">
        <f>IF('query (2)'!H662="","",'query (2)'!H662)</f>
        <v>Outer ring raceway grinding machine with demagnetize</v>
      </c>
      <c r="T662" s="24" t="str">
        <f>IF('query (2)'!J662="","",TRIM(UPPER('query (2)'!J662)))</f>
        <v>A - RACEWAY GRINDING</v>
      </c>
      <c r="U662" s="24" t="str">
        <f t="shared" si="73"/>
        <v/>
      </c>
      <c r="V662" s="24" t="str">
        <f>IF('query (2)'!K662="","NOT_SPECIFIED",IFERROR(INDEX(Cleaning_Rules!$B$32:$B$34,MATCH(TRIM(UPPER('query (2)'!K662)),Cleaning_Rules!$A$32:$A$34,0)),"UNKNOWN"))</f>
        <v>NOT_SPECIFIED</v>
      </c>
      <c r="W662" s="24" t="str">
        <f t="shared" si="74"/>
        <v>GR-738 | FACTORY3 | HUB3-2 | HUB | GRINDING 2 | 1821-H32G | OTHER | OUTER RING RACEWAY GRINDING MACHINE WITH DEMAGNETIZE | A - RACEWAY GRINDING | NOT_SPECIFIED</v>
      </c>
      <c r="X662" s="24" t="str">
        <f t="shared" si="75"/>
        <v/>
      </c>
      <c r="Y662" s="24" t="str">
        <f t="shared" si="76"/>
        <v>MISSING_STATUS; CATEGORY_NOT_USEFUL</v>
      </c>
    </row>
    <row r="663" spans="1:25" x14ac:dyDescent="0.3">
      <c r="A663" s="24" t="str">
        <f t="shared" si="70"/>
        <v>GR-739#0662</v>
      </c>
      <c r="B663" s="24" t="str">
        <f>IF('query (2)'!B663="","",TRIM(UPPER('query (2)'!B663)))</f>
        <v>GR-739</v>
      </c>
      <c r="C663" s="25" t="str">
        <f>IF('query (2)'!B663="","",'query (2)'!B663)</f>
        <v>GR-739</v>
      </c>
      <c r="D663" s="24" t="str">
        <f t="shared" si="71"/>
        <v>GR</v>
      </c>
      <c r="E663" s="24">
        <f t="shared" si="72"/>
        <v>1</v>
      </c>
      <c r="F663" s="24">
        <f>IF('query (2)'!A663="","",IFERROR(VALUE('query (2)'!A663),""))</f>
        <v>681</v>
      </c>
      <c r="G663" s="24" t="str">
        <f>IF('query (2)'!C663="","UNKNOWN",IFERROR(INDEX(Cleaning_Rules!$B$15:$B$20,MATCH(TRIM(UPPER('query (2)'!C663)),Cleaning_Rules!$A$15:$A$20,0)),"UNKNOWN"))</f>
        <v>FACTORY3</v>
      </c>
      <c r="H663" s="25" t="str">
        <f>IF('query (2)'!C663="","",'query (2)'!C663)</f>
        <v>FACTORY3</v>
      </c>
      <c r="I663" s="24" t="str" cm="1">
        <f t="array" ref="I663">_xlfn.IFS($G663="UNKNOWN","UNKNOWN",OR($G663="FACTORY1",$G663="FACTORY2",$G663="FACTORY3"),"PLANT",TRUE,"SHARED")</f>
        <v>PLANT</v>
      </c>
      <c r="J663" s="24" t="str">
        <f>IF('query (2)'!D663="","UNKNOWN",IF(COUNTIF(Cleaning_Rules!$A$6:$A$11,TRIM('query (2)'!D663))&gt;0,"UNKNOWN",IFERROR(INDEX(Cleaning_Rules!$B$24:$B$28,MATCH(TRIM(UPPER('query (2)'!D663)),Cleaning_Rules!$A$24:$A$28,0)),TRIM(UPPER('query (2)'!D663)))))</f>
        <v>HUB3-2</v>
      </c>
      <c r="K663" s="25" t="str">
        <f>IF('query (2)'!D663="","",'query (2)'!D663)</f>
        <v>HUB3-2</v>
      </c>
      <c r="L663" s="24" t="str">
        <f>IF($J663="UNKNOWN","",_xlfn.TEXTBEFORE($J663,{"0","1","2","3","4","5","6","7","8","9"," ","-","."},1,,,$J663))</f>
        <v>HUB</v>
      </c>
      <c r="M663" s="24" t="str">
        <f>IF('query (2)'!I663&lt;&gt;"",TRIM(UPPER('query (2)'!I663)),IF($L663="","UNKNOWN",$L663))</f>
        <v>HUB</v>
      </c>
      <c r="N663" s="24" t="str">
        <f>IF('query (2)'!I663&lt;&gt;"","SOURCE",IF($L663="","UNKNOWN","DERIVED"))</f>
        <v>SOURCE</v>
      </c>
      <c r="O663" s="24" t="str">
        <f>IF('query (2)'!E663="","NOT_SPECIFIED",TRIM(UPPER('query (2)'!E663)))</f>
        <v>GRINDING 2</v>
      </c>
      <c r="P663" s="24" t="str">
        <f>IF('query (2)'!F663="","",TRIM(UPPER('query (2)'!F663)))</f>
        <v>1821-H32G</v>
      </c>
      <c r="Q663" s="24" t="str">
        <f>IF('query (2)'!G663="","UNKNOWN",IFERROR(INDEX(Cleaning_Rules!$B$38:$B$46,MATCH(TRIM(UPPER('query (2)'!G663)),Cleaning_Rules!$A$38:$A$46,0)),"UNKNOWN"))</f>
        <v>OTHER</v>
      </c>
      <c r="R663" s="24" t="str">
        <f>IF('query (2)'!H663="","",TRIM(UPPER('query (2)'!H663)))</f>
        <v>OUTER RING RACEWAY SUPERFINISH MACHINE</v>
      </c>
      <c r="S663" s="25" t="str">
        <f>IF('query (2)'!H663="","",'query (2)'!H663)</f>
        <v>Outer ring raceway superfinish machine</v>
      </c>
      <c r="T663" s="24" t="str">
        <f>IF('query (2)'!J663="","",TRIM(UPPER('query (2)'!J663)))</f>
        <v>OUTER RING RACEWAY SUPERFINISH MACHINE</v>
      </c>
      <c r="U663" s="24" t="str">
        <f t="shared" si="73"/>
        <v/>
      </c>
      <c r="V663" s="24" t="str">
        <f>IF('query (2)'!K663="","NOT_SPECIFIED",IFERROR(INDEX(Cleaning_Rules!$B$32:$B$34,MATCH(TRIM(UPPER('query (2)'!K663)),Cleaning_Rules!$A$32:$A$34,0)),"UNKNOWN"))</f>
        <v>NOT_SPECIFIED</v>
      </c>
      <c r="W663" s="24" t="str">
        <f t="shared" si="74"/>
        <v>GR-739 | FACTORY3 | HUB3-2 | HUB | GRINDING 2 | 1821-H32G | OTHER | OUTER RING RACEWAY SUPERFINISH MACHINE | OUTER RING RACEWAY SUPERFINISH MACHINE | NOT_SPECIFIED</v>
      </c>
      <c r="X663" s="24" t="str">
        <f t="shared" si="75"/>
        <v/>
      </c>
      <c r="Y663" s="24" t="str">
        <f t="shared" si="76"/>
        <v>MISSING_STATUS; CATEGORY_NOT_USEFUL</v>
      </c>
    </row>
    <row r="664" spans="1:25" x14ac:dyDescent="0.3">
      <c r="A664" s="24" t="str">
        <f t="shared" si="70"/>
        <v>WA-740#0663</v>
      </c>
      <c r="B664" s="24" t="str">
        <f>IF('query (2)'!B664="","",TRIM(UPPER('query (2)'!B664)))</f>
        <v>WA-740</v>
      </c>
      <c r="C664" s="25" t="str">
        <f>IF('query (2)'!B664="","",'query (2)'!B664)</f>
        <v>WA-740</v>
      </c>
      <c r="D664" s="24" t="str">
        <f t="shared" si="71"/>
        <v>WA</v>
      </c>
      <c r="E664" s="24">
        <f t="shared" si="72"/>
        <v>1</v>
      </c>
      <c r="F664" s="24">
        <f>IF('query (2)'!A664="","",IFERROR(VALUE('query (2)'!A664),""))</f>
        <v>682</v>
      </c>
      <c r="G664" s="24" t="str">
        <f>IF('query (2)'!C664="","UNKNOWN",IFERROR(INDEX(Cleaning_Rules!$B$15:$B$20,MATCH(TRIM(UPPER('query (2)'!C664)),Cleaning_Rules!$A$15:$A$20,0)),"UNKNOWN"))</f>
        <v>FACTORY3</v>
      </c>
      <c r="H664" s="25" t="str">
        <f>IF('query (2)'!C664="","",'query (2)'!C664)</f>
        <v>FACTORY3</v>
      </c>
      <c r="I664" s="24" t="str" cm="1">
        <f t="array" ref="I664">_xlfn.IFS($G664="UNKNOWN","UNKNOWN",OR($G664="FACTORY1",$G664="FACTORY2",$G664="FACTORY3"),"PLANT",TRUE,"SHARED")</f>
        <v>PLANT</v>
      </c>
      <c r="J664" s="24" t="str">
        <f>IF('query (2)'!D664="","UNKNOWN",IF(COUNTIF(Cleaning_Rules!$A$6:$A$11,TRIM('query (2)'!D664))&gt;0,"UNKNOWN",IFERROR(INDEX(Cleaning_Rules!$B$24:$B$28,MATCH(TRIM(UPPER('query (2)'!D664)),Cleaning_Rules!$A$24:$A$28,0)),TRIM(UPPER('query (2)'!D664)))))</f>
        <v>HUB3-2</v>
      </c>
      <c r="K664" s="25" t="str">
        <f>IF('query (2)'!D664="","",'query (2)'!D664)</f>
        <v>HUB3-2</v>
      </c>
      <c r="L664" s="24" t="str">
        <f>IF($J664="UNKNOWN","",_xlfn.TEXTBEFORE($J664,{"0","1","2","3","4","5","6","7","8","9"," ","-","."},1,,,$J664))</f>
        <v>HUB</v>
      </c>
      <c r="M664" s="24" t="str">
        <f>IF('query (2)'!I664&lt;&gt;"",TRIM(UPPER('query (2)'!I664)),IF($L664="","UNKNOWN",$L664))</f>
        <v>HUB</v>
      </c>
      <c r="N664" s="24" t="str">
        <f>IF('query (2)'!I664&lt;&gt;"","SOURCE",IF($L664="","UNKNOWN","DERIVED"))</f>
        <v>SOURCE</v>
      </c>
      <c r="O664" s="24" t="str">
        <f>IF('query (2)'!E664="","NOT_SPECIFIED",TRIM(UPPER('query (2)'!E664)))</f>
        <v>GRINDING 2</v>
      </c>
      <c r="P664" s="24" t="str">
        <f>IF('query (2)'!F664="","",TRIM(UPPER('query (2)'!F664)))</f>
        <v>1821-H32G</v>
      </c>
      <c r="Q664" s="24" t="str">
        <f>IF('query (2)'!G664="","UNKNOWN",IFERROR(INDEX(Cleaning_Rules!$B$38:$B$46,MATCH(TRIM(UPPER('query (2)'!G664)),Cleaning_Rules!$A$38:$A$46,0)),"UNKNOWN"))</f>
        <v>OTHER</v>
      </c>
      <c r="R664" s="24" t="str">
        <f>IF('query (2)'!H664="","",TRIM(UPPER('query (2)'!H664)))</f>
        <v>OUTER RING WASHING EQUIPMENT</v>
      </c>
      <c r="S664" s="25" t="str">
        <f>IF('query (2)'!H664="","",'query (2)'!H664)</f>
        <v>Outer ring Washing Equipment</v>
      </c>
      <c r="T664" s="24" t="str">
        <f>IF('query (2)'!J664="","",TRIM(UPPER('query (2)'!J664)))</f>
        <v>OUTER RING WASHING EQUIPMENT</v>
      </c>
      <c r="U664" s="24" t="str">
        <f t="shared" si="73"/>
        <v/>
      </c>
      <c r="V664" s="24" t="str">
        <f>IF('query (2)'!K664="","NOT_SPECIFIED",IFERROR(INDEX(Cleaning_Rules!$B$32:$B$34,MATCH(TRIM(UPPER('query (2)'!K664)),Cleaning_Rules!$A$32:$A$34,0)),"UNKNOWN"))</f>
        <v>NOT_SPECIFIED</v>
      </c>
      <c r="W664" s="24" t="str">
        <f t="shared" si="74"/>
        <v>WA-740 | FACTORY3 | HUB3-2 | HUB | GRINDING 2 | 1821-H32G | OTHER | OUTER RING WASHING EQUIPMENT | OUTER RING WASHING EQUIPMENT | NOT_SPECIFIED</v>
      </c>
      <c r="X664" s="24" t="str">
        <f t="shared" si="75"/>
        <v/>
      </c>
      <c r="Y664" s="24" t="str">
        <f t="shared" si="76"/>
        <v>MISSING_STATUS; CATEGORY_NOT_USEFUL</v>
      </c>
    </row>
    <row r="665" spans="1:25" x14ac:dyDescent="0.3">
      <c r="A665" s="24" t="str">
        <f t="shared" si="70"/>
        <v>SU-741#0664</v>
      </c>
      <c r="B665" s="24" t="str">
        <f>IF('query (2)'!B665="","",TRIM(UPPER('query (2)'!B665)))</f>
        <v>SU-741</v>
      </c>
      <c r="C665" s="25" t="str">
        <f>IF('query (2)'!B665="","",'query (2)'!B665)</f>
        <v>SU-741</v>
      </c>
      <c r="D665" s="24" t="str">
        <f t="shared" si="71"/>
        <v>SU</v>
      </c>
      <c r="E665" s="24">
        <f t="shared" si="72"/>
        <v>1</v>
      </c>
      <c r="F665" s="24">
        <f>IF('query (2)'!A665="","",IFERROR(VALUE('query (2)'!A665),""))</f>
        <v>683</v>
      </c>
      <c r="G665" s="24" t="str">
        <f>IF('query (2)'!C665="","UNKNOWN",IFERROR(INDEX(Cleaning_Rules!$B$15:$B$20,MATCH(TRIM(UPPER('query (2)'!C665)),Cleaning_Rules!$A$15:$A$20,0)),"UNKNOWN"))</f>
        <v>FACTORY3</v>
      </c>
      <c r="H665" s="25" t="str">
        <f>IF('query (2)'!C665="","",'query (2)'!C665)</f>
        <v>FACTORY3</v>
      </c>
      <c r="I665" s="24" t="str" cm="1">
        <f t="array" ref="I665">_xlfn.IFS($G665="UNKNOWN","UNKNOWN",OR($G665="FACTORY1",$G665="FACTORY2",$G665="FACTORY3"),"PLANT",TRUE,"SHARED")</f>
        <v>PLANT</v>
      </c>
      <c r="J665" s="24" t="str">
        <f>IF('query (2)'!D665="","UNKNOWN",IF(COUNTIF(Cleaning_Rules!$A$6:$A$11,TRIM('query (2)'!D665))&gt;0,"UNKNOWN",IFERROR(INDEX(Cleaning_Rules!$B$24:$B$28,MATCH(TRIM(UPPER('query (2)'!D665)),Cleaning_Rules!$A$24:$A$28,0)),TRIM(UPPER('query (2)'!D665)))))</f>
        <v>HUB3-2</v>
      </c>
      <c r="K665" s="25" t="str">
        <f>IF('query (2)'!D665="","",'query (2)'!D665)</f>
        <v>HUB3-2</v>
      </c>
      <c r="L665" s="24" t="str">
        <f>IF($J665="UNKNOWN","",_xlfn.TEXTBEFORE($J665,{"0","1","2","3","4","5","6","7","8","9"," ","-","."},1,,,$J665))</f>
        <v>HUB</v>
      </c>
      <c r="M665" s="24" t="str">
        <f>IF('query (2)'!I665&lt;&gt;"",TRIM(UPPER('query (2)'!I665)),IF($L665="","UNKNOWN",$L665))</f>
        <v>HUB</v>
      </c>
      <c r="N665" s="24" t="str">
        <f>IF('query (2)'!I665&lt;&gt;"","SOURCE",IF($L665="","UNKNOWN","DERIVED"))</f>
        <v>SOURCE</v>
      </c>
      <c r="O665" s="24" t="str">
        <f>IF('query (2)'!E665="","NOT_SPECIFIED",TRIM(UPPER('query (2)'!E665)))</f>
        <v>GRINDING 2</v>
      </c>
      <c r="P665" s="24" t="str">
        <f>IF('query (2)'!F665="","",TRIM(UPPER('query (2)'!F665)))</f>
        <v>1821-H32G</v>
      </c>
      <c r="Q665" s="24" t="str">
        <f>IF('query (2)'!G665="","UNKNOWN",IFERROR(INDEX(Cleaning_Rules!$B$38:$B$46,MATCH(TRIM(UPPER('query (2)'!G665)),Cleaning_Rules!$A$38:$A$46,0)),"UNKNOWN"))</f>
        <v>OTHER</v>
      </c>
      <c r="R665" s="24" t="str">
        <f>IF('query (2)'!H665="","",TRIM(UPPER('query (2)'!H665)))</f>
        <v>OVERHEAD CONVEYOR</v>
      </c>
      <c r="S665" s="25" t="str">
        <f>IF('query (2)'!H665="","",'query (2)'!H665)</f>
        <v>Overhead conveyor</v>
      </c>
      <c r="T665" s="24" t="str">
        <f>IF('query (2)'!J665="","",TRIM(UPPER('query (2)'!J665)))</f>
        <v>OVERHEAD CONVEYOR</v>
      </c>
      <c r="U665" s="24" t="str">
        <f t="shared" si="73"/>
        <v/>
      </c>
      <c r="V665" s="24" t="str">
        <f>IF('query (2)'!K665="","NOT_SPECIFIED",IFERROR(INDEX(Cleaning_Rules!$B$32:$B$34,MATCH(TRIM(UPPER('query (2)'!K665)),Cleaning_Rules!$A$32:$A$34,0)),"UNKNOWN"))</f>
        <v>NOT_SPECIFIED</v>
      </c>
      <c r="W665" s="24" t="str">
        <f t="shared" si="74"/>
        <v>SU-741 | FACTORY3 | HUB3-2 | HUB | GRINDING 2 | 1821-H32G | OTHER | OVERHEAD CONVEYOR | OVERHEAD CONVEYOR | NOT_SPECIFIED</v>
      </c>
      <c r="X665" s="24" t="str">
        <f t="shared" si="75"/>
        <v/>
      </c>
      <c r="Y665" s="24" t="str">
        <f t="shared" si="76"/>
        <v>MISSING_STATUS; CATEGORY_NOT_USEFUL</v>
      </c>
    </row>
    <row r="666" spans="1:25" x14ac:dyDescent="0.3">
      <c r="A666" s="24" t="str">
        <f t="shared" si="70"/>
        <v>AS-1021#0665</v>
      </c>
      <c r="B666" s="24" t="str">
        <f>IF('query (2)'!B666="","",TRIM(UPPER('query (2)'!B666)))</f>
        <v>AS-1021</v>
      </c>
      <c r="C666" s="25" t="str">
        <f>IF('query (2)'!B666="","",'query (2)'!B666)</f>
        <v>AS-1021</v>
      </c>
      <c r="D666" s="24" t="str">
        <f t="shared" si="71"/>
        <v>AS</v>
      </c>
      <c r="E666" s="24">
        <f t="shared" si="72"/>
        <v>1</v>
      </c>
      <c r="F666" s="24">
        <f>IF('query (2)'!A666="","",IFERROR(VALUE('query (2)'!A666),""))</f>
        <v>684</v>
      </c>
      <c r="G666" s="24" t="str">
        <f>IF('query (2)'!C666="","UNKNOWN",IFERROR(INDEX(Cleaning_Rules!$B$15:$B$20,MATCH(TRIM(UPPER('query (2)'!C666)),Cleaning_Rules!$A$15:$A$20,0)),"UNKNOWN"))</f>
        <v>FACTORY3</v>
      </c>
      <c r="H666" s="25" t="str">
        <f>IF('query (2)'!C666="","",'query (2)'!C666)</f>
        <v>FACTORY3</v>
      </c>
      <c r="I666" s="24" t="str" cm="1">
        <f t="array" ref="I666">_xlfn.IFS($G666="UNKNOWN","UNKNOWN",OR($G666="FACTORY1",$G666="FACTORY2",$G666="FACTORY3"),"PLANT",TRUE,"SHARED")</f>
        <v>PLANT</v>
      </c>
      <c r="J666" s="24" t="str">
        <f>IF('query (2)'!D666="","UNKNOWN",IF(COUNTIF(Cleaning_Rules!$A$6:$A$11,TRIM('query (2)'!D666))&gt;0,"UNKNOWN",IFERROR(INDEX(Cleaning_Rules!$B$24:$B$28,MATCH(TRIM(UPPER('query (2)'!D666)),Cleaning_Rules!$A$24:$A$28,0)),TRIM(UPPER('query (2)'!D666)))))</f>
        <v>HUB3-2</v>
      </c>
      <c r="K666" s="25" t="str">
        <f>IF('query (2)'!D666="","",'query (2)'!D666)</f>
        <v>HUB3-2</v>
      </c>
      <c r="L666" s="24" t="str">
        <f>IF($J666="UNKNOWN","",_xlfn.TEXTBEFORE($J666,{"0","1","2","3","4","5","6","7","8","9"," ","-","."},1,,,$J666))</f>
        <v>HUB</v>
      </c>
      <c r="M666" s="24" t="str">
        <f>IF('query (2)'!I666&lt;&gt;"",TRIM(UPPER('query (2)'!I666)),IF($L666="","UNKNOWN",$L666))</f>
        <v>HUB</v>
      </c>
      <c r="N666" s="24" t="str">
        <f>IF('query (2)'!I666&lt;&gt;"","SOURCE",IF($L666="","UNKNOWN","DERIVED"))</f>
        <v>SOURCE</v>
      </c>
      <c r="O666" s="24" t="str">
        <f>IF('query (2)'!E666="","NOT_SPECIFIED",TRIM(UPPER('query (2)'!E666)))</f>
        <v>ASSEMBLY</v>
      </c>
      <c r="P666" s="24" t="str">
        <f>IF('query (2)'!F666="","",TRIM(UPPER('query (2)'!F666)))</f>
        <v>1822-H32AI</v>
      </c>
      <c r="Q666" s="24" t="str">
        <f>IF('query (2)'!G666="","UNKNOWN",IFERROR(INDEX(Cleaning_Rules!$B$38:$B$46,MATCH(TRIM(UPPER('query (2)'!G666)),Cleaning_Rules!$A$38:$A$46,0)),"UNKNOWN"))</f>
        <v>OTHER</v>
      </c>
      <c r="R666" s="24" t="str">
        <f>IF('query (2)'!H666="","",TRIM(UPPER('query (2)'!H666)))</f>
        <v>HUB3 MATCHING MACHINE</v>
      </c>
      <c r="S666" s="25" t="str">
        <f>IF('query (2)'!H666="","",'query (2)'!H666)</f>
        <v>HUB3 Matching Machine</v>
      </c>
      <c r="T666" s="24" t="str">
        <f>IF('query (2)'!J666="","",TRIM(UPPER('query (2)'!J666)))</f>
        <v>HUB3 MATCHING MACHINE</v>
      </c>
      <c r="U666" s="24" t="str">
        <f t="shared" si="73"/>
        <v/>
      </c>
      <c r="V666" s="24" t="str">
        <f>IF('query (2)'!K666="","NOT_SPECIFIED",IFERROR(INDEX(Cleaning_Rules!$B$32:$B$34,MATCH(TRIM(UPPER('query (2)'!K666)),Cleaning_Rules!$A$32:$A$34,0)),"UNKNOWN"))</f>
        <v>NOT_SPECIFIED</v>
      </c>
      <c r="W666" s="24" t="str">
        <f t="shared" si="74"/>
        <v>AS-1021 | FACTORY3 | HUB3-2 | HUB | ASSEMBLY | 1822-H32AI | OTHER | HUB3 MATCHING MACHINE | HUB3 MATCHING MACHINE | NOT_SPECIFIED</v>
      </c>
      <c r="X666" s="24" t="str">
        <f t="shared" si="75"/>
        <v/>
      </c>
      <c r="Y666" s="24" t="str">
        <f t="shared" si="76"/>
        <v>MISSING_STATUS; CATEGORY_NOT_USEFUL</v>
      </c>
    </row>
    <row r="667" spans="1:25" x14ac:dyDescent="0.3">
      <c r="A667" s="24" t="str">
        <f t="shared" si="70"/>
        <v>AS-743#0666</v>
      </c>
      <c r="B667" s="24" t="str">
        <f>IF('query (2)'!B667="","",TRIM(UPPER('query (2)'!B667)))</f>
        <v>AS-743</v>
      </c>
      <c r="C667" s="25" t="str">
        <f>IF('query (2)'!B667="","",'query (2)'!B667)</f>
        <v>AS-743</v>
      </c>
      <c r="D667" s="24" t="str">
        <f t="shared" si="71"/>
        <v>AS</v>
      </c>
      <c r="E667" s="24">
        <f t="shared" si="72"/>
        <v>1</v>
      </c>
      <c r="F667" s="24">
        <f>IF('query (2)'!A667="","",IFERROR(VALUE('query (2)'!A667),""))</f>
        <v>685</v>
      </c>
      <c r="G667" s="24" t="str">
        <f>IF('query (2)'!C667="","UNKNOWN",IFERROR(INDEX(Cleaning_Rules!$B$15:$B$20,MATCH(TRIM(UPPER('query (2)'!C667)),Cleaning_Rules!$A$15:$A$20,0)),"UNKNOWN"))</f>
        <v>FACTORY3</v>
      </c>
      <c r="H667" s="25" t="str">
        <f>IF('query (2)'!C667="","",'query (2)'!C667)</f>
        <v>FACTORY3</v>
      </c>
      <c r="I667" s="24" t="str" cm="1">
        <f t="array" ref="I667">_xlfn.IFS($G667="UNKNOWN","UNKNOWN",OR($G667="FACTORY1",$G667="FACTORY2",$G667="FACTORY3"),"PLANT",TRUE,"SHARED")</f>
        <v>PLANT</v>
      </c>
      <c r="J667" s="24" t="str">
        <f>IF('query (2)'!D667="","UNKNOWN",IF(COUNTIF(Cleaning_Rules!$A$6:$A$11,TRIM('query (2)'!D667))&gt;0,"UNKNOWN",IFERROR(INDEX(Cleaning_Rules!$B$24:$B$28,MATCH(TRIM(UPPER('query (2)'!D667)),Cleaning_Rules!$A$24:$A$28,0)),TRIM(UPPER('query (2)'!D667)))))</f>
        <v>HUB3-2</v>
      </c>
      <c r="K667" s="25" t="str">
        <f>IF('query (2)'!D667="","",'query (2)'!D667)</f>
        <v>HUB3-2</v>
      </c>
      <c r="L667" s="24" t="str">
        <f>IF($J667="UNKNOWN","",_xlfn.TEXTBEFORE($J667,{"0","1","2","3","4","5","6","7","8","9"," ","-","."},1,,,$J667))</f>
        <v>HUB</v>
      </c>
      <c r="M667" s="24" t="str">
        <f>IF('query (2)'!I667&lt;&gt;"",TRIM(UPPER('query (2)'!I667)),IF($L667="","UNKNOWN",$L667))</f>
        <v>HUB</v>
      </c>
      <c r="N667" s="24" t="str">
        <f>IF('query (2)'!I667&lt;&gt;"","SOURCE",IF($L667="","UNKNOWN","DERIVED"))</f>
        <v>SOURCE</v>
      </c>
      <c r="O667" s="24" t="str">
        <f>IF('query (2)'!E667="","NOT_SPECIFIED",TRIM(UPPER('query (2)'!E667)))</f>
        <v>ASSEMBLY</v>
      </c>
      <c r="P667" s="24" t="str">
        <f>IF('query (2)'!F667="","",TRIM(UPPER('query (2)'!F667)))</f>
        <v>1822-H32AI</v>
      </c>
      <c r="Q667" s="24" t="str">
        <f>IF('query (2)'!G667="","UNKNOWN",IFERROR(INDEX(Cleaning_Rules!$B$38:$B$46,MATCH(TRIM(UPPER('query (2)'!G667)),Cleaning_Rules!$A$38:$A$46,0)),"UNKNOWN"))</f>
        <v>OTHER</v>
      </c>
      <c r="R667" s="24" t="str">
        <f>IF('query (2)'!H667="","",TRIM(UPPER('query (2)'!H667)))</f>
        <v>HUB3 BALL FILLING MACHINE</v>
      </c>
      <c r="S667" s="25" t="str">
        <f>IF('query (2)'!H667="","",'query (2)'!H667)</f>
        <v>HUB3 Ball Filling Machine</v>
      </c>
      <c r="T667" s="24" t="str">
        <f>IF('query (2)'!J667="","",TRIM(UPPER('query (2)'!J667)))</f>
        <v>HUB3 BALL FILLING MACHINE</v>
      </c>
      <c r="U667" s="24" t="str">
        <f t="shared" si="73"/>
        <v/>
      </c>
      <c r="V667" s="24" t="str">
        <f>IF('query (2)'!K667="","NOT_SPECIFIED",IFERROR(INDEX(Cleaning_Rules!$B$32:$B$34,MATCH(TRIM(UPPER('query (2)'!K667)),Cleaning_Rules!$A$32:$A$34,0)),"UNKNOWN"))</f>
        <v>NOT_SPECIFIED</v>
      </c>
      <c r="W667" s="24" t="str">
        <f t="shared" si="74"/>
        <v>AS-743 | FACTORY3 | HUB3-2 | HUB | ASSEMBLY | 1822-H32AI | OTHER | HUB3 BALL FILLING MACHINE | HUB3 BALL FILLING MACHINE | NOT_SPECIFIED</v>
      </c>
      <c r="X667" s="24" t="str">
        <f t="shared" si="75"/>
        <v/>
      </c>
      <c r="Y667" s="24" t="str">
        <f t="shared" si="76"/>
        <v>MISSING_STATUS; CATEGORY_NOT_USEFUL</v>
      </c>
    </row>
    <row r="668" spans="1:25" x14ac:dyDescent="0.3">
      <c r="A668" s="24" t="str">
        <f t="shared" si="70"/>
        <v>AS-744#0667</v>
      </c>
      <c r="B668" s="24" t="str">
        <f>IF('query (2)'!B668="","",TRIM(UPPER('query (2)'!B668)))</f>
        <v>AS-744</v>
      </c>
      <c r="C668" s="25" t="str">
        <f>IF('query (2)'!B668="","",'query (2)'!B668)</f>
        <v>AS-744</v>
      </c>
      <c r="D668" s="24" t="str">
        <f t="shared" si="71"/>
        <v>AS</v>
      </c>
      <c r="E668" s="24">
        <f t="shared" si="72"/>
        <v>1</v>
      </c>
      <c r="F668" s="24">
        <f>IF('query (2)'!A668="","",IFERROR(VALUE('query (2)'!A668),""))</f>
        <v>686</v>
      </c>
      <c r="G668" s="24" t="str">
        <f>IF('query (2)'!C668="","UNKNOWN",IFERROR(INDEX(Cleaning_Rules!$B$15:$B$20,MATCH(TRIM(UPPER('query (2)'!C668)),Cleaning_Rules!$A$15:$A$20,0)),"UNKNOWN"))</f>
        <v>FACTORY3</v>
      </c>
      <c r="H668" s="25" t="str">
        <f>IF('query (2)'!C668="","",'query (2)'!C668)</f>
        <v>FACTORY3</v>
      </c>
      <c r="I668" s="24" t="str" cm="1">
        <f t="array" ref="I668">_xlfn.IFS($G668="UNKNOWN","UNKNOWN",OR($G668="FACTORY1",$G668="FACTORY2",$G668="FACTORY3"),"PLANT",TRUE,"SHARED")</f>
        <v>PLANT</v>
      </c>
      <c r="J668" s="24" t="str">
        <f>IF('query (2)'!D668="","UNKNOWN",IF(COUNTIF(Cleaning_Rules!$A$6:$A$11,TRIM('query (2)'!D668))&gt;0,"UNKNOWN",IFERROR(INDEX(Cleaning_Rules!$B$24:$B$28,MATCH(TRIM(UPPER('query (2)'!D668)),Cleaning_Rules!$A$24:$A$28,0)),TRIM(UPPER('query (2)'!D668)))))</f>
        <v>HUB3-2</v>
      </c>
      <c r="K668" s="25" t="str">
        <f>IF('query (2)'!D668="","",'query (2)'!D668)</f>
        <v>HUB3-2</v>
      </c>
      <c r="L668" s="24" t="str">
        <f>IF($J668="UNKNOWN","",_xlfn.TEXTBEFORE($J668,{"0","1","2","3","4","5","6","7","8","9"," ","-","."},1,,,$J668))</f>
        <v>HUB</v>
      </c>
      <c r="M668" s="24" t="str">
        <f>IF('query (2)'!I668&lt;&gt;"",TRIM(UPPER('query (2)'!I668)),IF($L668="","UNKNOWN",$L668))</f>
        <v>HUB</v>
      </c>
      <c r="N668" s="24" t="str">
        <f>IF('query (2)'!I668&lt;&gt;"","SOURCE",IF($L668="","UNKNOWN","DERIVED"))</f>
        <v>SOURCE</v>
      </c>
      <c r="O668" s="24" t="str">
        <f>IF('query (2)'!E668="","NOT_SPECIFIED",TRIM(UPPER('query (2)'!E668)))</f>
        <v>ASSEMBLY</v>
      </c>
      <c r="P668" s="24" t="str">
        <f>IF('query (2)'!F668="","",TRIM(UPPER('query (2)'!F668)))</f>
        <v>1822-H32AI</v>
      </c>
      <c r="Q668" s="24" t="str">
        <f>IF('query (2)'!G668="","UNKNOWN",IFERROR(INDEX(Cleaning_Rules!$B$38:$B$46,MATCH(TRIM(UPPER('query (2)'!G668)),Cleaning_Rules!$A$38:$A$46,0)),"UNKNOWN"))</f>
        <v>OTHER</v>
      </c>
      <c r="R668" s="24" t="str">
        <f>IF('query (2)'!H668="","",TRIM(UPPER('query (2)'!H668)))</f>
        <v>HUB3 ASSEMBLY MACHINE</v>
      </c>
      <c r="S668" s="25" t="str">
        <f>IF('query (2)'!H668="","",'query (2)'!H668)</f>
        <v>HUB3 Assembly Machine</v>
      </c>
      <c r="T668" s="24" t="str">
        <f>IF('query (2)'!J668="","",TRIM(UPPER('query (2)'!J668)))</f>
        <v>HUB3 ASSEMBLY MACHINE</v>
      </c>
      <c r="U668" s="24" t="str">
        <f t="shared" si="73"/>
        <v/>
      </c>
      <c r="V668" s="24" t="str">
        <f>IF('query (2)'!K668="","NOT_SPECIFIED",IFERROR(INDEX(Cleaning_Rules!$B$32:$B$34,MATCH(TRIM(UPPER('query (2)'!K668)),Cleaning_Rules!$A$32:$A$34,0)),"UNKNOWN"))</f>
        <v>NOT_SPECIFIED</v>
      </c>
      <c r="W668" s="24" t="str">
        <f t="shared" si="74"/>
        <v>AS-744 | FACTORY3 | HUB3-2 | HUB | ASSEMBLY | 1822-H32AI | OTHER | HUB3 ASSEMBLY MACHINE | HUB3 ASSEMBLY MACHINE | NOT_SPECIFIED</v>
      </c>
      <c r="X668" s="24" t="str">
        <f t="shared" si="75"/>
        <v/>
      </c>
      <c r="Y668" s="24" t="str">
        <f t="shared" si="76"/>
        <v>MISSING_STATUS; CATEGORY_NOT_USEFUL</v>
      </c>
    </row>
    <row r="669" spans="1:25" x14ac:dyDescent="0.3">
      <c r="A669" s="24" t="str">
        <f t="shared" si="70"/>
        <v>CH-745#0668</v>
      </c>
      <c r="B669" s="24" t="str">
        <f>IF('query (2)'!B669="","",TRIM(UPPER('query (2)'!B669)))</f>
        <v>CH-745</v>
      </c>
      <c r="C669" s="25" t="str">
        <f>IF('query (2)'!B669="","",'query (2)'!B669)</f>
        <v>CH-745</v>
      </c>
      <c r="D669" s="24" t="str">
        <f t="shared" si="71"/>
        <v>CH</v>
      </c>
      <c r="E669" s="24">
        <f t="shared" si="72"/>
        <v>1</v>
      </c>
      <c r="F669" s="24">
        <f>IF('query (2)'!A669="","",IFERROR(VALUE('query (2)'!A669),""))</f>
        <v>687</v>
      </c>
      <c r="G669" s="24" t="str">
        <f>IF('query (2)'!C669="","UNKNOWN",IFERROR(INDEX(Cleaning_Rules!$B$15:$B$20,MATCH(TRIM(UPPER('query (2)'!C669)),Cleaning_Rules!$A$15:$A$20,0)),"UNKNOWN"))</f>
        <v>FACTORY3</v>
      </c>
      <c r="H669" s="25" t="str">
        <f>IF('query (2)'!C669="","",'query (2)'!C669)</f>
        <v>FACTORY3</v>
      </c>
      <c r="I669" s="24" t="str" cm="1">
        <f t="array" ref="I669">_xlfn.IFS($G669="UNKNOWN","UNKNOWN",OR($G669="FACTORY1",$G669="FACTORY2",$G669="FACTORY3"),"PLANT",TRUE,"SHARED")</f>
        <v>PLANT</v>
      </c>
      <c r="J669" s="24" t="str">
        <f>IF('query (2)'!D669="","UNKNOWN",IF(COUNTIF(Cleaning_Rules!$A$6:$A$11,TRIM('query (2)'!D669))&gt;0,"UNKNOWN",IFERROR(INDEX(Cleaning_Rules!$B$24:$B$28,MATCH(TRIM(UPPER('query (2)'!D669)),Cleaning_Rules!$A$24:$A$28,0)),TRIM(UPPER('query (2)'!D669)))))</f>
        <v>HUB3-2</v>
      </c>
      <c r="K669" s="25" t="str">
        <f>IF('query (2)'!D669="","",'query (2)'!D669)</f>
        <v>HUB3-2</v>
      </c>
      <c r="L669" s="24" t="str">
        <f>IF($J669="UNKNOWN","",_xlfn.TEXTBEFORE($J669,{"0","1","2","3","4","5","6","7","8","9"," ","-","."},1,,,$J669))</f>
        <v>HUB</v>
      </c>
      <c r="M669" s="24" t="str">
        <f>IF('query (2)'!I669&lt;&gt;"",TRIM(UPPER('query (2)'!I669)),IF($L669="","UNKNOWN",$L669))</f>
        <v>HUB</v>
      </c>
      <c r="N669" s="24" t="str">
        <f>IF('query (2)'!I669&lt;&gt;"","SOURCE",IF($L669="","UNKNOWN","DERIVED"))</f>
        <v>SOURCE</v>
      </c>
      <c r="O669" s="24" t="str">
        <f>IF('query (2)'!E669="","NOT_SPECIFIED",TRIM(UPPER('query (2)'!E669)))</f>
        <v>ASSEMBLY</v>
      </c>
      <c r="P669" s="24" t="str">
        <f>IF('query (2)'!F669="","",TRIM(UPPER('query (2)'!F669)))</f>
        <v>1822-H32AI</v>
      </c>
      <c r="Q669" s="24" t="str">
        <f>IF('query (2)'!G669="","UNKNOWN",IFERROR(INDEX(Cleaning_Rules!$B$38:$B$46,MATCH(TRIM(UPPER('query (2)'!G669)),Cleaning_Rules!$A$38:$A$46,0)),"UNKNOWN"))</f>
        <v>OTHER</v>
      </c>
      <c r="R669" s="24" t="str">
        <f>IF('query (2)'!H669="","",TRIM(UPPER('query (2)'!H669)))</f>
        <v>HUB3 VIBRATION CHECK MACHINE</v>
      </c>
      <c r="S669" s="25" t="str">
        <f>IF('query (2)'!H669="","",'query (2)'!H669)</f>
        <v>HUB3 Vibration Check Machine</v>
      </c>
      <c r="T669" s="24" t="str">
        <f>IF('query (2)'!J669="","",TRIM(UPPER('query (2)'!J669)))</f>
        <v>HUB3 VIBRATION CHECK MACHINE</v>
      </c>
      <c r="U669" s="24" t="str">
        <f t="shared" si="73"/>
        <v/>
      </c>
      <c r="V669" s="24" t="str">
        <f>IF('query (2)'!K669="","NOT_SPECIFIED",IFERROR(INDEX(Cleaning_Rules!$B$32:$B$34,MATCH(TRIM(UPPER('query (2)'!K669)),Cleaning_Rules!$A$32:$A$34,0)),"UNKNOWN"))</f>
        <v>NOT_SPECIFIED</v>
      </c>
      <c r="W669" s="24" t="str">
        <f t="shared" si="74"/>
        <v>CH-745 | FACTORY3 | HUB3-2 | HUB | ASSEMBLY | 1822-H32AI | OTHER | HUB3 VIBRATION CHECK MACHINE | HUB3 VIBRATION CHECK MACHINE | NOT_SPECIFIED</v>
      </c>
      <c r="X669" s="24" t="str">
        <f t="shared" si="75"/>
        <v/>
      </c>
      <c r="Y669" s="24" t="str">
        <f t="shared" si="76"/>
        <v>MISSING_STATUS; CATEGORY_NOT_USEFUL</v>
      </c>
    </row>
    <row r="670" spans="1:25" x14ac:dyDescent="0.3">
      <c r="A670" s="24" t="str">
        <f t="shared" si="70"/>
        <v>CH-746#0669</v>
      </c>
      <c r="B670" s="24" t="str">
        <f>IF('query (2)'!B670="","",TRIM(UPPER('query (2)'!B670)))</f>
        <v>CH-746</v>
      </c>
      <c r="C670" s="25" t="str">
        <f>IF('query (2)'!B670="","",'query (2)'!B670)</f>
        <v>CH-746</v>
      </c>
      <c r="D670" s="24" t="str">
        <f t="shared" si="71"/>
        <v>CH</v>
      </c>
      <c r="E670" s="24">
        <f t="shared" si="72"/>
        <v>1</v>
      </c>
      <c r="F670" s="24">
        <f>IF('query (2)'!A670="","",IFERROR(VALUE('query (2)'!A670),""))</f>
        <v>688</v>
      </c>
      <c r="G670" s="24" t="str">
        <f>IF('query (2)'!C670="","UNKNOWN",IFERROR(INDEX(Cleaning_Rules!$B$15:$B$20,MATCH(TRIM(UPPER('query (2)'!C670)),Cleaning_Rules!$A$15:$A$20,0)),"UNKNOWN"))</f>
        <v>FACTORY3</v>
      </c>
      <c r="H670" s="25" t="str">
        <f>IF('query (2)'!C670="","",'query (2)'!C670)</f>
        <v>FACTORY3</v>
      </c>
      <c r="I670" s="24" t="str" cm="1">
        <f t="array" ref="I670">_xlfn.IFS($G670="UNKNOWN","UNKNOWN",OR($G670="FACTORY1",$G670="FACTORY2",$G670="FACTORY3"),"PLANT",TRUE,"SHARED")</f>
        <v>PLANT</v>
      </c>
      <c r="J670" s="24" t="str">
        <f>IF('query (2)'!D670="","UNKNOWN",IF(COUNTIF(Cleaning_Rules!$A$6:$A$11,TRIM('query (2)'!D670))&gt;0,"UNKNOWN",IFERROR(INDEX(Cleaning_Rules!$B$24:$B$28,MATCH(TRIM(UPPER('query (2)'!D670)),Cleaning_Rules!$A$24:$A$28,0)),TRIM(UPPER('query (2)'!D670)))))</f>
        <v>HUB3-2</v>
      </c>
      <c r="K670" s="25" t="str">
        <f>IF('query (2)'!D670="","",'query (2)'!D670)</f>
        <v>HUB3-2</v>
      </c>
      <c r="L670" s="24" t="str">
        <f>IF($J670="UNKNOWN","",_xlfn.TEXTBEFORE($J670,{"0","1","2","3","4","5","6","7","8","9"," ","-","."},1,,,$J670))</f>
        <v>HUB</v>
      </c>
      <c r="M670" s="24" t="str">
        <f>IF('query (2)'!I670&lt;&gt;"",TRIM(UPPER('query (2)'!I670)),IF($L670="","UNKNOWN",$L670))</f>
        <v>HUB</v>
      </c>
      <c r="N670" s="24" t="str">
        <f>IF('query (2)'!I670&lt;&gt;"","SOURCE",IF($L670="","UNKNOWN","DERIVED"))</f>
        <v>SOURCE</v>
      </c>
      <c r="O670" s="24" t="str">
        <f>IF('query (2)'!E670="","NOT_SPECIFIED",TRIM(UPPER('query (2)'!E670)))</f>
        <v>ASSEMBLY</v>
      </c>
      <c r="P670" s="24" t="str">
        <f>IF('query (2)'!F670="","",TRIM(UPPER('query (2)'!F670)))</f>
        <v>1822-H32AI</v>
      </c>
      <c r="Q670" s="24" t="str">
        <f>IF('query (2)'!G670="","UNKNOWN",IFERROR(INDEX(Cleaning_Rules!$B$38:$B$46,MATCH(TRIM(UPPER('query (2)'!G670)),Cleaning_Rules!$A$38:$A$46,0)),"UNKNOWN"))</f>
        <v>OTHER</v>
      </c>
      <c r="R670" s="24" t="str">
        <f>IF('query (2)'!H670="","",TRIM(UPPER('query (2)'!H670)))</f>
        <v>HUB3 RIGIDITY CHECK MACHINE</v>
      </c>
      <c r="S670" s="25" t="str">
        <f>IF('query (2)'!H670="","",'query (2)'!H670)</f>
        <v>HUB3 Rigidity Check Machine</v>
      </c>
      <c r="T670" s="24" t="str">
        <f>IF('query (2)'!J670="","",TRIM(UPPER('query (2)'!J670)))</f>
        <v>HUB3 RIGIDITY CHECK MACHINE</v>
      </c>
      <c r="U670" s="24" t="str">
        <f t="shared" si="73"/>
        <v/>
      </c>
      <c r="V670" s="24" t="str">
        <f>IF('query (2)'!K670="","NOT_SPECIFIED",IFERROR(INDEX(Cleaning_Rules!$B$32:$B$34,MATCH(TRIM(UPPER('query (2)'!K670)),Cleaning_Rules!$A$32:$A$34,0)),"UNKNOWN"))</f>
        <v>NOT_SPECIFIED</v>
      </c>
      <c r="W670" s="24" t="str">
        <f t="shared" si="74"/>
        <v>CH-746 | FACTORY3 | HUB3-2 | HUB | ASSEMBLY | 1822-H32AI | OTHER | HUB3 RIGIDITY CHECK MACHINE | HUB3 RIGIDITY CHECK MACHINE | NOT_SPECIFIED</v>
      </c>
      <c r="X670" s="24" t="str">
        <f t="shared" si="75"/>
        <v/>
      </c>
      <c r="Y670" s="24" t="str">
        <f t="shared" si="76"/>
        <v>MISSING_STATUS; CATEGORY_NOT_USEFUL</v>
      </c>
    </row>
    <row r="671" spans="1:25" x14ac:dyDescent="0.3">
      <c r="A671" s="24" t="str">
        <f t="shared" si="70"/>
        <v>AS-747#0670</v>
      </c>
      <c r="B671" s="24" t="str">
        <f>IF('query (2)'!B671="","",TRIM(UPPER('query (2)'!B671)))</f>
        <v>AS-747</v>
      </c>
      <c r="C671" s="25" t="str">
        <f>IF('query (2)'!B671="","",'query (2)'!B671)</f>
        <v>AS-747</v>
      </c>
      <c r="D671" s="24" t="str">
        <f t="shared" si="71"/>
        <v>AS</v>
      </c>
      <c r="E671" s="24">
        <f t="shared" si="72"/>
        <v>1</v>
      </c>
      <c r="F671" s="24">
        <f>IF('query (2)'!A671="","",IFERROR(VALUE('query (2)'!A671),""))</f>
        <v>689</v>
      </c>
      <c r="G671" s="24" t="str">
        <f>IF('query (2)'!C671="","UNKNOWN",IFERROR(INDEX(Cleaning_Rules!$B$15:$B$20,MATCH(TRIM(UPPER('query (2)'!C671)),Cleaning_Rules!$A$15:$A$20,0)),"UNKNOWN"))</f>
        <v>FACTORY3</v>
      </c>
      <c r="H671" s="25" t="str">
        <f>IF('query (2)'!C671="","",'query (2)'!C671)</f>
        <v>FACTORY3</v>
      </c>
      <c r="I671" s="24" t="str" cm="1">
        <f t="array" ref="I671">_xlfn.IFS($G671="UNKNOWN","UNKNOWN",OR($G671="FACTORY1",$G671="FACTORY2",$G671="FACTORY3"),"PLANT",TRUE,"SHARED")</f>
        <v>PLANT</v>
      </c>
      <c r="J671" s="24" t="str">
        <f>IF('query (2)'!D671="","UNKNOWN",IF(COUNTIF(Cleaning_Rules!$A$6:$A$11,TRIM('query (2)'!D671))&gt;0,"UNKNOWN",IFERROR(INDEX(Cleaning_Rules!$B$24:$B$28,MATCH(TRIM(UPPER('query (2)'!D671)),Cleaning_Rules!$A$24:$A$28,0)),TRIM(UPPER('query (2)'!D671)))))</f>
        <v>HUB3-2</v>
      </c>
      <c r="K671" s="25" t="str">
        <f>IF('query (2)'!D671="","",'query (2)'!D671)</f>
        <v>HUB3-2</v>
      </c>
      <c r="L671" s="24" t="str">
        <f>IF($J671="UNKNOWN","",_xlfn.TEXTBEFORE($J671,{"0","1","2","3","4","5","6","7","8","9"," ","-","."},1,,,$J671))</f>
        <v>HUB</v>
      </c>
      <c r="M671" s="24" t="str">
        <f>IF('query (2)'!I671&lt;&gt;"",TRIM(UPPER('query (2)'!I671)),IF($L671="","UNKNOWN",$L671))</f>
        <v>HUB</v>
      </c>
      <c r="N671" s="24" t="str">
        <f>IF('query (2)'!I671&lt;&gt;"","SOURCE",IF($L671="","UNKNOWN","DERIVED"))</f>
        <v>SOURCE</v>
      </c>
      <c r="O671" s="24" t="str">
        <f>IF('query (2)'!E671="","NOT_SPECIFIED",TRIM(UPPER('query (2)'!E671)))</f>
        <v>ASSEMBLY</v>
      </c>
      <c r="P671" s="24" t="str">
        <f>IF('query (2)'!F671="","",TRIM(UPPER('query (2)'!F671)))</f>
        <v>1822-H32AI</v>
      </c>
      <c r="Q671" s="24" t="str">
        <f>IF('query (2)'!G671="","UNKNOWN",IFERROR(INDEX(Cleaning_Rules!$B$38:$B$46,MATCH(TRIM(UPPER('query (2)'!G671)),Cleaning_Rules!$A$38:$A$46,0)),"UNKNOWN"))</f>
        <v>OTHER</v>
      </c>
      <c r="R671" s="24" t="str">
        <f>IF('query (2)'!H671="","",TRIM(UPPER('query (2)'!H671)))</f>
        <v>HUB3 BOLT PRESS MACHINE</v>
      </c>
      <c r="S671" s="25" t="str">
        <f>IF('query (2)'!H671="","",'query (2)'!H671)</f>
        <v>HUB3 Bolt Press Machine</v>
      </c>
      <c r="T671" s="24" t="str">
        <f>IF('query (2)'!J671="","",TRIM(UPPER('query (2)'!J671)))</f>
        <v>HUB3 BOLT PRESS MACHINE</v>
      </c>
      <c r="U671" s="24" t="str">
        <f t="shared" si="73"/>
        <v/>
      </c>
      <c r="V671" s="24" t="str">
        <f>IF('query (2)'!K671="","NOT_SPECIFIED",IFERROR(INDEX(Cleaning_Rules!$B$32:$B$34,MATCH(TRIM(UPPER('query (2)'!K671)),Cleaning_Rules!$A$32:$A$34,0)),"UNKNOWN"))</f>
        <v>NOT_SPECIFIED</v>
      </c>
      <c r="W671" s="24" t="str">
        <f t="shared" si="74"/>
        <v>AS-747 | FACTORY3 | HUB3-2 | HUB | ASSEMBLY | 1822-H32AI | OTHER | HUB3 BOLT PRESS MACHINE | HUB3 BOLT PRESS MACHINE | NOT_SPECIFIED</v>
      </c>
      <c r="X671" s="24" t="str">
        <f t="shared" si="75"/>
        <v/>
      </c>
      <c r="Y671" s="24" t="str">
        <f t="shared" si="76"/>
        <v>MISSING_STATUS; CATEGORY_NOT_USEFUL</v>
      </c>
    </row>
    <row r="672" spans="1:25" x14ac:dyDescent="0.3">
      <c r="A672" s="24" t="str">
        <f t="shared" si="70"/>
        <v>CH-748#0671</v>
      </c>
      <c r="B672" s="24" t="str">
        <f>IF('query (2)'!B672="","",TRIM(UPPER('query (2)'!B672)))</f>
        <v>CH-748</v>
      </c>
      <c r="C672" s="25" t="str">
        <f>IF('query (2)'!B672="","",'query (2)'!B672)</f>
        <v>CH-748</v>
      </c>
      <c r="D672" s="24" t="str">
        <f t="shared" si="71"/>
        <v>CH</v>
      </c>
      <c r="E672" s="24">
        <f t="shared" si="72"/>
        <v>1</v>
      </c>
      <c r="F672" s="24">
        <f>IF('query (2)'!A672="","",IFERROR(VALUE('query (2)'!A672),""))</f>
        <v>690</v>
      </c>
      <c r="G672" s="24" t="str">
        <f>IF('query (2)'!C672="","UNKNOWN",IFERROR(INDEX(Cleaning_Rules!$B$15:$B$20,MATCH(TRIM(UPPER('query (2)'!C672)),Cleaning_Rules!$A$15:$A$20,0)),"UNKNOWN"))</f>
        <v>FACTORY3</v>
      </c>
      <c r="H672" s="25" t="str">
        <f>IF('query (2)'!C672="","",'query (2)'!C672)</f>
        <v>FACTORY3</v>
      </c>
      <c r="I672" s="24" t="str" cm="1">
        <f t="array" ref="I672">_xlfn.IFS($G672="UNKNOWN","UNKNOWN",OR($G672="FACTORY1",$G672="FACTORY2",$G672="FACTORY3"),"PLANT",TRUE,"SHARED")</f>
        <v>PLANT</v>
      </c>
      <c r="J672" s="24" t="str">
        <f>IF('query (2)'!D672="","UNKNOWN",IF(COUNTIF(Cleaning_Rules!$A$6:$A$11,TRIM('query (2)'!D672))&gt;0,"UNKNOWN",IFERROR(INDEX(Cleaning_Rules!$B$24:$B$28,MATCH(TRIM(UPPER('query (2)'!D672)),Cleaning_Rules!$A$24:$A$28,0)),TRIM(UPPER('query (2)'!D672)))))</f>
        <v>HUB3-2</v>
      </c>
      <c r="K672" s="25" t="str">
        <f>IF('query (2)'!D672="","",'query (2)'!D672)</f>
        <v>HUB3-2</v>
      </c>
      <c r="L672" s="24" t="str">
        <f>IF($J672="UNKNOWN","",_xlfn.TEXTBEFORE($J672,{"0","1","2","3","4","5","6","7","8","9"," ","-","."},1,,,$J672))</f>
        <v>HUB</v>
      </c>
      <c r="M672" s="24" t="str">
        <f>IF('query (2)'!I672&lt;&gt;"",TRIM(UPPER('query (2)'!I672)),IF($L672="","UNKNOWN",$L672))</f>
        <v>HUB</v>
      </c>
      <c r="N672" s="24" t="str">
        <f>IF('query (2)'!I672&lt;&gt;"","SOURCE",IF($L672="","UNKNOWN","DERIVED"))</f>
        <v>SOURCE</v>
      </c>
      <c r="O672" s="24" t="str">
        <f>IF('query (2)'!E672="","NOT_SPECIFIED",TRIM(UPPER('query (2)'!E672)))</f>
        <v>ASSEMBLY</v>
      </c>
      <c r="P672" s="24" t="str">
        <f>IF('query (2)'!F672="","",TRIM(UPPER('query (2)'!F672)))</f>
        <v>1822-H32AI</v>
      </c>
      <c r="Q672" s="24" t="str">
        <f>IF('query (2)'!G672="","UNKNOWN",IFERROR(INDEX(Cleaning_Rules!$B$38:$B$46,MATCH(TRIM(UPPER('query (2)'!G672)),Cleaning_Rules!$A$38:$A$46,0)),"UNKNOWN"))</f>
        <v>OTHER</v>
      </c>
      <c r="R672" s="24" t="str">
        <f>IF('query (2)'!H672="","",TRIM(UPPER('query (2)'!H672)))</f>
        <v>HUB3 FLANGE RUNOUT CHECK MACHINE</v>
      </c>
      <c r="S672" s="25" t="str">
        <f>IF('query (2)'!H672="","",'query (2)'!H672)</f>
        <v>HUB3 Flange Runout Check Machine</v>
      </c>
      <c r="T672" s="24" t="str">
        <f>IF('query (2)'!J672="","",TRIM(UPPER('query (2)'!J672)))</f>
        <v>HUB3 FLANGE RUNOUT CHECK MACHINE</v>
      </c>
      <c r="U672" s="24" t="str">
        <f t="shared" si="73"/>
        <v/>
      </c>
      <c r="V672" s="24" t="str">
        <f>IF('query (2)'!K672="","NOT_SPECIFIED",IFERROR(INDEX(Cleaning_Rules!$B$32:$B$34,MATCH(TRIM(UPPER('query (2)'!K672)),Cleaning_Rules!$A$32:$A$34,0)),"UNKNOWN"))</f>
        <v>NOT_SPECIFIED</v>
      </c>
      <c r="W672" s="24" t="str">
        <f t="shared" si="74"/>
        <v>CH-748 | FACTORY3 | HUB3-2 | HUB | ASSEMBLY | 1822-H32AI | OTHER | HUB3 FLANGE RUNOUT CHECK MACHINE | HUB3 FLANGE RUNOUT CHECK MACHINE | NOT_SPECIFIED</v>
      </c>
      <c r="X672" s="24" t="str">
        <f t="shared" si="75"/>
        <v/>
      </c>
      <c r="Y672" s="24" t="str">
        <f t="shared" si="76"/>
        <v>MISSING_STATUS; CATEGORY_NOT_USEFUL</v>
      </c>
    </row>
    <row r="673" spans="1:25" x14ac:dyDescent="0.3">
      <c r="A673" s="24" t="str">
        <f t="shared" si="70"/>
        <v>CH-749#0672</v>
      </c>
      <c r="B673" s="24" t="str">
        <f>IF('query (2)'!B673="","",TRIM(UPPER('query (2)'!B673)))</f>
        <v>CH-749</v>
      </c>
      <c r="C673" s="25" t="str">
        <f>IF('query (2)'!B673="","",'query (2)'!B673)</f>
        <v>CH-749</v>
      </c>
      <c r="D673" s="24" t="str">
        <f t="shared" si="71"/>
        <v>CH</v>
      </c>
      <c r="E673" s="24">
        <f t="shared" si="72"/>
        <v>1</v>
      </c>
      <c r="F673" s="24">
        <f>IF('query (2)'!A673="","",IFERROR(VALUE('query (2)'!A673),""))</f>
        <v>691</v>
      </c>
      <c r="G673" s="24" t="str">
        <f>IF('query (2)'!C673="","UNKNOWN",IFERROR(INDEX(Cleaning_Rules!$B$15:$B$20,MATCH(TRIM(UPPER('query (2)'!C673)),Cleaning_Rules!$A$15:$A$20,0)),"UNKNOWN"))</f>
        <v>FACTORY3</v>
      </c>
      <c r="H673" s="25" t="str">
        <f>IF('query (2)'!C673="","",'query (2)'!C673)</f>
        <v>FACTORY3</v>
      </c>
      <c r="I673" s="24" t="str" cm="1">
        <f t="array" ref="I673">_xlfn.IFS($G673="UNKNOWN","UNKNOWN",OR($G673="FACTORY1",$G673="FACTORY2",$G673="FACTORY3"),"PLANT",TRUE,"SHARED")</f>
        <v>PLANT</v>
      </c>
      <c r="J673" s="24" t="str">
        <f>IF('query (2)'!D673="","UNKNOWN",IF(COUNTIF(Cleaning_Rules!$A$6:$A$11,TRIM('query (2)'!D673))&gt;0,"UNKNOWN",IFERROR(INDEX(Cleaning_Rules!$B$24:$B$28,MATCH(TRIM(UPPER('query (2)'!D673)),Cleaning_Rules!$A$24:$A$28,0)),TRIM(UPPER('query (2)'!D673)))))</f>
        <v>HUB3-2</v>
      </c>
      <c r="K673" s="25" t="str">
        <f>IF('query (2)'!D673="","",'query (2)'!D673)</f>
        <v>HUB3-2</v>
      </c>
      <c r="L673" s="24" t="str">
        <f>IF($J673="UNKNOWN","",_xlfn.TEXTBEFORE($J673,{"0","1","2","3","4","5","6","7","8","9"," ","-","."},1,,,$J673))</f>
        <v>HUB</v>
      </c>
      <c r="M673" s="24" t="str">
        <f>IF('query (2)'!I673&lt;&gt;"",TRIM(UPPER('query (2)'!I673)),IF($L673="","UNKNOWN",$L673))</f>
        <v>HUB</v>
      </c>
      <c r="N673" s="24" t="str">
        <f>IF('query (2)'!I673&lt;&gt;"","SOURCE",IF($L673="","UNKNOWN","DERIVED"))</f>
        <v>SOURCE</v>
      </c>
      <c r="O673" s="24" t="str">
        <f>IF('query (2)'!E673="","NOT_SPECIFIED",TRIM(UPPER('query (2)'!E673)))</f>
        <v>ASSEMBLY</v>
      </c>
      <c r="P673" s="24" t="str">
        <f>IF('query (2)'!F673="","",TRIM(UPPER('query (2)'!F673)))</f>
        <v>1822-H32AI</v>
      </c>
      <c r="Q673" s="24" t="str">
        <f>IF('query (2)'!G673="","UNKNOWN",IFERROR(INDEX(Cleaning_Rules!$B$38:$B$46,MATCH(TRIM(UPPER('query (2)'!G673)),Cleaning_Rules!$A$38:$A$46,0)),"UNKNOWN"))</f>
        <v>OTHER</v>
      </c>
      <c r="R673" s="24" t="str">
        <f>IF('query (2)'!H673="","",TRIM(UPPER('query (2)'!H673)))</f>
        <v>HUB3 ENCODER &amp; CAP PRESS INSPECTION MACHINE</v>
      </c>
      <c r="S673" s="25" t="str">
        <f>IF('query (2)'!H673="","",'query (2)'!H673)</f>
        <v>HUB3 Encoder &amp; Cap Press Inspection Machine</v>
      </c>
      <c r="T673" s="24" t="str">
        <f>IF('query (2)'!J673="","",TRIM(UPPER('query (2)'!J673)))</f>
        <v>HUB3 ENCODER &amp; CAP PRESS INSPECTION MACHINE</v>
      </c>
      <c r="U673" s="24" t="str">
        <f t="shared" si="73"/>
        <v/>
      </c>
      <c r="V673" s="24" t="str">
        <f>IF('query (2)'!K673="","NOT_SPECIFIED",IFERROR(INDEX(Cleaning_Rules!$B$32:$B$34,MATCH(TRIM(UPPER('query (2)'!K673)),Cleaning_Rules!$A$32:$A$34,0)),"UNKNOWN"))</f>
        <v>NOT_SPECIFIED</v>
      </c>
      <c r="W673" s="24" t="str">
        <f t="shared" si="74"/>
        <v>CH-749 | FACTORY3 | HUB3-2 | HUB | ASSEMBLY | 1822-H32AI | OTHER | HUB3 ENCODER &amp; CAP PRESS INSPECTION MACHINE | HUB3 ENCODER &amp; CAP PRESS INSPECTION MACHINE | NOT_SPECIFIED</v>
      </c>
      <c r="X673" s="24" t="str">
        <f t="shared" si="75"/>
        <v/>
      </c>
      <c r="Y673" s="24" t="str">
        <f t="shared" si="76"/>
        <v>MISSING_STATUS; CATEGORY_NOT_USEFUL</v>
      </c>
    </row>
    <row r="674" spans="1:25" x14ac:dyDescent="0.3">
      <c r="A674" s="24" t="str">
        <f t="shared" si="70"/>
        <v>CH-901#0673</v>
      </c>
      <c r="B674" s="24" t="str">
        <f>IF('query (2)'!B674="","",TRIM(UPPER('query (2)'!B674)))</f>
        <v>CH-901</v>
      </c>
      <c r="C674" s="25" t="str">
        <f>IF('query (2)'!B674="","",'query (2)'!B674)</f>
        <v>CH-901</v>
      </c>
      <c r="D674" s="24" t="str">
        <f t="shared" si="71"/>
        <v>CH</v>
      </c>
      <c r="E674" s="24">
        <f t="shared" si="72"/>
        <v>1</v>
      </c>
      <c r="F674" s="24">
        <f>IF('query (2)'!A674="","",IFERROR(VALUE('query (2)'!A674),""))</f>
        <v>692</v>
      </c>
      <c r="G674" s="24" t="str">
        <f>IF('query (2)'!C674="","UNKNOWN",IFERROR(INDEX(Cleaning_Rules!$B$15:$B$20,MATCH(TRIM(UPPER('query (2)'!C674)),Cleaning_Rules!$A$15:$A$20,0)),"UNKNOWN"))</f>
        <v>FACTORY3</v>
      </c>
      <c r="H674" s="25" t="str">
        <f>IF('query (2)'!C674="","",'query (2)'!C674)</f>
        <v>FACTORY3</v>
      </c>
      <c r="I674" s="24" t="str" cm="1">
        <f t="array" ref="I674">_xlfn.IFS($G674="UNKNOWN","UNKNOWN",OR($G674="FACTORY1",$G674="FACTORY2",$G674="FACTORY3"),"PLANT",TRUE,"SHARED")</f>
        <v>PLANT</v>
      </c>
      <c r="J674" s="24" t="str">
        <f>IF('query (2)'!D674="","UNKNOWN",IF(COUNTIF(Cleaning_Rules!$A$6:$A$11,TRIM('query (2)'!D674))&gt;0,"UNKNOWN",IFERROR(INDEX(Cleaning_Rules!$B$24:$B$28,MATCH(TRIM(UPPER('query (2)'!D674)),Cleaning_Rules!$A$24:$A$28,0)),TRIM(UPPER('query (2)'!D674)))))</f>
        <v>HUB3-2</v>
      </c>
      <c r="K674" s="25" t="str">
        <f>IF('query (2)'!D674="","",'query (2)'!D674)</f>
        <v>HUB3-2</v>
      </c>
      <c r="L674" s="24" t="str">
        <f>IF($J674="UNKNOWN","",_xlfn.TEXTBEFORE($J674,{"0","1","2","3","4","5","6","7","8","9"," ","-","."},1,,,$J674))</f>
        <v>HUB</v>
      </c>
      <c r="M674" s="24" t="str">
        <f>IF('query (2)'!I674&lt;&gt;"",TRIM(UPPER('query (2)'!I674)),IF($L674="","UNKNOWN",$L674))</f>
        <v>HUB</v>
      </c>
      <c r="N674" s="24" t="str">
        <f>IF('query (2)'!I674&lt;&gt;"","SOURCE",IF($L674="","UNKNOWN","DERIVED"))</f>
        <v>SOURCE</v>
      </c>
      <c r="O674" s="24" t="str">
        <f>IF('query (2)'!E674="","NOT_SPECIFIED",TRIM(UPPER('query (2)'!E674)))</f>
        <v>ASSEMBLY</v>
      </c>
      <c r="P674" s="24" t="str">
        <f>IF('query (2)'!F674="","",TRIM(UPPER('query (2)'!F674)))</f>
        <v>1822-H32AI</v>
      </c>
      <c r="Q674" s="24" t="str">
        <f>IF('query (2)'!G674="","UNKNOWN",IFERROR(INDEX(Cleaning_Rules!$B$38:$B$46,MATCH(TRIM(UPPER('query (2)'!G674)),Cleaning_Rules!$A$38:$A$46,0)),"UNKNOWN"))</f>
        <v>OTHER</v>
      </c>
      <c r="R674" s="24" t="str">
        <f>IF('query (2)'!H674="","",TRIM(UPPER('query (2)'!H674)))</f>
        <v>HUB3 ABS SENSOR PRESS INSPECTION M/C</v>
      </c>
      <c r="S674" s="25" t="str">
        <f>IF('query (2)'!H674="","",'query (2)'!H674)</f>
        <v>HUB3 ABS sensor press inspection m/c</v>
      </c>
      <c r="T674" s="24" t="str">
        <f>IF('query (2)'!J674="","",TRIM(UPPER('query (2)'!J674)))</f>
        <v>HUB3 ABS SENSOR PRESS INSPECTION M/C</v>
      </c>
      <c r="U674" s="24" t="str">
        <f t="shared" si="73"/>
        <v/>
      </c>
      <c r="V674" s="24" t="str">
        <f>IF('query (2)'!K674="","NOT_SPECIFIED",IFERROR(INDEX(Cleaning_Rules!$B$32:$B$34,MATCH(TRIM(UPPER('query (2)'!K674)),Cleaning_Rules!$A$32:$A$34,0)),"UNKNOWN"))</f>
        <v>NOT_SPECIFIED</v>
      </c>
      <c r="W674" s="24" t="str">
        <f t="shared" si="74"/>
        <v>CH-901 | FACTORY3 | HUB3-2 | HUB | ASSEMBLY | 1822-H32AI | OTHER | HUB3 ABS SENSOR PRESS INSPECTION M/C | HUB3 ABS SENSOR PRESS INSPECTION M/C | NOT_SPECIFIED</v>
      </c>
      <c r="X674" s="24" t="str">
        <f t="shared" si="75"/>
        <v/>
      </c>
      <c r="Y674" s="24" t="str">
        <f t="shared" si="76"/>
        <v>MISSING_STATUS; CATEGORY_NOT_USEFUL</v>
      </c>
    </row>
    <row r="675" spans="1:25" x14ac:dyDescent="0.3">
      <c r="A675" s="24" t="str">
        <f t="shared" si="70"/>
        <v>AS-902#0674</v>
      </c>
      <c r="B675" s="24" t="str">
        <f>IF('query (2)'!B675="","",TRIM(UPPER('query (2)'!B675)))</f>
        <v>AS-902</v>
      </c>
      <c r="C675" s="25" t="str">
        <f>IF('query (2)'!B675="","",'query (2)'!B675)</f>
        <v>AS-902</v>
      </c>
      <c r="D675" s="24" t="str">
        <f t="shared" si="71"/>
        <v>AS</v>
      </c>
      <c r="E675" s="24">
        <f t="shared" si="72"/>
        <v>1</v>
      </c>
      <c r="F675" s="24">
        <f>IF('query (2)'!A675="","",IFERROR(VALUE('query (2)'!A675),""))</f>
        <v>693</v>
      </c>
      <c r="G675" s="24" t="str">
        <f>IF('query (2)'!C675="","UNKNOWN",IFERROR(INDEX(Cleaning_Rules!$B$15:$B$20,MATCH(TRIM(UPPER('query (2)'!C675)),Cleaning_Rules!$A$15:$A$20,0)),"UNKNOWN"))</f>
        <v>FACTORY3</v>
      </c>
      <c r="H675" s="25" t="str">
        <f>IF('query (2)'!C675="","",'query (2)'!C675)</f>
        <v>FACTORY3</v>
      </c>
      <c r="I675" s="24" t="str" cm="1">
        <f t="array" ref="I675">_xlfn.IFS($G675="UNKNOWN","UNKNOWN",OR($G675="FACTORY1",$G675="FACTORY2",$G675="FACTORY3"),"PLANT",TRUE,"SHARED")</f>
        <v>PLANT</v>
      </c>
      <c r="J675" s="24" t="str">
        <f>IF('query (2)'!D675="","UNKNOWN",IF(COUNTIF(Cleaning_Rules!$A$6:$A$11,TRIM('query (2)'!D675))&gt;0,"UNKNOWN",IFERROR(INDEX(Cleaning_Rules!$B$24:$B$28,MATCH(TRIM(UPPER('query (2)'!D675)),Cleaning_Rules!$A$24:$A$28,0)),TRIM(UPPER('query (2)'!D675)))))</f>
        <v>HUB3-2</v>
      </c>
      <c r="K675" s="25" t="str">
        <f>IF('query (2)'!D675="","",'query (2)'!D675)</f>
        <v>HUB3-2</v>
      </c>
      <c r="L675" s="24" t="str">
        <f>IF($J675="UNKNOWN","",_xlfn.TEXTBEFORE($J675,{"0","1","2","3","4","5","6","7","8","9"," ","-","."},1,,,$J675))</f>
        <v>HUB</v>
      </c>
      <c r="M675" s="24" t="str">
        <f>IF('query (2)'!I675&lt;&gt;"",TRIM(UPPER('query (2)'!I675)),IF($L675="","UNKNOWN",$L675))</f>
        <v>HUB</v>
      </c>
      <c r="N675" s="24" t="str">
        <f>IF('query (2)'!I675&lt;&gt;"","SOURCE",IF($L675="","UNKNOWN","DERIVED"))</f>
        <v>SOURCE</v>
      </c>
      <c r="O675" s="24" t="str">
        <f>IF('query (2)'!E675="","NOT_SPECIFIED",TRIM(UPPER('query (2)'!E675)))</f>
        <v>ASSEMBLY</v>
      </c>
      <c r="P675" s="24" t="str">
        <f>IF('query (2)'!F675="","",TRIM(UPPER('query (2)'!F675)))</f>
        <v>1822-H32AI</v>
      </c>
      <c r="Q675" s="24" t="str">
        <f>IF('query (2)'!G675="","UNKNOWN",IFERROR(INDEX(Cleaning_Rules!$B$38:$B$46,MATCH(TRIM(UPPER('query (2)'!G675)),Cleaning_Rules!$A$38:$A$46,0)),"UNKNOWN"))</f>
        <v>OTHER</v>
      </c>
      <c r="R675" s="24" t="str">
        <f>IF('query (2)'!H675="","",TRIM(UPPER('query (2)'!H675)))</f>
        <v>SWAGING PRESS M/C</v>
      </c>
      <c r="S675" s="25" t="str">
        <f>IF('query (2)'!H675="","",'query (2)'!H675)</f>
        <v>Swaging press m/c</v>
      </c>
      <c r="T675" s="24" t="str">
        <f>IF('query (2)'!J675="","",TRIM(UPPER('query (2)'!J675)))</f>
        <v>SWAGING PRESS M/C</v>
      </c>
      <c r="U675" s="24" t="str">
        <f t="shared" si="73"/>
        <v/>
      </c>
      <c r="V675" s="24" t="str">
        <f>IF('query (2)'!K675="","NOT_SPECIFIED",IFERROR(INDEX(Cleaning_Rules!$B$32:$B$34,MATCH(TRIM(UPPER('query (2)'!K675)),Cleaning_Rules!$A$32:$A$34,0)),"UNKNOWN"))</f>
        <v>NOT_SPECIFIED</v>
      </c>
      <c r="W675" s="24" t="str">
        <f t="shared" si="74"/>
        <v>AS-902 | FACTORY3 | HUB3-2 | HUB | ASSEMBLY | 1822-H32AI | OTHER | SWAGING PRESS M/C | SWAGING PRESS M/C | NOT_SPECIFIED</v>
      </c>
      <c r="X675" s="24" t="str">
        <f t="shared" si="75"/>
        <v/>
      </c>
      <c r="Y675" s="24" t="str">
        <f t="shared" si="76"/>
        <v>MISSING_STATUS; CATEGORY_NOT_USEFUL</v>
      </c>
    </row>
    <row r="676" spans="1:25" x14ac:dyDescent="0.3">
      <c r="A676" s="24" t="str">
        <f t="shared" si="70"/>
        <v>AR-750#0675</v>
      </c>
      <c r="B676" s="24" t="str">
        <f>IF('query (2)'!B676="","",TRIM(UPPER('query (2)'!B676)))</f>
        <v>AR-750</v>
      </c>
      <c r="C676" s="25" t="str">
        <f>IF('query (2)'!B676="","",'query (2)'!B676)</f>
        <v>AR-750</v>
      </c>
      <c r="D676" s="24" t="str">
        <f t="shared" si="71"/>
        <v>AR</v>
      </c>
      <c r="E676" s="24">
        <f t="shared" si="72"/>
        <v>1</v>
      </c>
      <c r="F676" s="24">
        <f>IF('query (2)'!A676="","",IFERROR(VALUE('query (2)'!A676),""))</f>
        <v>694</v>
      </c>
      <c r="G676" s="24" t="str">
        <f>IF('query (2)'!C676="","UNKNOWN",IFERROR(INDEX(Cleaning_Rules!$B$15:$B$20,MATCH(TRIM(UPPER('query (2)'!C676)),Cleaning_Rules!$A$15:$A$20,0)),"UNKNOWN"))</f>
        <v>FACTORY3</v>
      </c>
      <c r="H676" s="25" t="str">
        <f>IF('query (2)'!C676="","",'query (2)'!C676)</f>
        <v>FACTORY3</v>
      </c>
      <c r="I676" s="24" t="str" cm="1">
        <f t="array" ref="I676">_xlfn.IFS($G676="UNKNOWN","UNKNOWN",OR($G676="FACTORY1",$G676="FACTORY2",$G676="FACTORY3"),"PLANT",TRUE,"SHARED")</f>
        <v>PLANT</v>
      </c>
      <c r="J676" s="24" t="str">
        <f>IF('query (2)'!D676="","UNKNOWN",IF(COUNTIF(Cleaning_Rules!$A$6:$A$11,TRIM('query (2)'!D676))&gt;0,"UNKNOWN",IFERROR(INDEX(Cleaning_Rules!$B$24:$B$28,MATCH(TRIM(UPPER('query (2)'!D676)),Cleaning_Rules!$A$24:$A$28,0)),TRIM(UPPER('query (2)'!D676)))))</f>
        <v>HUB3-2</v>
      </c>
      <c r="K676" s="25" t="str">
        <f>IF('query (2)'!D676="","",'query (2)'!D676)</f>
        <v>HUB3-2</v>
      </c>
      <c r="L676" s="24" t="str">
        <f>IF($J676="UNKNOWN","",_xlfn.TEXTBEFORE($J676,{"0","1","2","3","4","5","6","7","8","9"," ","-","."},1,,,$J676))</f>
        <v>HUB</v>
      </c>
      <c r="M676" s="24" t="str">
        <f>IF('query (2)'!I676&lt;&gt;"",TRIM(UPPER('query (2)'!I676)),IF($L676="","UNKNOWN",$L676))</f>
        <v>HUB</v>
      </c>
      <c r="N676" s="24" t="str">
        <f>IF('query (2)'!I676&lt;&gt;"","SOURCE",IF($L676="","UNKNOWN","DERIVED"))</f>
        <v>SOURCE</v>
      </c>
      <c r="O676" s="24" t="str">
        <f>IF('query (2)'!E676="","NOT_SPECIFIED",TRIM(UPPER('query (2)'!E676)))</f>
        <v>ASSEMBLY</v>
      </c>
      <c r="P676" s="24" t="str">
        <f>IF('query (2)'!F676="","",TRIM(UPPER('query (2)'!F676)))</f>
        <v>1822-H32AI</v>
      </c>
      <c r="Q676" s="24" t="str">
        <f>IF('query (2)'!G676="","UNKNOWN",IFERROR(INDEX(Cleaning_Rules!$B$38:$B$46,MATCH(TRIM(UPPER('query (2)'!G676)),Cleaning_Rules!$A$38:$A$46,0)),"UNKNOWN"))</f>
        <v>OTHER</v>
      </c>
      <c r="R676" s="24" t="str">
        <f>IF('query (2)'!H676="","",TRIM(UPPER('query (2)'!H676)))</f>
        <v>HUB3 RUST PREVENT &amp; VISUAL INSPECTION TABLE</v>
      </c>
      <c r="S676" s="25" t="str">
        <f>IF('query (2)'!H676="","",'query (2)'!H676)</f>
        <v>HUB3 Rust Prevent &amp; Visual Inspection Table</v>
      </c>
      <c r="T676" s="24" t="str">
        <f>IF('query (2)'!J676="","",TRIM(UPPER('query (2)'!J676)))</f>
        <v>HUB3 RUST PREVENT &amp; VISUAL INSPECTION TABLE</v>
      </c>
      <c r="U676" s="24" t="str">
        <f t="shared" si="73"/>
        <v/>
      </c>
      <c r="V676" s="24" t="str">
        <f>IF('query (2)'!K676="","NOT_SPECIFIED",IFERROR(INDEX(Cleaning_Rules!$B$32:$B$34,MATCH(TRIM(UPPER('query (2)'!K676)),Cleaning_Rules!$A$32:$A$34,0)),"UNKNOWN"))</f>
        <v>NOT_SPECIFIED</v>
      </c>
      <c r="W676" s="24" t="str">
        <f t="shared" si="74"/>
        <v>AR-750 | FACTORY3 | HUB3-2 | HUB | ASSEMBLY | 1822-H32AI | OTHER | HUB3 RUST PREVENT &amp; VISUAL INSPECTION TABLE | HUB3 RUST PREVENT &amp; VISUAL INSPECTION TABLE | NOT_SPECIFIED</v>
      </c>
      <c r="X676" s="24" t="str">
        <f t="shared" si="75"/>
        <v/>
      </c>
      <c r="Y676" s="24" t="str">
        <f t="shared" si="76"/>
        <v>MISSING_STATUS; CATEGORY_NOT_USEFUL</v>
      </c>
    </row>
    <row r="677" spans="1:25" x14ac:dyDescent="0.3">
      <c r="A677" s="24" t="str">
        <f t="shared" si="70"/>
        <v>AS-751#0676</v>
      </c>
      <c r="B677" s="24" t="str">
        <f>IF('query (2)'!B677="","",TRIM(UPPER('query (2)'!B677)))</f>
        <v>AS-751</v>
      </c>
      <c r="C677" s="25" t="str">
        <f>IF('query (2)'!B677="","",'query (2)'!B677)</f>
        <v>AS-751</v>
      </c>
      <c r="D677" s="24" t="str">
        <f t="shared" si="71"/>
        <v>AS</v>
      </c>
      <c r="E677" s="24">
        <f t="shared" si="72"/>
        <v>1</v>
      </c>
      <c r="F677" s="24">
        <f>IF('query (2)'!A677="","",IFERROR(VALUE('query (2)'!A677),""))</f>
        <v>695</v>
      </c>
      <c r="G677" s="24" t="str">
        <f>IF('query (2)'!C677="","UNKNOWN",IFERROR(INDEX(Cleaning_Rules!$B$15:$B$20,MATCH(TRIM(UPPER('query (2)'!C677)),Cleaning_Rules!$A$15:$A$20,0)),"UNKNOWN"))</f>
        <v>FACTORY3</v>
      </c>
      <c r="H677" s="25" t="str">
        <f>IF('query (2)'!C677="","",'query (2)'!C677)</f>
        <v>FACTORY3</v>
      </c>
      <c r="I677" s="24" t="str" cm="1">
        <f t="array" ref="I677">_xlfn.IFS($G677="UNKNOWN","UNKNOWN",OR($G677="FACTORY1",$G677="FACTORY2",$G677="FACTORY3"),"PLANT",TRUE,"SHARED")</f>
        <v>PLANT</v>
      </c>
      <c r="J677" s="24" t="str">
        <f>IF('query (2)'!D677="","UNKNOWN",IF(COUNTIF(Cleaning_Rules!$A$6:$A$11,TRIM('query (2)'!D677))&gt;0,"UNKNOWN",IFERROR(INDEX(Cleaning_Rules!$B$24:$B$28,MATCH(TRIM(UPPER('query (2)'!D677)),Cleaning_Rules!$A$24:$A$28,0)),TRIM(UPPER('query (2)'!D677)))))</f>
        <v>HUB3-2</v>
      </c>
      <c r="K677" s="25" t="str">
        <f>IF('query (2)'!D677="","",'query (2)'!D677)</f>
        <v>HUB3-2</v>
      </c>
      <c r="L677" s="24" t="str">
        <f>IF($J677="UNKNOWN","",_xlfn.TEXTBEFORE($J677,{"0","1","2","3","4","5","6","7","8","9"," ","-","."},1,,,$J677))</f>
        <v>HUB</v>
      </c>
      <c r="M677" s="24" t="str">
        <f>IF('query (2)'!I677&lt;&gt;"",TRIM(UPPER('query (2)'!I677)),IF($L677="","UNKNOWN",$L677))</f>
        <v>HUB</v>
      </c>
      <c r="N677" s="24" t="str">
        <f>IF('query (2)'!I677&lt;&gt;"","SOURCE",IF($L677="","UNKNOWN","DERIVED"))</f>
        <v>SOURCE</v>
      </c>
      <c r="O677" s="24" t="str">
        <f>IF('query (2)'!E677="","NOT_SPECIFIED",TRIM(UPPER('query (2)'!E677)))</f>
        <v>ASSEMBLY</v>
      </c>
      <c r="P677" s="24" t="str">
        <f>IF('query (2)'!F677="","",TRIM(UPPER('query (2)'!F677)))</f>
        <v>1822-H32AI</v>
      </c>
      <c r="Q677" s="24" t="str">
        <f>IF('query (2)'!G677="","UNKNOWN",IFERROR(INDEX(Cleaning_Rules!$B$38:$B$46,MATCH(TRIM(UPPER('query (2)'!G677)),Cleaning_Rules!$A$38:$A$46,0)),"UNKNOWN"))</f>
        <v>OTHER</v>
      </c>
      <c r="R677" s="24" t="str">
        <f>IF('query (2)'!H677="","",TRIM(UPPER('query (2)'!H677)))</f>
        <v>PRESS MACHINE</v>
      </c>
      <c r="S677" s="25" t="str">
        <f>IF('query (2)'!H677="","",'query (2)'!H677)</f>
        <v>Press Machine</v>
      </c>
      <c r="T677" s="24" t="str">
        <f>IF('query (2)'!J677="","",TRIM(UPPER('query (2)'!J677)))</f>
        <v>PRESS MACHINE</v>
      </c>
      <c r="U677" s="24" t="str">
        <f t="shared" si="73"/>
        <v/>
      </c>
      <c r="V677" s="24" t="str">
        <f>IF('query (2)'!K677="","NOT_SPECIFIED",IFERROR(INDEX(Cleaning_Rules!$B$32:$B$34,MATCH(TRIM(UPPER('query (2)'!K677)),Cleaning_Rules!$A$32:$A$34,0)),"UNKNOWN"))</f>
        <v>NOT_SPECIFIED</v>
      </c>
      <c r="W677" s="24" t="str">
        <f t="shared" si="74"/>
        <v>AS-751 | FACTORY3 | HUB3-2 | HUB | ASSEMBLY | 1822-H32AI | OTHER | PRESS MACHINE | PRESS MACHINE | NOT_SPECIFIED</v>
      </c>
      <c r="X677" s="24" t="str">
        <f t="shared" si="75"/>
        <v/>
      </c>
      <c r="Y677" s="24" t="str">
        <f t="shared" si="76"/>
        <v>MISSING_STATUS; CATEGORY_NOT_USEFUL</v>
      </c>
    </row>
    <row r="678" spans="1:25" x14ac:dyDescent="0.3">
      <c r="A678" s="24" t="str">
        <f t="shared" si="70"/>
        <v>AS-752#0677</v>
      </c>
      <c r="B678" s="24" t="str">
        <f>IF('query (2)'!B678="","",TRIM(UPPER('query (2)'!B678)))</f>
        <v>AS-752</v>
      </c>
      <c r="C678" s="25" t="str">
        <f>IF('query (2)'!B678="","",'query (2)'!B678)</f>
        <v>AS-752</v>
      </c>
      <c r="D678" s="24" t="str">
        <f t="shared" si="71"/>
        <v>AS</v>
      </c>
      <c r="E678" s="24">
        <f t="shared" si="72"/>
        <v>1</v>
      </c>
      <c r="F678" s="24">
        <f>IF('query (2)'!A678="","",IFERROR(VALUE('query (2)'!A678),""))</f>
        <v>696</v>
      </c>
      <c r="G678" s="24" t="str">
        <f>IF('query (2)'!C678="","UNKNOWN",IFERROR(INDEX(Cleaning_Rules!$B$15:$B$20,MATCH(TRIM(UPPER('query (2)'!C678)),Cleaning_Rules!$A$15:$A$20,0)),"UNKNOWN"))</f>
        <v>FACTORY3</v>
      </c>
      <c r="H678" s="25" t="str">
        <f>IF('query (2)'!C678="","",'query (2)'!C678)</f>
        <v>FACTORY3</v>
      </c>
      <c r="I678" s="24" t="str" cm="1">
        <f t="array" ref="I678">_xlfn.IFS($G678="UNKNOWN","UNKNOWN",OR($G678="FACTORY1",$G678="FACTORY2",$G678="FACTORY3"),"PLANT",TRUE,"SHARED")</f>
        <v>PLANT</v>
      </c>
      <c r="J678" s="24" t="str">
        <f>IF('query (2)'!D678="","UNKNOWN",IF(COUNTIF(Cleaning_Rules!$A$6:$A$11,TRIM('query (2)'!D678))&gt;0,"UNKNOWN",IFERROR(INDEX(Cleaning_Rules!$B$24:$B$28,MATCH(TRIM(UPPER('query (2)'!D678)),Cleaning_Rules!$A$24:$A$28,0)),TRIM(UPPER('query (2)'!D678)))))</f>
        <v>HUB3-2</v>
      </c>
      <c r="K678" s="25" t="str">
        <f>IF('query (2)'!D678="","",'query (2)'!D678)</f>
        <v>HUB3-2</v>
      </c>
      <c r="L678" s="24" t="str">
        <f>IF($J678="UNKNOWN","",_xlfn.TEXTBEFORE($J678,{"0","1","2","3","4","5","6","7","8","9"," ","-","."},1,,,$J678))</f>
        <v>HUB</v>
      </c>
      <c r="M678" s="24" t="str">
        <f>IF('query (2)'!I678&lt;&gt;"",TRIM(UPPER('query (2)'!I678)),IF($L678="","UNKNOWN",$L678))</f>
        <v>HUB</v>
      </c>
      <c r="N678" s="24" t="str">
        <f>IF('query (2)'!I678&lt;&gt;"","SOURCE",IF($L678="","UNKNOWN","DERIVED"))</f>
        <v>SOURCE</v>
      </c>
      <c r="O678" s="24" t="str">
        <f>IF('query (2)'!E678="","NOT_SPECIFIED",TRIM(UPPER('query (2)'!E678)))</f>
        <v>ASSEMBLY</v>
      </c>
      <c r="P678" s="24" t="str">
        <f>IF('query (2)'!F678="","",TRIM(UPPER('query (2)'!F678)))</f>
        <v>1822-H32AI</v>
      </c>
      <c r="Q678" s="24" t="str">
        <f>IF('query (2)'!G678="","UNKNOWN",IFERROR(INDEX(Cleaning_Rules!$B$38:$B$46,MATCH(TRIM(UPPER('query (2)'!G678)),Cleaning_Rules!$A$38:$A$46,0)),"UNKNOWN"))</f>
        <v>OTHER</v>
      </c>
      <c r="R678" s="24" t="str">
        <f>IF('query (2)'!H678="","",TRIM(UPPER('query (2)'!H678)))</f>
        <v>DUST SEAL PRESS MACHINE</v>
      </c>
      <c r="S678" s="25" t="str">
        <f>IF('query (2)'!H678="","",'query (2)'!H678)</f>
        <v>Dust Seal Press Machine</v>
      </c>
      <c r="T678" s="24" t="str">
        <f>IF('query (2)'!J678="","",TRIM(UPPER('query (2)'!J678)))</f>
        <v>DUST SEAL PRESS MACHINE</v>
      </c>
      <c r="U678" s="24" t="str">
        <f t="shared" si="73"/>
        <v/>
      </c>
      <c r="V678" s="24" t="str">
        <f>IF('query (2)'!K678="","NOT_SPECIFIED",IFERROR(INDEX(Cleaning_Rules!$B$32:$B$34,MATCH(TRIM(UPPER('query (2)'!K678)),Cleaning_Rules!$A$32:$A$34,0)),"UNKNOWN"))</f>
        <v>NOT_SPECIFIED</v>
      </c>
      <c r="W678" s="24" t="str">
        <f t="shared" si="74"/>
        <v>AS-752 | FACTORY3 | HUB3-2 | HUB | ASSEMBLY | 1822-H32AI | OTHER | DUST SEAL PRESS MACHINE | DUST SEAL PRESS MACHINE | NOT_SPECIFIED</v>
      </c>
      <c r="X678" s="24" t="str">
        <f t="shared" si="75"/>
        <v/>
      </c>
      <c r="Y678" s="24" t="str">
        <f t="shared" si="76"/>
        <v>MISSING_STATUS; CATEGORY_NOT_USEFUL</v>
      </c>
    </row>
    <row r="679" spans="1:25" x14ac:dyDescent="0.3">
      <c r="A679" s="24" t="str">
        <f t="shared" si="70"/>
        <v>CH-753#0678</v>
      </c>
      <c r="B679" s="24" t="str">
        <f>IF('query (2)'!B679="","",TRIM(UPPER('query (2)'!B679)))</f>
        <v>CH-753</v>
      </c>
      <c r="C679" s="25" t="str">
        <f>IF('query (2)'!B679="","",'query (2)'!B679)</f>
        <v>CH-753</v>
      </c>
      <c r="D679" s="24" t="str">
        <f t="shared" si="71"/>
        <v>CH</v>
      </c>
      <c r="E679" s="24">
        <f t="shared" si="72"/>
        <v>1</v>
      </c>
      <c r="F679" s="24">
        <f>IF('query (2)'!A679="","",IFERROR(VALUE('query (2)'!A679),""))</f>
        <v>697</v>
      </c>
      <c r="G679" s="24" t="str">
        <f>IF('query (2)'!C679="","UNKNOWN",IFERROR(INDEX(Cleaning_Rules!$B$15:$B$20,MATCH(TRIM(UPPER('query (2)'!C679)),Cleaning_Rules!$A$15:$A$20,0)),"UNKNOWN"))</f>
        <v>FACTORY3</v>
      </c>
      <c r="H679" s="25" t="str">
        <f>IF('query (2)'!C679="","",'query (2)'!C679)</f>
        <v>FACTORY3</v>
      </c>
      <c r="I679" s="24" t="str" cm="1">
        <f t="array" ref="I679">_xlfn.IFS($G679="UNKNOWN","UNKNOWN",OR($G679="FACTORY1",$G679="FACTORY2",$G679="FACTORY3"),"PLANT",TRUE,"SHARED")</f>
        <v>PLANT</v>
      </c>
      <c r="J679" s="24" t="str">
        <f>IF('query (2)'!D679="","UNKNOWN",IF(COUNTIF(Cleaning_Rules!$A$6:$A$11,TRIM('query (2)'!D679))&gt;0,"UNKNOWN",IFERROR(INDEX(Cleaning_Rules!$B$24:$B$28,MATCH(TRIM(UPPER('query (2)'!D679)),Cleaning_Rules!$A$24:$A$28,0)),TRIM(UPPER('query (2)'!D679)))))</f>
        <v>HUB3-2</v>
      </c>
      <c r="K679" s="25" t="str">
        <f>IF('query (2)'!D679="","",'query (2)'!D679)</f>
        <v>HUB3-2</v>
      </c>
      <c r="L679" s="24" t="str">
        <f>IF($J679="UNKNOWN","",_xlfn.TEXTBEFORE($J679,{"0","1","2","3","4","5","6","7","8","9"," ","-","."},1,,,$J679))</f>
        <v>HUB</v>
      </c>
      <c r="M679" s="24" t="str">
        <f>IF('query (2)'!I679&lt;&gt;"",TRIM(UPPER('query (2)'!I679)),IF($L679="","UNKNOWN",$L679))</f>
        <v>HUB</v>
      </c>
      <c r="N679" s="24" t="str">
        <f>IF('query (2)'!I679&lt;&gt;"","SOURCE",IF($L679="","UNKNOWN","DERIVED"))</f>
        <v>SOURCE</v>
      </c>
      <c r="O679" s="24" t="str">
        <f>IF('query (2)'!E679="","NOT_SPECIFIED",TRIM(UPPER('query (2)'!E679)))</f>
        <v>ASSEMBLY</v>
      </c>
      <c r="P679" s="24" t="str">
        <f>IF('query (2)'!F679="","",TRIM(UPPER('query (2)'!F679)))</f>
        <v>1822-H32AI</v>
      </c>
      <c r="Q679" s="24" t="str">
        <f>IF('query (2)'!G679="","UNKNOWN",IFERROR(INDEX(Cleaning_Rules!$B$38:$B$46,MATCH(TRIM(UPPER('query (2)'!G679)),Cleaning_Rules!$A$38:$A$46,0)),"UNKNOWN"))</f>
        <v>OTHER</v>
      </c>
      <c r="R679" s="24" t="str">
        <f>IF('query (2)'!H679="","",TRIM(UPPER('query (2)'!H679)))</f>
        <v>SENSOR CHECK MACHINE</v>
      </c>
      <c r="S679" s="25" t="str">
        <f>IF('query (2)'!H679="","",'query (2)'!H679)</f>
        <v>Sensor Check Machine</v>
      </c>
      <c r="T679" s="24" t="str">
        <f>IF('query (2)'!J679="","",TRIM(UPPER('query (2)'!J679)))</f>
        <v>SENSOR CHECK MACHINE</v>
      </c>
      <c r="U679" s="24" t="str">
        <f t="shared" si="73"/>
        <v/>
      </c>
      <c r="V679" s="24" t="str">
        <f>IF('query (2)'!K679="","NOT_SPECIFIED",IFERROR(INDEX(Cleaning_Rules!$B$32:$B$34,MATCH(TRIM(UPPER('query (2)'!K679)),Cleaning_Rules!$A$32:$A$34,0)),"UNKNOWN"))</f>
        <v>NOT_SPECIFIED</v>
      </c>
      <c r="W679" s="24" t="str">
        <f t="shared" si="74"/>
        <v>CH-753 | FACTORY3 | HUB3-2 | HUB | ASSEMBLY | 1822-H32AI | OTHER | SENSOR CHECK MACHINE | SENSOR CHECK MACHINE | NOT_SPECIFIED</v>
      </c>
      <c r="X679" s="24" t="str">
        <f t="shared" si="75"/>
        <v/>
      </c>
      <c r="Y679" s="24" t="str">
        <f t="shared" si="76"/>
        <v>MISSING_STATUS; CATEGORY_NOT_USEFUL</v>
      </c>
    </row>
    <row r="680" spans="1:25" x14ac:dyDescent="0.3">
      <c r="A680" s="24" t="str">
        <f t="shared" si="70"/>
        <v>SU-754#0679</v>
      </c>
      <c r="B680" s="24" t="str">
        <f>IF('query (2)'!B680="","",TRIM(UPPER('query (2)'!B680)))</f>
        <v>SU-754</v>
      </c>
      <c r="C680" s="25" t="str">
        <f>IF('query (2)'!B680="","",'query (2)'!B680)</f>
        <v>SU-754</v>
      </c>
      <c r="D680" s="24" t="str">
        <f t="shared" si="71"/>
        <v>SU</v>
      </c>
      <c r="E680" s="24">
        <f t="shared" si="72"/>
        <v>1</v>
      </c>
      <c r="F680" s="24">
        <f>IF('query (2)'!A680="","",IFERROR(VALUE('query (2)'!A680),""))</f>
        <v>698</v>
      </c>
      <c r="G680" s="24" t="str">
        <f>IF('query (2)'!C680="","UNKNOWN",IFERROR(INDEX(Cleaning_Rules!$B$15:$B$20,MATCH(TRIM(UPPER('query (2)'!C680)),Cleaning_Rules!$A$15:$A$20,0)),"UNKNOWN"))</f>
        <v>FACTORY3</v>
      </c>
      <c r="H680" s="25" t="str">
        <f>IF('query (2)'!C680="","",'query (2)'!C680)</f>
        <v>FACTORY3</v>
      </c>
      <c r="I680" s="24" t="str" cm="1">
        <f t="array" ref="I680">_xlfn.IFS($G680="UNKNOWN","UNKNOWN",OR($G680="FACTORY1",$G680="FACTORY2",$G680="FACTORY3"),"PLANT",TRUE,"SHARED")</f>
        <v>PLANT</v>
      </c>
      <c r="J680" s="24" t="str">
        <f>IF('query (2)'!D680="","UNKNOWN",IF(COUNTIF(Cleaning_Rules!$A$6:$A$11,TRIM('query (2)'!D680))&gt;0,"UNKNOWN",IFERROR(INDEX(Cleaning_Rules!$B$24:$B$28,MATCH(TRIM(UPPER('query (2)'!D680)),Cleaning_Rules!$A$24:$A$28,0)),TRIM(UPPER('query (2)'!D680)))))</f>
        <v>HUB3-2</v>
      </c>
      <c r="K680" s="25" t="str">
        <f>IF('query (2)'!D680="","",'query (2)'!D680)</f>
        <v>HUB3-2</v>
      </c>
      <c r="L680" s="24" t="str">
        <f>IF($J680="UNKNOWN","",_xlfn.TEXTBEFORE($J680,{"0","1","2","3","4","5","6","7","8","9"," ","-","."},1,,,$J680))</f>
        <v>HUB</v>
      </c>
      <c r="M680" s="24" t="str">
        <f>IF('query (2)'!I680&lt;&gt;"",TRIM(UPPER('query (2)'!I680)),IF($L680="","UNKNOWN",$L680))</f>
        <v>HUB</v>
      </c>
      <c r="N680" s="24" t="str">
        <f>IF('query (2)'!I680&lt;&gt;"","SOURCE",IF($L680="","UNKNOWN","DERIVED"))</f>
        <v>SOURCE</v>
      </c>
      <c r="O680" s="24" t="str">
        <f>IF('query (2)'!E680="","NOT_SPECIFIED",TRIM(UPPER('query (2)'!E680)))</f>
        <v>ASSEMBLY</v>
      </c>
      <c r="P680" s="24" t="str">
        <f>IF('query (2)'!F680="","",TRIM(UPPER('query (2)'!F680)))</f>
        <v>1822-H32AI</v>
      </c>
      <c r="Q680" s="24" t="str">
        <f>IF('query (2)'!G680="","UNKNOWN",IFERROR(INDEX(Cleaning_Rules!$B$38:$B$46,MATCH(TRIM(UPPER('query (2)'!G680)),Cleaning_Rules!$A$38:$A$46,0)),"UNKNOWN"))</f>
        <v>OTHER</v>
      </c>
      <c r="R680" s="24" t="str">
        <f>IF('query (2)'!H680="","",TRIM(UPPER('query (2)'!H680)))</f>
        <v>SPINDLE FEEDER</v>
      </c>
      <c r="S680" s="25" t="str">
        <f>IF('query (2)'!H680="","",'query (2)'!H680)</f>
        <v>Spindle feeder</v>
      </c>
      <c r="T680" s="24" t="str">
        <f>IF('query (2)'!J680="","",TRIM(UPPER('query (2)'!J680)))</f>
        <v>SPINDLE FEEDER</v>
      </c>
      <c r="U680" s="24" t="str">
        <f t="shared" si="73"/>
        <v/>
      </c>
      <c r="V680" s="24" t="str">
        <f>IF('query (2)'!K680="","NOT_SPECIFIED",IFERROR(INDEX(Cleaning_Rules!$B$32:$B$34,MATCH(TRIM(UPPER('query (2)'!K680)),Cleaning_Rules!$A$32:$A$34,0)),"UNKNOWN"))</f>
        <v>NOT_SPECIFIED</v>
      </c>
      <c r="W680" s="24" t="str">
        <f t="shared" si="74"/>
        <v>SU-754 | FACTORY3 | HUB3-2 | HUB | ASSEMBLY | 1822-H32AI | OTHER | SPINDLE FEEDER | SPINDLE FEEDER | NOT_SPECIFIED</v>
      </c>
      <c r="X680" s="24" t="str">
        <f t="shared" si="75"/>
        <v/>
      </c>
      <c r="Y680" s="24" t="str">
        <f t="shared" si="76"/>
        <v>MISSING_STATUS; CATEGORY_NOT_USEFUL</v>
      </c>
    </row>
    <row r="681" spans="1:25" x14ac:dyDescent="0.3">
      <c r="A681" s="24" t="str">
        <f t="shared" si="70"/>
        <v>PR-755#0680</v>
      </c>
      <c r="B681" s="24" t="str">
        <f>IF('query (2)'!B681="","",TRIM(UPPER('query (2)'!B681)))</f>
        <v>PR-755</v>
      </c>
      <c r="C681" s="25" t="str">
        <f>IF('query (2)'!B681="","",'query (2)'!B681)</f>
        <v>PR-755</v>
      </c>
      <c r="D681" s="24" t="str">
        <f t="shared" si="71"/>
        <v>PR</v>
      </c>
      <c r="E681" s="24">
        <f t="shared" si="72"/>
        <v>1</v>
      </c>
      <c r="F681" s="24">
        <f>IF('query (2)'!A681="","",IFERROR(VALUE('query (2)'!A681),""))</f>
        <v>699</v>
      </c>
      <c r="G681" s="24" t="str">
        <f>IF('query (2)'!C681="","UNKNOWN",IFERROR(INDEX(Cleaning_Rules!$B$15:$B$20,MATCH(TRIM(UPPER('query (2)'!C681)),Cleaning_Rules!$A$15:$A$20,0)),"UNKNOWN"))</f>
        <v>FACTORY3</v>
      </c>
      <c r="H681" s="25" t="str">
        <f>IF('query (2)'!C681="","",'query (2)'!C681)</f>
        <v>FACTORY3</v>
      </c>
      <c r="I681" s="24" t="str" cm="1">
        <f t="array" ref="I681">_xlfn.IFS($G681="UNKNOWN","UNKNOWN",OR($G681="FACTORY1",$G681="FACTORY2",$G681="FACTORY3"),"PLANT",TRUE,"SHARED")</f>
        <v>PLANT</v>
      </c>
      <c r="J681" s="24" t="str">
        <f>IF('query (2)'!D681="","UNKNOWN",IF(COUNTIF(Cleaning_Rules!$A$6:$A$11,TRIM('query (2)'!D681))&gt;0,"UNKNOWN",IFERROR(INDEX(Cleaning_Rules!$B$24:$B$28,MATCH(TRIM(UPPER('query (2)'!D681)),Cleaning_Rules!$A$24:$A$28,0)),TRIM(UPPER('query (2)'!D681)))))</f>
        <v>HUB3-2</v>
      </c>
      <c r="K681" s="25" t="str">
        <f>IF('query (2)'!D681="","",'query (2)'!D681)</f>
        <v>HUB3-2</v>
      </c>
      <c r="L681" s="24" t="str">
        <f>IF($J681="UNKNOWN","",_xlfn.TEXTBEFORE($J681,{"0","1","2","3","4","5","6","7","8","9"," ","-","."},1,,,$J681))</f>
        <v>HUB</v>
      </c>
      <c r="M681" s="24" t="str">
        <f>IF('query (2)'!I681&lt;&gt;"",TRIM(UPPER('query (2)'!I681)),IF($L681="","UNKNOWN",$L681))</f>
        <v>HUB</v>
      </c>
      <c r="N681" s="24" t="str">
        <f>IF('query (2)'!I681&lt;&gt;"","SOURCE",IF($L681="","UNKNOWN","DERIVED"))</f>
        <v>SOURCE</v>
      </c>
      <c r="O681" s="24" t="str">
        <f>IF('query (2)'!E681="","NOT_SPECIFIED",TRIM(UPPER('query (2)'!E681)))</f>
        <v>ASSEMBLY</v>
      </c>
      <c r="P681" s="24" t="str">
        <f>IF('query (2)'!F681="","",TRIM(UPPER('query (2)'!F681)))</f>
        <v>1822-H32AI</v>
      </c>
      <c r="Q681" s="24" t="str">
        <f>IF('query (2)'!G681="","UNKNOWN",IFERROR(INDEX(Cleaning_Rules!$B$38:$B$46,MATCH(TRIM(UPPER('query (2)'!G681)),Cleaning_Rules!$A$38:$A$46,0)),"UNKNOWN"))</f>
        <v>OTHER</v>
      </c>
      <c r="R681" s="24" t="str">
        <f>IF('query (2)'!H681="","",TRIM(UPPER('query (2)'!H681)))</f>
        <v>BROACHING MACHINE</v>
      </c>
      <c r="S681" s="25" t="str">
        <f>IF('query (2)'!H681="","",'query (2)'!H681)</f>
        <v>Broaching Machine</v>
      </c>
      <c r="T681" s="24" t="str">
        <f>IF('query (2)'!J681="","",TRIM(UPPER('query (2)'!J681)))</f>
        <v>BROACHING MACHINE</v>
      </c>
      <c r="U681" s="24" t="str">
        <f t="shared" si="73"/>
        <v/>
      </c>
      <c r="V681" s="24" t="str">
        <f>IF('query (2)'!K681="","NOT_SPECIFIED",IFERROR(INDEX(Cleaning_Rules!$B$32:$B$34,MATCH(TRIM(UPPER('query (2)'!K681)),Cleaning_Rules!$A$32:$A$34,0)),"UNKNOWN"))</f>
        <v>NOT_SPECIFIED</v>
      </c>
      <c r="W681" s="24" t="str">
        <f t="shared" si="74"/>
        <v>PR-755 | FACTORY3 | HUB3-2 | HUB | ASSEMBLY | 1822-H32AI | OTHER | BROACHING MACHINE | BROACHING MACHINE | NOT_SPECIFIED</v>
      </c>
      <c r="X681" s="24" t="str">
        <f t="shared" si="75"/>
        <v/>
      </c>
      <c r="Y681" s="24" t="str">
        <f t="shared" si="76"/>
        <v>MISSING_STATUS; CATEGORY_NOT_USEFUL</v>
      </c>
    </row>
    <row r="682" spans="1:25" x14ac:dyDescent="0.3">
      <c r="A682" s="24" t="str">
        <f t="shared" si="70"/>
        <v>L-756#0681</v>
      </c>
      <c r="B682" s="24" t="str">
        <f>IF('query (2)'!B682="","",TRIM(UPPER('query (2)'!B682)))</f>
        <v>L-756</v>
      </c>
      <c r="C682" s="25" t="str">
        <f>IF('query (2)'!B682="","",'query (2)'!B682)</f>
        <v>L-756</v>
      </c>
      <c r="D682" s="24" t="str">
        <f t="shared" si="71"/>
        <v>L</v>
      </c>
      <c r="E682" s="24">
        <f t="shared" si="72"/>
        <v>1</v>
      </c>
      <c r="F682" s="24">
        <f>IF('query (2)'!A682="","",IFERROR(VALUE('query (2)'!A682),""))</f>
        <v>700</v>
      </c>
      <c r="G682" s="24" t="str">
        <f>IF('query (2)'!C682="","UNKNOWN",IFERROR(INDEX(Cleaning_Rules!$B$15:$B$20,MATCH(TRIM(UPPER('query (2)'!C682)),Cleaning_Rules!$A$15:$A$20,0)),"UNKNOWN"))</f>
        <v>FACTORY3</v>
      </c>
      <c r="H682" s="25" t="str">
        <f>IF('query (2)'!C682="","",'query (2)'!C682)</f>
        <v>FACTORY3</v>
      </c>
      <c r="I682" s="24" t="str" cm="1">
        <f t="array" ref="I682">_xlfn.IFS($G682="UNKNOWN","UNKNOWN",OR($G682="FACTORY1",$G682="FACTORY2",$G682="FACTORY3"),"PLANT",TRUE,"SHARED")</f>
        <v>PLANT</v>
      </c>
      <c r="J682" s="24" t="str">
        <f>IF('query (2)'!D682="","UNKNOWN",IF(COUNTIF(Cleaning_Rules!$A$6:$A$11,TRIM('query (2)'!D682))&gt;0,"UNKNOWN",IFERROR(INDEX(Cleaning_Rules!$B$24:$B$28,MATCH(TRIM(UPPER('query (2)'!D682)),Cleaning_Rules!$A$24:$A$28,0)),TRIM(UPPER('query (2)'!D682)))))</f>
        <v>HUB3-2</v>
      </c>
      <c r="K682" s="25" t="str">
        <f>IF('query (2)'!D682="","",'query (2)'!D682)</f>
        <v>HUB3-2</v>
      </c>
      <c r="L682" s="24" t="str">
        <f>IF($J682="UNKNOWN","",_xlfn.TEXTBEFORE($J682,{"0","1","2","3","4","5","6","7","8","9"," ","-","."},1,,,$J682))</f>
        <v>HUB</v>
      </c>
      <c r="M682" s="24" t="str">
        <f>IF('query (2)'!I682&lt;&gt;"",TRIM(UPPER('query (2)'!I682)),IF($L682="","UNKNOWN",$L682))</f>
        <v>HUB</v>
      </c>
      <c r="N682" s="24" t="str">
        <f>IF('query (2)'!I682&lt;&gt;"","SOURCE",IF($L682="","UNKNOWN","DERIVED"))</f>
        <v>SOURCE</v>
      </c>
      <c r="O682" s="24" t="str">
        <f>IF('query (2)'!E682="","NOT_SPECIFIED",TRIM(UPPER('query (2)'!E682)))</f>
        <v>ASSEMBLY</v>
      </c>
      <c r="P682" s="24" t="str">
        <f>IF('query (2)'!F682="","",TRIM(UPPER('query (2)'!F682)))</f>
        <v>1822-H32AI</v>
      </c>
      <c r="Q682" s="24" t="str">
        <f>IF('query (2)'!G682="","UNKNOWN",IFERROR(INDEX(Cleaning_Rules!$B$38:$B$46,MATCH(TRIM(UPPER('query (2)'!G682)),Cleaning_Rules!$A$38:$A$46,0)),"UNKNOWN"))</f>
        <v>OTHER</v>
      </c>
      <c r="R682" s="24" t="str">
        <f>IF('query (2)'!H682="","",TRIM(UPPER('query (2)'!H682)))</f>
        <v>NC TURNING FOR L3 FOR SPINDLE</v>
      </c>
      <c r="S682" s="25" t="str">
        <f>IF('query (2)'!H682="","",'query (2)'!H682)</f>
        <v>NC Turning for L3 for spindle</v>
      </c>
      <c r="T682" s="24" t="str">
        <f>IF('query (2)'!J682="","",TRIM(UPPER('query (2)'!J682)))</f>
        <v>NC TURNING FOR L3 FOR SPINDLE</v>
      </c>
      <c r="U682" s="24" t="str">
        <f t="shared" si="73"/>
        <v/>
      </c>
      <c r="V682" s="24" t="str">
        <f>IF('query (2)'!K682="","NOT_SPECIFIED",IFERROR(INDEX(Cleaning_Rules!$B$32:$B$34,MATCH(TRIM(UPPER('query (2)'!K682)),Cleaning_Rules!$A$32:$A$34,0)),"UNKNOWN"))</f>
        <v>NOT_SPECIFIED</v>
      </c>
      <c r="W682" s="24" t="str">
        <f t="shared" si="74"/>
        <v>L-756 | FACTORY3 | HUB3-2 | HUB | ASSEMBLY | 1822-H32AI | OTHER | NC TURNING FOR L3 FOR SPINDLE | NC TURNING FOR L3 FOR SPINDLE | NOT_SPECIFIED</v>
      </c>
      <c r="X682" s="24" t="str">
        <f t="shared" si="75"/>
        <v/>
      </c>
      <c r="Y682" s="24" t="str">
        <f t="shared" si="76"/>
        <v>MISSING_STATUS; CATEGORY_NOT_USEFUL</v>
      </c>
    </row>
    <row r="683" spans="1:25" x14ac:dyDescent="0.3">
      <c r="A683" s="24" t="str">
        <f t="shared" si="70"/>
        <v>SU-757#0682</v>
      </c>
      <c r="B683" s="24" t="str">
        <f>IF('query (2)'!B683="","",TRIM(UPPER('query (2)'!B683)))</f>
        <v>SU-757</v>
      </c>
      <c r="C683" s="25" t="str">
        <f>IF('query (2)'!B683="","",'query (2)'!B683)</f>
        <v>SU-757</v>
      </c>
      <c r="D683" s="24" t="str">
        <f t="shared" si="71"/>
        <v>SU</v>
      </c>
      <c r="E683" s="24">
        <f t="shared" si="72"/>
        <v>1</v>
      </c>
      <c r="F683" s="24">
        <f>IF('query (2)'!A683="","",IFERROR(VALUE('query (2)'!A683),""))</f>
        <v>701</v>
      </c>
      <c r="G683" s="24" t="str">
        <f>IF('query (2)'!C683="","UNKNOWN",IFERROR(INDEX(Cleaning_Rules!$B$15:$B$20,MATCH(TRIM(UPPER('query (2)'!C683)),Cleaning_Rules!$A$15:$A$20,0)),"UNKNOWN"))</f>
        <v>FACTORY3</v>
      </c>
      <c r="H683" s="25" t="str">
        <f>IF('query (2)'!C683="","",'query (2)'!C683)</f>
        <v>FACTORY3</v>
      </c>
      <c r="I683" s="24" t="str" cm="1">
        <f t="array" ref="I683">_xlfn.IFS($G683="UNKNOWN","UNKNOWN",OR($G683="FACTORY1",$G683="FACTORY2",$G683="FACTORY3"),"PLANT",TRUE,"SHARED")</f>
        <v>PLANT</v>
      </c>
      <c r="J683" s="24" t="str">
        <f>IF('query (2)'!D683="","UNKNOWN",IF(COUNTIF(Cleaning_Rules!$A$6:$A$11,TRIM('query (2)'!D683))&gt;0,"UNKNOWN",IFERROR(INDEX(Cleaning_Rules!$B$24:$B$28,MATCH(TRIM(UPPER('query (2)'!D683)),Cleaning_Rules!$A$24:$A$28,0)),TRIM(UPPER('query (2)'!D683)))))</f>
        <v>HUB3-2</v>
      </c>
      <c r="K683" s="25" t="str">
        <f>IF('query (2)'!D683="","",'query (2)'!D683)</f>
        <v>HUB3-2</v>
      </c>
      <c r="L683" s="24" t="str">
        <f>IF($J683="UNKNOWN","",_xlfn.TEXTBEFORE($J683,{"0","1","2","3","4","5","6","7","8","9"," ","-","."},1,,,$J683))</f>
        <v>HUB</v>
      </c>
      <c r="M683" s="24" t="str">
        <f>IF('query (2)'!I683&lt;&gt;"",TRIM(UPPER('query (2)'!I683)),IF($L683="","UNKNOWN",$L683))</f>
        <v>HUB</v>
      </c>
      <c r="N683" s="24" t="str">
        <f>IF('query (2)'!I683&lt;&gt;"","SOURCE",IF($L683="","UNKNOWN","DERIVED"))</f>
        <v>SOURCE</v>
      </c>
      <c r="O683" s="24" t="str">
        <f>IF('query (2)'!E683="","NOT_SPECIFIED",TRIM(UPPER('query (2)'!E683)))</f>
        <v>GRINDING 2</v>
      </c>
      <c r="P683" s="24" t="str">
        <f>IF('query (2)'!F683="","",TRIM(UPPER('query (2)'!F683)))</f>
        <v>1821-H32G</v>
      </c>
      <c r="Q683" s="24" t="str">
        <f>IF('query (2)'!G683="","UNKNOWN",IFERROR(INDEX(Cleaning_Rules!$B$38:$B$46,MATCH(TRIM(UPPER('query (2)'!G683)),Cleaning_Rules!$A$38:$A$46,0)),"UNKNOWN"))</f>
        <v>OTHER</v>
      </c>
      <c r="R683" s="24" t="str">
        <f>IF('query (2)'!H683="","",TRIM(UPPER('query (2)'!H683)))</f>
        <v>OUTER RING FEEDER</v>
      </c>
      <c r="S683" s="25" t="str">
        <f>IF('query (2)'!H683="","",'query (2)'!H683)</f>
        <v>Outer ring feeder</v>
      </c>
      <c r="T683" s="24" t="str">
        <f>IF('query (2)'!J683="","",TRIM(UPPER('query (2)'!J683)))</f>
        <v>OUTER RING FEEDER</v>
      </c>
      <c r="U683" s="24" t="str">
        <f t="shared" si="73"/>
        <v/>
      </c>
      <c r="V683" s="24" t="str">
        <f>IF('query (2)'!K683="","NOT_SPECIFIED",IFERROR(INDEX(Cleaning_Rules!$B$32:$B$34,MATCH(TRIM(UPPER('query (2)'!K683)),Cleaning_Rules!$A$32:$A$34,0)),"UNKNOWN"))</f>
        <v>NOT_SPECIFIED</v>
      </c>
      <c r="W683" s="24" t="str">
        <f t="shared" si="74"/>
        <v>SU-757 | FACTORY3 | HUB3-2 | HUB | GRINDING 2 | 1821-H32G | OTHER | OUTER RING FEEDER | OUTER RING FEEDER | NOT_SPECIFIED</v>
      </c>
      <c r="X683" s="24" t="str">
        <f t="shared" si="75"/>
        <v/>
      </c>
      <c r="Y683" s="24" t="str">
        <f t="shared" si="76"/>
        <v>MISSING_STATUS; CATEGORY_NOT_USEFUL</v>
      </c>
    </row>
    <row r="684" spans="1:25" x14ac:dyDescent="0.3">
      <c r="A684" s="24" t="str">
        <f t="shared" si="70"/>
        <v>L-758#0683</v>
      </c>
      <c r="B684" s="24" t="str">
        <f>IF('query (2)'!B684="","",TRIM(UPPER('query (2)'!B684)))</f>
        <v>L-758</v>
      </c>
      <c r="C684" s="25" t="str">
        <f>IF('query (2)'!B684="","",'query (2)'!B684)</f>
        <v>L-758</v>
      </c>
      <c r="D684" s="24" t="str">
        <f t="shared" si="71"/>
        <v>L</v>
      </c>
      <c r="E684" s="24">
        <f t="shared" si="72"/>
        <v>1</v>
      </c>
      <c r="F684" s="24">
        <f>IF('query (2)'!A684="","",IFERROR(VALUE('query (2)'!A684),""))</f>
        <v>702</v>
      </c>
      <c r="G684" s="24" t="str">
        <f>IF('query (2)'!C684="","UNKNOWN",IFERROR(INDEX(Cleaning_Rules!$B$15:$B$20,MATCH(TRIM(UPPER('query (2)'!C684)),Cleaning_Rules!$A$15:$A$20,0)),"UNKNOWN"))</f>
        <v>FACTORY3</v>
      </c>
      <c r="H684" s="25" t="str">
        <f>IF('query (2)'!C684="","",'query (2)'!C684)</f>
        <v>FACTORY3</v>
      </c>
      <c r="I684" s="24" t="str" cm="1">
        <f t="array" ref="I684">_xlfn.IFS($G684="UNKNOWN","UNKNOWN",OR($G684="FACTORY1",$G684="FACTORY2",$G684="FACTORY3"),"PLANT",TRUE,"SHARED")</f>
        <v>PLANT</v>
      </c>
      <c r="J684" s="24" t="str">
        <f>IF('query (2)'!D684="","UNKNOWN",IF(COUNTIF(Cleaning_Rules!$A$6:$A$11,TRIM('query (2)'!D684))&gt;0,"UNKNOWN",IFERROR(INDEX(Cleaning_Rules!$B$24:$B$28,MATCH(TRIM(UPPER('query (2)'!D684)),Cleaning_Rules!$A$24:$A$28,0)),TRIM(UPPER('query (2)'!D684)))))</f>
        <v>HUB3-2</v>
      </c>
      <c r="K684" s="25" t="str">
        <f>IF('query (2)'!D684="","",'query (2)'!D684)</f>
        <v>HUB3-2</v>
      </c>
      <c r="L684" s="24" t="str">
        <f>IF($J684="UNKNOWN","",_xlfn.TEXTBEFORE($J684,{"0","1","2","3","4","5","6","7","8","9"," ","-","."},1,,,$J684))</f>
        <v>HUB</v>
      </c>
      <c r="M684" s="24" t="str">
        <f>IF('query (2)'!I684&lt;&gt;"",TRIM(UPPER('query (2)'!I684)),IF($L684="","UNKNOWN",$L684))</f>
        <v>HUB</v>
      </c>
      <c r="N684" s="24" t="str">
        <f>IF('query (2)'!I684&lt;&gt;"","SOURCE",IF($L684="","UNKNOWN","DERIVED"))</f>
        <v>SOURCE</v>
      </c>
      <c r="O684" s="24" t="str">
        <f>IF('query (2)'!E684="","NOT_SPECIFIED",TRIM(UPPER('query (2)'!E684)))</f>
        <v>GRINDING 2</v>
      </c>
      <c r="P684" s="24" t="str">
        <f>IF('query (2)'!F684="","",TRIM(UPPER('query (2)'!F684)))</f>
        <v>1821-H32G</v>
      </c>
      <c r="Q684" s="24" t="str">
        <f>IF('query (2)'!G684="","UNKNOWN",IFERROR(INDEX(Cleaning_Rules!$B$38:$B$46,MATCH(TRIM(UPPER('query (2)'!G684)),Cleaning_Rules!$A$38:$A$46,0)),"UNKNOWN"))</f>
        <v>OTHER</v>
      </c>
      <c r="R684" s="24" t="str">
        <f>IF('query (2)'!H684="","",TRIM(UPPER('query (2)'!H684)))</f>
        <v>NC TURNING FOR L3 FOR OUTER RING</v>
      </c>
      <c r="S684" s="25" t="str">
        <f>IF('query (2)'!H684="","",'query (2)'!H684)</f>
        <v>NC Turning for L3 for outer ring</v>
      </c>
      <c r="T684" s="24" t="str">
        <f>IF('query (2)'!J684="","",TRIM(UPPER('query (2)'!J684)))</f>
        <v>NC TURNING FOR L3 FOR OUTER RING</v>
      </c>
      <c r="U684" s="24" t="str">
        <f t="shared" si="73"/>
        <v/>
      </c>
      <c r="V684" s="24" t="str">
        <f>IF('query (2)'!K684="","NOT_SPECIFIED",IFERROR(INDEX(Cleaning_Rules!$B$32:$B$34,MATCH(TRIM(UPPER('query (2)'!K684)),Cleaning_Rules!$A$32:$A$34,0)),"UNKNOWN"))</f>
        <v>NOT_SPECIFIED</v>
      </c>
      <c r="W684" s="24" t="str">
        <f t="shared" si="74"/>
        <v>L-758 | FACTORY3 | HUB3-2 | HUB | GRINDING 2 | 1821-H32G | OTHER | NC TURNING FOR L3 FOR OUTER RING | NC TURNING FOR L3 FOR OUTER RING | NOT_SPECIFIED</v>
      </c>
      <c r="X684" s="24" t="str">
        <f t="shared" si="75"/>
        <v/>
      </c>
      <c r="Y684" s="24" t="str">
        <f t="shared" si="76"/>
        <v>MISSING_STATUS; CATEGORY_NOT_USEFUL</v>
      </c>
    </row>
    <row r="685" spans="1:25" x14ac:dyDescent="0.3">
      <c r="A685" s="24" t="str">
        <f t="shared" si="70"/>
        <v>CH-759#0684</v>
      </c>
      <c r="B685" s="24" t="str">
        <f>IF('query (2)'!B685="","",TRIM(UPPER('query (2)'!B685)))</f>
        <v>CH-759</v>
      </c>
      <c r="C685" s="25" t="str">
        <f>IF('query (2)'!B685="","",'query (2)'!B685)</f>
        <v>CH-759</v>
      </c>
      <c r="D685" s="24" t="str">
        <f t="shared" si="71"/>
        <v>CH</v>
      </c>
      <c r="E685" s="24">
        <f t="shared" si="72"/>
        <v>1</v>
      </c>
      <c r="F685" s="24">
        <f>IF('query (2)'!A685="","",IFERROR(VALUE('query (2)'!A685),""))</f>
        <v>703</v>
      </c>
      <c r="G685" s="24" t="str">
        <f>IF('query (2)'!C685="","UNKNOWN",IFERROR(INDEX(Cleaning_Rules!$B$15:$B$20,MATCH(TRIM(UPPER('query (2)'!C685)),Cleaning_Rules!$A$15:$A$20,0)),"UNKNOWN"))</f>
        <v>FACTORY3</v>
      </c>
      <c r="H685" s="25" t="str">
        <f>IF('query (2)'!C685="","",'query (2)'!C685)</f>
        <v>FACTORY3</v>
      </c>
      <c r="I685" s="24" t="str" cm="1">
        <f t="array" ref="I685">_xlfn.IFS($G685="UNKNOWN","UNKNOWN",OR($G685="FACTORY1",$G685="FACTORY2",$G685="FACTORY3"),"PLANT",TRUE,"SHARED")</f>
        <v>PLANT</v>
      </c>
      <c r="J685" s="24" t="str">
        <f>IF('query (2)'!D685="","UNKNOWN",IF(COUNTIF(Cleaning_Rules!$A$6:$A$11,TRIM('query (2)'!D685))&gt;0,"UNKNOWN",IFERROR(INDEX(Cleaning_Rules!$B$24:$B$28,MATCH(TRIM(UPPER('query (2)'!D685)),Cleaning_Rules!$A$24:$A$28,0)),TRIM(UPPER('query (2)'!D685)))))</f>
        <v>HUB3-2</v>
      </c>
      <c r="K685" s="25" t="str">
        <f>IF('query (2)'!D685="","",'query (2)'!D685)</f>
        <v>HUB3-2</v>
      </c>
      <c r="L685" s="24" t="str">
        <f>IF($J685="UNKNOWN","",_xlfn.TEXTBEFORE($J685,{"0","1","2","3","4","5","6","7","8","9"," ","-","."},1,,,$J685))</f>
        <v>HUB</v>
      </c>
      <c r="M685" s="24" t="str">
        <f>IF('query (2)'!I685&lt;&gt;"",TRIM(UPPER('query (2)'!I685)),IF($L685="","UNKNOWN",$L685))</f>
        <v>HUB</v>
      </c>
      <c r="N685" s="24" t="str">
        <f>IF('query (2)'!I685&lt;&gt;"","SOURCE",IF($L685="","UNKNOWN","DERIVED"))</f>
        <v>SOURCE</v>
      </c>
      <c r="O685" s="24" t="str">
        <f>IF('query (2)'!E685="","NOT_SPECIFIED",TRIM(UPPER('query (2)'!E685)))</f>
        <v>GRINDING 2</v>
      </c>
      <c r="P685" s="24" t="str">
        <f>IF('query (2)'!F685="","",TRIM(UPPER('query (2)'!F685)))</f>
        <v>1821-H32G</v>
      </c>
      <c r="Q685" s="24" t="str">
        <f>IF('query (2)'!G685="","UNKNOWN",IFERROR(INDEX(Cleaning_Rules!$B$38:$B$46,MATCH(TRIM(UPPER('query (2)'!G685)),Cleaning_Rules!$A$38:$A$46,0)),"UNKNOWN"))</f>
        <v>OTHER</v>
      </c>
      <c r="R685" s="24" t="str">
        <f>IF('query (2)'!H685="","",TRIM(UPPER('query (2)'!H685)))</f>
        <v>MAGNETIC PARTICLE FLAW DETECTOR FOR OUTER RING</v>
      </c>
      <c r="S685" s="25" t="str">
        <f>IF('query (2)'!H685="","",'query (2)'!H685)</f>
        <v>Magnetic Particle Flaw Detector for outer ring</v>
      </c>
      <c r="T685" s="24" t="str">
        <f>IF('query (2)'!J685="","",TRIM(UPPER('query (2)'!J685)))</f>
        <v>MAGNETIC PARTICLE FLAW DETECTOR FOR OUTER RING</v>
      </c>
      <c r="U685" s="24" t="str">
        <f t="shared" si="73"/>
        <v/>
      </c>
      <c r="V685" s="24" t="str">
        <f>IF('query (2)'!K685="","NOT_SPECIFIED",IFERROR(INDEX(Cleaning_Rules!$B$32:$B$34,MATCH(TRIM(UPPER('query (2)'!K685)),Cleaning_Rules!$A$32:$A$34,0)),"UNKNOWN"))</f>
        <v>NOT_SPECIFIED</v>
      </c>
      <c r="W685" s="24" t="str">
        <f t="shared" si="74"/>
        <v>CH-759 | FACTORY3 | HUB3-2 | HUB | GRINDING 2 | 1821-H32G | OTHER | MAGNETIC PARTICLE FLAW DETECTOR FOR OUTER RING | MAGNETIC PARTICLE FLAW DETECTOR FOR OUTER RING | NOT_SPECIFIED</v>
      </c>
      <c r="X685" s="24" t="str">
        <f t="shared" si="75"/>
        <v/>
      </c>
      <c r="Y685" s="24" t="str">
        <f t="shared" si="76"/>
        <v>MISSING_STATUS; CATEGORY_NOT_USEFUL</v>
      </c>
    </row>
    <row r="686" spans="1:25" x14ac:dyDescent="0.3">
      <c r="A686" s="24" t="str">
        <f t="shared" si="70"/>
        <v>IH-760#0685</v>
      </c>
      <c r="B686" s="24" t="str">
        <f>IF('query (2)'!B686="","",TRIM(UPPER('query (2)'!B686)))</f>
        <v>IH-760</v>
      </c>
      <c r="C686" s="25" t="str">
        <f>IF('query (2)'!B686="","",'query (2)'!B686)</f>
        <v>IH-760</v>
      </c>
      <c r="D686" s="24" t="str">
        <f t="shared" si="71"/>
        <v>IH</v>
      </c>
      <c r="E686" s="24">
        <f t="shared" si="72"/>
        <v>1</v>
      </c>
      <c r="F686" s="24">
        <f>IF('query (2)'!A686="","",IFERROR(VALUE('query (2)'!A686),""))</f>
        <v>704</v>
      </c>
      <c r="G686" s="24" t="str">
        <f>IF('query (2)'!C686="","UNKNOWN",IFERROR(INDEX(Cleaning_Rules!$B$15:$B$20,MATCH(TRIM(UPPER('query (2)'!C686)),Cleaning_Rules!$A$15:$A$20,0)),"UNKNOWN"))</f>
        <v>FACTORY3</v>
      </c>
      <c r="H686" s="25" t="str">
        <f>IF('query (2)'!C686="","",'query (2)'!C686)</f>
        <v>FACTORY3</v>
      </c>
      <c r="I686" s="24" t="str" cm="1">
        <f t="array" ref="I686">_xlfn.IFS($G686="UNKNOWN","UNKNOWN",OR($G686="FACTORY1",$G686="FACTORY2",$G686="FACTORY3"),"PLANT",TRUE,"SHARED")</f>
        <v>PLANT</v>
      </c>
      <c r="J686" s="24" t="str">
        <f>IF('query (2)'!D686="","UNKNOWN",IF(COUNTIF(Cleaning_Rules!$A$6:$A$11,TRIM('query (2)'!D686))&gt;0,"UNKNOWN",IFERROR(INDEX(Cleaning_Rules!$B$24:$B$28,MATCH(TRIM(UPPER('query (2)'!D686)),Cleaning_Rules!$A$24:$A$28,0)),TRIM(UPPER('query (2)'!D686)))))</f>
        <v>HUB3-2</v>
      </c>
      <c r="K686" s="25" t="str">
        <f>IF('query (2)'!D686="","",'query (2)'!D686)</f>
        <v>HUB3-2</v>
      </c>
      <c r="L686" s="24" t="str">
        <f>IF($J686="UNKNOWN","",_xlfn.TEXTBEFORE($J686,{"0","1","2","3","4","5","6","7","8","9"," ","-","."},1,,,$J686))</f>
        <v>HUB</v>
      </c>
      <c r="M686" s="24" t="str">
        <f>IF('query (2)'!I686&lt;&gt;"",TRIM(UPPER('query (2)'!I686)),IF($L686="","UNKNOWN",$L686))</f>
        <v>HUB</v>
      </c>
      <c r="N686" s="24" t="str">
        <f>IF('query (2)'!I686&lt;&gt;"","SOURCE",IF($L686="","UNKNOWN","DERIVED"))</f>
        <v>SOURCE</v>
      </c>
      <c r="O686" s="24" t="str">
        <f>IF('query (2)'!E686="","NOT_SPECIFIED",TRIM(UPPER('query (2)'!E686)))</f>
        <v>GRINDING 2</v>
      </c>
      <c r="P686" s="24" t="str">
        <f>IF('query (2)'!F686="","",TRIM(UPPER('query (2)'!F686)))</f>
        <v>1821-H32G</v>
      </c>
      <c r="Q686" s="24" t="str">
        <f>IF('query (2)'!G686="","UNKNOWN",IFERROR(INDEX(Cleaning_Rules!$B$38:$B$46,MATCH(TRIM(UPPER('query (2)'!G686)),Cleaning_Rules!$A$38:$A$46,0)),"UNKNOWN"))</f>
        <v>OTHER</v>
      </c>
      <c r="R686" s="24" t="str">
        <f>IF('query (2)'!H686="","",TRIM(UPPER('query (2)'!H686)))</f>
        <v>INDUCTION HEAT TREATMENT MACHINE FOR OUTER RING</v>
      </c>
      <c r="S686" s="25" t="str">
        <f>IF('query (2)'!H686="","",'query (2)'!H686)</f>
        <v>Induction Heat Treatment Machine for outer ring</v>
      </c>
      <c r="T686" s="24" t="str">
        <f>IF('query (2)'!J686="","",TRIM(UPPER('query (2)'!J686)))</f>
        <v>INDUCTION HEAT TREATMENT MACHINE FOR OUTER RING</v>
      </c>
      <c r="U686" s="24" t="str">
        <f t="shared" si="73"/>
        <v/>
      </c>
      <c r="V686" s="24" t="str">
        <f>IF('query (2)'!K686="","NOT_SPECIFIED",IFERROR(INDEX(Cleaning_Rules!$B$32:$B$34,MATCH(TRIM(UPPER('query (2)'!K686)),Cleaning_Rules!$A$32:$A$34,0)),"UNKNOWN"))</f>
        <v>NOT_SPECIFIED</v>
      </c>
      <c r="W686" s="24" t="str">
        <f t="shared" si="74"/>
        <v>IH-760 | FACTORY3 | HUB3-2 | HUB | GRINDING 2 | 1821-H32G | OTHER | INDUCTION HEAT TREATMENT MACHINE FOR OUTER RING | INDUCTION HEAT TREATMENT MACHINE FOR OUTER RING | NOT_SPECIFIED</v>
      </c>
      <c r="X686" s="24" t="str">
        <f t="shared" si="75"/>
        <v/>
      </c>
      <c r="Y686" s="24" t="str">
        <f t="shared" si="76"/>
        <v>MISSING_STATUS; CATEGORY_NOT_USEFUL</v>
      </c>
    </row>
    <row r="687" spans="1:25" x14ac:dyDescent="0.3">
      <c r="A687" s="24" t="str">
        <f t="shared" si="70"/>
        <v>MA-761#0686</v>
      </c>
      <c r="B687" s="24" t="str">
        <f>IF('query (2)'!B687="","",TRIM(UPPER('query (2)'!B687)))</f>
        <v>MA-761</v>
      </c>
      <c r="C687" s="25" t="str">
        <f>IF('query (2)'!B687="","",'query (2)'!B687)</f>
        <v>MA-761</v>
      </c>
      <c r="D687" s="24" t="str">
        <f t="shared" si="71"/>
        <v>MA</v>
      </c>
      <c r="E687" s="24">
        <f t="shared" si="72"/>
        <v>1</v>
      </c>
      <c r="F687" s="24">
        <f>IF('query (2)'!A687="","",IFERROR(VALUE('query (2)'!A687),""))</f>
        <v>705</v>
      </c>
      <c r="G687" s="24" t="str">
        <f>IF('query (2)'!C687="","UNKNOWN",IFERROR(INDEX(Cleaning_Rules!$B$15:$B$20,MATCH(TRIM(UPPER('query (2)'!C687)),Cleaning_Rules!$A$15:$A$20,0)),"UNKNOWN"))</f>
        <v>FACTORY3</v>
      </c>
      <c r="H687" s="25" t="str">
        <f>IF('query (2)'!C687="","",'query (2)'!C687)</f>
        <v>FACTORY3</v>
      </c>
      <c r="I687" s="24" t="str" cm="1">
        <f t="array" ref="I687">_xlfn.IFS($G687="UNKNOWN","UNKNOWN",OR($G687="FACTORY1",$G687="FACTORY2",$G687="FACTORY3"),"PLANT",TRUE,"SHARED")</f>
        <v>PLANT</v>
      </c>
      <c r="J687" s="24" t="str">
        <f>IF('query (2)'!D687="","UNKNOWN",IF(COUNTIF(Cleaning_Rules!$A$6:$A$11,TRIM('query (2)'!D687))&gt;0,"UNKNOWN",IFERROR(INDEX(Cleaning_Rules!$B$24:$B$28,MATCH(TRIM(UPPER('query (2)'!D687)),Cleaning_Rules!$A$24:$A$28,0)),TRIM(UPPER('query (2)'!D687)))))</f>
        <v>HUB3-2</v>
      </c>
      <c r="K687" s="25" t="str">
        <f>IF('query (2)'!D687="","",'query (2)'!D687)</f>
        <v>HUB3-2</v>
      </c>
      <c r="L687" s="24" t="str">
        <f>IF($J687="UNKNOWN","",_xlfn.TEXTBEFORE($J687,{"0","1","2","3","4","5","6","7","8","9"," ","-","."},1,,,$J687))</f>
        <v>HUB</v>
      </c>
      <c r="M687" s="24" t="str">
        <f>IF('query (2)'!I687&lt;&gt;"",TRIM(UPPER('query (2)'!I687)),IF($L687="","UNKNOWN",$L687))</f>
        <v>HUB</v>
      </c>
      <c r="N687" s="24" t="str">
        <f>IF('query (2)'!I687&lt;&gt;"","SOURCE",IF($L687="","UNKNOWN","DERIVED"))</f>
        <v>SOURCE</v>
      </c>
      <c r="O687" s="24" t="str">
        <f>IF('query (2)'!E687="","NOT_SPECIFIED",TRIM(UPPER('query (2)'!E687)))</f>
        <v>GRINDING 2</v>
      </c>
      <c r="P687" s="24" t="str">
        <f>IF('query (2)'!F687="","",TRIM(UPPER('query (2)'!F687)))</f>
        <v>1821-H32G</v>
      </c>
      <c r="Q687" s="24" t="str">
        <f>IF('query (2)'!G687="","UNKNOWN",IFERROR(INDEX(Cleaning_Rules!$B$38:$B$46,MATCH(TRIM(UPPER('query (2)'!G687)),Cleaning_Rules!$A$38:$A$46,0)),"UNKNOWN"))</f>
        <v>OTHER</v>
      </c>
      <c r="R687" s="24" t="str">
        <f>IF('query (2)'!H687="","",TRIM(UPPER('query (2)'!H687)))</f>
        <v>MARKING UNIT FOR SPINDLE</v>
      </c>
      <c r="S687" s="25" t="str">
        <f>IF('query (2)'!H687="","",'query (2)'!H687)</f>
        <v>Marking Unit for spindle</v>
      </c>
      <c r="T687" s="24" t="str">
        <f>IF('query (2)'!J687="","",TRIM(UPPER('query (2)'!J687)))</f>
        <v>MARKING UNIT FOR SPINDLE</v>
      </c>
      <c r="U687" s="24" t="str">
        <f t="shared" si="73"/>
        <v/>
      </c>
      <c r="V687" s="24" t="str">
        <f>IF('query (2)'!K687="","NOT_SPECIFIED",IFERROR(INDEX(Cleaning_Rules!$B$32:$B$34,MATCH(TRIM(UPPER('query (2)'!K687)),Cleaning_Rules!$A$32:$A$34,0)),"UNKNOWN"))</f>
        <v>NOT_SPECIFIED</v>
      </c>
      <c r="W687" s="24" t="str">
        <f t="shared" si="74"/>
        <v>MA-761 | FACTORY3 | HUB3-2 | HUB | GRINDING 2 | 1821-H32G | OTHER | MARKING UNIT FOR SPINDLE | MARKING UNIT FOR SPINDLE | NOT_SPECIFIED</v>
      </c>
      <c r="X687" s="24" t="str">
        <f t="shared" si="75"/>
        <v/>
      </c>
      <c r="Y687" s="24" t="str">
        <f t="shared" si="76"/>
        <v>MISSING_STATUS; CATEGORY_NOT_USEFUL</v>
      </c>
    </row>
    <row r="688" spans="1:25" x14ac:dyDescent="0.3">
      <c r="A688" s="24" t="str">
        <f t="shared" si="70"/>
        <v>CH-762#0687</v>
      </c>
      <c r="B688" s="24" t="str">
        <f>IF('query (2)'!B688="","",TRIM(UPPER('query (2)'!B688)))</f>
        <v>CH-762</v>
      </c>
      <c r="C688" s="25" t="str">
        <f>IF('query (2)'!B688="","",'query (2)'!B688)</f>
        <v>CH-762</v>
      </c>
      <c r="D688" s="24" t="str">
        <f t="shared" si="71"/>
        <v>CH</v>
      </c>
      <c r="E688" s="24">
        <f t="shared" si="72"/>
        <v>1</v>
      </c>
      <c r="F688" s="24">
        <f>IF('query (2)'!A688="","",IFERROR(VALUE('query (2)'!A688),""))</f>
        <v>706</v>
      </c>
      <c r="G688" s="24" t="str">
        <f>IF('query (2)'!C688="","UNKNOWN",IFERROR(INDEX(Cleaning_Rules!$B$15:$B$20,MATCH(TRIM(UPPER('query (2)'!C688)),Cleaning_Rules!$A$15:$A$20,0)),"UNKNOWN"))</f>
        <v>FACTORY3</v>
      </c>
      <c r="H688" s="25" t="str">
        <f>IF('query (2)'!C688="","",'query (2)'!C688)</f>
        <v>FACTORY3</v>
      </c>
      <c r="I688" s="24" t="str" cm="1">
        <f t="array" ref="I688">_xlfn.IFS($G688="UNKNOWN","UNKNOWN",OR($G688="FACTORY1",$G688="FACTORY2",$G688="FACTORY3"),"PLANT",TRUE,"SHARED")</f>
        <v>PLANT</v>
      </c>
      <c r="J688" s="24" t="str">
        <f>IF('query (2)'!D688="","UNKNOWN",IF(COUNTIF(Cleaning_Rules!$A$6:$A$11,TRIM('query (2)'!D688))&gt;0,"UNKNOWN",IFERROR(INDEX(Cleaning_Rules!$B$24:$B$28,MATCH(TRIM(UPPER('query (2)'!D688)),Cleaning_Rules!$A$24:$A$28,0)),TRIM(UPPER('query (2)'!D688)))))</f>
        <v>HUB3-2</v>
      </c>
      <c r="K688" s="25" t="str">
        <f>IF('query (2)'!D688="","",'query (2)'!D688)</f>
        <v>HUB3-2</v>
      </c>
      <c r="L688" s="24" t="str">
        <f>IF($J688="UNKNOWN","",_xlfn.TEXTBEFORE($J688,{"0","1","2","3","4","5","6","7","8","9"," ","-","."},1,,,$J688))</f>
        <v>HUB</v>
      </c>
      <c r="M688" s="24" t="str">
        <f>IF('query (2)'!I688&lt;&gt;"",TRIM(UPPER('query (2)'!I688)),IF($L688="","UNKNOWN",$L688))</f>
        <v>HUB</v>
      </c>
      <c r="N688" s="24" t="str">
        <f>IF('query (2)'!I688&lt;&gt;"","SOURCE",IF($L688="","UNKNOWN","DERIVED"))</f>
        <v>SOURCE</v>
      </c>
      <c r="O688" s="24" t="str">
        <f>IF('query (2)'!E688="","NOT_SPECIFIED",TRIM(UPPER('query (2)'!E688)))</f>
        <v>GRINDING 2</v>
      </c>
      <c r="P688" s="24" t="str">
        <f>IF('query (2)'!F688="","",TRIM(UPPER('query (2)'!F688)))</f>
        <v>1821-H32G</v>
      </c>
      <c r="Q688" s="24" t="str">
        <f>IF('query (2)'!G688="","UNKNOWN",IFERROR(INDEX(Cleaning_Rules!$B$38:$B$46,MATCH(TRIM(UPPER('query (2)'!G688)),Cleaning_Rules!$A$38:$A$46,0)),"UNKNOWN"))</f>
        <v>OTHER</v>
      </c>
      <c r="R688" s="24" t="str">
        <f>IF('query (2)'!H688="","",TRIM(UPPER('query (2)'!H688)))</f>
        <v>MAGNETIC PARTICLE FLAW DETECTOR FOR SPINDLE</v>
      </c>
      <c r="S688" s="25" t="str">
        <f>IF('query (2)'!H688="","",'query (2)'!H688)</f>
        <v>Magnetic Particle Flaw Detector for spindle</v>
      </c>
      <c r="T688" s="24" t="str">
        <f>IF('query (2)'!J688="","",TRIM(UPPER('query (2)'!J688)))</f>
        <v>MAGNETIC PARTICLE FLAW DETECTOR FOR SPINDLE</v>
      </c>
      <c r="U688" s="24" t="str">
        <f t="shared" si="73"/>
        <v/>
      </c>
      <c r="V688" s="24" t="str">
        <f>IF('query (2)'!K688="","NOT_SPECIFIED",IFERROR(INDEX(Cleaning_Rules!$B$32:$B$34,MATCH(TRIM(UPPER('query (2)'!K688)),Cleaning_Rules!$A$32:$A$34,0)),"UNKNOWN"))</f>
        <v>NOT_SPECIFIED</v>
      </c>
      <c r="W688" s="24" t="str">
        <f t="shared" si="74"/>
        <v>CH-762 | FACTORY3 | HUB3-2 | HUB | GRINDING 2 | 1821-H32G | OTHER | MAGNETIC PARTICLE FLAW DETECTOR FOR SPINDLE | MAGNETIC PARTICLE FLAW DETECTOR FOR SPINDLE | NOT_SPECIFIED</v>
      </c>
      <c r="X688" s="24" t="str">
        <f t="shared" si="75"/>
        <v/>
      </c>
      <c r="Y688" s="24" t="str">
        <f t="shared" si="76"/>
        <v>MISSING_STATUS; CATEGORY_NOT_USEFUL</v>
      </c>
    </row>
    <row r="689" spans="1:25" x14ac:dyDescent="0.3">
      <c r="A689" s="24" t="str">
        <f t="shared" si="70"/>
        <v>IH-763#0688</v>
      </c>
      <c r="B689" s="24" t="str">
        <f>IF('query (2)'!B689="","",TRIM(UPPER('query (2)'!B689)))</f>
        <v>IH-763</v>
      </c>
      <c r="C689" s="25" t="str">
        <f>IF('query (2)'!B689="","",'query (2)'!B689)</f>
        <v>IH-763</v>
      </c>
      <c r="D689" s="24" t="str">
        <f t="shared" si="71"/>
        <v>IH</v>
      </c>
      <c r="E689" s="24">
        <f t="shared" si="72"/>
        <v>1</v>
      </c>
      <c r="F689" s="24">
        <f>IF('query (2)'!A689="","",IFERROR(VALUE('query (2)'!A689),""))</f>
        <v>707</v>
      </c>
      <c r="G689" s="24" t="str">
        <f>IF('query (2)'!C689="","UNKNOWN",IFERROR(INDEX(Cleaning_Rules!$B$15:$B$20,MATCH(TRIM(UPPER('query (2)'!C689)),Cleaning_Rules!$A$15:$A$20,0)),"UNKNOWN"))</f>
        <v>FACTORY3</v>
      </c>
      <c r="H689" s="25" t="str">
        <f>IF('query (2)'!C689="","",'query (2)'!C689)</f>
        <v>FACTORY3</v>
      </c>
      <c r="I689" s="24" t="str" cm="1">
        <f t="array" ref="I689">_xlfn.IFS($G689="UNKNOWN","UNKNOWN",OR($G689="FACTORY1",$G689="FACTORY2",$G689="FACTORY3"),"PLANT",TRUE,"SHARED")</f>
        <v>PLANT</v>
      </c>
      <c r="J689" s="24" t="str">
        <f>IF('query (2)'!D689="","UNKNOWN",IF(COUNTIF(Cleaning_Rules!$A$6:$A$11,TRIM('query (2)'!D689))&gt;0,"UNKNOWN",IFERROR(INDEX(Cleaning_Rules!$B$24:$B$28,MATCH(TRIM(UPPER('query (2)'!D689)),Cleaning_Rules!$A$24:$A$28,0)),TRIM(UPPER('query (2)'!D689)))))</f>
        <v>HUB3-2</v>
      </c>
      <c r="K689" s="25" t="str">
        <f>IF('query (2)'!D689="","",'query (2)'!D689)</f>
        <v>HUB3-2</v>
      </c>
      <c r="L689" s="24" t="str">
        <f>IF($J689="UNKNOWN","",_xlfn.TEXTBEFORE($J689,{"0","1","2","3","4","5","6","7","8","9"," ","-","."},1,,,$J689))</f>
        <v>HUB</v>
      </c>
      <c r="M689" s="24" t="str">
        <f>IF('query (2)'!I689&lt;&gt;"",TRIM(UPPER('query (2)'!I689)),IF($L689="","UNKNOWN",$L689))</f>
        <v>HUB</v>
      </c>
      <c r="N689" s="24" t="str">
        <f>IF('query (2)'!I689&lt;&gt;"","SOURCE",IF($L689="","UNKNOWN","DERIVED"))</f>
        <v>SOURCE</v>
      </c>
      <c r="O689" s="24" t="str">
        <f>IF('query (2)'!E689="","NOT_SPECIFIED",TRIM(UPPER('query (2)'!E689)))</f>
        <v>GRINDING 2</v>
      </c>
      <c r="P689" s="24" t="str">
        <f>IF('query (2)'!F689="","",TRIM(UPPER('query (2)'!F689)))</f>
        <v>1821-H32G</v>
      </c>
      <c r="Q689" s="24" t="str">
        <f>IF('query (2)'!G689="","UNKNOWN",IFERROR(INDEX(Cleaning_Rules!$B$38:$B$46,MATCH(TRIM(UPPER('query (2)'!G689)),Cleaning_Rules!$A$38:$A$46,0)),"UNKNOWN"))</f>
        <v>OTHER</v>
      </c>
      <c r="R689" s="24" t="str">
        <f>IF('query (2)'!H689="","",TRIM(UPPER('query (2)'!H689)))</f>
        <v>INDUCTION HEAT TREATMENT MACHINE FOR SPINDLE</v>
      </c>
      <c r="S689" s="25" t="str">
        <f>IF('query (2)'!H689="","",'query (2)'!H689)</f>
        <v>Induction Heat Treatment Machine for spindle</v>
      </c>
      <c r="T689" s="24" t="str">
        <f>IF('query (2)'!J689="","",TRIM(UPPER('query (2)'!J689)))</f>
        <v>INDUCTION HEAT TREATMENT MACHINE FOR SPINDLE</v>
      </c>
      <c r="U689" s="24" t="str">
        <f t="shared" si="73"/>
        <v/>
      </c>
      <c r="V689" s="24" t="str">
        <f>IF('query (2)'!K689="","NOT_SPECIFIED",IFERROR(INDEX(Cleaning_Rules!$B$32:$B$34,MATCH(TRIM(UPPER('query (2)'!K689)),Cleaning_Rules!$A$32:$A$34,0)),"UNKNOWN"))</f>
        <v>NOT_SPECIFIED</v>
      </c>
      <c r="W689" s="24" t="str">
        <f t="shared" si="74"/>
        <v>IH-763 | FACTORY3 | HUB3-2 | HUB | GRINDING 2 | 1821-H32G | OTHER | INDUCTION HEAT TREATMENT MACHINE FOR SPINDLE | INDUCTION HEAT TREATMENT MACHINE FOR SPINDLE | NOT_SPECIFIED</v>
      </c>
      <c r="X689" s="24" t="str">
        <f t="shared" si="75"/>
        <v/>
      </c>
      <c r="Y689" s="24" t="str">
        <f t="shared" si="76"/>
        <v>MISSING_STATUS; CATEGORY_NOT_USEFUL</v>
      </c>
    </row>
    <row r="690" spans="1:25" x14ac:dyDescent="0.3">
      <c r="A690" s="24" t="str">
        <f t="shared" si="70"/>
        <v>MA-764#0689</v>
      </c>
      <c r="B690" s="24" t="str">
        <f>IF('query (2)'!B690="","",TRIM(UPPER('query (2)'!B690)))</f>
        <v>MA-764</v>
      </c>
      <c r="C690" s="25" t="str">
        <f>IF('query (2)'!B690="","",'query (2)'!B690)</f>
        <v>MA-764</v>
      </c>
      <c r="D690" s="24" t="str">
        <f t="shared" si="71"/>
        <v>MA</v>
      </c>
      <c r="E690" s="24">
        <f t="shared" si="72"/>
        <v>1</v>
      </c>
      <c r="F690" s="24">
        <f>IF('query (2)'!A690="","",IFERROR(VALUE('query (2)'!A690),""))</f>
        <v>708</v>
      </c>
      <c r="G690" s="24" t="str">
        <f>IF('query (2)'!C690="","UNKNOWN",IFERROR(INDEX(Cleaning_Rules!$B$15:$B$20,MATCH(TRIM(UPPER('query (2)'!C690)),Cleaning_Rules!$A$15:$A$20,0)),"UNKNOWN"))</f>
        <v>FACTORY3</v>
      </c>
      <c r="H690" s="25" t="str">
        <f>IF('query (2)'!C690="","",'query (2)'!C690)</f>
        <v>FACTORY3</v>
      </c>
      <c r="I690" s="24" t="str" cm="1">
        <f t="array" ref="I690">_xlfn.IFS($G690="UNKNOWN","UNKNOWN",OR($G690="FACTORY1",$G690="FACTORY2",$G690="FACTORY3"),"PLANT",TRUE,"SHARED")</f>
        <v>PLANT</v>
      </c>
      <c r="J690" s="24" t="str">
        <f>IF('query (2)'!D690="","UNKNOWN",IF(COUNTIF(Cleaning_Rules!$A$6:$A$11,TRIM('query (2)'!D690))&gt;0,"UNKNOWN",IFERROR(INDEX(Cleaning_Rules!$B$24:$B$28,MATCH(TRIM(UPPER('query (2)'!D690)),Cleaning_Rules!$A$24:$A$28,0)),TRIM(UPPER('query (2)'!D690)))))</f>
        <v>HUB3-2</v>
      </c>
      <c r="K690" s="25" t="str">
        <f>IF('query (2)'!D690="","",'query (2)'!D690)</f>
        <v>HUB3-2</v>
      </c>
      <c r="L690" s="24" t="str">
        <f>IF($J690="UNKNOWN","",_xlfn.TEXTBEFORE($J690,{"0","1","2","3","4","5","6","7","8","9"," ","-","."},1,,,$J690))</f>
        <v>HUB</v>
      </c>
      <c r="M690" s="24" t="str">
        <f>IF('query (2)'!I690&lt;&gt;"",TRIM(UPPER('query (2)'!I690)),IF($L690="","UNKNOWN",$L690))</f>
        <v>HUB</v>
      </c>
      <c r="N690" s="24" t="str">
        <f>IF('query (2)'!I690&lt;&gt;"","SOURCE",IF($L690="","UNKNOWN","DERIVED"))</f>
        <v>SOURCE</v>
      </c>
      <c r="O690" s="24" t="str">
        <f>IF('query (2)'!E690="","NOT_SPECIFIED",TRIM(UPPER('query (2)'!E690)))</f>
        <v>GRINDING 2</v>
      </c>
      <c r="P690" s="24" t="str">
        <f>IF('query (2)'!F690="","",TRIM(UPPER('query (2)'!F690)))</f>
        <v>1821-H32G</v>
      </c>
      <c r="Q690" s="24" t="str">
        <f>IF('query (2)'!G690="","UNKNOWN",IFERROR(INDEX(Cleaning_Rules!$B$38:$B$46,MATCH(TRIM(UPPER('query (2)'!G690)),Cleaning_Rules!$A$38:$A$46,0)),"UNKNOWN"))</f>
        <v>OTHER</v>
      </c>
      <c r="R690" s="24" t="str">
        <f>IF('query (2)'!H690="","",TRIM(UPPER('query (2)'!H690)))</f>
        <v>MARKING UNIT FOR OUTER RING</v>
      </c>
      <c r="S690" s="25" t="str">
        <f>IF('query (2)'!H690="","",'query (2)'!H690)</f>
        <v>Marking Unit for outer ring</v>
      </c>
      <c r="T690" s="24" t="str">
        <f>IF('query (2)'!J690="","",TRIM(UPPER('query (2)'!J690)))</f>
        <v>MARKING UNIT FOR OUTER RING</v>
      </c>
      <c r="U690" s="24" t="str">
        <f t="shared" si="73"/>
        <v/>
      </c>
      <c r="V690" s="24" t="str">
        <f>IF('query (2)'!K690="","NOT_SPECIFIED",IFERROR(INDEX(Cleaning_Rules!$B$32:$B$34,MATCH(TRIM(UPPER('query (2)'!K690)),Cleaning_Rules!$A$32:$A$34,0)),"UNKNOWN"))</f>
        <v>NOT_SPECIFIED</v>
      </c>
      <c r="W690" s="24" t="str">
        <f t="shared" si="74"/>
        <v>MA-764 | FACTORY3 | HUB3-2 | HUB | GRINDING 2 | 1821-H32G | OTHER | MARKING UNIT FOR OUTER RING | MARKING UNIT FOR OUTER RING | NOT_SPECIFIED</v>
      </c>
      <c r="X690" s="24" t="str">
        <f t="shared" si="75"/>
        <v/>
      </c>
      <c r="Y690" s="24" t="str">
        <f t="shared" si="76"/>
        <v>MISSING_STATUS; CATEGORY_NOT_USEFUL</v>
      </c>
    </row>
    <row r="691" spans="1:25" x14ac:dyDescent="0.3">
      <c r="A691" s="24" t="str">
        <f t="shared" si="70"/>
        <v>GR-054#0690</v>
      </c>
      <c r="B691" s="24" t="str">
        <f>IF('query (2)'!B691="","",TRIM(UPPER('query (2)'!B691)))</f>
        <v>GR-054</v>
      </c>
      <c r="C691" s="25" t="str">
        <f>IF('query (2)'!B691="","",'query (2)'!B691)</f>
        <v>GR-054</v>
      </c>
      <c r="D691" s="24" t="str">
        <f t="shared" si="71"/>
        <v>GR</v>
      </c>
      <c r="E691" s="24">
        <f t="shared" si="72"/>
        <v>1</v>
      </c>
      <c r="F691" s="24">
        <f>IF('query (2)'!A691="","",IFERROR(VALUE('query (2)'!A691),""))</f>
        <v>709</v>
      </c>
      <c r="G691" s="24" t="str">
        <f>IF('query (2)'!C691="","UNKNOWN",IFERROR(INDEX(Cleaning_Rules!$B$15:$B$20,MATCH(TRIM(UPPER('query (2)'!C691)),Cleaning_Rules!$A$15:$A$20,0)),"UNKNOWN"))</f>
        <v>FACTORY3</v>
      </c>
      <c r="H691" s="25" t="str">
        <f>IF('query (2)'!C691="","",'query (2)'!C691)</f>
        <v>FACTORY3</v>
      </c>
      <c r="I691" s="24" t="str" cm="1">
        <f t="array" ref="I691">_xlfn.IFS($G691="UNKNOWN","UNKNOWN",OR($G691="FACTORY1",$G691="FACTORY2",$G691="FACTORY3"),"PLANT",TRUE,"SHARED")</f>
        <v>PLANT</v>
      </c>
      <c r="J691" s="24" t="str">
        <f>IF('query (2)'!D691="","UNKNOWN",IF(COUNTIF(Cleaning_Rules!$A$6:$A$11,TRIM('query (2)'!D691))&gt;0,"UNKNOWN",IFERROR(INDEX(Cleaning_Rules!$B$24:$B$28,MATCH(TRIM(UPPER('query (2)'!D691)),Cleaning_Rules!$A$24:$A$28,0)),TRIM(UPPER('query (2)'!D691)))))</f>
        <v>BWD1</v>
      </c>
      <c r="K691" s="25" t="str">
        <f>IF('query (2)'!D691="","",'query (2)'!D691)</f>
        <v>BWD1</v>
      </c>
      <c r="L691" s="24" t="str">
        <f>IF($J691="UNKNOWN","",_xlfn.TEXTBEFORE($J691,{"0","1","2","3","4","5","6","7","8","9"," ","-","."},1,,,$J691))</f>
        <v>BWD</v>
      </c>
      <c r="M691" s="24" t="str">
        <f>IF('query (2)'!I691&lt;&gt;"",TRIM(UPPER('query (2)'!I691)),IF($L691="","UNKNOWN",$L691))</f>
        <v>BWD</v>
      </c>
      <c r="N691" s="24" t="str">
        <f>IF('query (2)'!I691&lt;&gt;"","SOURCE",IF($L691="","UNKNOWN","DERIVED"))</f>
        <v>SOURCE</v>
      </c>
      <c r="O691" s="24" t="str">
        <f>IF('query (2)'!E691="","NOT_SPECIFIED",TRIM(UPPER('query (2)'!E691)))</f>
        <v>GRINDING 2</v>
      </c>
      <c r="P691" s="24" t="str">
        <f>IF('query (2)'!F691="","",TRIM(UPPER('query (2)'!F691)))</f>
        <v>1104-BW1G</v>
      </c>
      <c r="Q691" s="24" t="str">
        <f>IF('query (2)'!G691="","UNKNOWN",IFERROR(INDEX(Cleaning_Rules!$B$38:$B$46,MATCH(TRIM(UPPER('query (2)'!G691)),Cleaning_Rules!$A$38:$A$46,0)),"UNKNOWN"))</f>
        <v>OTHER</v>
      </c>
      <c r="R691" s="24" t="str">
        <f>IF('query (2)'!H691="","",TRIM(UPPER('query (2)'!H691)))</f>
        <v>OUTER RING RACEWAY GRINDING M/C</v>
      </c>
      <c r="S691" s="25" t="str">
        <f>IF('query (2)'!H691="","",'query (2)'!H691)</f>
        <v>Outer ring raceway grinding M/C</v>
      </c>
      <c r="T691" s="24" t="str">
        <f>IF('query (2)'!J691="","",TRIM(UPPER('query (2)'!J691)))</f>
        <v>A - RACEWAY GRINDING</v>
      </c>
      <c r="U691" s="24" t="str">
        <f t="shared" si="73"/>
        <v/>
      </c>
      <c r="V691" s="24" t="str">
        <f>IF('query (2)'!K691="","NOT_SPECIFIED",IFERROR(INDEX(Cleaning_Rules!$B$32:$B$34,MATCH(TRIM(UPPER('query (2)'!K691)),Cleaning_Rules!$A$32:$A$34,0)),"UNKNOWN"))</f>
        <v>NOT_SPECIFIED</v>
      </c>
      <c r="W691" s="24" t="str">
        <f t="shared" si="74"/>
        <v>GR-054 | FACTORY3 | BWD1 | BWD | GRINDING 2 | 1104-BW1G | OTHER | OUTER RING RACEWAY GRINDING M/C | A - RACEWAY GRINDING | NOT_SPECIFIED</v>
      </c>
      <c r="X691" s="24" t="str">
        <f t="shared" si="75"/>
        <v/>
      </c>
      <c r="Y691" s="24" t="str">
        <f t="shared" si="76"/>
        <v>MISSING_STATUS; CATEGORY_NOT_USEFUL</v>
      </c>
    </row>
    <row r="692" spans="1:25" x14ac:dyDescent="0.3">
      <c r="A692" s="24" t="str">
        <f t="shared" si="70"/>
        <v>FI-055#0691</v>
      </c>
      <c r="B692" s="24" t="str">
        <f>IF('query (2)'!B692="","",TRIM(UPPER('query (2)'!B692)))</f>
        <v>FI-055</v>
      </c>
      <c r="C692" s="25" t="str">
        <f>IF('query (2)'!B692="","",'query (2)'!B692)</f>
        <v>FI-055</v>
      </c>
      <c r="D692" s="24" t="str">
        <f t="shared" si="71"/>
        <v>FI</v>
      </c>
      <c r="E692" s="24">
        <f t="shared" si="72"/>
        <v>1</v>
      </c>
      <c r="F692" s="24">
        <f>IF('query (2)'!A692="","",IFERROR(VALUE('query (2)'!A692),""))</f>
        <v>710</v>
      </c>
      <c r="G692" s="24" t="str">
        <f>IF('query (2)'!C692="","UNKNOWN",IFERROR(INDEX(Cleaning_Rules!$B$15:$B$20,MATCH(TRIM(UPPER('query (2)'!C692)),Cleaning_Rules!$A$15:$A$20,0)),"UNKNOWN"))</f>
        <v>FACTORY3</v>
      </c>
      <c r="H692" s="25" t="str">
        <f>IF('query (2)'!C692="","",'query (2)'!C692)</f>
        <v>FACTORY3</v>
      </c>
      <c r="I692" s="24" t="str" cm="1">
        <f t="array" ref="I692">_xlfn.IFS($G692="UNKNOWN","UNKNOWN",OR($G692="FACTORY1",$G692="FACTORY2",$G692="FACTORY3"),"PLANT",TRUE,"SHARED")</f>
        <v>PLANT</v>
      </c>
      <c r="J692" s="24" t="str">
        <f>IF('query (2)'!D692="","UNKNOWN",IF(COUNTIF(Cleaning_Rules!$A$6:$A$11,TRIM('query (2)'!D692))&gt;0,"UNKNOWN",IFERROR(INDEX(Cleaning_Rules!$B$24:$B$28,MATCH(TRIM(UPPER('query (2)'!D692)),Cleaning_Rules!$A$24:$A$28,0)),TRIM(UPPER('query (2)'!D692)))))</f>
        <v>BWD1</v>
      </c>
      <c r="K692" s="25" t="str">
        <f>IF('query (2)'!D692="","",'query (2)'!D692)</f>
        <v>BWD1</v>
      </c>
      <c r="L692" s="24" t="str">
        <f>IF($J692="UNKNOWN","",_xlfn.TEXTBEFORE($J692,{"0","1","2","3","4","5","6","7","8","9"," ","-","."},1,,,$J692))</f>
        <v>BWD</v>
      </c>
      <c r="M692" s="24" t="str">
        <f>IF('query (2)'!I692&lt;&gt;"",TRIM(UPPER('query (2)'!I692)),IF($L692="","UNKNOWN",$L692))</f>
        <v>BWD</v>
      </c>
      <c r="N692" s="24" t="str">
        <f>IF('query (2)'!I692&lt;&gt;"","SOURCE",IF($L692="","UNKNOWN","DERIVED"))</f>
        <v>SOURCE</v>
      </c>
      <c r="O692" s="24" t="str">
        <f>IF('query (2)'!E692="","NOT_SPECIFIED",TRIM(UPPER('query (2)'!E692)))</f>
        <v>GRINDING 2</v>
      </c>
      <c r="P692" s="24" t="str">
        <f>IF('query (2)'!F692="","",TRIM(UPPER('query (2)'!F692)))</f>
        <v>1104-BW1G</v>
      </c>
      <c r="Q692" s="24" t="str">
        <f>IF('query (2)'!G692="","UNKNOWN",IFERROR(INDEX(Cleaning_Rules!$B$38:$B$46,MATCH(TRIM(UPPER('query (2)'!G692)),Cleaning_Rules!$A$38:$A$46,0)),"UNKNOWN"))</f>
        <v>OTHER</v>
      </c>
      <c r="R692" s="24" t="str">
        <f>IF('query (2)'!H692="","",TRIM(UPPER('query (2)'!H692)))</f>
        <v>MAGNET FILTER COOLANT TANK NO.2</v>
      </c>
      <c r="S692" s="25" t="str">
        <f>IF('query (2)'!H692="","",'query (2)'!H692)</f>
        <v>Magnet filter coolant tank NO.2</v>
      </c>
      <c r="T692" s="24" t="str">
        <f>IF('query (2)'!J692="","",TRIM(UPPER('query (2)'!J692)))</f>
        <v/>
      </c>
      <c r="U692" s="24" t="str">
        <f t="shared" si="73"/>
        <v/>
      </c>
      <c r="V692" s="24" t="str">
        <f>IF('query (2)'!K692="","NOT_SPECIFIED",IFERROR(INDEX(Cleaning_Rules!$B$32:$B$34,MATCH(TRIM(UPPER('query (2)'!K692)),Cleaning_Rules!$A$32:$A$34,0)),"UNKNOWN"))</f>
        <v>NOT_SPECIFIED</v>
      </c>
      <c r="W692" s="24" t="str">
        <f t="shared" si="74"/>
        <v>FI-055 | FACTORY3 | BWD1 | BWD | GRINDING 2 | 1104-BW1G | OTHER | MAGNET FILTER COOLANT TANK NO.2 | NOT_SPECIFIED</v>
      </c>
      <c r="X692" s="24" t="str">
        <f t="shared" si="75"/>
        <v/>
      </c>
      <c r="Y692" s="24" t="str">
        <f t="shared" si="76"/>
        <v>MISSING_STATUS; CATEGORY_NOT_USEFUL; MISSING_PRODUCTION_NAME</v>
      </c>
    </row>
    <row r="693" spans="1:25" x14ac:dyDescent="0.3">
      <c r="A693" s="24" t="str">
        <f t="shared" si="70"/>
        <v>DE-056#0692</v>
      </c>
      <c r="B693" s="24" t="str">
        <f>IF('query (2)'!B693="","",TRIM(UPPER('query (2)'!B693)))</f>
        <v>DE-056</v>
      </c>
      <c r="C693" s="25" t="str">
        <f>IF('query (2)'!B693="","",'query (2)'!B693)</f>
        <v>DE-056</v>
      </c>
      <c r="D693" s="24" t="str">
        <f t="shared" si="71"/>
        <v>DE</v>
      </c>
      <c r="E693" s="24">
        <f t="shared" si="72"/>
        <v>1</v>
      </c>
      <c r="F693" s="24">
        <f>IF('query (2)'!A693="","",IFERROR(VALUE('query (2)'!A693),""))</f>
        <v>711</v>
      </c>
      <c r="G693" s="24" t="str">
        <f>IF('query (2)'!C693="","UNKNOWN",IFERROR(INDEX(Cleaning_Rules!$B$15:$B$20,MATCH(TRIM(UPPER('query (2)'!C693)),Cleaning_Rules!$A$15:$A$20,0)),"UNKNOWN"))</f>
        <v>FACTORY3</v>
      </c>
      <c r="H693" s="25" t="str">
        <f>IF('query (2)'!C693="","",'query (2)'!C693)</f>
        <v>FACTORY3</v>
      </c>
      <c r="I693" s="24" t="str" cm="1">
        <f t="array" ref="I693">_xlfn.IFS($G693="UNKNOWN","UNKNOWN",OR($G693="FACTORY1",$G693="FACTORY2",$G693="FACTORY3"),"PLANT",TRUE,"SHARED")</f>
        <v>PLANT</v>
      </c>
      <c r="J693" s="24" t="str">
        <f>IF('query (2)'!D693="","UNKNOWN",IF(COUNTIF(Cleaning_Rules!$A$6:$A$11,TRIM('query (2)'!D693))&gt;0,"UNKNOWN",IFERROR(INDEX(Cleaning_Rules!$B$24:$B$28,MATCH(TRIM(UPPER('query (2)'!D693)),Cleaning_Rules!$A$24:$A$28,0)),TRIM(UPPER('query (2)'!D693)))))</f>
        <v>BWD1</v>
      </c>
      <c r="K693" s="25" t="str">
        <f>IF('query (2)'!D693="","",'query (2)'!D693)</f>
        <v>BWD1</v>
      </c>
      <c r="L693" s="24" t="str">
        <f>IF($J693="UNKNOWN","",_xlfn.TEXTBEFORE($J693,{"0","1","2","3","4","5","6","7","8","9"," ","-","."},1,,,$J693))</f>
        <v>BWD</v>
      </c>
      <c r="M693" s="24" t="str">
        <f>IF('query (2)'!I693&lt;&gt;"",TRIM(UPPER('query (2)'!I693)),IF($L693="","UNKNOWN",$L693))</f>
        <v>BWD</v>
      </c>
      <c r="N693" s="24" t="str">
        <f>IF('query (2)'!I693&lt;&gt;"","SOURCE",IF($L693="","UNKNOWN","DERIVED"))</f>
        <v>SOURCE</v>
      </c>
      <c r="O693" s="24" t="str">
        <f>IF('query (2)'!E693="","NOT_SPECIFIED",TRIM(UPPER('query (2)'!E693)))</f>
        <v>GRINDING 2</v>
      </c>
      <c r="P693" s="24" t="str">
        <f>IF('query (2)'!F693="","",TRIM(UPPER('query (2)'!F693)))</f>
        <v>1104-BW1G</v>
      </c>
      <c r="Q693" s="24" t="str">
        <f>IF('query (2)'!G693="","UNKNOWN",IFERROR(INDEX(Cleaning_Rules!$B$38:$B$46,MATCH(TRIM(UPPER('query (2)'!G693)),Cleaning_Rules!$A$38:$A$46,0)),"UNKNOWN"))</f>
        <v>OTHER</v>
      </c>
      <c r="R693" s="24" t="str">
        <f>IF('query (2)'!H693="","",TRIM(UPPER('query (2)'!H693)))</f>
        <v>OUTER RING DEMAGNETIZING M/C</v>
      </c>
      <c r="S693" s="25" t="str">
        <f>IF('query (2)'!H693="","",'query (2)'!H693)</f>
        <v>Outer ring demagnetizing M/C</v>
      </c>
      <c r="T693" s="24" t="str">
        <f>IF('query (2)'!J693="","",TRIM(UPPER('query (2)'!J693)))</f>
        <v>A - DEMAGNETIZING</v>
      </c>
      <c r="U693" s="24" t="str">
        <f t="shared" si="73"/>
        <v/>
      </c>
      <c r="V693" s="24" t="str">
        <f>IF('query (2)'!K693="","NOT_SPECIFIED",IFERROR(INDEX(Cleaning_Rules!$B$32:$B$34,MATCH(TRIM(UPPER('query (2)'!K693)),Cleaning_Rules!$A$32:$A$34,0)),"UNKNOWN"))</f>
        <v>NOT_SPECIFIED</v>
      </c>
      <c r="W693" s="24" t="str">
        <f t="shared" si="74"/>
        <v>DE-056 | FACTORY3 | BWD1 | BWD | GRINDING 2 | 1104-BW1G | OTHER | OUTER RING DEMAGNETIZING M/C | A - DEMAGNETIZING | NOT_SPECIFIED</v>
      </c>
      <c r="X693" s="24" t="str">
        <f t="shared" si="75"/>
        <v/>
      </c>
      <c r="Y693" s="24" t="str">
        <f t="shared" si="76"/>
        <v>MISSING_STATUS; CATEGORY_NOT_USEFUL</v>
      </c>
    </row>
    <row r="694" spans="1:25" x14ac:dyDescent="0.3">
      <c r="A694" s="24" t="str">
        <f t="shared" si="70"/>
        <v>GR-057#0693</v>
      </c>
      <c r="B694" s="24" t="str">
        <f>IF('query (2)'!B694="","",TRIM(UPPER('query (2)'!B694)))</f>
        <v>GR-057</v>
      </c>
      <c r="C694" s="25" t="str">
        <f>IF('query (2)'!B694="","",'query (2)'!B694)</f>
        <v>GR-057</v>
      </c>
      <c r="D694" s="24" t="str">
        <f t="shared" si="71"/>
        <v>GR</v>
      </c>
      <c r="E694" s="24">
        <f t="shared" si="72"/>
        <v>1</v>
      </c>
      <c r="F694" s="24">
        <f>IF('query (2)'!A694="","",IFERROR(VALUE('query (2)'!A694),""))</f>
        <v>712</v>
      </c>
      <c r="G694" s="24" t="str">
        <f>IF('query (2)'!C694="","UNKNOWN",IFERROR(INDEX(Cleaning_Rules!$B$15:$B$20,MATCH(TRIM(UPPER('query (2)'!C694)),Cleaning_Rules!$A$15:$A$20,0)),"UNKNOWN"))</f>
        <v>FACTORY3</v>
      </c>
      <c r="H694" s="25" t="str">
        <f>IF('query (2)'!C694="","",'query (2)'!C694)</f>
        <v>FACTORY3</v>
      </c>
      <c r="I694" s="24" t="str" cm="1">
        <f t="array" ref="I694">_xlfn.IFS($G694="UNKNOWN","UNKNOWN",OR($G694="FACTORY1",$G694="FACTORY2",$G694="FACTORY3"),"PLANT",TRUE,"SHARED")</f>
        <v>PLANT</v>
      </c>
      <c r="J694" s="24" t="str">
        <f>IF('query (2)'!D694="","UNKNOWN",IF(COUNTIF(Cleaning_Rules!$A$6:$A$11,TRIM('query (2)'!D694))&gt;0,"UNKNOWN",IFERROR(INDEX(Cleaning_Rules!$B$24:$B$28,MATCH(TRIM(UPPER('query (2)'!D694)),Cleaning_Rules!$A$24:$A$28,0)),TRIM(UPPER('query (2)'!D694)))))</f>
        <v>BWD1</v>
      </c>
      <c r="K694" s="25" t="str">
        <f>IF('query (2)'!D694="","",'query (2)'!D694)</f>
        <v>BWD1</v>
      </c>
      <c r="L694" s="24" t="str">
        <f>IF($J694="UNKNOWN","",_xlfn.TEXTBEFORE($J694,{"0","1","2","3","4","5","6","7","8","9"," ","-","."},1,,,$J694))</f>
        <v>BWD</v>
      </c>
      <c r="M694" s="24" t="str">
        <f>IF('query (2)'!I694&lt;&gt;"",TRIM(UPPER('query (2)'!I694)),IF($L694="","UNKNOWN",$L694))</f>
        <v>BWD</v>
      </c>
      <c r="N694" s="24" t="str">
        <f>IF('query (2)'!I694&lt;&gt;"","SOURCE",IF($L694="","UNKNOWN","DERIVED"))</f>
        <v>SOURCE</v>
      </c>
      <c r="O694" s="24" t="str">
        <f>IF('query (2)'!E694="","NOT_SPECIFIED",TRIM(UPPER('query (2)'!E694)))</f>
        <v>GRINDING 2</v>
      </c>
      <c r="P694" s="24" t="str">
        <f>IF('query (2)'!F694="","",TRIM(UPPER('query (2)'!F694)))</f>
        <v>1104-BW1G</v>
      </c>
      <c r="Q694" s="24" t="str">
        <f>IF('query (2)'!G694="","UNKNOWN",IFERROR(INDEX(Cleaning_Rules!$B$38:$B$46,MATCH(TRIM(UPPER('query (2)'!G694)),Cleaning_Rules!$A$38:$A$46,0)),"UNKNOWN"))</f>
        <v>OTHER</v>
      </c>
      <c r="R694" s="24" t="str">
        <f>IF('query (2)'!H694="","",TRIM(UPPER('query (2)'!H694)))</f>
        <v>OUTER RING RACEWAY SUPER FINISH M/C</v>
      </c>
      <c r="S694" s="25" t="str">
        <f>IF('query (2)'!H694="","",'query (2)'!H694)</f>
        <v>Outer ring raceway super finish M/C</v>
      </c>
      <c r="T694" s="24" t="str">
        <f>IF('query (2)'!J694="","",TRIM(UPPER('query (2)'!J694)))</f>
        <v>A - RACEWAY SUPER FINISH</v>
      </c>
      <c r="U694" s="24" t="str">
        <f t="shared" si="73"/>
        <v/>
      </c>
      <c r="V694" s="24" t="str">
        <f>IF('query (2)'!K694="","NOT_SPECIFIED",IFERROR(INDEX(Cleaning_Rules!$B$32:$B$34,MATCH(TRIM(UPPER('query (2)'!K694)),Cleaning_Rules!$A$32:$A$34,0)),"UNKNOWN"))</f>
        <v>NOT_SPECIFIED</v>
      </c>
      <c r="W694" s="24" t="str">
        <f t="shared" si="74"/>
        <v>GR-057 | FACTORY3 | BWD1 | BWD | GRINDING 2 | 1104-BW1G | OTHER | OUTER RING RACEWAY SUPER FINISH M/C | A - RACEWAY SUPER FINISH | NOT_SPECIFIED</v>
      </c>
      <c r="X694" s="24" t="str">
        <f t="shared" si="75"/>
        <v/>
      </c>
      <c r="Y694" s="24" t="str">
        <f t="shared" si="76"/>
        <v>MISSING_STATUS; CATEGORY_NOT_USEFUL</v>
      </c>
    </row>
    <row r="695" spans="1:25" x14ac:dyDescent="0.3">
      <c r="A695" s="24" t="str">
        <f t="shared" si="70"/>
        <v>WA-058#0694</v>
      </c>
      <c r="B695" s="24" t="str">
        <f>IF('query (2)'!B695="","",TRIM(UPPER('query (2)'!B695)))</f>
        <v>WA-058</v>
      </c>
      <c r="C695" s="25" t="str">
        <f>IF('query (2)'!B695="","",'query (2)'!B695)</f>
        <v>WA-058</v>
      </c>
      <c r="D695" s="24" t="str">
        <f t="shared" si="71"/>
        <v>WA</v>
      </c>
      <c r="E695" s="24">
        <f t="shared" si="72"/>
        <v>1</v>
      </c>
      <c r="F695" s="24">
        <f>IF('query (2)'!A695="","",IFERROR(VALUE('query (2)'!A695),""))</f>
        <v>713</v>
      </c>
      <c r="G695" s="24" t="str">
        <f>IF('query (2)'!C695="","UNKNOWN",IFERROR(INDEX(Cleaning_Rules!$B$15:$B$20,MATCH(TRIM(UPPER('query (2)'!C695)),Cleaning_Rules!$A$15:$A$20,0)),"UNKNOWN"))</f>
        <v>FACTORY3</v>
      </c>
      <c r="H695" s="25" t="str">
        <f>IF('query (2)'!C695="","",'query (2)'!C695)</f>
        <v>FACTORY3</v>
      </c>
      <c r="I695" s="24" t="str" cm="1">
        <f t="array" ref="I695">_xlfn.IFS($G695="UNKNOWN","UNKNOWN",OR($G695="FACTORY1",$G695="FACTORY2",$G695="FACTORY3"),"PLANT",TRUE,"SHARED")</f>
        <v>PLANT</v>
      </c>
      <c r="J695" s="24" t="str">
        <f>IF('query (2)'!D695="","UNKNOWN",IF(COUNTIF(Cleaning_Rules!$A$6:$A$11,TRIM('query (2)'!D695))&gt;0,"UNKNOWN",IFERROR(INDEX(Cleaning_Rules!$B$24:$B$28,MATCH(TRIM(UPPER('query (2)'!D695)),Cleaning_Rules!$A$24:$A$28,0)),TRIM(UPPER('query (2)'!D695)))))</f>
        <v>BWD1</v>
      </c>
      <c r="K695" s="25" t="str">
        <f>IF('query (2)'!D695="","",'query (2)'!D695)</f>
        <v>BWD1</v>
      </c>
      <c r="L695" s="24" t="str">
        <f>IF($J695="UNKNOWN","",_xlfn.TEXTBEFORE($J695,{"0","1","2","3","4","5","6","7","8","9"," ","-","."},1,,,$J695))</f>
        <v>BWD</v>
      </c>
      <c r="M695" s="24" t="str">
        <f>IF('query (2)'!I695&lt;&gt;"",TRIM(UPPER('query (2)'!I695)),IF($L695="","UNKNOWN",$L695))</f>
        <v>BWD</v>
      </c>
      <c r="N695" s="24" t="str">
        <f>IF('query (2)'!I695&lt;&gt;"","SOURCE",IF($L695="","UNKNOWN","DERIVED"))</f>
        <v>SOURCE</v>
      </c>
      <c r="O695" s="24" t="str">
        <f>IF('query (2)'!E695="","NOT_SPECIFIED",TRIM(UPPER('query (2)'!E695)))</f>
        <v>GRINDING 2</v>
      </c>
      <c r="P695" s="24" t="str">
        <f>IF('query (2)'!F695="","",TRIM(UPPER('query (2)'!F695)))</f>
        <v>1104-BW1G</v>
      </c>
      <c r="Q695" s="24" t="str">
        <f>IF('query (2)'!G695="","UNKNOWN",IFERROR(INDEX(Cleaning_Rules!$B$38:$B$46,MATCH(TRIM(UPPER('query (2)'!G695)),Cleaning_Rules!$A$38:$A$46,0)),"UNKNOWN"))</f>
        <v>OTHER</v>
      </c>
      <c r="R695" s="24" t="str">
        <f>IF('query (2)'!H695="","",TRIM(UPPER('query (2)'!H695)))</f>
        <v>OUTER RING &amp; INNER RING PART WASH EQUIPMENT</v>
      </c>
      <c r="S695" s="25" t="str">
        <f>IF('query (2)'!H695="","",'query (2)'!H695)</f>
        <v>Outer ring &amp; Inner ring  part wash equipment</v>
      </c>
      <c r="T695" s="24" t="str">
        <f>IF('query (2)'!J695="","",TRIM(UPPER('query (2)'!J695)))</f>
        <v/>
      </c>
      <c r="U695" s="24" t="str">
        <f t="shared" si="73"/>
        <v/>
      </c>
      <c r="V695" s="24" t="str">
        <f>IF('query (2)'!K695="","NOT_SPECIFIED",IFERROR(INDEX(Cleaning_Rules!$B$32:$B$34,MATCH(TRIM(UPPER('query (2)'!K695)),Cleaning_Rules!$A$32:$A$34,0)),"UNKNOWN"))</f>
        <v>NOT_SPECIFIED</v>
      </c>
      <c r="W695" s="24" t="str">
        <f t="shared" si="74"/>
        <v>WA-058 | FACTORY3 | BWD1 | BWD | GRINDING 2 | 1104-BW1G | OTHER | OUTER RING &amp; INNER RING PART WASH EQUIPMENT | NOT_SPECIFIED</v>
      </c>
      <c r="X695" s="24" t="str">
        <f t="shared" si="75"/>
        <v/>
      </c>
      <c r="Y695" s="24" t="str">
        <f t="shared" si="76"/>
        <v>MISSING_STATUS; CATEGORY_NOT_USEFUL; MISSING_PRODUCTION_NAME</v>
      </c>
    </row>
    <row r="696" spans="1:25" x14ac:dyDescent="0.3">
      <c r="A696" s="24" t="str">
        <f t="shared" si="70"/>
        <v>GR-062#0695</v>
      </c>
      <c r="B696" s="24" t="str">
        <f>IF('query (2)'!B696="","",TRIM(UPPER('query (2)'!B696)))</f>
        <v>GR-062</v>
      </c>
      <c r="C696" s="25" t="str">
        <f>IF('query (2)'!B696="","",'query (2)'!B696)</f>
        <v>GR-062</v>
      </c>
      <c r="D696" s="24" t="str">
        <f t="shared" si="71"/>
        <v>GR</v>
      </c>
      <c r="E696" s="24">
        <f t="shared" si="72"/>
        <v>1</v>
      </c>
      <c r="F696" s="24">
        <f>IF('query (2)'!A696="","",IFERROR(VALUE('query (2)'!A696),""))</f>
        <v>714</v>
      </c>
      <c r="G696" s="24" t="str">
        <f>IF('query (2)'!C696="","UNKNOWN",IFERROR(INDEX(Cleaning_Rules!$B$15:$B$20,MATCH(TRIM(UPPER('query (2)'!C696)),Cleaning_Rules!$A$15:$A$20,0)),"UNKNOWN"))</f>
        <v>FACTORY3</v>
      </c>
      <c r="H696" s="25" t="str">
        <f>IF('query (2)'!C696="","",'query (2)'!C696)</f>
        <v>FACTORY3</v>
      </c>
      <c r="I696" s="24" t="str" cm="1">
        <f t="array" ref="I696">_xlfn.IFS($G696="UNKNOWN","UNKNOWN",OR($G696="FACTORY1",$G696="FACTORY2",$G696="FACTORY3"),"PLANT",TRUE,"SHARED")</f>
        <v>PLANT</v>
      </c>
      <c r="J696" s="24" t="str">
        <f>IF('query (2)'!D696="","UNKNOWN",IF(COUNTIF(Cleaning_Rules!$A$6:$A$11,TRIM('query (2)'!D696))&gt;0,"UNKNOWN",IFERROR(INDEX(Cleaning_Rules!$B$24:$B$28,MATCH(TRIM(UPPER('query (2)'!D696)),Cleaning_Rules!$A$24:$A$28,0)),TRIM(UPPER('query (2)'!D696)))))</f>
        <v>BWD1</v>
      </c>
      <c r="K696" s="25" t="str">
        <f>IF('query (2)'!D696="","",'query (2)'!D696)</f>
        <v>BWD1</v>
      </c>
      <c r="L696" s="24" t="str">
        <f>IF($J696="UNKNOWN","",_xlfn.TEXTBEFORE($J696,{"0","1","2","3","4","5","6","7","8","9"," ","-","."},1,,,$J696))</f>
        <v>BWD</v>
      </c>
      <c r="M696" s="24" t="str">
        <f>IF('query (2)'!I696&lt;&gt;"",TRIM(UPPER('query (2)'!I696)),IF($L696="","UNKNOWN",$L696))</f>
        <v>BWD</v>
      </c>
      <c r="N696" s="24" t="str">
        <f>IF('query (2)'!I696&lt;&gt;"","SOURCE",IF($L696="","UNKNOWN","DERIVED"))</f>
        <v>SOURCE</v>
      </c>
      <c r="O696" s="24" t="str">
        <f>IF('query (2)'!E696="","NOT_SPECIFIED",TRIM(UPPER('query (2)'!E696)))</f>
        <v>GRINDING 2</v>
      </c>
      <c r="P696" s="24" t="str">
        <f>IF('query (2)'!F696="","",TRIM(UPPER('query (2)'!F696)))</f>
        <v>1104-BW1G</v>
      </c>
      <c r="Q696" s="24" t="str">
        <f>IF('query (2)'!G696="","UNKNOWN",IFERROR(INDEX(Cleaning_Rules!$B$38:$B$46,MATCH(TRIM(UPPER('query (2)'!G696)),Cleaning_Rules!$A$38:$A$46,0)),"UNKNOWN"))</f>
        <v>OTHER</v>
      </c>
      <c r="R696" s="24" t="str">
        <f>IF('query (2)'!H696="","",TRIM(UPPER('query (2)'!H696)))</f>
        <v>INNER RING RACEWAY GRINDING M/C</v>
      </c>
      <c r="S696" s="25" t="str">
        <f>IF('query (2)'!H696="","",'query (2)'!H696)</f>
        <v>Inner ring raceway grinding M/C</v>
      </c>
      <c r="T696" s="24" t="str">
        <f>IF('query (2)'!J696="","",TRIM(UPPER('query (2)'!J696)))</f>
        <v/>
      </c>
      <c r="U696" s="24" t="str">
        <f t="shared" si="73"/>
        <v/>
      </c>
      <c r="V696" s="24" t="str">
        <f>IF('query (2)'!K696="","NOT_SPECIFIED",IFERROR(INDEX(Cleaning_Rules!$B$32:$B$34,MATCH(TRIM(UPPER('query (2)'!K696)),Cleaning_Rules!$A$32:$A$34,0)),"UNKNOWN"))</f>
        <v>NOT_SPECIFIED</v>
      </c>
      <c r="W696" s="24" t="str">
        <f t="shared" si="74"/>
        <v>GR-062 | FACTORY3 | BWD1 | BWD | GRINDING 2 | 1104-BW1G | OTHER | INNER RING RACEWAY GRINDING M/C | NOT_SPECIFIED</v>
      </c>
      <c r="X696" s="24" t="str">
        <f t="shared" si="75"/>
        <v/>
      </c>
      <c r="Y696" s="24" t="str">
        <f t="shared" si="76"/>
        <v>MISSING_STATUS; CATEGORY_NOT_USEFUL; MISSING_PRODUCTION_NAME</v>
      </c>
    </row>
    <row r="697" spans="1:25" x14ac:dyDescent="0.3">
      <c r="A697" s="24" t="str">
        <f t="shared" si="70"/>
        <v>GR-064#0696</v>
      </c>
      <c r="B697" s="24" t="str">
        <f>IF('query (2)'!B697="","",TRIM(UPPER('query (2)'!B697)))</f>
        <v>GR-064</v>
      </c>
      <c r="C697" s="25" t="str">
        <f>IF('query (2)'!B697="","",'query (2)'!B697)</f>
        <v>GR-064</v>
      </c>
      <c r="D697" s="24" t="str">
        <f t="shared" si="71"/>
        <v>GR</v>
      </c>
      <c r="E697" s="24">
        <f t="shared" si="72"/>
        <v>1</v>
      </c>
      <c r="F697" s="24">
        <f>IF('query (2)'!A697="","",IFERROR(VALUE('query (2)'!A697),""))</f>
        <v>715</v>
      </c>
      <c r="G697" s="24" t="str">
        <f>IF('query (2)'!C697="","UNKNOWN",IFERROR(INDEX(Cleaning_Rules!$B$15:$B$20,MATCH(TRIM(UPPER('query (2)'!C697)),Cleaning_Rules!$A$15:$A$20,0)),"UNKNOWN"))</f>
        <v>FACTORY3</v>
      </c>
      <c r="H697" s="25" t="str">
        <f>IF('query (2)'!C697="","",'query (2)'!C697)</f>
        <v>FACTORY3</v>
      </c>
      <c r="I697" s="24" t="str" cm="1">
        <f t="array" ref="I697">_xlfn.IFS($G697="UNKNOWN","UNKNOWN",OR($G697="FACTORY1",$G697="FACTORY2",$G697="FACTORY3"),"PLANT",TRUE,"SHARED")</f>
        <v>PLANT</v>
      </c>
      <c r="J697" s="24" t="str">
        <f>IF('query (2)'!D697="","UNKNOWN",IF(COUNTIF(Cleaning_Rules!$A$6:$A$11,TRIM('query (2)'!D697))&gt;0,"UNKNOWN",IFERROR(INDEX(Cleaning_Rules!$B$24:$B$28,MATCH(TRIM(UPPER('query (2)'!D697)),Cleaning_Rules!$A$24:$A$28,0)),TRIM(UPPER('query (2)'!D697)))))</f>
        <v>BWD1</v>
      </c>
      <c r="K697" s="25" t="str">
        <f>IF('query (2)'!D697="","",'query (2)'!D697)</f>
        <v>BWD1</v>
      </c>
      <c r="L697" s="24" t="str">
        <f>IF($J697="UNKNOWN","",_xlfn.TEXTBEFORE($J697,{"0","1","2","3","4","5","6","7","8","9"," ","-","."},1,,,$J697))</f>
        <v>BWD</v>
      </c>
      <c r="M697" s="24" t="str">
        <f>IF('query (2)'!I697&lt;&gt;"",TRIM(UPPER('query (2)'!I697)),IF($L697="","UNKNOWN",$L697))</f>
        <v>BWD</v>
      </c>
      <c r="N697" s="24" t="str">
        <f>IF('query (2)'!I697&lt;&gt;"","SOURCE",IF($L697="","UNKNOWN","DERIVED"))</f>
        <v>SOURCE</v>
      </c>
      <c r="O697" s="24" t="str">
        <f>IF('query (2)'!E697="","NOT_SPECIFIED",TRIM(UPPER('query (2)'!E697)))</f>
        <v>GRINDING 2</v>
      </c>
      <c r="P697" s="24" t="str">
        <f>IF('query (2)'!F697="","",TRIM(UPPER('query (2)'!F697)))</f>
        <v>1104-BW1G</v>
      </c>
      <c r="Q697" s="24" t="str">
        <f>IF('query (2)'!G697="","UNKNOWN",IFERROR(INDEX(Cleaning_Rules!$B$38:$B$46,MATCH(TRIM(UPPER('query (2)'!G697)),Cleaning_Rules!$A$38:$A$46,0)),"UNKNOWN"))</f>
        <v>OTHER</v>
      </c>
      <c r="R697" s="24" t="str">
        <f>IF('query (2)'!H697="","",TRIM(UPPER('query (2)'!H697)))</f>
        <v>INNER RING BORE GRINDING M/C</v>
      </c>
      <c r="S697" s="25" t="str">
        <f>IF('query (2)'!H697="","",'query (2)'!H697)</f>
        <v>Inner ring bore grinding M/C</v>
      </c>
      <c r="T697" s="24" t="str">
        <f>IF('query (2)'!J697="","",TRIM(UPPER('query (2)'!J697)))</f>
        <v/>
      </c>
      <c r="U697" s="24" t="str">
        <f t="shared" si="73"/>
        <v/>
      </c>
      <c r="V697" s="24" t="str">
        <f>IF('query (2)'!K697="","NOT_SPECIFIED",IFERROR(INDEX(Cleaning_Rules!$B$32:$B$34,MATCH(TRIM(UPPER('query (2)'!K697)),Cleaning_Rules!$A$32:$A$34,0)),"UNKNOWN"))</f>
        <v>NOT_SPECIFIED</v>
      </c>
      <c r="W697" s="24" t="str">
        <f t="shared" si="74"/>
        <v>GR-064 | FACTORY3 | BWD1 | BWD | GRINDING 2 | 1104-BW1G | OTHER | INNER RING BORE GRINDING M/C | NOT_SPECIFIED</v>
      </c>
      <c r="X697" s="24" t="str">
        <f t="shared" si="75"/>
        <v/>
      </c>
      <c r="Y697" s="24" t="str">
        <f t="shared" si="76"/>
        <v>MISSING_STATUS; CATEGORY_NOT_USEFUL; MISSING_PRODUCTION_NAME</v>
      </c>
    </row>
    <row r="698" spans="1:25" x14ac:dyDescent="0.3">
      <c r="A698" s="24" t="str">
        <f t="shared" si="70"/>
        <v>GR-068#0697</v>
      </c>
      <c r="B698" s="24" t="str">
        <f>IF('query (2)'!B698="","",TRIM(UPPER('query (2)'!B698)))</f>
        <v>GR-068</v>
      </c>
      <c r="C698" s="25" t="str">
        <f>IF('query (2)'!B698="","",'query (2)'!B698)</f>
        <v>GR-068</v>
      </c>
      <c r="D698" s="24" t="str">
        <f t="shared" si="71"/>
        <v>GR</v>
      </c>
      <c r="E698" s="24">
        <f t="shared" si="72"/>
        <v>1</v>
      </c>
      <c r="F698" s="24">
        <f>IF('query (2)'!A698="","",IFERROR(VALUE('query (2)'!A698),""))</f>
        <v>716</v>
      </c>
      <c r="G698" s="24" t="str">
        <f>IF('query (2)'!C698="","UNKNOWN",IFERROR(INDEX(Cleaning_Rules!$B$15:$B$20,MATCH(TRIM(UPPER('query (2)'!C698)),Cleaning_Rules!$A$15:$A$20,0)),"UNKNOWN"))</f>
        <v>FACTORY3</v>
      </c>
      <c r="H698" s="25" t="str">
        <f>IF('query (2)'!C698="","",'query (2)'!C698)</f>
        <v>FACTORY3</v>
      </c>
      <c r="I698" s="24" t="str" cm="1">
        <f t="array" ref="I698">_xlfn.IFS($G698="UNKNOWN","UNKNOWN",OR($G698="FACTORY1",$G698="FACTORY2",$G698="FACTORY3"),"PLANT",TRUE,"SHARED")</f>
        <v>PLANT</v>
      </c>
      <c r="J698" s="24" t="str">
        <f>IF('query (2)'!D698="","UNKNOWN",IF(COUNTIF(Cleaning_Rules!$A$6:$A$11,TRIM('query (2)'!D698))&gt;0,"UNKNOWN",IFERROR(INDEX(Cleaning_Rules!$B$24:$B$28,MATCH(TRIM(UPPER('query (2)'!D698)),Cleaning_Rules!$A$24:$A$28,0)),TRIM(UPPER('query (2)'!D698)))))</f>
        <v>BWD1</v>
      </c>
      <c r="K698" s="25" t="str">
        <f>IF('query (2)'!D698="","",'query (2)'!D698)</f>
        <v>BWD1</v>
      </c>
      <c r="L698" s="24" t="str">
        <f>IF($J698="UNKNOWN","",_xlfn.TEXTBEFORE($J698,{"0","1","2","3","4","5","6","7","8","9"," ","-","."},1,,,$J698))</f>
        <v>BWD</v>
      </c>
      <c r="M698" s="24" t="str">
        <f>IF('query (2)'!I698&lt;&gt;"",TRIM(UPPER('query (2)'!I698)),IF($L698="","UNKNOWN",$L698))</f>
        <v>BWD</v>
      </c>
      <c r="N698" s="24" t="str">
        <f>IF('query (2)'!I698&lt;&gt;"","SOURCE",IF($L698="","UNKNOWN","DERIVED"))</f>
        <v>SOURCE</v>
      </c>
      <c r="O698" s="24" t="str">
        <f>IF('query (2)'!E698="","NOT_SPECIFIED",TRIM(UPPER('query (2)'!E698)))</f>
        <v>GRINDING 2</v>
      </c>
      <c r="P698" s="24" t="str">
        <f>IF('query (2)'!F698="","",TRIM(UPPER('query (2)'!F698)))</f>
        <v>1104-BW1G</v>
      </c>
      <c r="Q698" s="24" t="str">
        <f>IF('query (2)'!G698="","UNKNOWN",IFERROR(INDEX(Cleaning_Rules!$B$38:$B$46,MATCH(TRIM(UPPER('query (2)'!G698)),Cleaning_Rules!$A$38:$A$46,0)),"UNKNOWN"))</f>
        <v>OTHER</v>
      </c>
      <c r="R698" s="24" t="str">
        <f>IF('query (2)'!H698="","",TRIM(UPPER('query (2)'!H698)))</f>
        <v>INNER RING RACEWAY SUPER FINISH M/C</v>
      </c>
      <c r="S698" s="25" t="str">
        <f>IF('query (2)'!H698="","",'query (2)'!H698)</f>
        <v>Inner ring raceway super finish M/C</v>
      </c>
      <c r="T698" s="24" t="str">
        <f>IF('query (2)'!J698="","",TRIM(UPPER('query (2)'!J698)))</f>
        <v/>
      </c>
      <c r="U698" s="24" t="str">
        <f t="shared" si="73"/>
        <v/>
      </c>
      <c r="V698" s="24" t="str">
        <f>IF('query (2)'!K698="","NOT_SPECIFIED",IFERROR(INDEX(Cleaning_Rules!$B$32:$B$34,MATCH(TRIM(UPPER('query (2)'!K698)),Cleaning_Rules!$A$32:$A$34,0)),"UNKNOWN"))</f>
        <v>NOT_SPECIFIED</v>
      </c>
      <c r="W698" s="24" t="str">
        <f t="shared" si="74"/>
        <v>GR-068 | FACTORY3 | BWD1 | BWD | GRINDING 2 | 1104-BW1G | OTHER | INNER RING RACEWAY SUPER FINISH M/C | NOT_SPECIFIED</v>
      </c>
      <c r="X698" s="24" t="str">
        <f t="shared" si="75"/>
        <v/>
      </c>
      <c r="Y698" s="24" t="str">
        <f t="shared" si="76"/>
        <v>MISSING_STATUS; CATEGORY_NOT_USEFUL; MISSING_PRODUCTION_NAME</v>
      </c>
    </row>
    <row r="699" spans="1:25" x14ac:dyDescent="0.3">
      <c r="A699" s="24" t="str">
        <f t="shared" si="70"/>
        <v>WA-072#0698</v>
      </c>
      <c r="B699" s="24" t="str">
        <f>IF('query (2)'!B699="","",TRIM(UPPER('query (2)'!B699)))</f>
        <v>WA-072</v>
      </c>
      <c r="C699" s="25" t="str">
        <f>IF('query (2)'!B699="","",'query (2)'!B699)</f>
        <v>WA-072</v>
      </c>
      <c r="D699" s="24" t="str">
        <f t="shared" si="71"/>
        <v>WA</v>
      </c>
      <c r="E699" s="24">
        <f t="shared" si="72"/>
        <v>1</v>
      </c>
      <c r="F699" s="24">
        <f>IF('query (2)'!A699="","",IFERROR(VALUE('query (2)'!A699),""))</f>
        <v>717</v>
      </c>
      <c r="G699" s="24" t="str">
        <f>IF('query (2)'!C699="","UNKNOWN",IFERROR(INDEX(Cleaning_Rules!$B$15:$B$20,MATCH(TRIM(UPPER('query (2)'!C699)),Cleaning_Rules!$A$15:$A$20,0)),"UNKNOWN"))</f>
        <v>FACTORY3</v>
      </c>
      <c r="H699" s="25" t="str">
        <f>IF('query (2)'!C699="","",'query (2)'!C699)</f>
        <v>FACTORY3</v>
      </c>
      <c r="I699" s="24" t="str" cm="1">
        <f t="array" ref="I699">_xlfn.IFS($G699="UNKNOWN","UNKNOWN",OR($G699="FACTORY1",$G699="FACTORY2",$G699="FACTORY3"),"PLANT",TRUE,"SHARED")</f>
        <v>PLANT</v>
      </c>
      <c r="J699" s="24" t="str">
        <f>IF('query (2)'!D699="","UNKNOWN",IF(COUNTIF(Cleaning_Rules!$A$6:$A$11,TRIM('query (2)'!D699))&gt;0,"UNKNOWN",IFERROR(INDEX(Cleaning_Rules!$B$24:$B$28,MATCH(TRIM(UPPER('query (2)'!D699)),Cleaning_Rules!$A$24:$A$28,0)),TRIM(UPPER('query (2)'!D699)))))</f>
        <v>BWD1</v>
      </c>
      <c r="K699" s="25" t="str">
        <f>IF('query (2)'!D699="","",'query (2)'!D699)</f>
        <v>BWD1</v>
      </c>
      <c r="L699" s="24" t="str">
        <f>IF($J699="UNKNOWN","",_xlfn.TEXTBEFORE($J699,{"0","1","2","3","4","5","6","7","8","9"," ","-","."},1,,,$J699))</f>
        <v>BWD</v>
      </c>
      <c r="M699" s="24" t="str">
        <f>IF('query (2)'!I699&lt;&gt;"",TRIM(UPPER('query (2)'!I699)),IF($L699="","UNKNOWN",$L699))</f>
        <v>BWD</v>
      </c>
      <c r="N699" s="24" t="str">
        <f>IF('query (2)'!I699&lt;&gt;"","SOURCE",IF($L699="","UNKNOWN","DERIVED"))</f>
        <v>SOURCE</v>
      </c>
      <c r="O699" s="24" t="str">
        <f>IF('query (2)'!E699="","NOT_SPECIFIED",TRIM(UPPER('query (2)'!E699)))</f>
        <v>GRINDING 2</v>
      </c>
      <c r="P699" s="24" t="str">
        <f>IF('query (2)'!F699="","",TRIM(UPPER('query (2)'!F699)))</f>
        <v>1104-BW1G</v>
      </c>
      <c r="Q699" s="24" t="str">
        <f>IF('query (2)'!G699="","UNKNOWN",IFERROR(INDEX(Cleaning_Rules!$B$38:$B$46,MATCH(TRIM(UPPER('query (2)'!G699)),Cleaning_Rules!$A$38:$A$46,0)),"UNKNOWN"))</f>
        <v>OTHER</v>
      </c>
      <c r="R699" s="24" t="str">
        <f>IF('query (2)'!H699="","",TRIM(UPPER('query (2)'!H699)))</f>
        <v>FINISH WASH EQUIPMENT</v>
      </c>
      <c r="S699" s="25" t="str">
        <f>IF('query (2)'!H699="","",'query (2)'!H699)</f>
        <v>Finish wash equipment</v>
      </c>
      <c r="T699" s="24" t="str">
        <f>IF('query (2)'!J699="","",TRIM(UPPER('query (2)'!J699)))</f>
        <v/>
      </c>
      <c r="U699" s="24" t="str">
        <f t="shared" si="73"/>
        <v/>
      </c>
      <c r="V699" s="24" t="str">
        <f>IF('query (2)'!K699="","NOT_SPECIFIED",IFERROR(INDEX(Cleaning_Rules!$B$32:$B$34,MATCH(TRIM(UPPER('query (2)'!K699)),Cleaning_Rules!$A$32:$A$34,0)),"UNKNOWN"))</f>
        <v>NOT_SPECIFIED</v>
      </c>
      <c r="W699" s="24" t="str">
        <f t="shared" si="74"/>
        <v>WA-072 | FACTORY3 | BWD1 | BWD | GRINDING 2 | 1104-BW1G | OTHER | FINISH WASH EQUIPMENT | NOT_SPECIFIED</v>
      </c>
      <c r="X699" s="24" t="str">
        <f t="shared" si="75"/>
        <v/>
      </c>
      <c r="Y699" s="24" t="str">
        <f t="shared" si="76"/>
        <v>MISSING_STATUS; CATEGORY_NOT_USEFUL; MISSING_PRODUCTION_NAME</v>
      </c>
    </row>
    <row r="700" spans="1:25" x14ac:dyDescent="0.3">
      <c r="A700" s="24" t="str">
        <f t="shared" si="70"/>
        <v>CH-073#0699</v>
      </c>
      <c r="B700" s="24" t="str">
        <f>IF('query (2)'!B700="","",TRIM(UPPER('query (2)'!B700)))</f>
        <v>CH-073</v>
      </c>
      <c r="C700" s="25" t="str">
        <f>IF('query (2)'!B700="","",'query (2)'!B700)</f>
        <v>CH-073</v>
      </c>
      <c r="D700" s="24" t="str">
        <f t="shared" si="71"/>
        <v>CH</v>
      </c>
      <c r="E700" s="24">
        <f t="shared" si="72"/>
        <v>1</v>
      </c>
      <c r="F700" s="24">
        <f>IF('query (2)'!A700="","",IFERROR(VALUE('query (2)'!A700),""))</f>
        <v>718</v>
      </c>
      <c r="G700" s="24" t="str">
        <f>IF('query (2)'!C700="","UNKNOWN",IFERROR(INDEX(Cleaning_Rules!$B$15:$B$20,MATCH(TRIM(UPPER('query (2)'!C700)),Cleaning_Rules!$A$15:$A$20,0)),"UNKNOWN"))</f>
        <v>FACTORY3</v>
      </c>
      <c r="H700" s="25" t="str">
        <f>IF('query (2)'!C700="","",'query (2)'!C700)</f>
        <v>FACTORY3</v>
      </c>
      <c r="I700" s="24" t="str" cm="1">
        <f t="array" ref="I700">_xlfn.IFS($G700="UNKNOWN","UNKNOWN",OR($G700="FACTORY1",$G700="FACTORY2",$G700="FACTORY3"),"PLANT",TRUE,"SHARED")</f>
        <v>PLANT</v>
      </c>
      <c r="J700" s="24" t="str">
        <f>IF('query (2)'!D700="","UNKNOWN",IF(COUNTIF(Cleaning_Rules!$A$6:$A$11,TRIM('query (2)'!D700))&gt;0,"UNKNOWN",IFERROR(INDEX(Cleaning_Rules!$B$24:$B$28,MATCH(TRIM(UPPER('query (2)'!D700)),Cleaning_Rules!$A$24:$A$28,0)),TRIM(UPPER('query (2)'!D700)))))</f>
        <v>BWD1</v>
      </c>
      <c r="K700" s="25" t="str">
        <f>IF('query (2)'!D700="","",'query (2)'!D700)</f>
        <v>BWD1</v>
      </c>
      <c r="L700" s="24" t="str">
        <f>IF($J700="UNKNOWN","",_xlfn.TEXTBEFORE($J700,{"0","1","2","3","4","5","6","7","8","9"," ","-","."},1,,,$J700))</f>
        <v>BWD</v>
      </c>
      <c r="M700" s="24" t="str">
        <f>IF('query (2)'!I700&lt;&gt;"",TRIM(UPPER('query (2)'!I700)),IF($L700="","UNKNOWN",$L700))</f>
        <v>BWD</v>
      </c>
      <c r="N700" s="24" t="str">
        <f>IF('query (2)'!I700&lt;&gt;"","SOURCE",IF($L700="","UNKNOWN","DERIVED"))</f>
        <v>SOURCE</v>
      </c>
      <c r="O700" s="24" t="str">
        <f>IF('query (2)'!E700="","NOT_SPECIFIED",TRIM(UPPER('query (2)'!E700)))</f>
        <v>ASSEMBLY</v>
      </c>
      <c r="P700" s="24" t="str">
        <f>IF('query (2)'!F700="","",TRIM(UPPER('query (2)'!F700)))</f>
        <v>1103-BW1AI</v>
      </c>
      <c r="Q700" s="24" t="str">
        <f>IF('query (2)'!G700="","UNKNOWN",IFERROR(INDEX(Cleaning_Rules!$B$38:$B$46,MATCH(TRIM(UPPER('query (2)'!G700)),Cleaning_Rules!$A$38:$A$46,0)),"UNKNOWN"))</f>
        <v>OTHER</v>
      </c>
      <c r="R700" s="24" t="str">
        <f>IF('query (2)'!H700="","",TRIM(UPPER('query (2)'!H700)))</f>
        <v>AXIAL CLEARANCE INSPECTION EQUIPMENT</v>
      </c>
      <c r="S700" s="25" t="str">
        <f>IF('query (2)'!H700="","",'query (2)'!H700)</f>
        <v>Axial clearance inspection equipment</v>
      </c>
      <c r="T700" s="24" t="str">
        <f>IF('query (2)'!J700="","",TRIM(UPPER('query (2)'!J700)))</f>
        <v>AXIAL CLEARANCE AUTO</v>
      </c>
      <c r="U700" s="24" t="str">
        <f t="shared" si="73"/>
        <v/>
      </c>
      <c r="V700" s="24" t="str">
        <f>IF('query (2)'!K700="","NOT_SPECIFIED",IFERROR(INDEX(Cleaning_Rules!$B$32:$B$34,MATCH(TRIM(UPPER('query (2)'!K700)),Cleaning_Rules!$A$32:$A$34,0)),"UNKNOWN"))</f>
        <v>NOT_SPECIFIED</v>
      </c>
      <c r="W700" s="24" t="str">
        <f t="shared" si="74"/>
        <v>CH-073 | FACTORY3 | BWD1 | BWD | ASSEMBLY | 1103-BW1AI | OTHER | AXIAL CLEARANCE INSPECTION EQUIPMENT | AXIAL CLEARANCE AUTO | NOT_SPECIFIED</v>
      </c>
      <c r="X700" s="24" t="str">
        <f t="shared" si="75"/>
        <v/>
      </c>
      <c r="Y700" s="24" t="str">
        <f t="shared" si="76"/>
        <v>MISSING_STATUS; CATEGORY_NOT_USEFUL</v>
      </c>
    </row>
    <row r="701" spans="1:25" x14ac:dyDescent="0.3">
      <c r="A701" s="24" t="str">
        <f t="shared" si="70"/>
        <v>CH-074#0700</v>
      </c>
      <c r="B701" s="24" t="str">
        <f>IF('query (2)'!B701="","",TRIM(UPPER('query (2)'!B701)))</f>
        <v>CH-074</v>
      </c>
      <c r="C701" s="25" t="str">
        <f>IF('query (2)'!B701="","",'query (2)'!B701)</f>
        <v>CH-074</v>
      </c>
      <c r="D701" s="24" t="str">
        <f t="shared" si="71"/>
        <v>CH</v>
      </c>
      <c r="E701" s="24">
        <f t="shared" si="72"/>
        <v>1</v>
      </c>
      <c r="F701" s="24">
        <f>IF('query (2)'!A701="","",IFERROR(VALUE('query (2)'!A701),""))</f>
        <v>719</v>
      </c>
      <c r="G701" s="24" t="str">
        <f>IF('query (2)'!C701="","UNKNOWN",IFERROR(INDEX(Cleaning_Rules!$B$15:$B$20,MATCH(TRIM(UPPER('query (2)'!C701)),Cleaning_Rules!$A$15:$A$20,0)),"UNKNOWN"))</f>
        <v>FACTORY3</v>
      </c>
      <c r="H701" s="25" t="str">
        <f>IF('query (2)'!C701="","",'query (2)'!C701)</f>
        <v>FACTORY3</v>
      </c>
      <c r="I701" s="24" t="str" cm="1">
        <f t="array" ref="I701">_xlfn.IFS($G701="UNKNOWN","UNKNOWN",OR($G701="FACTORY1",$G701="FACTORY2",$G701="FACTORY3"),"PLANT",TRUE,"SHARED")</f>
        <v>PLANT</v>
      </c>
      <c r="J701" s="24" t="str">
        <f>IF('query (2)'!D701="","UNKNOWN",IF(COUNTIF(Cleaning_Rules!$A$6:$A$11,TRIM('query (2)'!D701))&gt;0,"UNKNOWN",IFERROR(INDEX(Cleaning_Rules!$B$24:$B$28,MATCH(TRIM(UPPER('query (2)'!D701)),Cleaning_Rules!$A$24:$A$28,0)),TRIM(UPPER('query (2)'!D701)))))</f>
        <v>BWD1</v>
      </c>
      <c r="K701" s="25" t="str">
        <f>IF('query (2)'!D701="","",'query (2)'!D701)</f>
        <v>BWD1</v>
      </c>
      <c r="L701" s="24" t="str">
        <f>IF($J701="UNKNOWN","",_xlfn.TEXTBEFORE($J701,{"0","1","2","3","4","5","6","7","8","9"," ","-","."},1,,,$J701))</f>
        <v>BWD</v>
      </c>
      <c r="M701" s="24" t="str">
        <f>IF('query (2)'!I701&lt;&gt;"",TRIM(UPPER('query (2)'!I701)),IF($L701="","UNKNOWN",$L701))</f>
        <v>BWD</v>
      </c>
      <c r="N701" s="24" t="str">
        <f>IF('query (2)'!I701&lt;&gt;"","SOURCE",IF($L701="","UNKNOWN","DERIVED"))</f>
        <v>SOURCE</v>
      </c>
      <c r="O701" s="24" t="str">
        <f>IF('query (2)'!E701="","NOT_SPECIFIED",TRIM(UPPER('query (2)'!E701)))</f>
        <v>ASSEMBLY</v>
      </c>
      <c r="P701" s="24" t="str">
        <f>IF('query (2)'!F701="","",TRIM(UPPER('query (2)'!F701)))</f>
        <v>1103-BW1AI</v>
      </c>
      <c r="Q701" s="24" t="str">
        <f>IF('query (2)'!G701="","UNKNOWN",IFERROR(INDEX(Cleaning_Rules!$B$38:$B$46,MATCH(TRIM(UPPER('query (2)'!G701)),Cleaning_Rules!$A$38:$A$46,0)),"UNKNOWN"))</f>
        <v>OTHER</v>
      </c>
      <c r="R701" s="24" t="str">
        <f>IF('query (2)'!H701="","",TRIM(UPPER('query (2)'!H701)))</f>
        <v>AUTOMATION VIBRA TESTING M/C</v>
      </c>
      <c r="S701" s="25" t="str">
        <f>IF('query (2)'!H701="","",'query (2)'!H701)</f>
        <v>Automation vibra testing M/C</v>
      </c>
      <c r="T701" s="24" t="str">
        <f>IF('query (2)'!J701="","",TRIM(UPPER('query (2)'!J701)))</f>
        <v>NOISE INSPECTION AUTO</v>
      </c>
      <c r="U701" s="24" t="str">
        <f t="shared" si="73"/>
        <v/>
      </c>
      <c r="V701" s="24" t="str">
        <f>IF('query (2)'!K701="","NOT_SPECIFIED",IFERROR(INDEX(Cleaning_Rules!$B$32:$B$34,MATCH(TRIM(UPPER('query (2)'!K701)),Cleaning_Rules!$A$32:$A$34,0)),"UNKNOWN"))</f>
        <v>NOT_SPECIFIED</v>
      </c>
      <c r="W701" s="24" t="str">
        <f t="shared" si="74"/>
        <v>CH-074 | FACTORY3 | BWD1 | BWD | ASSEMBLY | 1103-BW1AI | OTHER | AUTOMATION VIBRA TESTING M/C | NOISE INSPECTION AUTO | NOT_SPECIFIED</v>
      </c>
      <c r="X701" s="24" t="str">
        <f t="shared" si="75"/>
        <v/>
      </c>
      <c r="Y701" s="24" t="str">
        <f t="shared" si="76"/>
        <v>MISSING_STATUS; CATEGORY_NOT_USEFUL</v>
      </c>
    </row>
    <row r="702" spans="1:25" x14ac:dyDescent="0.3">
      <c r="A702" s="24" t="str">
        <f t="shared" si="70"/>
        <v>AS-075#0701</v>
      </c>
      <c r="B702" s="24" t="str">
        <f>IF('query (2)'!B702="","",TRIM(UPPER('query (2)'!B702)))</f>
        <v>AS-075</v>
      </c>
      <c r="C702" s="25" t="str">
        <f>IF('query (2)'!B702="","",'query (2)'!B702)</f>
        <v>AS-075</v>
      </c>
      <c r="D702" s="24" t="str">
        <f t="shared" si="71"/>
        <v>AS</v>
      </c>
      <c r="E702" s="24">
        <f t="shared" si="72"/>
        <v>1</v>
      </c>
      <c r="F702" s="24">
        <f>IF('query (2)'!A702="","",IFERROR(VALUE('query (2)'!A702),""))</f>
        <v>720</v>
      </c>
      <c r="G702" s="24" t="str">
        <f>IF('query (2)'!C702="","UNKNOWN",IFERROR(INDEX(Cleaning_Rules!$B$15:$B$20,MATCH(TRIM(UPPER('query (2)'!C702)),Cleaning_Rules!$A$15:$A$20,0)),"UNKNOWN"))</f>
        <v>FACTORY3</v>
      </c>
      <c r="H702" s="25" t="str">
        <f>IF('query (2)'!C702="","",'query (2)'!C702)</f>
        <v>FACTORY3</v>
      </c>
      <c r="I702" s="24" t="str" cm="1">
        <f t="array" ref="I702">_xlfn.IFS($G702="UNKNOWN","UNKNOWN",OR($G702="FACTORY1",$G702="FACTORY2",$G702="FACTORY3"),"PLANT",TRUE,"SHARED")</f>
        <v>PLANT</v>
      </c>
      <c r="J702" s="24" t="str">
        <f>IF('query (2)'!D702="","UNKNOWN",IF(COUNTIF(Cleaning_Rules!$A$6:$A$11,TRIM('query (2)'!D702))&gt;0,"UNKNOWN",IFERROR(INDEX(Cleaning_Rules!$B$24:$B$28,MATCH(TRIM(UPPER('query (2)'!D702)),Cleaning_Rules!$A$24:$A$28,0)),TRIM(UPPER('query (2)'!D702)))))</f>
        <v>BWD1</v>
      </c>
      <c r="K702" s="25" t="str">
        <f>IF('query (2)'!D702="","",'query (2)'!D702)</f>
        <v>BWD1</v>
      </c>
      <c r="L702" s="24" t="str">
        <f>IF($J702="UNKNOWN","",_xlfn.TEXTBEFORE($J702,{"0","1","2","3","4","5","6","7","8","9"," ","-","."},1,,,$J702))</f>
        <v>BWD</v>
      </c>
      <c r="M702" s="24" t="str">
        <f>IF('query (2)'!I702&lt;&gt;"",TRIM(UPPER('query (2)'!I702)),IF($L702="","UNKNOWN",$L702))</f>
        <v>BWD</v>
      </c>
      <c r="N702" s="24" t="str">
        <f>IF('query (2)'!I702&lt;&gt;"","SOURCE",IF($L702="","UNKNOWN","DERIVED"))</f>
        <v>SOURCE</v>
      </c>
      <c r="O702" s="24" t="str">
        <f>IF('query (2)'!E702="","NOT_SPECIFIED",TRIM(UPPER('query (2)'!E702)))</f>
        <v>ASSEMBLY</v>
      </c>
      <c r="P702" s="24" t="str">
        <f>IF('query (2)'!F702="","",TRIM(UPPER('query (2)'!F702)))</f>
        <v>1103-BW1AI</v>
      </c>
      <c r="Q702" s="24" t="str">
        <f>IF('query (2)'!G702="","UNKNOWN",IFERROR(INDEX(Cleaning_Rules!$B$38:$B$46,MATCH(TRIM(UPPER('query (2)'!G702)),Cleaning_Rules!$A$38:$A$46,0)),"UNKNOWN"))</f>
        <v>OTHER</v>
      </c>
      <c r="R702" s="24" t="str">
        <f>IF('query (2)'!H702="","",TRIM(UPPER('query (2)'!H702)))</f>
        <v>GREASE INJECTION M/C</v>
      </c>
      <c r="S702" s="25" t="str">
        <f>IF('query (2)'!H702="","",'query (2)'!H702)</f>
        <v>Grease injection M/C</v>
      </c>
      <c r="T702" s="24" t="str">
        <f>IF('query (2)'!J702="","",TRIM(UPPER('query (2)'!J702)))</f>
        <v/>
      </c>
      <c r="U702" s="24" t="str">
        <f t="shared" si="73"/>
        <v/>
      </c>
      <c r="V702" s="24" t="str">
        <f>IF('query (2)'!K702="","NOT_SPECIFIED",IFERROR(INDEX(Cleaning_Rules!$B$32:$B$34,MATCH(TRIM(UPPER('query (2)'!K702)),Cleaning_Rules!$A$32:$A$34,0)),"UNKNOWN"))</f>
        <v>NOT_SPECIFIED</v>
      </c>
      <c r="W702" s="24" t="str">
        <f t="shared" si="74"/>
        <v>AS-075 | FACTORY3 | BWD1 | BWD | ASSEMBLY | 1103-BW1AI | OTHER | GREASE INJECTION M/C | NOT_SPECIFIED</v>
      </c>
      <c r="X702" s="24" t="str">
        <f t="shared" si="75"/>
        <v/>
      </c>
      <c r="Y702" s="24" t="str">
        <f t="shared" si="76"/>
        <v>MISSING_STATUS; CATEGORY_NOT_USEFUL; MISSING_PRODUCTION_NAME</v>
      </c>
    </row>
    <row r="703" spans="1:25" x14ac:dyDescent="0.3">
      <c r="A703" s="24" t="str">
        <f t="shared" si="70"/>
        <v>AS-076#0702</v>
      </c>
      <c r="B703" s="24" t="str">
        <f>IF('query (2)'!B703="","",TRIM(UPPER('query (2)'!B703)))</f>
        <v>AS-076</v>
      </c>
      <c r="C703" s="25" t="str">
        <f>IF('query (2)'!B703="","",'query (2)'!B703)</f>
        <v>AS-076</v>
      </c>
      <c r="D703" s="24" t="str">
        <f t="shared" si="71"/>
        <v>AS</v>
      </c>
      <c r="E703" s="24">
        <f t="shared" si="72"/>
        <v>1</v>
      </c>
      <c r="F703" s="24">
        <f>IF('query (2)'!A703="","",IFERROR(VALUE('query (2)'!A703),""))</f>
        <v>721</v>
      </c>
      <c r="G703" s="24" t="str">
        <f>IF('query (2)'!C703="","UNKNOWN",IFERROR(INDEX(Cleaning_Rules!$B$15:$B$20,MATCH(TRIM(UPPER('query (2)'!C703)),Cleaning_Rules!$A$15:$A$20,0)),"UNKNOWN"))</f>
        <v>FACTORY3</v>
      </c>
      <c r="H703" s="25" t="str">
        <f>IF('query (2)'!C703="","",'query (2)'!C703)</f>
        <v>FACTORY3</v>
      </c>
      <c r="I703" s="24" t="str" cm="1">
        <f t="array" ref="I703">_xlfn.IFS($G703="UNKNOWN","UNKNOWN",OR($G703="FACTORY1",$G703="FACTORY2",$G703="FACTORY3"),"PLANT",TRUE,"SHARED")</f>
        <v>PLANT</v>
      </c>
      <c r="J703" s="24" t="str">
        <f>IF('query (2)'!D703="","UNKNOWN",IF(COUNTIF(Cleaning_Rules!$A$6:$A$11,TRIM('query (2)'!D703))&gt;0,"UNKNOWN",IFERROR(INDEX(Cleaning_Rules!$B$24:$B$28,MATCH(TRIM(UPPER('query (2)'!D703)),Cleaning_Rules!$A$24:$A$28,0)),TRIM(UPPER('query (2)'!D703)))))</f>
        <v>BWD1</v>
      </c>
      <c r="K703" s="25" t="str">
        <f>IF('query (2)'!D703="","",'query (2)'!D703)</f>
        <v>BWD1</v>
      </c>
      <c r="L703" s="24" t="str">
        <f>IF($J703="UNKNOWN","",_xlfn.TEXTBEFORE($J703,{"0","1","2","3","4","5","6","7","8","9"," ","-","."},1,,,$J703))</f>
        <v>BWD</v>
      </c>
      <c r="M703" s="24" t="str">
        <f>IF('query (2)'!I703&lt;&gt;"",TRIM(UPPER('query (2)'!I703)),IF($L703="","UNKNOWN",$L703))</f>
        <v>BWD</v>
      </c>
      <c r="N703" s="24" t="str">
        <f>IF('query (2)'!I703&lt;&gt;"","SOURCE",IF($L703="","UNKNOWN","DERIVED"))</f>
        <v>SOURCE</v>
      </c>
      <c r="O703" s="24" t="str">
        <f>IF('query (2)'!E703="","NOT_SPECIFIED",TRIM(UPPER('query (2)'!E703)))</f>
        <v>ASSEMBLY</v>
      </c>
      <c r="P703" s="24" t="str">
        <f>IF('query (2)'!F703="","",TRIM(UPPER('query (2)'!F703)))</f>
        <v>1103-BW1AI</v>
      </c>
      <c r="Q703" s="24" t="str">
        <f>IF('query (2)'!G703="","UNKNOWN",IFERROR(INDEX(Cleaning_Rules!$B$38:$B$46,MATCH(TRIM(UPPER('query (2)'!G703)),Cleaning_Rules!$A$38:$A$46,0)),"UNKNOWN"))</f>
        <v>OTHER</v>
      </c>
      <c r="R703" s="24" t="str">
        <f>IF('query (2)'!H703="","",TRIM(UPPER('query (2)'!H703)))</f>
        <v>SEAL PRESS M/C NO.1</v>
      </c>
      <c r="S703" s="25" t="str">
        <f>IF('query (2)'!H703="","",'query (2)'!H703)</f>
        <v>Seal press M/C no.1</v>
      </c>
      <c r="T703" s="24" t="str">
        <f>IF('query (2)'!J703="","",TRIM(UPPER('query (2)'!J703)))</f>
        <v/>
      </c>
      <c r="U703" s="24" t="str">
        <f t="shared" si="73"/>
        <v/>
      </c>
      <c r="V703" s="24" t="str">
        <f>IF('query (2)'!K703="","NOT_SPECIFIED",IFERROR(INDEX(Cleaning_Rules!$B$32:$B$34,MATCH(TRIM(UPPER('query (2)'!K703)),Cleaning_Rules!$A$32:$A$34,0)),"UNKNOWN"))</f>
        <v>NOT_SPECIFIED</v>
      </c>
      <c r="W703" s="24" t="str">
        <f t="shared" si="74"/>
        <v>AS-076 | FACTORY3 | BWD1 | BWD | ASSEMBLY | 1103-BW1AI | OTHER | SEAL PRESS M/C NO.1 | NOT_SPECIFIED</v>
      </c>
      <c r="X703" s="24" t="str">
        <f t="shared" si="75"/>
        <v/>
      </c>
      <c r="Y703" s="24" t="str">
        <f t="shared" si="76"/>
        <v>MISSING_STATUS; CATEGORY_NOT_USEFUL; MISSING_PRODUCTION_NAME</v>
      </c>
    </row>
    <row r="704" spans="1:25" x14ac:dyDescent="0.3">
      <c r="A704" s="24" t="str">
        <f t="shared" si="70"/>
        <v>AS-077#0703</v>
      </c>
      <c r="B704" s="24" t="str">
        <f>IF('query (2)'!B704="","",TRIM(UPPER('query (2)'!B704)))</f>
        <v>AS-077</v>
      </c>
      <c r="C704" s="25" t="str">
        <f>IF('query (2)'!B704="","",'query (2)'!B704)</f>
        <v>AS-077</v>
      </c>
      <c r="D704" s="24" t="str">
        <f t="shared" si="71"/>
        <v>AS</v>
      </c>
      <c r="E704" s="24">
        <f t="shared" si="72"/>
        <v>1</v>
      </c>
      <c r="F704" s="24">
        <f>IF('query (2)'!A704="","",IFERROR(VALUE('query (2)'!A704),""))</f>
        <v>722</v>
      </c>
      <c r="G704" s="24" t="str">
        <f>IF('query (2)'!C704="","UNKNOWN",IFERROR(INDEX(Cleaning_Rules!$B$15:$B$20,MATCH(TRIM(UPPER('query (2)'!C704)),Cleaning_Rules!$A$15:$A$20,0)),"UNKNOWN"))</f>
        <v>FACTORY3</v>
      </c>
      <c r="H704" s="25" t="str">
        <f>IF('query (2)'!C704="","",'query (2)'!C704)</f>
        <v>FACTORY3</v>
      </c>
      <c r="I704" s="24" t="str" cm="1">
        <f t="array" ref="I704">_xlfn.IFS($G704="UNKNOWN","UNKNOWN",OR($G704="FACTORY1",$G704="FACTORY2",$G704="FACTORY3"),"PLANT",TRUE,"SHARED")</f>
        <v>PLANT</v>
      </c>
      <c r="J704" s="24" t="str">
        <f>IF('query (2)'!D704="","UNKNOWN",IF(COUNTIF(Cleaning_Rules!$A$6:$A$11,TRIM('query (2)'!D704))&gt;0,"UNKNOWN",IFERROR(INDEX(Cleaning_Rules!$B$24:$B$28,MATCH(TRIM(UPPER('query (2)'!D704)),Cleaning_Rules!$A$24:$A$28,0)),TRIM(UPPER('query (2)'!D704)))))</f>
        <v>BWD1</v>
      </c>
      <c r="K704" s="25" t="str">
        <f>IF('query (2)'!D704="","",'query (2)'!D704)</f>
        <v>BWD1</v>
      </c>
      <c r="L704" s="24" t="str">
        <f>IF($J704="UNKNOWN","",_xlfn.TEXTBEFORE($J704,{"0","1","2","3","4","5","6","7","8","9"," ","-","."},1,,,$J704))</f>
        <v>BWD</v>
      </c>
      <c r="M704" s="24" t="str">
        <f>IF('query (2)'!I704&lt;&gt;"",TRIM(UPPER('query (2)'!I704)),IF($L704="","UNKNOWN",$L704))</f>
        <v>BWD</v>
      </c>
      <c r="N704" s="24" t="str">
        <f>IF('query (2)'!I704&lt;&gt;"","SOURCE",IF($L704="","UNKNOWN","DERIVED"))</f>
        <v>SOURCE</v>
      </c>
      <c r="O704" s="24" t="str">
        <f>IF('query (2)'!E704="","NOT_SPECIFIED",TRIM(UPPER('query (2)'!E704)))</f>
        <v>ASSEMBLY</v>
      </c>
      <c r="P704" s="24" t="str">
        <f>IF('query (2)'!F704="","",TRIM(UPPER('query (2)'!F704)))</f>
        <v>1103-BW1AI</v>
      </c>
      <c r="Q704" s="24" t="str">
        <f>IF('query (2)'!G704="","UNKNOWN",IFERROR(INDEX(Cleaning_Rules!$B$38:$B$46,MATCH(TRIM(UPPER('query (2)'!G704)),Cleaning_Rules!$A$38:$A$46,0)),"UNKNOWN"))</f>
        <v>OTHER</v>
      </c>
      <c r="R704" s="24" t="str">
        <f>IF('query (2)'!H704="","",TRIM(UPPER('query (2)'!H704)))</f>
        <v>SEAL PRESS M/C NO.2</v>
      </c>
      <c r="S704" s="25" t="str">
        <f>IF('query (2)'!H704="","",'query (2)'!H704)</f>
        <v>Seal press M/C no.2</v>
      </c>
      <c r="T704" s="24" t="str">
        <f>IF('query (2)'!J704="","",TRIM(UPPER('query (2)'!J704)))</f>
        <v/>
      </c>
      <c r="U704" s="24" t="str">
        <f t="shared" si="73"/>
        <v/>
      </c>
      <c r="V704" s="24" t="str">
        <f>IF('query (2)'!K704="","NOT_SPECIFIED",IFERROR(INDEX(Cleaning_Rules!$B$32:$B$34,MATCH(TRIM(UPPER('query (2)'!K704)),Cleaning_Rules!$A$32:$A$34,0)),"UNKNOWN"))</f>
        <v>NOT_SPECIFIED</v>
      </c>
      <c r="W704" s="24" t="str">
        <f t="shared" si="74"/>
        <v>AS-077 | FACTORY3 | BWD1 | BWD | ASSEMBLY | 1103-BW1AI | OTHER | SEAL PRESS M/C NO.2 | NOT_SPECIFIED</v>
      </c>
      <c r="X704" s="24" t="str">
        <f t="shared" si="75"/>
        <v/>
      </c>
      <c r="Y704" s="24" t="str">
        <f t="shared" si="76"/>
        <v>MISSING_STATUS; CATEGORY_NOT_USEFUL; MISSING_PRODUCTION_NAME</v>
      </c>
    </row>
    <row r="705" spans="1:25" x14ac:dyDescent="0.3">
      <c r="A705" s="24" t="str">
        <f t="shared" si="70"/>
        <v>CH-078#0704</v>
      </c>
      <c r="B705" s="24" t="str">
        <f>IF('query (2)'!B705="","",TRIM(UPPER('query (2)'!B705)))</f>
        <v>CH-078</v>
      </c>
      <c r="C705" s="25" t="str">
        <f>IF('query (2)'!B705="","",'query (2)'!B705)</f>
        <v>CH-078</v>
      </c>
      <c r="D705" s="24" t="str">
        <f t="shared" si="71"/>
        <v>CH</v>
      </c>
      <c r="E705" s="24">
        <f t="shared" si="72"/>
        <v>1</v>
      </c>
      <c r="F705" s="24">
        <f>IF('query (2)'!A705="","",IFERROR(VALUE('query (2)'!A705),""))</f>
        <v>723</v>
      </c>
      <c r="G705" s="24" t="str">
        <f>IF('query (2)'!C705="","UNKNOWN",IFERROR(INDEX(Cleaning_Rules!$B$15:$B$20,MATCH(TRIM(UPPER('query (2)'!C705)),Cleaning_Rules!$A$15:$A$20,0)),"UNKNOWN"))</f>
        <v>FACTORY3</v>
      </c>
      <c r="H705" s="25" t="str">
        <f>IF('query (2)'!C705="","",'query (2)'!C705)</f>
        <v>FACTORY3</v>
      </c>
      <c r="I705" s="24" t="str" cm="1">
        <f t="array" ref="I705">_xlfn.IFS($G705="UNKNOWN","UNKNOWN",OR($G705="FACTORY1",$G705="FACTORY2",$G705="FACTORY3"),"PLANT",TRUE,"SHARED")</f>
        <v>PLANT</v>
      </c>
      <c r="J705" s="24" t="str">
        <f>IF('query (2)'!D705="","UNKNOWN",IF(COUNTIF(Cleaning_Rules!$A$6:$A$11,TRIM('query (2)'!D705))&gt;0,"UNKNOWN",IFERROR(INDEX(Cleaning_Rules!$B$24:$B$28,MATCH(TRIM(UPPER('query (2)'!D705)),Cleaning_Rules!$A$24:$A$28,0)),TRIM(UPPER('query (2)'!D705)))))</f>
        <v>BWD1</v>
      </c>
      <c r="K705" s="25" t="str">
        <f>IF('query (2)'!D705="","",'query (2)'!D705)</f>
        <v>BWD1</v>
      </c>
      <c r="L705" s="24" t="str">
        <f>IF($J705="UNKNOWN","",_xlfn.TEXTBEFORE($J705,{"0","1","2","3","4","5","6","7","8","9"," ","-","."},1,,,$J705))</f>
        <v>BWD</v>
      </c>
      <c r="M705" s="24" t="str">
        <f>IF('query (2)'!I705&lt;&gt;"",TRIM(UPPER('query (2)'!I705)),IF($L705="","UNKNOWN",$L705))</f>
        <v>BWD</v>
      </c>
      <c r="N705" s="24" t="str">
        <f>IF('query (2)'!I705&lt;&gt;"","SOURCE",IF($L705="","UNKNOWN","DERIVED"))</f>
        <v>SOURCE</v>
      </c>
      <c r="O705" s="24" t="str">
        <f>IF('query (2)'!E705="","NOT_SPECIFIED",TRIM(UPPER('query (2)'!E705)))</f>
        <v>ASSEMBLY</v>
      </c>
      <c r="P705" s="24" t="str">
        <f>IF('query (2)'!F705="","",TRIM(UPPER('query (2)'!F705)))</f>
        <v>1103-BW1AI</v>
      </c>
      <c r="Q705" s="24" t="str">
        <f>IF('query (2)'!G705="","UNKNOWN",IFERROR(INDEX(Cleaning_Rules!$B$38:$B$46,MATCH(TRIM(UPPER('query (2)'!G705)),Cleaning_Rules!$A$38:$A$46,0)),"UNKNOWN"))</f>
        <v>OTHER</v>
      </c>
      <c r="R705" s="24" t="str">
        <f>IF('query (2)'!H705="","",TRIM(UPPER('query (2)'!H705)))</f>
        <v>SEAL CHECKER M/C</v>
      </c>
      <c r="S705" s="25" t="str">
        <f>IF('query (2)'!H705="","",'query (2)'!H705)</f>
        <v>Seal checker M/C</v>
      </c>
      <c r="T705" s="24" t="str">
        <f>IF('query (2)'!J705="","",TRIM(UPPER('query (2)'!J705)))</f>
        <v/>
      </c>
      <c r="U705" s="24" t="str">
        <f t="shared" si="73"/>
        <v/>
      </c>
      <c r="V705" s="24" t="str">
        <f>IF('query (2)'!K705="","NOT_SPECIFIED",IFERROR(INDEX(Cleaning_Rules!$B$32:$B$34,MATCH(TRIM(UPPER('query (2)'!K705)),Cleaning_Rules!$A$32:$A$34,0)),"UNKNOWN"))</f>
        <v>NOT_SPECIFIED</v>
      </c>
      <c r="W705" s="24" t="str">
        <f t="shared" si="74"/>
        <v>CH-078 | FACTORY3 | BWD1 | BWD | ASSEMBLY | 1103-BW1AI | OTHER | SEAL CHECKER M/C | NOT_SPECIFIED</v>
      </c>
      <c r="X705" s="24" t="str">
        <f t="shared" si="75"/>
        <v/>
      </c>
      <c r="Y705" s="24" t="str">
        <f t="shared" si="76"/>
        <v>MISSING_STATUS; CATEGORY_NOT_USEFUL; MISSING_PRODUCTION_NAME</v>
      </c>
    </row>
    <row r="706" spans="1:25" x14ac:dyDescent="0.3">
      <c r="A706" s="24" t="str">
        <f t="shared" si="70"/>
        <v>CH-079#0705</v>
      </c>
      <c r="B706" s="24" t="str">
        <f>IF('query (2)'!B706="","",TRIM(UPPER('query (2)'!B706)))</f>
        <v>CH-079</v>
      </c>
      <c r="C706" s="25" t="str">
        <f>IF('query (2)'!B706="","",'query (2)'!B706)</f>
        <v>CH-079</v>
      </c>
      <c r="D706" s="24" t="str">
        <f t="shared" si="71"/>
        <v>CH</v>
      </c>
      <c r="E706" s="24">
        <f t="shared" si="72"/>
        <v>1</v>
      </c>
      <c r="F706" s="24">
        <f>IF('query (2)'!A706="","",IFERROR(VALUE('query (2)'!A706),""))</f>
        <v>724</v>
      </c>
      <c r="G706" s="24" t="str">
        <f>IF('query (2)'!C706="","UNKNOWN",IFERROR(INDEX(Cleaning_Rules!$B$15:$B$20,MATCH(TRIM(UPPER('query (2)'!C706)),Cleaning_Rules!$A$15:$A$20,0)),"UNKNOWN"))</f>
        <v>FACTORY3</v>
      </c>
      <c r="H706" s="25" t="str">
        <f>IF('query (2)'!C706="","",'query (2)'!C706)</f>
        <v>FACTORY3</v>
      </c>
      <c r="I706" s="24" t="str" cm="1">
        <f t="array" ref="I706">_xlfn.IFS($G706="UNKNOWN","UNKNOWN",OR($G706="FACTORY1",$G706="FACTORY2",$G706="FACTORY3"),"PLANT",TRUE,"SHARED")</f>
        <v>PLANT</v>
      </c>
      <c r="J706" s="24" t="str">
        <f>IF('query (2)'!D706="","UNKNOWN",IF(COUNTIF(Cleaning_Rules!$A$6:$A$11,TRIM('query (2)'!D706))&gt;0,"UNKNOWN",IFERROR(INDEX(Cleaning_Rules!$B$24:$B$28,MATCH(TRIM(UPPER('query (2)'!D706)),Cleaning_Rules!$A$24:$A$28,0)),TRIM(UPPER('query (2)'!D706)))))</f>
        <v>BWD2</v>
      </c>
      <c r="K706" s="25" t="str">
        <f>IF('query (2)'!D706="","",'query (2)'!D706)</f>
        <v>BWD2</v>
      </c>
      <c r="L706" s="24" t="str">
        <f>IF($J706="UNKNOWN","",_xlfn.TEXTBEFORE($J706,{"0","1","2","3","4","5","6","7","8","9"," ","-","."},1,,,$J706))</f>
        <v>BWD</v>
      </c>
      <c r="M706" s="24" t="str">
        <f>IF('query (2)'!I706&lt;&gt;"",TRIM(UPPER('query (2)'!I706)),IF($L706="","UNKNOWN",$L706))</f>
        <v>BWD</v>
      </c>
      <c r="N706" s="24" t="str">
        <f>IF('query (2)'!I706&lt;&gt;"","SOURCE",IF($L706="","UNKNOWN","DERIVED"))</f>
        <v>SOURCE</v>
      </c>
      <c r="O706" s="24" t="str">
        <f>IF('query (2)'!E706="","NOT_SPECIFIED",TRIM(UPPER('query (2)'!E706)))</f>
        <v>ASSEMBLY</v>
      </c>
      <c r="P706" s="24" t="str">
        <f>IF('query (2)'!F706="","",TRIM(UPPER('query (2)'!F706)))</f>
        <v>1107-BW2AI</v>
      </c>
      <c r="Q706" s="24" t="str">
        <f>IF('query (2)'!G706="","UNKNOWN",IFERROR(INDEX(Cleaning_Rules!$B$38:$B$46,MATCH(TRIM(UPPER('query (2)'!G706)),Cleaning_Rules!$A$38:$A$46,0)),"UNKNOWN"))</f>
        <v>OTHER</v>
      </c>
      <c r="R706" s="24" t="str">
        <f>IF('query (2)'!H706="","",TRIM(UPPER('query (2)'!H706)))</f>
        <v>SEAL MAGNETIC M/C</v>
      </c>
      <c r="S706" s="25" t="str">
        <f>IF('query (2)'!H706="","",'query (2)'!H706)</f>
        <v>Seal magnetic M/C</v>
      </c>
      <c r="T706" s="24" t="str">
        <f>IF('query (2)'!J706="","",TRIM(UPPER('query (2)'!J706)))</f>
        <v/>
      </c>
      <c r="U706" s="24" t="str">
        <f t="shared" si="73"/>
        <v/>
      </c>
      <c r="V706" s="24" t="str">
        <f>IF('query (2)'!K706="","NOT_SPECIFIED",IFERROR(INDEX(Cleaning_Rules!$B$32:$B$34,MATCH(TRIM(UPPER('query (2)'!K706)),Cleaning_Rules!$A$32:$A$34,0)),"UNKNOWN"))</f>
        <v>NOT_SPECIFIED</v>
      </c>
      <c r="W706" s="24" t="str">
        <f t="shared" si="74"/>
        <v>CH-079 | FACTORY3 | BWD2 | BWD | ASSEMBLY | 1107-BW2AI | OTHER | SEAL MAGNETIC M/C | NOT_SPECIFIED</v>
      </c>
      <c r="X706" s="24" t="str">
        <f t="shared" si="75"/>
        <v/>
      </c>
      <c r="Y706" s="24" t="str">
        <f t="shared" si="76"/>
        <v>MISSING_STATUS; CATEGORY_NOT_USEFUL; MISSING_PRODUCTION_NAME</v>
      </c>
    </row>
    <row r="707" spans="1:25" x14ac:dyDescent="0.3">
      <c r="A707" s="24" t="str">
        <f t="shared" ref="A707:A770" si="77">IF($B707="","NO_QR#"&amp;TEXT(ROW()-1,"0000"),$B707&amp;"#"&amp;TEXT(ROW()-1,"0000"))</f>
        <v>CH-080#0706</v>
      </c>
      <c r="B707" s="24" t="str">
        <f>IF('query (2)'!B707="","",TRIM(UPPER('query (2)'!B707)))</f>
        <v>CH-080</v>
      </c>
      <c r="C707" s="25" t="str">
        <f>IF('query (2)'!B707="","",'query (2)'!B707)</f>
        <v>CH-080</v>
      </c>
      <c r="D707" s="24" t="str">
        <f t="shared" ref="D707:D770" si="78">IF($B707="","",IFERROR(_xlfn.TEXTBEFORE($B707,"-"),"NO_PREFIX"))</f>
        <v>CH</v>
      </c>
      <c r="E707" s="24">
        <f t="shared" ref="E707:E770" si="79">IF($B707="","",COUNTIF($B$2:$B$974,$B707))</f>
        <v>1</v>
      </c>
      <c r="F707" s="24">
        <f>IF('query (2)'!A707="","",IFERROR(VALUE('query (2)'!A707),""))</f>
        <v>725</v>
      </c>
      <c r="G707" s="24" t="str">
        <f>IF('query (2)'!C707="","UNKNOWN",IFERROR(INDEX(Cleaning_Rules!$B$15:$B$20,MATCH(TRIM(UPPER('query (2)'!C707)),Cleaning_Rules!$A$15:$A$20,0)),"UNKNOWN"))</f>
        <v>FACTORY3</v>
      </c>
      <c r="H707" s="25" t="str">
        <f>IF('query (2)'!C707="","",'query (2)'!C707)</f>
        <v>FACTORY3</v>
      </c>
      <c r="I707" s="24" t="str" cm="1">
        <f t="array" ref="I707">_xlfn.IFS($G707="UNKNOWN","UNKNOWN",OR($G707="FACTORY1",$G707="FACTORY2",$G707="FACTORY3"),"PLANT",TRUE,"SHARED")</f>
        <v>PLANT</v>
      </c>
      <c r="J707" s="24" t="str">
        <f>IF('query (2)'!D707="","UNKNOWN",IF(COUNTIF(Cleaning_Rules!$A$6:$A$11,TRIM('query (2)'!D707))&gt;0,"UNKNOWN",IFERROR(INDEX(Cleaning_Rules!$B$24:$B$28,MATCH(TRIM(UPPER('query (2)'!D707)),Cleaning_Rules!$A$24:$A$28,0)),TRIM(UPPER('query (2)'!D707)))))</f>
        <v>BWD1</v>
      </c>
      <c r="K707" s="25" t="str">
        <f>IF('query (2)'!D707="","",'query (2)'!D707)</f>
        <v>BWD1</v>
      </c>
      <c r="L707" s="24" t="str">
        <f>IF($J707="UNKNOWN","",_xlfn.TEXTBEFORE($J707,{"0","1","2","3","4","5","6","7","8","9"," ","-","."},1,,,$J707))</f>
        <v>BWD</v>
      </c>
      <c r="M707" s="24" t="str">
        <f>IF('query (2)'!I707&lt;&gt;"",TRIM(UPPER('query (2)'!I707)),IF($L707="","UNKNOWN",$L707))</f>
        <v>BWD</v>
      </c>
      <c r="N707" s="24" t="str">
        <f>IF('query (2)'!I707&lt;&gt;"","SOURCE",IF($L707="","UNKNOWN","DERIVED"))</f>
        <v>SOURCE</v>
      </c>
      <c r="O707" s="24" t="str">
        <f>IF('query (2)'!E707="","NOT_SPECIFIED",TRIM(UPPER('query (2)'!E707)))</f>
        <v>ASSEMBLY</v>
      </c>
      <c r="P707" s="24" t="str">
        <f>IF('query (2)'!F707="","",TRIM(UPPER('query (2)'!F707)))</f>
        <v>1103-BW1AI</v>
      </c>
      <c r="Q707" s="24" t="str">
        <f>IF('query (2)'!G707="","UNKNOWN",IFERROR(INDEX(Cleaning_Rules!$B$38:$B$46,MATCH(TRIM(UPPER('query (2)'!G707)),Cleaning_Rules!$A$38:$A$46,0)),"UNKNOWN"))</f>
        <v>OTHER</v>
      </c>
      <c r="R707" s="24" t="str">
        <f>IF('query (2)'!H707="","",TRIM(UPPER('query (2)'!H707)))</f>
        <v>WEIGHT CHECKER M/C</v>
      </c>
      <c r="S707" s="25" t="str">
        <f>IF('query (2)'!H707="","",'query (2)'!H707)</f>
        <v>Weight checker M/C</v>
      </c>
      <c r="T707" s="24" t="str">
        <f>IF('query (2)'!J707="","",TRIM(UPPER('query (2)'!J707)))</f>
        <v/>
      </c>
      <c r="U707" s="24" t="str">
        <f t="shared" ref="U707:U770" si="80">IFERROR(IF(ISNUMBER(VALUE(MID($R707,SEARCH("(??-???)",$R707)+4,3))),MID($R707,SEARCH("(??-???)",$R707)+1,6),""),"")</f>
        <v/>
      </c>
      <c r="V707" s="24" t="str">
        <f>IF('query (2)'!K707="","NOT_SPECIFIED",IFERROR(INDEX(Cleaning_Rules!$B$32:$B$34,MATCH(TRIM(UPPER('query (2)'!K707)),Cleaning_Rules!$A$32:$A$34,0)),"UNKNOWN"))</f>
        <v>NOT_SPECIFIED</v>
      </c>
      <c r="W707" s="24" t="str">
        <f t="shared" ref="W707:W770" si="81">_xlfn.TEXTJOIN(" | ",TRUE,$B707,$G707,$J707,$M707,$O707,$P707,$Q707,$R707,$T707,$V707)</f>
        <v>CH-080 | FACTORY3 | BWD1 | BWD | ASSEMBLY | 1103-BW1AI | OTHER | WEIGHT CHECKER M/C | NOT_SPECIFIED</v>
      </c>
      <c r="X707" s="24" t="str">
        <f t="shared" ref="X707:X770" si="82">_xlfn.TEXTJOIN("; ",TRUE,IF($B707="","MISSING_QR",""),IF(N($E707)&gt;1,"DUPLICATE_QR",""),IF($F707="","MISSING_NO",""),IF($G707="UNKNOWN","MISSING_LOCATION",""),IF($J707="UNKNOWN","MISSING_DEPARTMENT",""),IF($N707="UNKNOWN","MISSING_SECTION",""),IF($O707="NOT_SPECIFIED","MISSING_RESPONSIBLE",""),IF($P707="","MISSING_COST_CENTER",""),IF($Q707="UNKNOWN","MISSING_CATEGORY",""),IF($R707="","MISSING_DESCRIPTION",""))</f>
        <v/>
      </c>
      <c r="Y707" s="24" t="str">
        <f t="shared" ref="Y707:Y770" si="83">_xlfn.TEXTJOIN("; ",TRUE,IF($V707="NOT_SPECIFIED","MISSING_STATUS",""),IF($Q707="OTHER","CATEGORY_NOT_USEFUL",""),IF($T707="","MISSING_PRODUCTION_NAME",""),IF($N707="DERIVED","SECTION_DERIVED",""))</f>
        <v>MISSING_STATUS; CATEGORY_NOT_USEFUL; MISSING_PRODUCTION_NAME</v>
      </c>
    </row>
    <row r="708" spans="1:25" x14ac:dyDescent="0.3">
      <c r="A708" s="24" t="str">
        <f t="shared" si="77"/>
        <v>AS-572#0707</v>
      </c>
      <c r="B708" s="24" t="str">
        <f>IF('query (2)'!B708="","",TRIM(UPPER('query (2)'!B708)))</f>
        <v>AS-572</v>
      </c>
      <c r="C708" s="25" t="str">
        <f>IF('query (2)'!B708="","",'query (2)'!B708)</f>
        <v>AS-572</v>
      </c>
      <c r="D708" s="24" t="str">
        <f t="shared" si="78"/>
        <v>AS</v>
      </c>
      <c r="E708" s="24">
        <f t="shared" si="79"/>
        <v>1</v>
      </c>
      <c r="F708" s="24">
        <f>IF('query (2)'!A708="","",IFERROR(VALUE('query (2)'!A708),""))</f>
        <v>726</v>
      </c>
      <c r="G708" s="24" t="str">
        <f>IF('query (2)'!C708="","UNKNOWN",IFERROR(INDEX(Cleaning_Rules!$B$15:$B$20,MATCH(TRIM(UPPER('query (2)'!C708)),Cleaning_Rules!$A$15:$A$20,0)),"UNKNOWN"))</f>
        <v>FACTORY3</v>
      </c>
      <c r="H708" s="25" t="str">
        <f>IF('query (2)'!C708="","",'query (2)'!C708)</f>
        <v>FACTORY3</v>
      </c>
      <c r="I708" s="24" t="str" cm="1">
        <f t="array" ref="I708">_xlfn.IFS($G708="UNKNOWN","UNKNOWN",OR($G708="FACTORY1",$G708="FACTORY2",$G708="FACTORY3"),"PLANT",TRUE,"SHARED")</f>
        <v>PLANT</v>
      </c>
      <c r="J708" s="24" t="str">
        <f>IF('query (2)'!D708="","UNKNOWN",IF(COUNTIF(Cleaning_Rules!$A$6:$A$11,TRIM('query (2)'!D708))&gt;0,"UNKNOWN",IFERROR(INDEX(Cleaning_Rules!$B$24:$B$28,MATCH(TRIM(UPPER('query (2)'!D708)),Cleaning_Rules!$A$24:$A$28,0)),TRIM(UPPER('query (2)'!D708)))))</f>
        <v>BWD1</v>
      </c>
      <c r="K708" s="25" t="str">
        <f>IF('query (2)'!D708="","",'query (2)'!D708)</f>
        <v>BWD1</v>
      </c>
      <c r="L708" s="24" t="str">
        <f>IF($J708="UNKNOWN","",_xlfn.TEXTBEFORE($J708,{"0","1","2","3","4","5","6","7","8","9"," ","-","."},1,,,$J708))</f>
        <v>BWD</v>
      </c>
      <c r="M708" s="24" t="str">
        <f>IF('query (2)'!I708&lt;&gt;"",TRIM(UPPER('query (2)'!I708)),IF($L708="","UNKNOWN",$L708))</f>
        <v>BWD</v>
      </c>
      <c r="N708" s="24" t="str">
        <f>IF('query (2)'!I708&lt;&gt;"","SOURCE",IF($L708="","UNKNOWN","DERIVED"))</f>
        <v>SOURCE</v>
      </c>
      <c r="O708" s="24" t="str">
        <f>IF('query (2)'!E708="","NOT_SPECIFIED",TRIM(UPPER('query (2)'!E708)))</f>
        <v>ASSEMBLY</v>
      </c>
      <c r="P708" s="24" t="str">
        <f>IF('query (2)'!F708="","",TRIM(UPPER('query (2)'!F708)))</f>
        <v>1103-BW1AI</v>
      </c>
      <c r="Q708" s="24" t="str">
        <f>IF('query (2)'!G708="","UNKNOWN",IFERROR(INDEX(Cleaning_Rules!$B$38:$B$46,MATCH(TRIM(UPPER('query (2)'!G708)),Cleaning_Rules!$A$38:$A$46,0)),"UNKNOWN"))</f>
        <v>OTHER</v>
      </c>
      <c r="R708" s="24" t="str">
        <f>IF('query (2)'!H708="","",TRIM(UPPER('query (2)'!H708)))</f>
        <v>BALL &amp; CAGE ASSEMBLY MACHINE</v>
      </c>
      <c r="S708" s="25" t="str">
        <f>IF('query (2)'!H708="","",'query (2)'!H708)</f>
        <v>Ball &amp; Cage assembly machine</v>
      </c>
      <c r="T708" s="24" t="str">
        <f>IF('query (2)'!J708="","",TRIM(UPPER('query (2)'!J708)))</f>
        <v/>
      </c>
      <c r="U708" s="24" t="str">
        <f t="shared" si="80"/>
        <v/>
      </c>
      <c r="V708" s="24" t="str">
        <f>IF('query (2)'!K708="","NOT_SPECIFIED",IFERROR(INDEX(Cleaning_Rules!$B$32:$B$34,MATCH(TRIM(UPPER('query (2)'!K708)),Cleaning_Rules!$A$32:$A$34,0)),"UNKNOWN"))</f>
        <v>NOT_SPECIFIED</v>
      </c>
      <c r="W708" s="24" t="str">
        <f t="shared" si="81"/>
        <v>AS-572 | FACTORY3 | BWD1 | BWD | ASSEMBLY | 1103-BW1AI | OTHER | BALL &amp; CAGE ASSEMBLY MACHINE | NOT_SPECIFIED</v>
      </c>
      <c r="X708" s="24" t="str">
        <f t="shared" si="82"/>
        <v/>
      </c>
      <c r="Y708" s="24" t="str">
        <f t="shared" si="83"/>
        <v>MISSING_STATUS; CATEGORY_NOT_USEFUL; MISSING_PRODUCTION_NAME</v>
      </c>
    </row>
    <row r="709" spans="1:25" x14ac:dyDescent="0.3">
      <c r="A709" s="24" t="str">
        <f t="shared" si="77"/>
        <v>DE-612#0708</v>
      </c>
      <c r="B709" s="24" t="str">
        <f>IF('query (2)'!B709="","",TRIM(UPPER('query (2)'!B709)))</f>
        <v>DE-612</v>
      </c>
      <c r="C709" s="25" t="str">
        <f>IF('query (2)'!B709="","",'query (2)'!B709)</f>
        <v>DE-612</v>
      </c>
      <c r="D709" s="24" t="str">
        <f t="shared" si="78"/>
        <v>DE</v>
      </c>
      <c r="E709" s="24">
        <f t="shared" si="79"/>
        <v>1</v>
      </c>
      <c r="F709" s="24">
        <f>IF('query (2)'!A709="","",IFERROR(VALUE('query (2)'!A709),""))</f>
        <v>727</v>
      </c>
      <c r="G709" s="24" t="str">
        <f>IF('query (2)'!C709="","UNKNOWN",IFERROR(INDEX(Cleaning_Rules!$B$15:$B$20,MATCH(TRIM(UPPER('query (2)'!C709)),Cleaning_Rules!$A$15:$A$20,0)),"UNKNOWN"))</f>
        <v>FACTORY3</v>
      </c>
      <c r="H709" s="25" t="str">
        <f>IF('query (2)'!C709="","",'query (2)'!C709)</f>
        <v>FACTORY3</v>
      </c>
      <c r="I709" s="24" t="str" cm="1">
        <f t="array" ref="I709">_xlfn.IFS($G709="UNKNOWN","UNKNOWN",OR($G709="FACTORY1",$G709="FACTORY2",$G709="FACTORY3"),"PLANT",TRUE,"SHARED")</f>
        <v>PLANT</v>
      </c>
      <c r="J709" s="24" t="str">
        <f>IF('query (2)'!D709="","UNKNOWN",IF(COUNTIF(Cleaning_Rules!$A$6:$A$11,TRIM('query (2)'!D709))&gt;0,"UNKNOWN",IFERROR(INDEX(Cleaning_Rules!$B$24:$B$28,MATCH(TRIM(UPPER('query (2)'!D709)),Cleaning_Rules!$A$24:$A$28,0)),TRIM(UPPER('query (2)'!D709)))))</f>
        <v>BWD1</v>
      </c>
      <c r="K709" s="25" t="str">
        <f>IF('query (2)'!D709="","",'query (2)'!D709)</f>
        <v>BWD1</v>
      </c>
      <c r="L709" s="24" t="str">
        <f>IF($J709="UNKNOWN","",_xlfn.TEXTBEFORE($J709,{"0","1","2","3","4","5","6","7","8","9"," ","-","."},1,,,$J709))</f>
        <v>BWD</v>
      </c>
      <c r="M709" s="24" t="str">
        <f>IF('query (2)'!I709&lt;&gt;"",TRIM(UPPER('query (2)'!I709)),IF($L709="","UNKNOWN",$L709))</f>
        <v>BWD</v>
      </c>
      <c r="N709" s="24" t="str">
        <f>IF('query (2)'!I709&lt;&gt;"","SOURCE",IF($L709="","UNKNOWN","DERIVED"))</f>
        <v>SOURCE</v>
      </c>
      <c r="O709" s="24" t="str">
        <f>IF('query (2)'!E709="","NOT_SPECIFIED",TRIM(UPPER('query (2)'!E709)))</f>
        <v>GRINDING 2</v>
      </c>
      <c r="P709" s="24" t="str">
        <f>IF('query (2)'!F709="","",TRIM(UPPER('query (2)'!F709)))</f>
        <v>1104-BW1G</v>
      </c>
      <c r="Q709" s="24" t="str">
        <f>IF('query (2)'!G709="","UNKNOWN",IFERROR(INDEX(Cleaning_Rules!$B$38:$B$46,MATCH(TRIM(UPPER('query (2)'!G709)),Cleaning_Rules!$A$38:$A$46,0)),"UNKNOWN"))</f>
        <v>OTHER</v>
      </c>
      <c r="R709" s="24" t="str">
        <f>IF('query (2)'!H709="","",TRIM(UPPER('query (2)'!H709)))</f>
        <v>DEMAGNETIZING FOR INNER RING M/C</v>
      </c>
      <c r="S709" s="25" t="str">
        <f>IF('query (2)'!H709="","",'query (2)'!H709)</f>
        <v>Demagnetizing for inner ring M/C</v>
      </c>
      <c r="T709" s="24" t="str">
        <f>IF('query (2)'!J709="","",TRIM(UPPER('query (2)'!J709)))</f>
        <v/>
      </c>
      <c r="U709" s="24" t="str">
        <f t="shared" si="80"/>
        <v/>
      </c>
      <c r="V709" s="24" t="str">
        <f>IF('query (2)'!K709="","NOT_SPECIFIED",IFERROR(INDEX(Cleaning_Rules!$B$32:$B$34,MATCH(TRIM(UPPER('query (2)'!K709)),Cleaning_Rules!$A$32:$A$34,0)),"UNKNOWN"))</f>
        <v>NOT_SPECIFIED</v>
      </c>
      <c r="W709" s="24" t="str">
        <f t="shared" si="81"/>
        <v>DE-612 | FACTORY3 | BWD1 | BWD | GRINDING 2 | 1104-BW1G | OTHER | DEMAGNETIZING FOR INNER RING M/C | NOT_SPECIFIED</v>
      </c>
      <c r="X709" s="24" t="str">
        <f t="shared" si="82"/>
        <v/>
      </c>
      <c r="Y709" s="24" t="str">
        <f t="shared" si="83"/>
        <v>MISSING_STATUS; CATEGORY_NOT_USEFUL; MISSING_PRODUCTION_NAME</v>
      </c>
    </row>
    <row r="710" spans="1:25" x14ac:dyDescent="0.3">
      <c r="A710" s="24" t="str">
        <f t="shared" si="77"/>
        <v>MA-611#0709</v>
      </c>
      <c r="B710" s="24" t="str">
        <f>IF('query (2)'!B710="","",TRIM(UPPER('query (2)'!B710)))</f>
        <v>MA-611</v>
      </c>
      <c r="C710" s="25" t="str">
        <f>IF('query (2)'!B710="","",'query (2)'!B710)</f>
        <v>MA-611</v>
      </c>
      <c r="D710" s="24" t="str">
        <f t="shared" si="78"/>
        <v>MA</v>
      </c>
      <c r="E710" s="24">
        <f t="shared" si="79"/>
        <v>1</v>
      </c>
      <c r="F710" s="24">
        <f>IF('query (2)'!A710="","",IFERROR(VALUE('query (2)'!A710),""))</f>
        <v>728</v>
      </c>
      <c r="G710" s="24" t="str">
        <f>IF('query (2)'!C710="","UNKNOWN",IFERROR(INDEX(Cleaning_Rules!$B$15:$B$20,MATCH(TRIM(UPPER('query (2)'!C710)),Cleaning_Rules!$A$15:$A$20,0)),"UNKNOWN"))</f>
        <v>FACTORY3</v>
      </c>
      <c r="H710" s="25" t="str">
        <f>IF('query (2)'!C710="","",'query (2)'!C710)</f>
        <v>FACTORY3</v>
      </c>
      <c r="I710" s="24" t="str" cm="1">
        <f t="array" ref="I710">_xlfn.IFS($G710="UNKNOWN","UNKNOWN",OR($G710="FACTORY1",$G710="FACTORY2",$G710="FACTORY3"),"PLANT",TRUE,"SHARED")</f>
        <v>PLANT</v>
      </c>
      <c r="J710" s="24" t="str">
        <f>IF('query (2)'!D710="","UNKNOWN",IF(COUNTIF(Cleaning_Rules!$A$6:$A$11,TRIM('query (2)'!D710))&gt;0,"UNKNOWN",IFERROR(INDEX(Cleaning_Rules!$B$24:$B$28,MATCH(TRIM(UPPER('query (2)'!D710)),Cleaning_Rules!$A$24:$A$28,0)),TRIM(UPPER('query (2)'!D710)))))</f>
        <v>BWD1</v>
      </c>
      <c r="K710" s="25" t="str">
        <f>IF('query (2)'!D710="","",'query (2)'!D710)</f>
        <v>BWD1</v>
      </c>
      <c r="L710" s="24" t="str">
        <f>IF($J710="UNKNOWN","",_xlfn.TEXTBEFORE($J710,{"0","1","2","3","4","5","6","7","8","9"," ","-","."},1,,,$J710))</f>
        <v>BWD</v>
      </c>
      <c r="M710" s="24" t="str">
        <f>IF('query (2)'!I710&lt;&gt;"",TRIM(UPPER('query (2)'!I710)),IF($L710="","UNKNOWN",$L710))</f>
        <v>BWD</v>
      </c>
      <c r="N710" s="24" t="str">
        <f>IF('query (2)'!I710&lt;&gt;"","SOURCE",IF($L710="","UNKNOWN","DERIVED"))</f>
        <v>SOURCE</v>
      </c>
      <c r="O710" s="24" t="str">
        <f>IF('query (2)'!E710="","NOT_SPECIFIED",TRIM(UPPER('query (2)'!E710)))</f>
        <v>ASSEMBLY</v>
      </c>
      <c r="P710" s="24" t="str">
        <f>IF('query (2)'!F710="","",TRIM(UPPER('query (2)'!F710)))</f>
        <v>1103-BW1AI</v>
      </c>
      <c r="Q710" s="24" t="str">
        <f>IF('query (2)'!G710="","UNKNOWN",IFERROR(INDEX(Cleaning_Rules!$B$38:$B$46,MATCH(TRIM(UPPER('query (2)'!G710)),Cleaning_Rules!$A$38:$A$46,0)),"UNKNOWN"))</f>
        <v>OTHER</v>
      </c>
      <c r="R710" s="24" t="str">
        <f>IF('query (2)'!H710="","",TRIM(UPPER('query (2)'!H710)))</f>
        <v>LASER MARKER MACHINE</v>
      </c>
      <c r="S710" s="25" t="str">
        <f>IF('query (2)'!H710="","",'query (2)'!H710)</f>
        <v>Laser marker machine</v>
      </c>
      <c r="T710" s="24" t="str">
        <f>IF('query (2)'!J710="","",TRIM(UPPER('query (2)'!J710)))</f>
        <v/>
      </c>
      <c r="U710" s="24" t="str">
        <f t="shared" si="80"/>
        <v/>
      </c>
      <c r="V710" s="24" t="str">
        <f>IF('query (2)'!K710="","NOT_SPECIFIED",IFERROR(INDEX(Cleaning_Rules!$B$32:$B$34,MATCH(TRIM(UPPER('query (2)'!K710)),Cleaning_Rules!$A$32:$A$34,0)),"UNKNOWN"))</f>
        <v>NOT_SPECIFIED</v>
      </c>
      <c r="W710" s="24" t="str">
        <f t="shared" si="81"/>
        <v>MA-611 | FACTORY3 | BWD1 | BWD | ASSEMBLY | 1103-BW1AI | OTHER | LASER MARKER MACHINE | NOT_SPECIFIED</v>
      </c>
      <c r="X710" s="24" t="str">
        <f t="shared" si="82"/>
        <v/>
      </c>
      <c r="Y710" s="24" t="str">
        <f t="shared" si="83"/>
        <v>MISSING_STATUS; CATEGORY_NOT_USEFUL; MISSING_PRODUCTION_NAME</v>
      </c>
    </row>
    <row r="711" spans="1:25" x14ac:dyDescent="0.3">
      <c r="A711" s="24" t="str">
        <f t="shared" si="77"/>
        <v>CH-941#0710</v>
      </c>
      <c r="B711" s="24" t="str">
        <f>IF('query (2)'!B711="","",TRIM(UPPER('query (2)'!B711)))</f>
        <v>CH-941</v>
      </c>
      <c r="C711" s="25" t="str">
        <f>IF('query (2)'!B711="","",'query (2)'!B711)</f>
        <v>CH-941</v>
      </c>
      <c r="D711" s="24" t="str">
        <f t="shared" si="78"/>
        <v>CH</v>
      </c>
      <c r="E711" s="24">
        <f t="shared" si="79"/>
        <v>1</v>
      </c>
      <c r="F711" s="24">
        <f>IF('query (2)'!A711="","",IFERROR(VALUE('query (2)'!A711),""))</f>
        <v>729</v>
      </c>
      <c r="G711" s="24" t="str">
        <f>IF('query (2)'!C711="","UNKNOWN",IFERROR(INDEX(Cleaning_Rules!$B$15:$B$20,MATCH(TRIM(UPPER('query (2)'!C711)),Cleaning_Rules!$A$15:$A$20,0)),"UNKNOWN"))</f>
        <v>FACTORY3</v>
      </c>
      <c r="H711" s="25" t="str">
        <f>IF('query (2)'!C711="","",'query (2)'!C711)</f>
        <v>FACTORY3</v>
      </c>
      <c r="I711" s="24" t="str" cm="1">
        <f t="array" ref="I711">_xlfn.IFS($G711="UNKNOWN","UNKNOWN",OR($G711="FACTORY1",$G711="FACTORY2",$G711="FACTORY3"),"PLANT",TRUE,"SHARED")</f>
        <v>PLANT</v>
      </c>
      <c r="J711" s="24" t="str">
        <f>IF('query (2)'!D711="","UNKNOWN",IF(COUNTIF(Cleaning_Rules!$A$6:$A$11,TRIM('query (2)'!D711))&gt;0,"UNKNOWN",IFERROR(INDEX(Cleaning_Rules!$B$24:$B$28,MATCH(TRIM(UPPER('query (2)'!D711)),Cleaning_Rules!$A$24:$A$28,0)),TRIM(UPPER('query (2)'!D711)))))</f>
        <v>BWD1</v>
      </c>
      <c r="K711" s="25" t="str">
        <f>IF('query (2)'!D711="","",'query (2)'!D711)</f>
        <v>BWD1</v>
      </c>
      <c r="L711" s="24" t="str">
        <f>IF($J711="UNKNOWN","",_xlfn.TEXTBEFORE($J711,{"0","1","2","3","4","5","6","7","8","9"," ","-","."},1,,,$J711))</f>
        <v>BWD</v>
      </c>
      <c r="M711" s="24" t="str">
        <f>IF('query (2)'!I711&lt;&gt;"",TRIM(UPPER('query (2)'!I711)),IF($L711="","UNKNOWN",$L711))</f>
        <v>BWD</v>
      </c>
      <c r="N711" s="24" t="str">
        <f>IF('query (2)'!I711&lt;&gt;"","SOURCE",IF($L711="","UNKNOWN","DERIVED"))</f>
        <v>SOURCE</v>
      </c>
      <c r="O711" s="24" t="str">
        <f>IF('query (2)'!E711="","NOT_SPECIFIED",TRIM(UPPER('query (2)'!E711)))</f>
        <v>GRINDING 2</v>
      </c>
      <c r="P711" s="24" t="str">
        <f>IF('query (2)'!F711="","",TRIM(UPPER('query (2)'!F711)))</f>
        <v>1104-BW1G</v>
      </c>
      <c r="Q711" s="24" t="str">
        <f>IF('query (2)'!G711="","UNKNOWN",IFERROR(INDEX(Cleaning_Rules!$B$38:$B$46,MATCH(TRIM(UPPER('query (2)'!G711)),Cleaning_Rules!$A$38:$A$46,0)),"UNKNOWN"))</f>
        <v>OTHER</v>
      </c>
      <c r="R711" s="24" t="str">
        <f>IF('query (2)'!H711="","",TRIM(UPPER('query (2)'!H711)))</f>
        <v>OUTER &amp; INNER EDDY CURENT TESTER M/C</v>
      </c>
      <c r="S711" s="25" t="str">
        <f>IF('query (2)'!H711="","",'query (2)'!H711)</f>
        <v>Outer &amp; Inner Eddy curent tester m/c</v>
      </c>
      <c r="T711" s="24" t="str">
        <f>IF('query (2)'!J711="","",TRIM(UPPER('query (2)'!J711)))</f>
        <v/>
      </c>
      <c r="U711" s="24" t="str">
        <f t="shared" si="80"/>
        <v/>
      </c>
      <c r="V711" s="24" t="str">
        <f>IF('query (2)'!K711="","NOT_SPECIFIED",IFERROR(INDEX(Cleaning_Rules!$B$32:$B$34,MATCH(TRIM(UPPER('query (2)'!K711)),Cleaning_Rules!$A$32:$A$34,0)),"UNKNOWN"))</f>
        <v>NOT_SPECIFIED</v>
      </c>
      <c r="W711" s="24" t="str">
        <f t="shared" si="81"/>
        <v>CH-941 | FACTORY3 | BWD1 | BWD | GRINDING 2 | 1104-BW1G | OTHER | OUTER &amp; INNER EDDY CURENT TESTER M/C | NOT_SPECIFIED</v>
      </c>
      <c r="X711" s="24" t="str">
        <f t="shared" si="82"/>
        <v/>
      </c>
      <c r="Y711" s="24" t="str">
        <f t="shared" si="83"/>
        <v>MISSING_STATUS; CATEGORY_NOT_USEFUL; MISSING_PRODUCTION_NAME</v>
      </c>
    </row>
    <row r="712" spans="1:25" x14ac:dyDescent="0.3">
      <c r="A712" s="24" t="str">
        <f t="shared" si="77"/>
        <v>GR-147#0711</v>
      </c>
      <c r="B712" s="24" t="str">
        <f>IF('query (2)'!B712="","",TRIM(UPPER('query (2)'!B712)))</f>
        <v>GR-147</v>
      </c>
      <c r="C712" s="25" t="str">
        <f>IF('query (2)'!B712="","",'query (2)'!B712)</f>
        <v>GR-147</v>
      </c>
      <c r="D712" s="24" t="str">
        <f t="shared" si="78"/>
        <v>GR</v>
      </c>
      <c r="E712" s="24">
        <f t="shared" si="79"/>
        <v>1</v>
      </c>
      <c r="F712" s="24">
        <f>IF('query (2)'!A712="","",IFERROR(VALUE('query (2)'!A712),""))</f>
        <v>730</v>
      </c>
      <c r="G712" s="24" t="str">
        <f>IF('query (2)'!C712="","UNKNOWN",IFERROR(INDEX(Cleaning_Rules!$B$15:$B$20,MATCH(TRIM(UPPER('query (2)'!C712)),Cleaning_Rules!$A$15:$A$20,0)),"UNKNOWN"))</f>
        <v>FACTORY3</v>
      </c>
      <c r="H712" s="25" t="str">
        <f>IF('query (2)'!C712="","",'query (2)'!C712)</f>
        <v>FACTORY3</v>
      </c>
      <c r="I712" s="24" t="str" cm="1">
        <f t="array" ref="I712">_xlfn.IFS($G712="UNKNOWN","UNKNOWN",OR($G712="FACTORY1",$G712="FACTORY2",$G712="FACTORY3"),"PLANT",TRUE,"SHARED")</f>
        <v>PLANT</v>
      </c>
      <c r="J712" s="24" t="str">
        <f>IF('query (2)'!D712="","UNKNOWN",IF(COUNTIF(Cleaning_Rules!$A$6:$A$11,TRIM('query (2)'!D712))&gt;0,"UNKNOWN",IFERROR(INDEX(Cleaning_Rules!$B$24:$B$28,MATCH(TRIM(UPPER('query (2)'!D712)),Cleaning_Rules!$A$24:$A$28,0)),TRIM(UPPER('query (2)'!D712)))))</f>
        <v>BWD2</v>
      </c>
      <c r="K712" s="25" t="str">
        <f>IF('query (2)'!D712="","",'query (2)'!D712)</f>
        <v>BWD2</v>
      </c>
      <c r="L712" s="24" t="str">
        <f>IF($J712="UNKNOWN","",_xlfn.TEXTBEFORE($J712,{"0","1","2","3","4","5","6","7","8","9"," ","-","."},1,,,$J712))</f>
        <v>BWD</v>
      </c>
      <c r="M712" s="24" t="str">
        <f>IF('query (2)'!I712&lt;&gt;"",TRIM(UPPER('query (2)'!I712)),IF($L712="","UNKNOWN",$L712))</f>
        <v>BWD</v>
      </c>
      <c r="N712" s="24" t="str">
        <f>IF('query (2)'!I712&lt;&gt;"","SOURCE",IF($L712="","UNKNOWN","DERIVED"))</f>
        <v>SOURCE</v>
      </c>
      <c r="O712" s="24" t="str">
        <f>IF('query (2)'!E712="","NOT_SPECIFIED",TRIM(UPPER('query (2)'!E712)))</f>
        <v>GRINDING 2</v>
      </c>
      <c r="P712" s="24" t="str">
        <f>IF('query (2)'!F712="","",TRIM(UPPER('query (2)'!F712)))</f>
        <v>1106-BW2G</v>
      </c>
      <c r="Q712" s="24" t="str">
        <f>IF('query (2)'!G712="","UNKNOWN",IFERROR(INDEX(Cleaning_Rules!$B$38:$B$46,MATCH(TRIM(UPPER('query (2)'!G712)),Cleaning_Rules!$A$38:$A$46,0)),"UNKNOWN"))</f>
        <v>OTHER</v>
      </c>
      <c r="R712" s="24" t="str">
        <f>IF('query (2)'!H712="","",TRIM(UPPER('query (2)'!H712)))</f>
        <v>OUTER RING RACEWAY GRINDING M/C</v>
      </c>
      <c r="S712" s="25" t="str">
        <f>IF('query (2)'!H712="","",'query (2)'!H712)</f>
        <v>Outer ring raceway grinding M/C</v>
      </c>
      <c r="T712" s="24" t="str">
        <f>IF('query (2)'!J712="","",TRIM(UPPER('query (2)'!J712)))</f>
        <v>A - RACEWAY GRINDING</v>
      </c>
      <c r="U712" s="24" t="str">
        <f t="shared" si="80"/>
        <v/>
      </c>
      <c r="V712" s="24" t="str">
        <f>IF('query (2)'!K712="","NOT_SPECIFIED",IFERROR(INDEX(Cleaning_Rules!$B$32:$B$34,MATCH(TRIM(UPPER('query (2)'!K712)),Cleaning_Rules!$A$32:$A$34,0)),"UNKNOWN"))</f>
        <v>NOT_SPECIFIED</v>
      </c>
      <c r="W712" s="24" t="str">
        <f t="shared" si="81"/>
        <v>GR-147 | FACTORY3 | BWD2 | BWD | GRINDING 2 | 1106-BW2G | OTHER | OUTER RING RACEWAY GRINDING M/C | A - RACEWAY GRINDING | NOT_SPECIFIED</v>
      </c>
      <c r="X712" s="24" t="str">
        <f t="shared" si="82"/>
        <v/>
      </c>
      <c r="Y712" s="24" t="str">
        <f t="shared" si="83"/>
        <v>MISSING_STATUS; CATEGORY_NOT_USEFUL</v>
      </c>
    </row>
    <row r="713" spans="1:25" x14ac:dyDescent="0.3">
      <c r="A713" s="24" t="str">
        <f t="shared" si="77"/>
        <v>DE-149#0712</v>
      </c>
      <c r="B713" s="24" t="str">
        <f>IF('query (2)'!B713="","",TRIM(UPPER('query (2)'!B713)))</f>
        <v>DE-149</v>
      </c>
      <c r="C713" s="25" t="str">
        <f>IF('query (2)'!B713="","",'query (2)'!B713)</f>
        <v>DE-149</v>
      </c>
      <c r="D713" s="24" t="str">
        <f t="shared" si="78"/>
        <v>DE</v>
      </c>
      <c r="E713" s="24">
        <f t="shared" si="79"/>
        <v>1</v>
      </c>
      <c r="F713" s="24">
        <f>IF('query (2)'!A713="","",IFERROR(VALUE('query (2)'!A713),""))</f>
        <v>731</v>
      </c>
      <c r="G713" s="24" t="str">
        <f>IF('query (2)'!C713="","UNKNOWN",IFERROR(INDEX(Cleaning_Rules!$B$15:$B$20,MATCH(TRIM(UPPER('query (2)'!C713)),Cleaning_Rules!$A$15:$A$20,0)),"UNKNOWN"))</f>
        <v>FACTORY3</v>
      </c>
      <c r="H713" s="25" t="str">
        <f>IF('query (2)'!C713="","",'query (2)'!C713)</f>
        <v>FACTORY3</v>
      </c>
      <c r="I713" s="24" t="str" cm="1">
        <f t="array" ref="I713">_xlfn.IFS($G713="UNKNOWN","UNKNOWN",OR($G713="FACTORY1",$G713="FACTORY2",$G713="FACTORY3"),"PLANT",TRUE,"SHARED")</f>
        <v>PLANT</v>
      </c>
      <c r="J713" s="24" t="str">
        <f>IF('query (2)'!D713="","UNKNOWN",IF(COUNTIF(Cleaning_Rules!$A$6:$A$11,TRIM('query (2)'!D713))&gt;0,"UNKNOWN",IFERROR(INDEX(Cleaning_Rules!$B$24:$B$28,MATCH(TRIM(UPPER('query (2)'!D713)),Cleaning_Rules!$A$24:$A$28,0)),TRIM(UPPER('query (2)'!D713)))))</f>
        <v>BWD2</v>
      </c>
      <c r="K713" s="25" t="str">
        <f>IF('query (2)'!D713="","",'query (2)'!D713)</f>
        <v>BWD2</v>
      </c>
      <c r="L713" s="24" t="str">
        <f>IF($J713="UNKNOWN","",_xlfn.TEXTBEFORE($J713,{"0","1","2","3","4","5","6","7","8","9"," ","-","."},1,,,$J713))</f>
        <v>BWD</v>
      </c>
      <c r="M713" s="24" t="str">
        <f>IF('query (2)'!I713&lt;&gt;"",TRIM(UPPER('query (2)'!I713)),IF($L713="","UNKNOWN",$L713))</f>
        <v>BWD</v>
      </c>
      <c r="N713" s="24" t="str">
        <f>IF('query (2)'!I713&lt;&gt;"","SOURCE",IF($L713="","UNKNOWN","DERIVED"))</f>
        <v>SOURCE</v>
      </c>
      <c r="O713" s="24" t="str">
        <f>IF('query (2)'!E713="","NOT_SPECIFIED",TRIM(UPPER('query (2)'!E713)))</f>
        <v>GRINDING 2</v>
      </c>
      <c r="P713" s="24" t="str">
        <f>IF('query (2)'!F713="","",TRIM(UPPER('query (2)'!F713)))</f>
        <v>1106-BW2G</v>
      </c>
      <c r="Q713" s="24" t="str">
        <f>IF('query (2)'!G713="","UNKNOWN",IFERROR(INDEX(Cleaning_Rules!$B$38:$B$46,MATCH(TRIM(UPPER('query (2)'!G713)),Cleaning_Rules!$A$38:$A$46,0)),"UNKNOWN"))</f>
        <v>OTHER</v>
      </c>
      <c r="R713" s="24" t="str">
        <f>IF('query (2)'!H713="","",TRIM(UPPER('query (2)'!H713)))</f>
        <v>DEMAGNETIZING FOR OUTER RING M/C</v>
      </c>
      <c r="S713" s="25" t="str">
        <f>IF('query (2)'!H713="","",'query (2)'!H713)</f>
        <v>Demagnetizing  for  outer  ring  M/C</v>
      </c>
      <c r="T713" s="24" t="str">
        <f>IF('query (2)'!J713="","",TRIM(UPPER('query (2)'!J713)))</f>
        <v>A - DEMAGNETIZING</v>
      </c>
      <c r="U713" s="24" t="str">
        <f t="shared" si="80"/>
        <v/>
      </c>
      <c r="V713" s="24" t="str">
        <f>IF('query (2)'!K713="","NOT_SPECIFIED",IFERROR(INDEX(Cleaning_Rules!$B$32:$B$34,MATCH(TRIM(UPPER('query (2)'!K713)),Cleaning_Rules!$A$32:$A$34,0)),"UNKNOWN"))</f>
        <v>NOT_SPECIFIED</v>
      </c>
      <c r="W713" s="24" t="str">
        <f t="shared" si="81"/>
        <v>DE-149 | FACTORY3 | BWD2 | BWD | GRINDING 2 | 1106-BW2G | OTHER | DEMAGNETIZING FOR OUTER RING M/C | A - DEMAGNETIZING | NOT_SPECIFIED</v>
      </c>
      <c r="X713" s="24" t="str">
        <f t="shared" si="82"/>
        <v/>
      </c>
      <c r="Y713" s="24" t="str">
        <f t="shared" si="83"/>
        <v>MISSING_STATUS; CATEGORY_NOT_USEFUL</v>
      </c>
    </row>
    <row r="714" spans="1:25" x14ac:dyDescent="0.3">
      <c r="A714" s="24" t="str">
        <f t="shared" si="77"/>
        <v>GR-150#0713</v>
      </c>
      <c r="B714" s="24" t="str">
        <f>IF('query (2)'!B714="","",TRIM(UPPER('query (2)'!B714)))</f>
        <v>GR-150</v>
      </c>
      <c r="C714" s="25" t="str">
        <f>IF('query (2)'!B714="","",'query (2)'!B714)</f>
        <v>GR-150</v>
      </c>
      <c r="D714" s="24" t="str">
        <f t="shared" si="78"/>
        <v>GR</v>
      </c>
      <c r="E714" s="24">
        <f t="shared" si="79"/>
        <v>1</v>
      </c>
      <c r="F714" s="24">
        <f>IF('query (2)'!A714="","",IFERROR(VALUE('query (2)'!A714),""))</f>
        <v>732</v>
      </c>
      <c r="G714" s="24" t="str">
        <f>IF('query (2)'!C714="","UNKNOWN",IFERROR(INDEX(Cleaning_Rules!$B$15:$B$20,MATCH(TRIM(UPPER('query (2)'!C714)),Cleaning_Rules!$A$15:$A$20,0)),"UNKNOWN"))</f>
        <v>FACTORY3</v>
      </c>
      <c r="H714" s="25" t="str">
        <f>IF('query (2)'!C714="","",'query (2)'!C714)</f>
        <v>FACTORY3</v>
      </c>
      <c r="I714" s="24" t="str" cm="1">
        <f t="array" ref="I714">_xlfn.IFS($G714="UNKNOWN","UNKNOWN",OR($G714="FACTORY1",$G714="FACTORY2",$G714="FACTORY3"),"PLANT",TRUE,"SHARED")</f>
        <v>PLANT</v>
      </c>
      <c r="J714" s="24" t="str">
        <f>IF('query (2)'!D714="","UNKNOWN",IF(COUNTIF(Cleaning_Rules!$A$6:$A$11,TRIM('query (2)'!D714))&gt;0,"UNKNOWN",IFERROR(INDEX(Cleaning_Rules!$B$24:$B$28,MATCH(TRIM(UPPER('query (2)'!D714)),Cleaning_Rules!$A$24:$A$28,0)),TRIM(UPPER('query (2)'!D714)))))</f>
        <v>BWD2</v>
      </c>
      <c r="K714" s="25" t="str">
        <f>IF('query (2)'!D714="","",'query (2)'!D714)</f>
        <v>BWD2</v>
      </c>
      <c r="L714" s="24" t="str">
        <f>IF($J714="UNKNOWN","",_xlfn.TEXTBEFORE($J714,{"0","1","2","3","4","5","6","7","8","9"," ","-","."},1,,,$J714))</f>
        <v>BWD</v>
      </c>
      <c r="M714" s="24" t="str">
        <f>IF('query (2)'!I714&lt;&gt;"",TRIM(UPPER('query (2)'!I714)),IF($L714="","UNKNOWN",$L714))</f>
        <v>BWD</v>
      </c>
      <c r="N714" s="24" t="str">
        <f>IF('query (2)'!I714&lt;&gt;"","SOURCE",IF($L714="","UNKNOWN","DERIVED"))</f>
        <v>SOURCE</v>
      </c>
      <c r="O714" s="24" t="str">
        <f>IF('query (2)'!E714="","NOT_SPECIFIED",TRIM(UPPER('query (2)'!E714)))</f>
        <v>GRINDING 2</v>
      </c>
      <c r="P714" s="24" t="str">
        <f>IF('query (2)'!F714="","",TRIM(UPPER('query (2)'!F714)))</f>
        <v>1106-BW2G</v>
      </c>
      <c r="Q714" s="24" t="str">
        <f>IF('query (2)'!G714="","UNKNOWN",IFERROR(INDEX(Cleaning_Rules!$B$38:$B$46,MATCH(TRIM(UPPER('query (2)'!G714)),Cleaning_Rules!$A$38:$A$46,0)),"UNKNOWN"))</f>
        <v>OTHER</v>
      </c>
      <c r="R714" s="24" t="str">
        <f>IF('query (2)'!H714="","",TRIM(UPPER('query (2)'!H714)))</f>
        <v>OUTER RING RACEWAY SUPER FINISH M/C</v>
      </c>
      <c r="S714" s="25" t="str">
        <f>IF('query (2)'!H714="","",'query (2)'!H714)</f>
        <v>Outer ring raceway super finish M/C</v>
      </c>
      <c r="T714" s="24" t="str">
        <f>IF('query (2)'!J714="","",TRIM(UPPER('query (2)'!J714)))</f>
        <v>A - RACEWAY SUPER FINISH</v>
      </c>
      <c r="U714" s="24" t="str">
        <f t="shared" si="80"/>
        <v/>
      </c>
      <c r="V714" s="24" t="str">
        <f>IF('query (2)'!K714="","NOT_SPECIFIED",IFERROR(INDEX(Cleaning_Rules!$B$32:$B$34,MATCH(TRIM(UPPER('query (2)'!K714)),Cleaning_Rules!$A$32:$A$34,0)),"UNKNOWN"))</f>
        <v>NOT_SPECIFIED</v>
      </c>
      <c r="W714" s="24" t="str">
        <f t="shared" si="81"/>
        <v>GR-150 | FACTORY3 | BWD2 | BWD | GRINDING 2 | 1106-BW2G | OTHER | OUTER RING RACEWAY SUPER FINISH M/C | A - RACEWAY SUPER FINISH | NOT_SPECIFIED</v>
      </c>
      <c r="X714" s="24" t="str">
        <f t="shared" si="82"/>
        <v/>
      </c>
      <c r="Y714" s="24" t="str">
        <f t="shared" si="83"/>
        <v>MISSING_STATUS; CATEGORY_NOT_USEFUL</v>
      </c>
    </row>
    <row r="715" spans="1:25" x14ac:dyDescent="0.3">
      <c r="A715" s="24" t="str">
        <f t="shared" si="77"/>
        <v>WA-151#0714</v>
      </c>
      <c r="B715" s="24" t="str">
        <f>IF('query (2)'!B715="","",TRIM(UPPER('query (2)'!B715)))</f>
        <v>WA-151</v>
      </c>
      <c r="C715" s="25" t="str">
        <f>IF('query (2)'!B715="","",'query (2)'!B715)</f>
        <v>WA-151</v>
      </c>
      <c r="D715" s="24" t="str">
        <f t="shared" si="78"/>
        <v>WA</v>
      </c>
      <c r="E715" s="24">
        <f t="shared" si="79"/>
        <v>1</v>
      </c>
      <c r="F715" s="24">
        <f>IF('query (2)'!A715="","",IFERROR(VALUE('query (2)'!A715),""))</f>
        <v>733</v>
      </c>
      <c r="G715" s="24" t="str">
        <f>IF('query (2)'!C715="","UNKNOWN",IFERROR(INDEX(Cleaning_Rules!$B$15:$B$20,MATCH(TRIM(UPPER('query (2)'!C715)),Cleaning_Rules!$A$15:$A$20,0)),"UNKNOWN"))</f>
        <v>FACTORY3</v>
      </c>
      <c r="H715" s="25" t="str">
        <f>IF('query (2)'!C715="","",'query (2)'!C715)</f>
        <v>FACTORY3</v>
      </c>
      <c r="I715" s="24" t="str" cm="1">
        <f t="array" ref="I715">_xlfn.IFS($G715="UNKNOWN","UNKNOWN",OR($G715="FACTORY1",$G715="FACTORY2",$G715="FACTORY3"),"PLANT",TRUE,"SHARED")</f>
        <v>PLANT</v>
      </c>
      <c r="J715" s="24" t="str">
        <f>IF('query (2)'!D715="","UNKNOWN",IF(COUNTIF(Cleaning_Rules!$A$6:$A$11,TRIM('query (2)'!D715))&gt;0,"UNKNOWN",IFERROR(INDEX(Cleaning_Rules!$B$24:$B$28,MATCH(TRIM(UPPER('query (2)'!D715)),Cleaning_Rules!$A$24:$A$28,0)),TRIM(UPPER('query (2)'!D715)))))</f>
        <v>BWD2</v>
      </c>
      <c r="K715" s="25" t="str">
        <f>IF('query (2)'!D715="","",'query (2)'!D715)</f>
        <v>BWD2</v>
      </c>
      <c r="L715" s="24" t="str">
        <f>IF($J715="UNKNOWN","",_xlfn.TEXTBEFORE($J715,{"0","1","2","3","4","5","6","7","8","9"," ","-","."},1,,,$J715))</f>
        <v>BWD</v>
      </c>
      <c r="M715" s="24" t="str">
        <f>IF('query (2)'!I715&lt;&gt;"",TRIM(UPPER('query (2)'!I715)),IF($L715="","UNKNOWN",$L715))</f>
        <v>BWD</v>
      </c>
      <c r="N715" s="24" t="str">
        <f>IF('query (2)'!I715&lt;&gt;"","SOURCE",IF($L715="","UNKNOWN","DERIVED"))</f>
        <v>SOURCE</v>
      </c>
      <c r="O715" s="24" t="str">
        <f>IF('query (2)'!E715="","NOT_SPECIFIED",TRIM(UPPER('query (2)'!E715)))</f>
        <v>GRINDING 2</v>
      </c>
      <c r="P715" s="24" t="str">
        <f>IF('query (2)'!F715="","",TRIM(UPPER('query (2)'!F715)))</f>
        <v>1106-BW2G</v>
      </c>
      <c r="Q715" s="24" t="str">
        <f>IF('query (2)'!G715="","UNKNOWN",IFERROR(INDEX(Cleaning_Rules!$B$38:$B$46,MATCH(TRIM(UPPER('query (2)'!G715)),Cleaning_Rules!$A$38:$A$46,0)),"UNKNOWN"))</f>
        <v>OTHER</v>
      </c>
      <c r="R715" s="24" t="str">
        <f>IF('query (2)'!H715="","",TRIM(UPPER('query (2)'!H715)))</f>
        <v>OUTER RING &amp; INNER RING PART WASH EQUIPMENT</v>
      </c>
      <c r="S715" s="25" t="str">
        <f>IF('query (2)'!H715="","",'query (2)'!H715)</f>
        <v>Outer  ring &amp; Inner ring  part  wash  equipment</v>
      </c>
      <c r="T715" s="24" t="str">
        <f>IF('query (2)'!J715="","",TRIM(UPPER('query (2)'!J715)))</f>
        <v>A&amp;B - PART WASH EQUIPMENT</v>
      </c>
      <c r="U715" s="24" t="str">
        <f t="shared" si="80"/>
        <v/>
      </c>
      <c r="V715" s="24" t="str">
        <f>IF('query (2)'!K715="","NOT_SPECIFIED",IFERROR(INDEX(Cleaning_Rules!$B$32:$B$34,MATCH(TRIM(UPPER('query (2)'!K715)),Cleaning_Rules!$A$32:$A$34,0)),"UNKNOWN"))</f>
        <v>NOT_SPECIFIED</v>
      </c>
      <c r="W715" s="24" t="str">
        <f t="shared" si="81"/>
        <v>WA-151 | FACTORY3 | BWD2 | BWD | GRINDING 2 | 1106-BW2G | OTHER | OUTER RING &amp; INNER RING PART WASH EQUIPMENT | A&amp;B - PART WASH EQUIPMENT | NOT_SPECIFIED</v>
      </c>
      <c r="X715" s="24" t="str">
        <f t="shared" si="82"/>
        <v/>
      </c>
      <c r="Y715" s="24" t="str">
        <f t="shared" si="83"/>
        <v>MISSING_STATUS; CATEGORY_NOT_USEFUL</v>
      </c>
    </row>
    <row r="716" spans="1:25" x14ac:dyDescent="0.3">
      <c r="A716" s="24" t="str">
        <f t="shared" si="77"/>
        <v>GR-155#0715</v>
      </c>
      <c r="B716" s="24" t="str">
        <f>IF('query (2)'!B716="","",TRIM(UPPER('query (2)'!B716)))</f>
        <v>GR-155</v>
      </c>
      <c r="C716" s="25" t="str">
        <f>IF('query (2)'!B716="","",'query (2)'!B716)</f>
        <v>GR-155</v>
      </c>
      <c r="D716" s="24" t="str">
        <f t="shared" si="78"/>
        <v>GR</v>
      </c>
      <c r="E716" s="24">
        <f t="shared" si="79"/>
        <v>1</v>
      </c>
      <c r="F716" s="24">
        <f>IF('query (2)'!A716="","",IFERROR(VALUE('query (2)'!A716),""))</f>
        <v>734</v>
      </c>
      <c r="G716" s="24" t="str">
        <f>IF('query (2)'!C716="","UNKNOWN",IFERROR(INDEX(Cleaning_Rules!$B$15:$B$20,MATCH(TRIM(UPPER('query (2)'!C716)),Cleaning_Rules!$A$15:$A$20,0)),"UNKNOWN"))</f>
        <v>FACTORY3</v>
      </c>
      <c r="H716" s="25" t="str">
        <f>IF('query (2)'!C716="","",'query (2)'!C716)</f>
        <v>FACTORY3</v>
      </c>
      <c r="I716" s="24" t="str" cm="1">
        <f t="array" ref="I716">_xlfn.IFS($G716="UNKNOWN","UNKNOWN",OR($G716="FACTORY1",$G716="FACTORY2",$G716="FACTORY3"),"PLANT",TRUE,"SHARED")</f>
        <v>PLANT</v>
      </c>
      <c r="J716" s="24" t="str">
        <f>IF('query (2)'!D716="","UNKNOWN",IF(COUNTIF(Cleaning_Rules!$A$6:$A$11,TRIM('query (2)'!D716))&gt;0,"UNKNOWN",IFERROR(INDEX(Cleaning_Rules!$B$24:$B$28,MATCH(TRIM(UPPER('query (2)'!D716)),Cleaning_Rules!$A$24:$A$28,0)),TRIM(UPPER('query (2)'!D716)))))</f>
        <v>BWD2</v>
      </c>
      <c r="K716" s="25" t="str">
        <f>IF('query (2)'!D716="","",'query (2)'!D716)</f>
        <v>BWD2</v>
      </c>
      <c r="L716" s="24" t="str">
        <f>IF($J716="UNKNOWN","",_xlfn.TEXTBEFORE($J716,{"0","1","2","3","4","5","6","7","8","9"," ","-","."},1,,,$J716))</f>
        <v>BWD</v>
      </c>
      <c r="M716" s="24" t="str">
        <f>IF('query (2)'!I716&lt;&gt;"",TRIM(UPPER('query (2)'!I716)),IF($L716="","UNKNOWN",$L716))</f>
        <v>BWD</v>
      </c>
      <c r="N716" s="24" t="str">
        <f>IF('query (2)'!I716&lt;&gt;"","SOURCE",IF($L716="","UNKNOWN","DERIVED"))</f>
        <v>SOURCE</v>
      </c>
      <c r="O716" s="24" t="str">
        <f>IF('query (2)'!E716="","NOT_SPECIFIED",TRIM(UPPER('query (2)'!E716)))</f>
        <v>GRINDING 2</v>
      </c>
      <c r="P716" s="24" t="str">
        <f>IF('query (2)'!F716="","",TRIM(UPPER('query (2)'!F716)))</f>
        <v>1106-BW2G</v>
      </c>
      <c r="Q716" s="24" t="str">
        <f>IF('query (2)'!G716="","UNKNOWN",IFERROR(INDEX(Cleaning_Rules!$B$38:$B$46,MATCH(TRIM(UPPER('query (2)'!G716)),Cleaning_Rules!$A$38:$A$46,0)),"UNKNOWN"))</f>
        <v>OTHER</v>
      </c>
      <c r="R716" s="24" t="str">
        <f>IF('query (2)'!H716="","",TRIM(UPPER('query (2)'!H716)))</f>
        <v>INNER RING RACEWAY GRINDING M/C</v>
      </c>
      <c r="S716" s="25" t="str">
        <f>IF('query (2)'!H716="","",'query (2)'!H716)</f>
        <v>Inner  ring  raceway  grinding  M/C</v>
      </c>
      <c r="T716" s="24" t="str">
        <f>IF('query (2)'!J716="","",TRIM(UPPER('query (2)'!J716)))</f>
        <v>B - RACEWAY GRINDING</v>
      </c>
      <c r="U716" s="24" t="str">
        <f t="shared" si="80"/>
        <v/>
      </c>
      <c r="V716" s="24" t="str">
        <f>IF('query (2)'!K716="","NOT_SPECIFIED",IFERROR(INDEX(Cleaning_Rules!$B$32:$B$34,MATCH(TRIM(UPPER('query (2)'!K716)),Cleaning_Rules!$A$32:$A$34,0)),"UNKNOWN"))</f>
        <v>NOT_SPECIFIED</v>
      </c>
      <c r="W716" s="24" t="str">
        <f t="shared" si="81"/>
        <v>GR-155 | FACTORY3 | BWD2 | BWD | GRINDING 2 | 1106-BW2G | OTHER | INNER RING RACEWAY GRINDING M/C | B - RACEWAY GRINDING | NOT_SPECIFIED</v>
      </c>
      <c r="X716" s="24" t="str">
        <f t="shared" si="82"/>
        <v/>
      </c>
      <c r="Y716" s="24" t="str">
        <f t="shared" si="83"/>
        <v>MISSING_STATUS; CATEGORY_NOT_USEFUL</v>
      </c>
    </row>
    <row r="717" spans="1:25" x14ac:dyDescent="0.3">
      <c r="A717" s="24" t="str">
        <f t="shared" si="77"/>
        <v>GR-983#0716</v>
      </c>
      <c r="B717" s="24" t="str">
        <f>IF('query (2)'!B717="","",TRIM(UPPER('query (2)'!B717)))</f>
        <v>GR-983</v>
      </c>
      <c r="C717" s="25" t="str">
        <f>IF('query (2)'!B717="","",'query (2)'!B717)</f>
        <v>GR-983</v>
      </c>
      <c r="D717" s="24" t="str">
        <f t="shared" si="78"/>
        <v>GR</v>
      </c>
      <c r="E717" s="24">
        <f t="shared" si="79"/>
        <v>1</v>
      </c>
      <c r="F717" s="24">
        <f>IF('query (2)'!A717="","",IFERROR(VALUE('query (2)'!A717),""))</f>
        <v>735</v>
      </c>
      <c r="G717" s="24" t="str">
        <f>IF('query (2)'!C717="","UNKNOWN",IFERROR(INDEX(Cleaning_Rules!$B$15:$B$20,MATCH(TRIM(UPPER('query (2)'!C717)),Cleaning_Rules!$A$15:$A$20,0)),"UNKNOWN"))</f>
        <v>FACTORY3</v>
      </c>
      <c r="H717" s="25" t="str">
        <f>IF('query (2)'!C717="","",'query (2)'!C717)</f>
        <v>FACTORY3</v>
      </c>
      <c r="I717" s="24" t="str" cm="1">
        <f t="array" ref="I717">_xlfn.IFS($G717="UNKNOWN","UNKNOWN",OR($G717="FACTORY1",$G717="FACTORY2",$G717="FACTORY3"),"PLANT",TRUE,"SHARED")</f>
        <v>PLANT</v>
      </c>
      <c r="J717" s="24" t="str">
        <f>IF('query (2)'!D717="","UNKNOWN",IF(COUNTIF(Cleaning_Rules!$A$6:$A$11,TRIM('query (2)'!D717))&gt;0,"UNKNOWN",IFERROR(INDEX(Cleaning_Rules!$B$24:$B$28,MATCH(TRIM(UPPER('query (2)'!D717)),Cleaning_Rules!$A$24:$A$28,0)),TRIM(UPPER('query (2)'!D717)))))</f>
        <v>KWD3</v>
      </c>
      <c r="K717" s="25" t="str">
        <f>IF('query (2)'!D717="","",'query (2)'!D717)</f>
        <v>KWD3</v>
      </c>
      <c r="L717" s="24" t="str">
        <f>IF($J717="UNKNOWN","",_xlfn.TEXTBEFORE($J717,{"0","1","2","3","4","5","6","7","8","9"," ","-","."},1,,,$J717))</f>
        <v>KWD</v>
      </c>
      <c r="M717" s="24" t="str">
        <f>IF('query (2)'!I717&lt;&gt;"",TRIM(UPPER('query (2)'!I717)),IF($L717="","UNKNOWN",$L717))</f>
        <v>KWD</v>
      </c>
      <c r="N717" s="24" t="str">
        <f>IF('query (2)'!I717&lt;&gt;"","SOURCE",IF($L717="","UNKNOWN","DERIVED"))</f>
        <v>SOURCE</v>
      </c>
      <c r="O717" s="24" t="str">
        <f>IF('query (2)'!E717="","NOT_SPECIFIED",TRIM(UPPER('query (2)'!E717)))</f>
        <v>GRINDING 2</v>
      </c>
      <c r="P717" s="24" t="str">
        <f>IF('query (2)'!F717="","",TRIM(UPPER('query (2)'!F717)))</f>
        <v>1009-KW3G</v>
      </c>
      <c r="Q717" s="24" t="str">
        <f>IF('query (2)'!G717="","UNKNOWN",IFERROR(INDEX(Cleaning_Rules!$B$38:$B$46,MATCH(TRIM(UPPER('query (2)'!G717)),Cleaning_Rules!$A$38:$A$46,0)),"UNKNOWN"))</f>
        <v>OTHER</v>
      </c>
      <c r="R717" s="24" t="str">
        <f>IF('query (2)'!H717="","",TRIM(UPPER('query (2)'!H717)))</f>
        <v>INNER RING BORE GRINDING M/C (OVER HAUL)</v>
      </c>
      <c r="S717" s="25" t="str">
        <f>IF('query (2)'!H717="","",'query (2)'!H717)</f>
        <v>Inner  ring  bore  grinding M/C (Over haul)</v>
      </c>
      <c r="T717" s="24" t="str">
        <f>IF('query (2)'!J717="","",TRIM(UPPER('query (2)'!J717)))</f>
        <v>B - BORE GRINDING</v>
      </c>
      <c r="U717" s="24" t="str">
        <f t="shared" si="80"/>
        <v/>
      </c>
      <c r="V717" s="24" t="str">
        <f>IF('query (2)'!K717="","NOT_SPECIFIED",IFERROR(INDEX(Cleaning_Rules!$B$32:$B$34,MATCH(TRIM(UPPER('query (2)'!K717)),Cleaning_Rules!$A$32:$A$34,0)),"UNKNOWN"))</f>
        <v>NOT_SPECIFIED</v>
      </c>
      <c r="W717" s="24" t="str">
        <f t="shared" si="81"/>
        <v>GR-983 | FACTORY3 | KWD3 | KWD | GRINDING 2 | 1009-KW3G | OTHER | INNER RING BORE GRINDING M/C (OVER HAUL) | B - BORE GRINDING | NOT_SPECIFIED</v>
      </c>
      <c r="X717" s="24" t="str">
        <f t="shared" si="82"/>
        <v/>
      </c>
      <c r="Y717" s="24" t="str">
        <f t="shared" si="83"/>
        <v>MISSING_STATUS; CATEGORY_NOT_USEFUL</v>
      </c>
    </row>
    <row r="718" spans="1:25" x14ac:dyDescent="0.3">
      <c r="A718" s="24" t="str">
        <f t="shared" si="77"/>
        <v>GR-161#0717</v>
      </c>
      <c r="B718" s="24" t="str">
        <f>IF('query (2)'!B718="","",TRIM(UPPER('query (2)'!B718)))</f>
        <v>GR-161</v>
      </c>
      <c r="C718" s="25" t="str">
        <f>IF('query (2)'!B718="","",'query (2)'!B718)</f>
        <v>GR-161</v>
      </c>
      <c r="D718" s="24" t="str">
        <f t="shared" si="78"/>
        <v>GR</v>
      </c>
      <c r="E718" s="24">
        <f t="shared" si="79"/>
        <v>1</v>
      </c>
      <c r="F718" s="24">
        <f>IF('query (2)'!A718="","",IFERROR(VALUE('query (2)'!A718),""))</f>
        <v>736</v>
      </c>
      <c r="G718" s="24" t="str">
        <f>IF('query (2)'!C718="","UNKNOWN",IFERROR(INDEX(Cleaning_Rules!$B$15:$B$20,MATCH(TRIM(UPPER('query (2)'!C718)),Cleaning_Rules!$A$15:$A$20,0)),"UNKNOWN"))</f>
        <v>FACTORY3</v>
      </c>
      <c r="H718" s="25" t="str">
        <f>IF('query (2)'!C718="","",'query (2)'!C718)</f>
        <v>FACTORY3</v>
      </c>
      <c r="I718" s="24" t="str" cm="1">
        <f t="array" ref="I718">_xlfn.IFS($G718="UNKNOWN","UNKNOWN",OR($G718="FACTORY1",$G718="FACTORY2",$G718="FACTORY3"),"PLANT",TRUE,"SHARED")</f>
        <v>PLANT</v>
      </c>
      <c r="J718" s="24" t="str">
        <f>IF('query (2)'!D718="","UNKNOWN",IF(COUNTIF(Cleaning_Rules!$A$6:$A$11,TRIM('query (2)'!D718))&gt;0,"UNKNOWN",IFERROR(INDEX(Cleaning_Rules!$B$24:$B$28,MATCH(TRIM(UPPER('query (2)'!D718)),Cleaning_Rules!$A$24:$A$28,0)),TRIM(UPPER('query (2)'!D718)))))</f>
        <v>BWD2</v>
      </c>
      <c r="K718" s="25" t="str">
        <f>IF('query (2)'!D718="","",'query (2)'!D718)</f>
        <v>BWD2</v>
      </c>
      <c r="L718" s="24" t="str">
        <f>IF($J718="UNKNOWN","",_xlfn.TEXTBEFORE($J718,{"0","1","2","3","4","5","6","7","8","9"," ","-","."},1,,,$J718))</f>
        <v>BWD</v>
      </c>
      <c r="M718" s="24" t="str">
        <f>IF('query (2)'!I718&lt;&gt;"",TRIM(UPPER('query (2)'!I718)),IF($L718="","UNKNOWN",$L718))</f>
        <v>BWD</v>
      </c>
      <c r="N718" s="24" t="str">
        <f>IF('query (2)'!I718&lt;&gt;"","SOURCE",IF($L718="","UNKNOWN","DERIVED"))</f>
        <v>SOURCE</v>
      </c>
      <c r="O718" s="24" t="str">
        <f>IF('query (2)'!E718="","NOT_SPECIFIED",TRIM(UPPER('query (2)'!E718)))</f>
        <v>GRINDING 2</v>
      </c>
      <c r="P718" s="24" t="str">
        <f>IF('query (2)'!F718="","",TRIM(UPPER('query (2)'!F718)))</f>
        <v>1106-BW2G</v>
      </c>
      <c r="Q718" s="24" t="str">
        <f>IF('query (2)'!G718="","UNKNOWN",IFERROR(INDEX(Cleaning_Rules!$B$38:$B$46,MATCH(TRIM(UPPER('query (2)'!G718)),Cleaning_Rules!$A$38:$A$46,0)),"UNKNOWN"))</f>
        <v>OTHER</v>
      </c>
      <c r="R718" s="24" t="str">
        <f>IF('query (2)'!H718="","",TRIM(UPPER('query (2)'!H718)))</f>
        <v>INNER RING RACEWAY SUPER FINISH M/C</v>
      </c>
      <c r="S718" s="25" t="str">
        <f>IF('query (2)'!H718="","",'query (2)'!H718)</f>
        <v>Inner  ring  raceway  super  finish  M/C</v>
      </c>
      <c r="T718" s="24" t="str">
        <f>IF('query (2)'!J718="","",TRIM(UPPER('query (2)'!J718)))</f>
        <v>B - RACEWAY SUPER FINISH</v>
      </c>
      <c r="U718" s="24" t="str">
        <f t="shared" si="80"/>
        <v/>
      </c>
      <c r="V718" s="24" t="str">
        <f>IF('query (2)'!K718="","NOT_SPECIFIED",IFERROR(INDEX(Cleaning_Rules!$B$32:$B$34,MATCH(TRIM(UPPER('query (2)'!K718)),Cleaning_Rules!$A$32:$A$34,0)),"UNKNOWN"))</f>
        <v>NOT_SPECIFIED</v>
      </c>
      <c r="W718" s="24" t="str">
        <f t="shared" si="81"/>
        <v>GR-161 | FACTORY3 | BWD2 | BWD | GRINDING 2 | 1106-BW2G | OTHER | INNER RING RACEWAY SUPER FINISH M/C | B - RACEWAY SUPER FINISH | NOT_SPECIFIED</v>
      </c>
      <c r="X718" s="24" t="str">
        <f t="shared" si="82"/>
        <v/>
      </c>
      <c r="Y718" s="24" t="str">
        <f t="shared" si="83"/>
        <v>MISSING_STATUS; CATEGORY_NOT_USEFUL</v>
      </c>
    </row>
    <row r="719" spans="1:25" x14ac:dyDescent="0.3">
      <c r="A719" s="24" t="str">
        <f t="shared" si="77"/>
        <v>WA-505#0718</v>
      </c>
      <c r="B719" s="24" t="str">
        <f>IF('query (2)'!B719="","",TRIM(UPPER('query (2)'!B719)))</f>
        <v>WA-505</v>
      </c>
      <c r="C719" s="25" t="str">
        <f>IF('query (2)'!B719="","",'query (2)'!B719)</f>
        <v>WA-505</v>
      </c>
      <c r="D719" s="24" t="str">
        <f t="shared" si="78"/>
        <v>WA</v>
      </c>
      <c r="E719" s="24">
        <f t="shared" si="79"/>
        <v>1</v>
      </c>
      <c r="F719" s="24">
        <f>IF('query (2)'!A719="","",IFERROR(VALUE('query (2)'!A719),""))</f>
        <v>737</v>
      </c>
      <c r="G719" s="24" t="str">
        <f>IF('query (2)'!C719="","UNKNOWN",IFERROR(INDEX(Cleaning_Rules!$B$15:$B$20,MATCH(TRIM(UPPER('query (2)'!C719)),Cleaning_Rules!$A$15:$A$20,0)),"UNKNOWN"))</f>
        <v>FACTORY3</v>
      </c>
      <c r="H719" s="25" t="str">
        <f>IF('query (2)'!C719="","",'query (2)'!C719)</f>
        <v>FACTORY3</v>
      </c>
      <c r="I719" s="24" t="str" cm="1">
        <f t="array" ref="I719">_xlfn.IFS($G719="UNKNOWN","UNKNOWN",OR($G719="FACTORY1",$G719="FACTORY2",$G719="FACTORY3"),"PLANT",TRUE,"SHARED")</f>
        <v>PLANT</v>
      </c>
      <c r="J719" s="24" t="str">
        <f>IF('query (2)'!D719="","UNKNOWN",IF(COUNTIF(Cleaning_Rules!$A$6:$A$11,TRIM('query (2)'!D719))&gt;0,"UNKNOWN",IFERROR(INDEX(Cleaning_Rules!$B$24:$B$28,MATCH(TRIM(UPPER('query (2)'!D719)),Cleaning_Rules!$A$24:$A$28,0)),TRIM(UPPER('query (2)'!D719)))))</f>
        <v>BWD2</v>
      </c>
      <c r="K719" s="25" t="str">
        <f>IF('query (2)'!D719="","",'query (2)'!D719)</f>
        <v>BWD2</v>
      </c>
      <c r="L719" s="24" t="str">
        <f>IF($J719="UNKNOWN","",_xlfn.TEXTBEFORE($J719,{"0","1","2","3","4","5","6","7","8","9"," ","-","."},1,,,$J719))</f>
        <v>BWD</v>
      </c>
      <c r="M719" s="24" t="str">
        <f>IF('query (2)'!I719&lt;&gt;"",TRIM(UPPER('query (2)'!I719)),IF($L719="","UNKNOWN",$L719))</f>
        <v>BWD</v>
      </c>
      <c r="N719" s="24" t="str">
        <f>IF('query (2)'!I719&lt;&gt;"","SOURCE",IF($L719="","UNKNOWN","DERIVED"))</f>
        <v>SOURCE</v>
      </c>
      <c r="O719" s="24" t="str">
        <f>IF('query (2)'!E719="","NOT_SPECIFIED",TRIM(UPPER('query (2)'!E719)))</f>
        <v>ASSEMBLY</v>
      </c>
      <c r="P719" s="24" t="str">
        <f>IF('query (2)'!F719="","",TRIM(UPPER('query (2)'!F719)))</f>
        <v>1107-BW2AI</v>
      </c>
      <c r="Q719" s="24" t="str">
        <f>IF('query (2)'!G719="","UNKNOWN",IFERROR(INDEX(Cleaning_Rules!$B$38:$B$46,MATCH(TRIM(UPPER('query (2)'!G719)),Cleaning_Rules!$A$38:$A$46,0)),"UNKNOWN"))</f>
        <v>OTHER</v>
      </c>
      <c r="R719" s="24" t="str">
        <f>IF('query (2)'!H719="","",TRIM(UPPER('query (2)'!H719)))</f>
        <v>FINISH WASH EQUIPMENT</v>
      </c>
      <c r="S719" s="25" t="str">
        <f>IF('query (2)'!H719="","",'query (2)'!H719)</f>
        <v>Finish wash equipment</v>
      </c>
      <c r="T719" s="24" t="str">
        <f>IF('query (2)'!J719="","",TRIM(UPPER('query (2)'!J719)))</f>
        <v>FINISH WASH EQUIPMENT</v>
      </c>
      <c r="U719" s="24" t="str">
        <f t="shared" si="80"/>
        <v/>
      </c>
      <c r="V719" s="24" t="str">
        <f>IF('query (2)'!K719="","NOT_SPECIFIED",IFERROR(INDEX(Cleaning_Rules!$B$32:$B$34,MATCH(TRIM(UPPER('query (2)'!K719)),Cleaning_Rules!$A$32:$A$34,0)),"UNKNOWN"))</f>
        <v>NOT_SPECIFIED</v>
      </c>
      <c r="W719" s="24" t="str">
        <f t="shared" si="81"/>
        <v>WA-505 | FACTORY3 | BWD2 | BWD | ASSEMBLY | 1107-BW2AI | OTHER | FINISH WASH EQUIPMENT | FINISH WASH EQUIPMENT | NOT_SPECIFIED</v>
      </c>
      <c r="X719" s="24" t="str">
        <f t="shared" si="82"/>
        <v/>
      </c>
      <c r="Y719" s="24" t="str">
        <f t="shared" si="83"/>
        <v>MISSING_STATUS; CATEGORY_NOT_USEFUL</v>
      </c>
    </row>
    <row r="720" spans="1:25" x14ac:dyDescent="0.3">
      <c r="A720" s="24" t="str">
        <f t="shared" si="77"/>
        <v>CH-166#0719</v>
      </c>
      <c r="B720" s="24" t="str">
        <f>IF('query (2)'!B720="","",TRIM(UPPER('query (2)'!B720)))</f>
        <v>CH-166</v>
      </c>
      <c r="C720" s="25" t="str">
        <f>IF('query (2)'!B720="","",'query (2)'!B720)</f>
        <v>CH-166</v>
      </c>
      <c r="D720" s="24" t="str">
        <f t="shared" si="78"/>
        <v>CH</v>
      </c>
      <c r="E720" s="24">
        <f t="shared" si="79"/>
        <v>1</v>
      </c>
      <c r="F720" s="24">
        <f>IF('query (2)'!A720="","",IFERROR(VALUE('query (2)'!A720),""))</f>
        <v>738</v>
      </c>
      <c r="G720" s="24" t="str">
        <f>IF('query (2)'!C720="","UNKNOWN",IFERROR(INDEX(Cleaning_Rules!$B$15:$B$20,MATCH(TRIM(UPPER('query (2)'!C720)),Cleaning_Rules!$A$15:$A$20,0)),"UNKNOWN"))</f>
        <v>FACTORY3</v>
      </c>
      <c r="H720" s="25" t="str">
        <f>IF('query (2)'!C720="","",'query (2)'!C720)</f>
        <v>FACTORY3</v>
      </c>
      <c r="I720" s="24" t="str" cm="1">
        <f t="array" ref="I720">_xlfn.IFS($G720="UNKNOWN","UNKNOWN",OR($G720="FACTORY1",$G720="FACTORY2",$G720="FACTORY3"),"PLANT",TRUE,"SHARED")</f>
        <v>PLANT</v>
      </c>
      <c r="J720" s="24" t="str">
        <f>IF('query (2)'!D720="","UNKNOWN",IF(COUNTIF(Cleaning_Rules!$A$6:$A$11,TRIM('query (2)'!D720))&gt;0,"UNKNOWN",IFERROR(INDEX(Cleaning_Rules!$B$24:$B$28,MATCH(TRIM(UPPER('query (2)'!D720)),Cleaning_Rules!$A$24:$A$28,0)),TRIM(UPPER('query (2)'!D720)))))</f>
        <v>BWD2</v>
      </c>
      <c r="K720" s="25" t="str">
        <f>IF('query (2)'!D720="","",'query (2)'!D720)</f>
        <v>BWD2</v>
      </c>
      <c r="L720" s="24" t="str">
        <f>IF($J720="UNKNOWN","",_xlfn.TEXTBEFORE($J720,{"0","1","2","3","4","5","6","7","8","9"," ","-","."},1,,,$J720))</f>
        <v>BWD</v>
      </c>
      <c r="M720" s="24" t="str">
        <f>IF('query (2)'!I720&lt;&gt;"",TRIM(UPPER('query (2)'!I720)),IF($L720="","UNKNOWN",$L720))</f>
        <v>BWD</v>
      </c>
      <c r="N720" s="24" t="str">
        <f>IF('query (2)'!I720&lt;&gt;"","SOURCE",IF($L720="","UNKNOWN","DERIVED"))</f>
        <v>SOURCE</v>
      </c>
      <c r="O720" s="24" t="str">
        <f>IF('query (2)'!E720="","NOT_SPECIFIED",TRIM(UPPER('query (2)'!E720)))</f>
        <v>ASSEMBLY</v>
      </c>
      <c r="P720" s="24" t="str">
        <f>IF('query (2)'!F720="","",TRIM(UPPER('query (2)'!F720)))</f>
        <v>1107-BW2AI</v>
      </c>
      <c r="Q720" s="24" t="str">
        <f>IF('query (2)'!G720="","UNKNOWN",IFERROR(INDEX(Cleaning_Rules!$B$38:$B$46,MATCH(TRIM(UPPER('query (2)'!G720)),Cleaning_Rules!$A$38:$A$46,0)),"UNKNOWN"))</f>
        <v>OTHER</v>
      </c>
      <c r="R720" s="24" t="str">
        <f>IF('query (2)'!H720="","",TRIM(UPPER('query (2)'!H720)))</f>
        <v>AXIAL CLEARANCE INSPECTION EQUIPMENT</v>
      </c>
      <c r="S720" s="25" t="str">
        <f>IF('query (2)'!H720="","",'query (2)'!H720)</f>
        <v>Axial  clearance  inspection  equipment</v>
      </c>
      <c r="T720" s="24" t="str">
        <f>IF('query (2)'!J720="","",TRIM(UPPER('query (2)'!J720)))</f>
        <v>AXIAL CLEARANCE AUTO</v>
      </c>
      <c r="U720" s="24" t="str">
        <f t="shared" si="80"/>
        <v/>
      </c>
      <c r="V720" s="24" t="str">
        <f>IF('query (2)'!K720="","NOT_SPECIFIED",IFERROR(INDEX(Cleaning_Rules!$B$32:$B$34,MATCH(TRIM(UPPER('query (2)'!K720)),Cleaning_Rules!$A$32:$A$34,0)),"UNKNOWN"))</f>
        <v>NOT_SPECIFIED</v>
      </c>
      <c r="W720" s="24" t="str">
        <f t="shared" si="81"/>
        <v>CH-166 | FACTORY3 | BWD2 | BWD | ASSEMBLY | 1107-BW2AI | OTHER | AXIAL CLEARANCE INSPECTION EQUIPMENT | AXIAL CLEARANCE AUTO | NOT_SPECIFIED</v>
      </c>
      <c r="X720" s="24" t="str">
        <f t="shared" si="82"/>
        <v/>
      </c>
      <c r="Y720" s="24" t="str">
        <f t="shared" si="83"/>
        <v>MISSING_STATUS; CATEGORY_NOT_USEFUL</v>
      </c>
    </row>
    <row r="721" spans="1:25" x14ac:dyDescent="0.3">
      <c r="A721" s="24" t="str">
        <f t="shared" si="77"/>
        <v>CH-167#0720</v>
      </c>
      <c r="B721" s="24" t="str">
        <f>IF('query (2)'!B721="","",TRIM(UPPER('query (2)'!B721)))</f>
        <v>CH-167</v>
      </c>
      <c r="C721" s="25" t="str">
        <f>IF('query (2)'!B721="","",'query (2)'!B721)</f>
        <v>CH-167</v>
      </c>
      <c r="D721" s="24" t="str">
        <f t="shared" si="78"/>
        <v>CH</v>
      </c>
      <c r="E721" s="24">
        <f t="shared" si="79"/>
        <v>1</v>
      </c>
      <c r="F721" s="24">
        <f>IF('query (2)'!A721="","",IFERROR(VALUE('query (2)'!A721),""))</f>
        <v>739</v>
      </c>
      <c r="G721" s="24" t="str">
        <f>IF('query (2)'!C721="","UNKNOWN",IFERROR(INDEX(Cleaning_Rules!$B$15:$B$20,MATCH(TRIM(UPPER('query (2)'!C721)),Cleaning_Rules!$A$15:$A$20,0)),"UNKNOWN"))</f>
        <v>FACTORY3</v>
      </c>
      <c r="H721" s="25" t="str">
        <f>IF('query (2)'!C721="","",'query (2)'!C721)</f>
        <v>FACTORY3</v>
      </c>
      <c r="I721" s="24" t="str" cm="1">
        <f t="array" ref="I721">_xlfn.IFS($G721="UNKNOWN","UNKNOWN",OR($G721="FACTORY1",$G721="FACTORY2",$G721="FACTORY3"),"PLANT",TRUE,"SHARED")</f>
        <v>PLANT</v>
      </c>
      <c r="J721" s="24" t="str">
        <f>IF('query (2)'!D721="","UNKNOWN",IF(COUNTIF(Cleaning_Rules!$A$6:$A$11,TRIM('query (2)'!D721))&gt;0,"UNKNOWN",IFERROR(INDEX(Cleaning_Rules!$B$24:$B$28,MATCH(TRIM(UPPER('query (2)'!D721)),Cleaning_Rules!$A$24:$A$28,0)),TRIM(UPPER('query (2)'!D721)))))</f>
        <v>BWD2</v>
      </c>
      <c r="K721" s="25" t="str">
        <f>IF('query (2)'!D721="","",'query (2)'!D721)</f>
        <v>BWD2</v>
      </c>
      <c r="L721" s="24" t="str">
        <f>IF($J721="UNKNOWN","",_xlfn.TEXTBEFORE($J721,{"0","1","2","3","4","5","6","7","8","9"," ","-","."},1,,,$J721))</f>
        <v>BWD</v>
      </c>
      <c r="M721" s="24" t="str">
        <f>IF('query (2)'!I721&lt;&gt;"",TRIM(UPPER('query (2)'!I721)),IF($L721="","UNKNOWN",$L721))</f>
        <v>BWD</v>
      </c>
      <c r="N721" s="24" t="str">
        <f>IF('query (2)'!I721&lt;&gt;"","SOURCE",IF($L721="","UNKNOWN","DERIVED"))</f>
        <v>SOURCE</v>
      </c>
      <c r="O721" s="24" t="str">
        <f>IF('query (2)'!E721="","NOT_SPECIFIED",TRIM(UPPER('query (2)'!E721)))</f>
        <v>ASSEMBLY</v>
      </c>
      <c r="P721" s="24" t="str">
        <f>IF('query (2)'!F721="","",TRIM(UPPER('query (2)'!F721)))</f>
        <v>1107-BW2AI</v>
      </c>
      <c r="Q721" s="24" t="str">
        <f>IF('query (2)'!G721="","UNKNOWN",IFERROR(INDEX(Cleaning_Rules!$B$38:$B$46,MATCH(TRIM(UPPER('query (2)'!G721)),Cleaning_Rules!$A$38:$A$46,0)),"UNKNOWN"))</f>
        <v>OTHER</v>
      </c>
      <c r="R721" s="24" t="str">
        <f>IF('query (2)'!H721="","",TRIM(UPPER('query (2)'!H721)))</f>
        <v>AUTOMATION VIBRATION TESTING M/C</v>
      </c>
      <c r="S721" s="25" t="str">
        <f>IF('query (2)'!H721="","",'query (2)'!H721)</f>
        <v>Automation  vibration  testing M/C</v>
      </c>
      <c r="T721" s="24" t="str">
        <f>IF('query (2)'!J721="","",TRIM(UPPER('query (2)'!J721)))</f>
        <v>NOISE INSPECTION AUTO</v>
      </c>
      <c r="U721" s="24" t="str">
        <f t="shared" si="80"/>
        <v/>
      </c>
      <c r="V721" s="24" t="str">
        <f>IF('query (2)'!K721="","NOT_SPECIFIED",IFERROR(INDEX(Cleaning_Rules!$B$32:$B$34,MATCH(TRIM(UPPER('query (2)'!K721)),Cleaning_Rules!$A$32:$A$34,0)),"UNKNOWN"))</f>
        <v>NOT_SPECIFIED</v>
      </c>
      <c r="W721" s="24" t="str">
        <f t="shared" si="81"/>
        <v>CH-167 | FACTORY3 | BWD2 | BWD | ASSEMBLY | 1107-BW2AI | OTHER | AUTOMATION VIBRATION TESTING M/C | NOISE INSPECTION AUTO | NOT_SPECIFIED</v>
      </c>
      <c r="X721" s="24" t="str">
        <f t="shared" si="82"/>
        <v/>
      </c>
      <c r="Y721" s="24" t="str">
        <f t="shared" si="83"/>
        <v>MISSING_STATUS; CATEGORY_NOT_USEFUL</v>
      </c>
    </row>
    <row r="722" spans="1:25" x14ac:dyDescent="0.3">
      <c r="A722" s="24" t="str">
        <f t="shared" si="77"/>
        <v>AS-168#0721</v>
      </c>
      <c r="B722" s="24" t="str">
        <f>IF('query (2)'!B722="","",TRIM(UPPER('query (2)'!B722)))</f>
        <v>AS-168</v>
      </c>
      <c r="C722" s="25" t="str">
        <f>IF('query (2)'!B722="","",'query (2)'!B722)</f>
        <v>AS-168</v>
      </c>
      <c r="D722" s="24" t="str">
        <f t="shared" si="78"/>
        <v>AS</v>
      </c>
      <c r="E722" s="24">
        <f t="shared" si="79"/>
        <v>1</v>
      </c>
      <c r="F722" s="24">
        <f>IF('query (2)'!A722="","",IFERROR(VALUE('query (2)'!A722),""))</f>
        <v>740</v>
      </c>
      <c r="G722" s="24" t="str">
        <f>IF('query (2)'!C722="","UNKNOWN",IFERROR(INDEX(Cleaning_Rules!$B$15:$B$20,MATCH(TRIM(UPPER('query (2)'!C722)),Cleaning_Rules!$A$15:$A$20,0)),"UNKNOWN"))</f>
        <v>FACTORY3</v>
      </c>
      <c r="H722" s="25" t="str">
        <f>IF('query (2)'!C722="","",'query (2)'!C722)</f>
        <v>FACTORY3</v>
      </c>
      <c r="I722" s="24" t="str" cm="1">
        <f t="array" ref="I722">_xlfn.IFS($G722="UNKNOWN","UNKNOWN",OR($G722="FACTORY1",$G722="FACTORY2",$G722="FACTORY3"),"PLANT",TRUE,"SHARED")</f>
        <v>PLANT</v>
      </c>
      <c r="J722" s="24" t="str">
        <f>IF('query (2)'!D722="","UNKNOWN",IF(COUNTIF(Cleaning_Rules!$A$6:$A$11,TRIM('query (2)'!D722))&gt;0,"UNKNOWN",IFERROR(INDEX(Cleaning_Rules!$B$24:$B$28,MATCH(TRIM(UPPER('query (2)'!D722)),Cleaning_Rules!$A$24:$A$28,0)),TRIM(UPPER('query (2)'!D722)))))</f>
        <v>BWD2</v>
      </c>
      <c r="K722" s="25" t="str">
        <f>IF('query (2)'!D722="","",'query (2)'!D722)</f>
        <v>BWD2</v>
      </c>
      <c r="L722" s="24" t="str">
        <f>IF($J722="UNKNOWN","",_xlfn.TEXTBEFORE($J722,{"0","1","2","3","4","5","6","7","8","9"," ","-","."},1,,,$J722))</f>
        <v>BWD</v>
      </c>
      <c r="M722" s="24" t="str">
        <f>IF('query (2)'!I722&lt;&gt;"",TRIM(UPPER('query (2)'!I722)),IF($L722="","UNKNOWN",$L722))</f>
        <v>BWD</v>
      </c>
      <c r="N722" s="24" t="str">
        <f>IF('query (2)'!I722&lt;&gt;"","SOURCE",IF($L722="","UNKNOWN","DERIVED"))</f>
        <v>SOURCE</v>
      </c>
      <c r="O722" s="24" t="str">
        <f>IF('query (2)'!E722="","NOT_SPECIFIED",TRIM(UPPER('query (2)'!E722)))</f>
        <v>ASSEMBLY</v>
      </c>
      <c r="P722" s="24" t="str">
        <f>IF('query (2)'!F722="","",TRIM(UPPER('query (2)'!F722)))</f>
        <v>1107-BW2AI</v>
      </c>
      <c r="Q722" s="24" t="str">
        <f>IF('query (2)'!G722="","UNKNOWN",IFERROR(INDEX(Cleaning_Rules!$B$38:$B$46,MATCH(TRIM(UPPER('query (2)'!G722)),Cleaning_Rules!$A$38:$A$46,0)),"UNKNOWN"))</f>
        <v>OTHER</v>
      </c>
      <c r="R722" s="24" t="str">
        <f>IF('query (2)'!H722="","",TRIM(UPPER('query (2)'!H722)))</f>
        <v>GREASE INJECTION M/C</v>
      </c>
      <c r="S722" s="25" t="str">
        <f>IF('query (2)'!H722="","",'query (2)'!H722)</f>
        <v>Grease  injection  M/C</v>
      </c>
      <c r="T722" s="24" t="str">
        <f>IF('query (2)'!J722="","",TRIM(UPPER('query (2)'!J722)))</f>
        <v>GREASE INJECTION</v>
      </c>
      <c r="U722" s="24" t="str">
        <f t="shared" si="80"/>
        <v/>
      </c>
      <c r="V722" s="24" t="str">
        <f>IF('query (2)'!K722="","NOT_SPECIFIED",IFERROR(INDEX(Cleaning_Rules!$B$32:$B$34,MATCH(TRIM(UPPER('query (2)'!K722)),Cleaning_Rules!$A$32:$A$34,0)),"UNKNOWN"))</f>
        <v>NOT_SPECIFIED</v>
      </c>
      <c r="W722" s="24" t="str">
        <f t="shared" si="81"/>
        <v>AS-168 | FACTORY3 | BWD2 | BWD | ASSEMBLY | 1107-BW2AI | OTHER | GREASE INJECTION M/C | GREASE INJECTION | NOT_SPECIFIED</v>
      </c>
      <c r="X722" s="24" t="str">
        <f t="shared" si="82"/>
        <v/>
      </c>
      <c r="Y722" s="24" t="str">
        <f t="shared" si="83"/>
        <v>MISSING_STATUS; CATEGORY_NOT_USEFUL</v>
      </c>
    </row>
    <row r="723" spans="1:25" x14ac:dyDescent="0.3">
      <c r="A723" s="24" t="str">
        <f t="shared" si="77"/>
        <v>AS-169#0722</v>
      </c>
      <c r="B723" s="24" t="str">
        <f>IF('query (2)'!B723="","",TRIM(UPPER('query (2)'!B723)))</f>
        <v>AS-169</v>
      </c>
      <c r="C723" s="25" t="str">
        <f>IF('query (2)'!B723="","",'query (2)'!B723)</f>
        <v>AS-169</v>
      </c>
      <c r="D723" s="24" t="str">
        <f t="shared" si="78"/>
        <v>AS</v>
      </c>
      <c r="E723" s="24">
        <f t="shared" si="79"/>
        <v>1</v>
      </c>
      <c r="F723" s="24">
        <f>IF('query (2)'!A723="","",IFERROR(VALUE('query (2)'!A723),""))</f>
        <v>741</v>
      </c>
      <c r="G723" s="24" t="str">
        <f>IF('query (2)'!C723="","UNKNOWN",IFERROR(INDEX(Cleaning_Rules!$B$15:$B$20,MATCH(TRIM(UPPER('query (2)'!C723)),Cleaning_Rules!$A$15:$A$20,0)),"UNKNOWN"))</f>
        <v>FACTORY3</v>
      </c>
      <c r="H723" s="25" t="str">
        <f>IF('query (2)'!C723="","",'query (2)'!C723)</f>
        <v>FACTORY3</v>
      </c>
      <c r="I723" s="24" t="str" cm="1">
        <f t="array" ref="I723">_xlfn.IFS($G723="UNKNOWN","UNKNOWN",OR($G723="FACTORY1",$G723="FACTORY2",$G723="FACTORY3"),"PLANT",TRUE,"SHARED")</f>
        <v>PLANT</v>
      </c>
      <c r="J723" s="24" t="str">
        <f>IF('query (2)'!D723="","UNKNOWN",IF(COUNTIF(Cleaning_Rules!$A$6:$A$11,TRIM('query (2)'!D723))&gt;0,"UNKNOWN",IFERROR(INDEX(Cleaning_Rules!$B$24:$B$28,MATCH(TRIM(UPPER('query (2)'!D723)),Cleaning_Rules!$A$24:$A$28,0)),TRIM(UPPER('query (2)'!D723)))))</f>
        <v>BWD2</v>
      </c>
      <c r="K723" s="25" t="str">
        <f>IF('query (2)'!D723="","",'query (2)'!D723)</f>
        <v>BWD2</v>
      </c>
      <c r="L723" s="24" t="str">
        <f>IF($J723="UNKNOWN","",_xlfn.TEXTBEFORE($J723,{"0","1","2","3","4","5","6","7","8","9"," ","-","."},1,,,$J723))</f>
        <v>BWD</v>
      </c>
      <c r="M723" s="24" t="str">
        <f>IF('query (2)'!I723&lt;&gt;"",TRIM(UPPER('query (2)'!I723)),IF($L723="","UNKNOWN",$L723))</f>
        <v>BWD</v>
      </c>
      <c r="N723" s="24" t="str">
        <f>IF('query (2)'!I723&lt;&gt;"","SOURCE",IF($L723="","UNKNOWN","DERIVED"))</f>
        <v>SOURCE</v>
      </c>
      <c r="O723" s="24" t="str">
        <f>IF('query (2)'!E723="","NOT_SPECIFIED",TRIM(UPPER('query (2)'!E723)))</f>
        <v>ASSEMBLY</v>
      </c>
      <c r="P723" s="24" t="str">
        <f>IF('query (2)'!F723="","",TRIM(UPPER('query (2)'!F723)))</f>
        <v>1107-BW2AI</v>
      </c>
      <c r="Q723" s="24" t="str">
        <f>IF('query (2)'!G723="","UNKNOWN",IFERROR(INDEX(Cleaning_Rules!$B$38:$B$46,MATCH(TRIM(UPPER('query (2)'!G723)),Cleaning_Rules!$A$38:$A$46,0)),"UNKNOWN"))</f>
        <v>OTHER</v>
      </c>
      <c r="R723" s="24" t="str">
        <f>IF('query (2)'!H723="","",TRIM(UPPER('query (2)'!H723)))</f>
        <v>SEAL PRESS NO.1 M/C</v>
      </c>
      <c r="S723" s="25" t="str">
        <f>IF('query (2)'!H723="","",'query (2)'!H723)</f>
        <v>Seal  press  No.1 M/C</v>
      </c>
      <c r="T723" s="24" t="str">
        <f>IF('query (2)'!J723="","",TRIM(UPPER('query (2)'!J723)))</f>
        <v>SEAL PRESSING NO.1</v>
      </c>
      <c r="U723" s="24" t="str">
        <f t="shared" si="80"/>
        <v/>
      </c>
      <c r="V723" s="24" t="str">
        <f>IF('query (2)'!K723="","NOT_SPECIFIED",IFERROR(INDEX(Cleaning_Rules!$B$32:$B$34,MATCH(TRIM(UPPER('query (2)'!K723)),Cleaning_Rules!$A$32:$A$34,0)),"UNKNOWN"))</f>
        <v>NOT_SPECIFIED</v>
      </c>
      <c r="W723" s="24" t="str">
        <f t="shared" si="81"/>
        <v>AS-169 | FACTORY3 | BWD2 | BWD | ASSEMBLY | 1107-BW2AI | OTHER | SEAL PRESS NO.1 M/C | SEAL PRESSING NO.1 | NOT_SPECIFIED</v>
      </c>
      <c r="X723" s="24" t="str">
        <f t="shared" si="82"/>
        <v/>
      </c>
      <c r="Y723" s="24" t="str">
        <f t="shared" si="83"/>
        <v>MISSING_STATUS; CATEGORY_NOT_USEFUL</v>
      </c>
    </row>
    <row r="724" spans="1:25" x14ac:dyDescent="0.3">
      <c r="A724" s="24" t="str">
        <f t="shared" si="77"/>
        <v>AS-170#0723</v>
      </c>
      <c r="B724" s="24" t="str">
        <f>IF('query (2)'!B724="","",TRIM(UPPER('query (2)'!B724)))</f>
        <v>AS-170</v>
      </c>
      <c r="C724" s="25" t="str">
        <f>IF('query (2)'!B724="","",'query (2)'!B724)</f>
        <v>AS-170</v>
      </c>
      <c r="D724" s="24" t="str">
        <f t="shared" si="78"/>
        <v>AS</v>
      </c>
      <c r="E724" s="24">
        <f t="shared" si="79"/>
        <v>1</v>
      </c>
      <c r="F724" s="24">
        <f>IF('query (2)'!A724="","",IFERROR(VALUE('query (2)'!A724),""))</f>
        <v>742</v>
      </c>
      <c r="G724" s="24" t="str">
        <f>IF('query (2)'!C724="","UNKNOWN",IFERROR(INDEX(Cleaning_Rules!$B$15:$B$20,MATCH(TRIM(UPPER('query (2)'!C724)),Cleaning_Rules!$A$15:$A$20,0)),"UNKNOWN"))</f>
        <v>FACTORY3</v>
      </c>
      <c r="H724" s="25" t="str">
        <f>IF('query (2)'!C724="","",'query (2)'!C724)</f>
        <v>FACTORY3</v>
      </c>
      <c r="I724" s="24" t="str" cm="1">
        <f t="array" ref="I724">_xlfn.IFS($G724="UNKNOWN","UNKNOWN",OR($G724="FACTORY1",$G724="FACTORY2",$G724="FACTORY3"),"PLANT",TRUE,"SHARED")</f>
        <v>PLANT</v>
      </c>
      <c r="J724" s="24" t="str">
        <f>IF('query (2)'!D724="","UNKNOWN",IF(COUNTIF(Cleaning_Rules!$A$6:$A$11,TRIM('query (2)'!D724))&gt;0,"UNKNOWN",IFERROR(INDEX(Cleaning_Rules!$B$24:$B$28,MATCH(TRIM(UPPER('query (2)'!D724)),Cleaning_Rules!$A$24:$A$28,0)),TRIM(UPPER('query (2)'!D724)))))</f>
        <v>BWD2</v>
      </c>
      <c r="K724" s="25" t="str">
        <f>IF('query (2)'!D724="","",'query (2)'!D724)</f>
        <v>BWD2</v>
      </c>
      <c r="L724" s="24" t="str">
        <f>IF($J724="UNKNOWN","",_xlfn.TEXTBEFORE($J724,{"0","1","2","3","4","5","6","7","8","9"," ","-","."},1,,,$J724))</f>
        <v>BWD</v>
      </c>
      <c r="M724" s="24" t="str">
        <f>IF('query (2)'!I724&lt;&gt;"",TRIM(UPPER('query (2)'!I724)),IF($L724="","UNKNOWN",$L724))</f>
        <v>BWD</v>
      </c>
      <c r="N724" s="24" t="str">
        <f>IF('query (2)'!I724&lt;&gt;"","SOURCE",IF($L724="","UNKNOWN","DERIVED"))</f>
        <v>SOURCE</v>
      </c>
      <c r="O724" s="24" t="str">
        <f>IF('query (2)'!E724="","NOT_SPECIFIED",TRIM(UPPER('query (2)'!E724)))</f>
        <v>ASSEMBLY</v>
      </c>
      <c r="P724" s="24" t="str">
        <f>IF('query (2)'!F724="","",TRIM(UPPER('query (2)'!F724)))</f>
        <v>1107-BW2AI</v>
      </c>
      <c r="Q724" s="24" t="str">
        <f>IF('query (2)'!G724="","UNKNOWN",IFERROR(INDEX(Cleaning_Rules!$B$38:$B$46,MATCH(TRIM(UPPER('query (2)'!G724)),Cleaning_Rules!$A$38:$A$46,0)),"UNKNOWN"))</f>
        <v>OTHER</v>
      </c>
      <c r="R724" s="24" t="str">
        <f>IF('query (2)'!H724="","",TRIM(UPPER('query (2)'!H724)))</f>
        <v>SEAL PRESS NO.2 M/C</v>
      </c>
      <c r="S724" s="25" t="str">
        <f>IF('query (2)'!H724="","",'query (2)'!H724)</f>
        <v>Seal  press No.2  M/C</v>
      </c>
      <c r="T724" s="24" t="str">
        <f>IF('query (2)'!J724="","",TRIM(UPPER('query (2)'!J724)))</f>
        <v>SEAL PRESSING NO.2</v>
      </c>
      <c r="U724" s="24" t="str">
        <f t="shared" si="80"/>
        <v/>
      </c>
      <c r="V724" s="24" t="str">
        <f>IF('query (2)'!K724="","NOT_SPECIFIED",IFERROR(INDEX(Cleaning_Rules!$B$32:$B$34,MATCH(TRIM(UPPER('query (2)'!K724)),Cleaning_Rules!$A$32:$A$34,0)),"UNKNOWN"))</f>
        <v>NOT_SPECIFIED</v>
      </c>
      <c r="W724" s="24" t="str">
        <f t="shared" si="81"/>
        <v>AS-170 | FACTORY3 | BWD2 | BWD | ASSEMBLY | 1107-BW2AI | OTHER | SEAL PRESS NO.2 M/C | SEAL PRESSING NO.2 | NOT_SPECIFIED</v>
      </c>
      <c r="X724" s="24" t="str">
        <f t="shared" si="82"/>
        <v/>
      </c>
      <c r="Y724" s="24" t="str">
        <f t="shared" si="83"/>
        <v>MISSING_STATUS; CATEGORY_NOT_USEFUL</v>
      </c>
    </row>
    <row r="725" spans="1:25" x14ac:dyDescent="0.3">
      <c r="A725" s="24" t="str">
        <f t="shared" si="77"/>
        <v>CH-171#0724</v>
      </c>
      <c r="B725" s="24" t="str">
        <f>IF('query (2)'!B725="","",TRIM(UPPER('query (2)'!B725)))</f>
        <v>CH-171</v>
      </c>
      <c r="C725" s="25" t="str">
        <f>IF('query (2)'!B725="","",'query (2)'!B725)</f>
        <v>CH-171</v>
      </c>
      <c r="D725" s="24" t="str">
        <f t="shared" si="78"/>
        <v>CH</v>
      </c>
      <c r="E725" s="24">
        <f t="shared" si="79"/>
        <v>1</v>
      </c>
      <c r="F725" s="24">
        <f>IF('query (2)'!A725="","",IFERROR(VALUE('query (2)'!A725),""))</f>
        <v>743</v>
      </c>
      <c r="G725" s="24" t="str">
        <f>IF('query (2)'!C725="","UNKNOWN",IFERROR(INDEX(Cleaning_Rules!$B$15:$B$20,MATCH(TRIM(UPPER('query (2)'!C725)),Cleaning_Rules!$A$15:$A$20,0)),"UNKNOWN"))</f>
        <v>FACTORY3</v>
      </c>
      <c r="H725" s="25" t="str">
        <f>IF('query (2)'!C725="","",'query (2)'!C725)</f>
        <v>FACTORY3</v>
      </c>
      <c r="I725" s="24" t="str" cm="1">
        <f t="array" ref="I725">_xlfn.IFS($G725="UNKNOWN","UNKNOWN",OR($G725="FACTORY1",$G725="FACTORY2",$G725="FACTORY3"),"PLANT",TRUE,"SHARED")</f>
        <v>PLANT</v>
      </c>
      <c r="J725" s="24" t="str">
        <f>IF('query (2)'!D725="","UNKNOWN",IF(COUNTIF(Cleaning_Rules!$A$6:$A$11,TRIM('query (2)'!D725))&gt;0,"UNKNOWN",IFERROR(INDEX(Cleaning_Rules!$B$24:$B$28,MATCH(TRIM(UPPER('query (2)'!D725)),Cleaning_Rules!$A$24:$A$28,0)),TRIM(UPPER('query (2)'!D725)))))</f>
        <v>BWD2</v>
      </c>
      <c r="K725" s="25" t="str">
        <f>IF('query (2)'!D725="","",'query (2)'!D725)</f>
        <v>BWD2</v>
      </c>
      <c r="L725" s="24" t="str">
        <f>IF($J725="UNKNOWN","",_xlfn.TEXTBEFORE($J725,{"0","1","2","3","4","5","6","7","8","9"," ","-","."},1,,,$J725))</f>
        <v>BWD</v>
      </c>
      <c r="M725" s="24" t="str">
        <f>IF('query (2)'!I725&lt;&gt;"",TRIM(UPPER('query (2)'!I725)),IF($L725="","UNKNOWN",$L725))</f>
        <v>BWD</v>
      </c>
      <c r="N725" s="24" t="str">
        <f>IF('query (2)'!I725&lt;&gt;"","SOURCE",IF($L725="","UNKNOWN","DERIVED"))</f>
        <v>SOURCE</v>
      </c>
      <c r="O725" s="24" t="str">
        <f>IF('query (2)'!E725="","NOT_SPECIFIED",TRIM(UPPER('query (2)'!E725)))</f>
        <v>ASSEMBLY</v>
      </c>
      <c r="P725" s="24" t="str">
        <f>IF('query (2)'!F725="","",TRIM(UPPER('query (2)'!F725)))</f>
        <v>1107-BW2AI</v>
      </c>
      <c r="Q725" s="24" t="str">
        <f>IF('query (2)'!G725="","UNKNOWN",IFERROR(INDEX(Cleaning_Rules!$B$38:$B$46,MATCH(TRIM(UPPER('query (2)'!G725)),Cleaning_Rules!$A$38:$A$46,0)),"UNKNOWN"))</f>
        <v>OTHER</v>
      </c>
      <c r="R725" s="24" t="str">
        <f>IF('query (2)'!H725="","",TRIM(UPPER('query (2)'!H725)))</f>
        <v>SEAL CHECKER M/C</v>
      </c>
      <c r="S725" s="25" t="str">
        <f>IF('query (2)'!H725="","",'query (2)'!H725)</f>
        <v>Seal  checker  M/C</v>
      </c>
      <c r="T725" s="24" t="str">
        <f>IF('query (2)'!J725="","",TRIM(UPPER('query (2)'!J725)))</f>
        <v>SEAL HEIGHT CHECKING</v>
      </c>
      <c r="U725" s="24" t="str">
        <f t="shared" si="80"/>
        <v/>
      </c>
      <c r="V725" s="24" t="str">
        <f>IF('query (2)'!K725="","NOT_SPECIFIED",IFERROR(INDEX(Cleaning_Rules!$B$32:$B$34,MATCH(TRIM(UPPER('query (2)'!K725)),Cleaning_Rules!$A$32:$A$34,0)),"UNKNOWN"))</f>
        <v>NOT_SPECIFIED</v>
      </c>
      <c r="W725" s="24" t="str">
        <f t="shared" si="81"/>
        <v>CH-171 | FACTORY3 | BWD2 | BWD | ASSEMBLY | 1107-BW2AI | OTHER | SEAL CHECKER M/C | SEAL HEIGHT CHECKING | NOT_SPECIFIED</v>
      </c>
      <c r="X725" s="24" t="str">
        <f t="shared" si="82"/>
        <v/>
      </c>
      <c r="Y725" s="24" t="str">
        <f t="shared" si="83"/>
        <v>MISSING_STATUS; CATEGORY_NOT_USEFUL</v>
      </c>
    </row>
    <row r="726" spans="1:25" x14ac:dyDescent="0.3">
      <c r="A726" s="24" t="str">
        <f t="shared" si="77"/>
        <v>CH-172#0725</v>
      </c>
      <c r="B726" s="24" t="str">
        <f>IF('query (2)'!B726="","",TRIM(UPPER('query (2)'!B726)))</f>
        <v>CH-172</v>
      </c>
      <c r="C726" s="25" t="str">
        <f>IF('query (2)'!B726="","",'query (2)'!B726)</f>
        <v>CH-172</v>
      </c>
      <c r="D726" s="24" t="str">
        <f t="shared" si="78"/>
        <v>CH</v>
      </c>
      <c r="E726" s="24">
        <f t="shared" si="79"/>
        <v>1</v>
      </c>
      <c r="F726" s="24">
        <f>IF('query (2)'!A726="","",IFERROR(VALUE('query (2)'!A726),""))</f>
        <v>744</v>
      </c>
      <c r="G726" s="24" t="str">
        <f>IF('query (2)'!C726="","UNKNOWN",IFERROR(INDEX(Cleaning_Rules!$B$15:$B$20,MATCH(TRIM(UPPER('query (2)'!C726)),Cleaning_Rules!$A$15:$A$20,0)),"UNKNOWN"))</f>
        <v>FACTORY3</v>
      </c>
      <c r="H726" s="25" t="str">
        <f>IF('query (2)'!C726="","",'query (2)'!C726)</f>
        <v>FACTORY3</v>
      </c>
      <c r="I726" s="24" t="str" cm="1">
        <f t="array" ref="I726">_xlfn.IFS($G726="UNKNOWN","UNKNOWN",OR($G726="FACTORY1",$G726="FACTORY2",$G726="FACTORY3"),"PLANT",TRUE,"SHARED")</f>
        <v>PLANT</v>
      </c>
      <c r="J726" s="24" t="str">
        <f>IF('query (2)'!D726="","UNKNOWN",IF(COUNTIF(Cleaning_Rules!$A$6:$A$11,TRIM('query (2)'!D726))&gt;0,"UNKNOWN",IFERROR(INDEX(Cleaning_Rules!$B$24:$B$28,MATCH(TRIM(UPPER('query (2)'!D726)),Cleaning_Rules!$A$24:$A$28,0)),TRIM(UPPER('query (2)'!D726)))))</f>
        <v>BWD2</v>
      </c>
      <c r="K726" s="25" t="str">
        <f>IF('query (2)'!D726="","",'query (2)'!D726)</f>
        <v>BWD2</v>
      </c>
      <c r="L726" s="24" t="str">
        <f>IF($J726="UNKNOWN","",_xlfn.TEXTBEFORE($J726,{"0","1","2","3","4","5","6","7","8","9"," ","-","."},1,,,$J726))</f>
        <v>BWD</v>
      </c>
      <c r="M726" s="24" t="str">
        <f>IF('query (2)'!I726&lt;&gt;"",TRIM(UPPER('query (2)'!I726)),IF($L726="","UNKNOWN",$L726))</f>
        <v>BWD</v>
      </c>
      <c r="N726" s="24" t="str">
        <f>IF('query (2)'!I726&lt;&gt;"","SOURCE",IF($L726="","UNKNOWN","DERIVED"))</f>
        <v>SOURCE</v>
      </c>
      <c r="O726" s="24" t="str">
        <f>IF('query (2)'!E726="","NOT_SPECIFIED",TRIM(UPPER('query (2)'!E726)))</f>
        <v>ASSEMBLY</v>
      </c>
      <c r="P726" s="24" t="str">
        <f>IF('query (2)'!F726="","",TRIM(UPPER('query (2)'!F726)))</f>
        <v>1107-BW2AI</v>
      </c>
      <c r="Q726" s="24" t="str">
        <f>IF('query (2)'!G726="","UNKNOWN",IFERROR(INDEX(Cleaning_Rules!$B$38:$B$46,MATCH(TRIM(UPPER('query (2)'!G726)),Cleaning_Rules!$A$38:$A$46,0)),"UNKNOWN"))</f>
        <v>OTHER</v>
      </c>
      <c r="R726" s="24" t="str">
        <f>IF('query (2)'!H726="","",TRIM(UPPER('query (2)'!H726)))</f>
        <v>WEIGHT CHECKER M/C</v>
      </c>
      <c r="S726" s="25" t="str">
        <f>IF('query (2)'!H726="","",'query (2)'!H726)</f>
        <v>Weight  checker  M/C</v>
      </c>
      <c r="T726" s="24" t="str">
        <f>IF('query (2)'!J726="","",TRIM(UPPER('query (2)'!J726)))</f>
        <v>WEIGHT CHECKER</v>
      </c>
      <c r="U726" s="24" t="str">
        <f t="shared" si="80"/>
        <v/>
      </c>
      <c r="V726" s="24" t="str">
        <f>IF('query (2)'!K726="","NOT_SPECIFIED",IFERROR(INDEX(Cleaning_Rules!$B$32:$B$34,MATCH(TRIM(UPPER('query (2)'!K726)),Cleaning_Rules!$A$32:$A$34,0)),"UNKNOWN"))</f>
        <v>NOT_SPECIFIED</v>
      </c>
      <c r="W726" s="24" t="str">
        <f t="shared" si="81"/>
        <v>CH-172 | FACTORY3 | BWD2 | BWD | ASSEMBLY | 1107-BW2AI | OTHER | WEIGHT CHECKER M/C | WEIGHT CHECKER | NOT_SPECIFIED</v>
      </c>
      <c r="X726" s="24" t="str">
        <f t="shared" si="82"/>
        <v/>
      </c>
      <c r="Y726" s="24" t="str">
        <f t="shared" si="83"/>
        <v>MISSING_STATUS; CATEGORY_NOT_USEFUL</v>
      </c>
    </row>
    <row r="727" spans="1:25" x14ac:dyDescent="0.3">
      <c r="A727" s="24" t="str">
        <f t="shared" si="77"/>
        <v>AS-573#0726</v>
      </c>
      <c r="B727" s="24" t="str">
        <f>IF('query (2)'!B727="","",TRIM(UPPER('query (2)'!B727)))</f>
        <v>AS-573</v>
      </c>
      <c r="C727" s="25" t="str">
        <f>IF('query (2)'!B727="","",'query (2)'!B727)</f>
        <v>AS-573</v>
      </c>
      <c r="D727" s="24" t="str">
        <f t="shared" si="78"/>
        <v>AS</v>
      </c>
      <c r="E727" s="24">
        <f t="shared" si="79"/>
        <v>1</v>
      </c>
      <c r="F727" s="24">
        <f>IF('query (2)'!A727="","",IFERROR(VALUE('query (2)'!A727),""))</f>
        <v>745</v>
      </c>
      <c r="G727" s="24" t="str">
        <f>IF('query (2)'!C727="","UNKNOWN",IFERROR(INDEX(Cleaning_Rules!$B$15:$B$20,MATCH(TRIM(UPPER('query (2)'!C727)),Cleaning_Rules!$A$15:$A$20,0)),"UNKNOWN"))</f>
        <v>FACTORY3</v>
      </c>
      <c r="H727" s="25" t="str">
        <f>IF('query (2)'!C727="","",'query (2)'!C727)</f>
        <v>FACTORY3</v>
      </c>
      <c r="I727" s="24" t="str" cm="1">
        <f t="array" ref="I727">_xlfn.IFS($G727="UNKNOWN","UNKNOWN",OR($G727="FACTORY1",$G727="FACTORY2",$G727="FACTORY3"),"PLANT",TRUE,"SHARED")</f>
        <v>PLANT</v>
      </c>
      <c r="J727" s="24" t="str">
        <f>IF('query (2)'!D727="","UNKNOWN",IF(COUNTIF(Cleaning_Rules!$A$6:$A$11,TRIM('query (2)'!D727))&gt;0,"UNKNOWN",IFERROR(INDEX(Cleaning_Rules!$B$24:$B$28,MATCH(TRIM(UPPER('query (2)'!D727)),Cleaning_Rules!$A$24:$A$28,0)),TRIM(UPPER('query (2)'!D727)))))</f>
        <v>BWD2</v>
      </c>
      <c r="K727" s="25" t="str">
        <f>IF('query (2)'!D727="","",'query (2)'!D727)</f>
        <v>BWD2</v>
      </c>
      <c r="L727" s="24" t="str">
        <f>IF($J727="UNKNOWN","",_xlfn.TEXTBEFORE($J727,{"0","1","2","3","4","5","6","7","8","9"," ","-","."},1,,,$J727))</f>
        <v>BWD</v>
      </c>
      <c r="M727" s="24" t="str">
        <f>IF('query (2)'!I727&lt;&gt;"",TRIM(UPPER('query (2)'!I727)),IF($L727="","UNKNOWN",$L727))</f>
        <v>BWD</v>
      </c>
      <c r="N727" s="24" t="str">
        <f>IF('query (2)'!I727&lt;&gt;"","SOURCE",IF($L727="","UNKNOWN","DERIVED"))</f>
        <v>SOURCE</v>
      </c>
      <c r="O727" s="24" t="str">
        <f>IF('query (2)'!E727="","NOT_SPECIFIED",TRIM(UPPER('query (2)'!E727)))</f>
        <v>ASSEMBLY</v>
      </c>
      <c r="P727" s="24" t="str">
        <f>IF('query (2)'!F727="","",TRIM(UPPER('query (2)'!F727)))</f>
        <v>1107-BW2AI</v>
      </c>
      <c r="Q727" s="24" t="str">
        <f>IF('query (2)'!G727="","UNKNOWN",IFERROR(INDEX(Cleaning_Rules!$B$38:$B$46,MATCH(TRIM(UPPER('query (2)'!G727)),Cleaning_Rules!$A$38:$A$46,0)),"UNKNOWN"))</f>
        <v>OTHER</v>
      </c>
      <c r="R727" s="24" t="str">
        <f>IF('query (2)'!H727="","",TRIM(UPPER('query (2)'!H727)))</f>
        <v>BALL &amp; CAGE ASSEMBLY MACHINE</v>
      </c>
      <c r="S727" s="25" t="str">
        <f>IF('query (2)'!H727="","",'query (2)'!H727)</f>
        <v>Ball &amp; Cage assembly machine</v>
      </c>
      <c r="T727" s="24" t="str">
        <f>IF('query (2)'!J727="","",TRIM(UPPER('query (2)'!J727)))</f>
        <v>CD ASSEMBLY</v>
      </c>
      <c r="U727" s="24" t="str">
        <f t="shared" si="80"/>
        <v/>
      </c>
      <c r="V727" s="24" t="str">
        <f>IF('query (2)'!K727="","NOT_SPECIFIED",IFERROR(INDEX(Cleaning_Rules!$B$32:$B$34,MATCH(TRIM(UPPER('query (2)'!K727)),Cleaning_Rules!$A$32:$A$34,0)),"UNKNOWN"))</f>
        <v>NOT_SPECIFIED</v>
      </c>
      <c r="W727" s="24" t="str">
        <f t="shared" si="81"/>
        <v>AS-573 | FACTORY3 | BWD2 | BWD | ASSEMBLY | 1107-BW2AI | OTHER | BALL &amp; CAGE ASSEMBLY MACHINE | CD ASSEMBLY | NOT_SPECIFIED</v>
      </c>
      <c r="X727" s="24" t="str">
        <f t="shared" si="82"/>
        <v/>
      </c>
      <c r="Y727" s="24" t="str">
        <f t="shared" si="83"/>
        <v>MISSING_STATUS; CATEGORY_NOT_USEFUL</v>
      </c>
    </row>
    <row r="728" spans="1:25" x14ac:dyDescent="0.3">
      <c r="A728" s="24" t="str">
        <f t="shared" si="77"/>
        <v>DE-066#0727</v>
      </c>
      <c r="B728" s="24" t="str">
        <f>IF('query (2)'!B728="","",TRIM(UPPER('query (2)'!B728)))</f>
        <v>DE-066</v>
      </c>
      <c r="C728" s="25" t="str">
        <f>IF('query (2)'!B728="","",'query (2)'!B728)</f>
        <v>DE-066</v>
      </c>
      <c r="D728" s="24" t="str">
        <f t="shared" si="78"/>
        <v>DE</v>
      </c>
      <c r="E728" s="24">
        <f t="shared" si="79"/>
        <v>1</v>
      </c>
      <c r="F728" s="24">
        <f>IF('query (2)'!A728="","",IFERROR(VALUE('query (2)'!A728),""))</f>
        <v>746</v>
      </c>
      <c r="G728" s="24" t="str">
        <f>IF('query (2)'!C728="","UNKNOWN",IFERROR(INDEX(Cleaning_Rules!$B$15:$B$20,MATCH(TRIM(UPPER('query (2)'!C728)),Cleaning_Rules!$A$15:$A$20,0)),"UNKNOWN"))</f>
        <v>FACTORY3</v>
      </c>
      <c r="H728" s="25" t="str">
        <f>IF('query (2)'!C728="","",'query (2)'!C728)</f>
        <v>FACTORY3</v>
      </c>
      <c r="I728" s="24" t="str" cm="1">
        <f t="array" ref="I728">_xlfn.IFS($G728="UNKNOWN","UNKNOWN",OR($G728="FACTORY1",$G728="FACTORY2",$G728="FACTORY3"),"PLANT",TRUE,"SHARED")</f>
        <v>PLANT</v>
      </c>
      <c r="J728" s="24" t="str">
        <f>IF('query (2)'!D728="","UNKNOWN",IF(COUNTIF(Cleaning_Rules!$A$6:$A$11,TRIM('query (2)'!D728))&gt;0,"UNKNOWN",IFERROR(INDEX(Cleaning_Rules!$B$24:$B$28,MATCH(TRIM(UPPER('query (2)'!D728)),Cleaning_Rules!$A$24:$A$28,0)),TRIM(UPPER('query (2)'!D728)))))</f>
        <v>BWD2</v>
      </c>
      <c r="K728" s="25" t="str">
        <f>IF('query (2)'!D728="","",'query (2)'!D728)</f>
        <v>BWD2</v>
      </c>
      <c r="L728" s="24" t="str">
        <f>IF($J728="UNKNOWN","",_xlfn.TEXTBEFORE($J728,{"0","1","2","3","4","5","6","7","8","9"," ","-","."},1,,,$J728))</f>
        <v>BWD</v>
      </c>
      <c r="M728" s="24" t="str">
        <f>IF('query (2)'!I728&lt;&gt;"",TRIM(UPPER('query (2)'!I728)),IF($L728="","UNKNOWN",$L728))</f>
        <v>BWD</v>
      </c>
      <c r="N728" s="24" t="str">
        <f>IF('query (2)'!I728&lt;&gt;"","SOURCE",IF($L728="","UNKNOWN","DERIVED"))</f>
        <v>SOURCE</v>
      </c>
      <c r="O728" s="24" t="str">
        <f>IF('query (2)'!E728="","NOT_SPECIFIED",TRIM(UPPER('query (2)'!E728)))</f>
        <v>GRINDING 2</v>
      </c>
      <c r="P728" s="24" t="str">
        <f>IF('query (2)'!F728="","",TRIM(UPPER('query (2)'!F728)))</f>
        <v>1106-BW2G</v>
      </c>
      <c r="Q728" s="24" t="str">
        <f>IF('query (2)'!G728="","UNKNOWN",IFERROR(INDEX(Cleaning_Rules!$B$38:$B$46,MATCH(TRIM(UPPER('query (2)'!G728)),Cleaning_Rules!$A$38:$A$46,0)),"UNKNOWN"))</f>
        <v>OTHER</v>
      </c>
      <c r="R728" s="24" t="str">
        <f>IF('query (2)'!H728="","",TRIM(UPPER('query (2)'!H728)))</f>
        <v>DEMAGNETIZING FOR INNER RING M/C</v>
      </c>
      <c r="S728" s="25" t="str">
        <f>IF('query (2)'!H728="","",'query (2)'!H728)</f>
        <v>Demagnetizing  for  inner  ring  M/C</v>
      </c>
      <c r="T728" s="24" t="str">
        <f>IF('query (2)'!J728="","",TRIM(UPPER('query (2)'!J728)))</f>
        <v>B - DEMAGNETIZING</v>
      </c>
      <c r="U728" s="24" t="str">
        <f t="shared" si="80"/>
        <v/>
      </c>
      <c r="V728" s="24" t="str">
        <f>IF('query (2)'!K728="","NOT_SPECIFIED",IFERROR(INDEX(Cleaning_Rules!$B$32:$B$34,MATCH(TRIM(UPPER('query (2)'!K728)),Cleaning_Rules!$A$32:$A$34,0)),"UNKNOWN"))</f>
        <v>NOT_SPECIFIED</v>
      </c>
      <c r="W728" s="24" t="str">
        <f t="shared" si="81"/>
        <v>DE-066 | FACTORY3 | BWD2 | BWD | GRINDING 2 | 1106-BW2G | OTHER | DEMAGNETIZING FOR INNER RING M/C | B - DEMAGNETIZING | NOT_SPECIFIED</v>
      </c>
      <c r="X728" s="24" t="str">
        <f t="shared" si="82"/>
        <v/>
      </c>
      <c r="Y728" s="24" t="str">
        <f t="shared" si="83"/>
        <v>MISSING_STATUS; CATEGORY_NOT_USEFUL</v>
      </c>
    </row>
    <row r="729" spans="1:25" x14ac:dyDescent="0.3">
      <c r="A729" s="24" t="str">
        <f t="shared" si="77"/>
        <v>MA-619#0728</v>
      </c>
      <c r="B729" s="24" t="str">
        <f>IF('query (2)'!B729="","",TRIM(UPPER('query (2)'!B729)))</f>
        <v>MA-619</v>
      </c>
      <c r="C729" s="25" t="str">
        <f>IF('query (2)'!B729="","",'query (2)'!B729)</f>
        <v>MA-619</v>
      </c>
      <c r="D729" s="24" t="str">
        <f t="shared" si="78"/>
        <v>MA</v>
      </c>
      <c r="E729" s="24">
        <f t="shared" si="79"/>
        <v>1</v>
      </c>
      <c r="F729" s="24">
        <f>IF('query (2)'!A729="","",IFERROR(VALUE('query (2)'!A729),""))</f>
        <v>747</v>
      </c>
      <c r="G729" s="24" t="str">
        <f>IF('query (2)'!C729="","UNKNOWN",IFERROR(INDEX(Cleaning_Rules!$B$15:$B$20,MATCH(TRIM(UPPER('query (2)'!C729)),Cleaning_Rules!$A$15:$A$20,0)),"UNKNOWN"))</f>
        <v>FACTORY3</v>
      </c>
      <c r="H729" s="25" t="str">
        <f>IF('query (2)'!C729="","",'query (2)'!C729)</f>
        <v>FACTORY3</v>
      </c>
      <c r="I729" s="24" t="str" cm="1">
        <f t="array" ref="I729">_xlfn.IFS($G729="UNKNOWN","UNKNOWN",OR($G729="FACTORY1",$G729="FACTORY2",$G729="FACTORY3"),"PLANT",TRUE,"SHARED")</f>
        <v>PLANT</v>
      </c>
      <c r="J729" s="24" t="str">
        <f>IF('query (2)'!D729="","UNKNOWN",IF(COUNTIF(Cleaning_Rules!$A$6:$A$11,TRIM('query (2)'!D729))&gt;0,"UNKNOWN",IFERROR(INDEX(Cleaning_Rules!$B$24:$B$28,MATCH(TRIM(UPPER('query (2)'!D729)),Cleaning_Rules!$A$24:$A$28,0)),TRIM(UPPER('query (2)'!D729)))))</f>
        <v>BWD2</v>
      </c>
      <c r="K729" s="25" t="str">
        <f>IF('query (2)'!D729="","",'query (2)'!D729)</f>
        <v>BWD2</v>
      </c>
      <c r="L729" s="24" t="str">
        <f>IF($J729="UNKNOWN","",_xlfn.TEXTBEFORE($J729,{"0","1","2","3","4","5","6","7","8","9"," ","-","."},1,,,$J729))</f>
        <v>BWD</v>
      </c>
      <c r="M729" s="24" t="str">
        <f>IF('query (2)'!I729&lt;&gt;"",TRIM(UPPER('query (2)'!I729)),IF($L729="","UNKNOWN",$L729))</f>
        <v>BWD</v>
      </c>
      <c r="N729" s="24" t="str">
        <f>IF('query (2)'!I729&lt;&gt;"","SOURCE",IF($L729="","UNKNOWN","DERIVED"))</f>
        <v>SOURCE</v>
      </c>
      <c r="O729" s="24" t="str">
        <f>IF('query (2)'!E729="","NOT_SPECIFIED",TRIM(UPPER('query (2)'!E729)))</f>
        <v>ASSEMBLY</v>
      </c>
      <c r="P729" s="24" t="str">
        <f>IF('query (2)'!F729="","",TRIM(UPPER('query (2)'!F729)))</f>
        <v>1107-BW2AI</v>
      </c>
      <c r="Q729" s="24" t="str">
        <f>IF('query (2)'!G729="","UNKNOWN",IFERROR(INDEX(Cleaning_Rules!$B$38:$B$46,MATCH(TRIM(UPPER('query (2)'!G729)),Cleaning_Rules!$A$38:$A$46,0)),"UNKNOWN"))</f>
        <v>OTHER</v>
      </c>
      <c r="R729" s="24" t="str">
        <f>IF('query (2)'!H729="","",TRIM(UPPER('query (2)'!H729)))</f>
        <v>LASER MARKING MACHINE</v>
      </c>
      <c r="S729" s="25" t="str">
        <f>IF('query (2)'!H729="","",'query (2)'!H729)</f>
        <v>Laser marking machine</v>
      </c>
      <c r="T729" s="24" t="str">
        <f>IF('query (2)'!J729="","",TRIM(UPPER('query (2)'!J729)))</f>
        <v>LASER MARKING</v>
      </c>
      <c r="U729" s="24" t="str">
        <f t="shared" si="80"/>
        <v/>
      </c>
      <c r="V729" s="24" t="str">
        <f>IF('query (2)'!K729="","NOT_SPECIFIED",IFERROR(INDEX(Cleaning_Rules!$B$32:$B$34,MATCH(TRIM(UPPER('query (2)'!K729)),Cleaning_Rules!$A$32:$A$34,0)),"UNKNOWN"))</f>
        <v>NOT_SPECIFIED</v>
      </c>
      <c r="W729" s="24" t="str">
        <f t="shared" si="81"/>
        <v>MA-619 | FACTORY3 | BWD2 | BWD | ASSEMBLY | 1107-BW2AI | OTHER | LASER MARKING MACHINE | LASER MARKING | NOT_SPECIFIED</v>
      </c>
      <c r="X729" s="24" t="str">
        <f t="shared" si="82"/>
        <v/>
      </c>
      <c r="Y729" s="24" t="str">
        <f t="shared" si="83"/>
        <v>MISSING_STATUS; CATEGORY_NOT_USEFUL</v>
      </c>
    </row>
    <row r="730" spans="1:25" x14ac:dyDescent="0.3">
      <c r="A730" s="24" t="str">
        <f t="shared" si="77"/>
        <v>FI-205#0729</v>
      </c>
      <c r="B730" s="24" t="str">
        <f>IF('query (2)'!B730="","",TRIM(UPPER('query (2)'!B730)))</f>
        <v>FI-205</v>
      </c>
      <c r="C730" s="25" t="str">
        <f>IF('query (2)'!B730="","",'query (2)'!B730)</f>
        <v>FI-205</v>
      </c>
      <c r="D730" s="24" t="str">
        <f t="shared" si="78"/>
        <v>FI</v>
      </c>
      <c r="E730" s="24">
        <f t="shared" si="79"/>
        <v>1</v>
      </c>
      <c r="F730" s="24">
        <f>IF('query (2)'!A730="","",IFERROR(VALUE('query (2)'!A730),""))</f>
        <v>748</v>
      </c>
      <c r="G730" s="24" t="str">
        <f>IF('query (2)'!C730="","UNKNOWN",IFERROR(INDEX(Cleaning_Rules!$B$15:$B$20,MATCH(TRIM(UPPER('query (2)'!C730)),Cleaning_Rules!$A$15:$A$20,0)),"UNKNOWN"))</f>
        <v>FACTORY3</v>
      </c>
      <c r="H730" s="25" t="str">
        <f>IF('query (2)'!C730="","",'query (2)'!C730)</f>
        <v>FACTORY3</v>
      </c>
      <c r="I730" s="24" t="str" cm="1">
        <f t="array" ref="I730">_xlfn.IFS($G730="UNKNOWN","UNKNOWN",OR($G730="FACTORY1",$G730="FACTORY2",$G730="FACTORY3"),"PLANT",TRUE,"SHARED")</f>
        <v>PLANT</v>
      </c>
      <c r="J730" s="24" t="str">
        <f>IF('query (2)'!D730="","UNKNOWN",IF(COUNTIF(Cleaning_Rules!$A$6:$A$11,TRIM('query (2)'!D730))&gt;0,"UNKNOWN",IFERROR(INDEX(Cleaning_Rules!$B$24:$B$28,MATCH(TRIM(UPPER('query (2)'!D730)),Cleaning_Rules!$A$24:$A$28,0)),TRIM(UPPER('query (2)'!D730)))))</f>
        <v>BWD2</v>
      </c>
      <c r="K730" s="25" t="str">
        <f>IF('query (2)'!D730="","",'query (2)'!D730)</f>
        <v>BWD2</v>
      </c>
      <c r="L730" s="24" t="str">
        <f>IF($J730="UNKNOWN","",_xlfn.TEXTBEFORE($J730,{"0","1","2","3","4","5","6","7","8","9"," ","-","."},1,,,$J730))</f>
        <v>BWD</v>
      </c>
      <c r="M730" s="24" t="str">
        <f>IF('query (2)'!I730&lt;&gt;"",TRIM(UPPER('query (2)'!I730)),IF($L730="","UNKNOWN",$L730))</f>
        <v>BWD</v>
      </c>
      <c r="N730" s="24" t="str">
        <f>IF('query (2)'!I730&lt;&gt;"","SOURCE",IF($L730="","UNKNOWN","DERIVED"))</f>
        <v>SOURCE</v>
      </c>
      <c r="O730" s="24" t="str">
        <f>IF('query (2)'!E730="","NOT_SPECIFIED",TRIM(UPPER('query (2)'!E730)))</f>
        <v>GRINDING 2</v>
      </c>
      <c r="P730" s="24" t="str">
        <f>IF('query (2)'!F730="","",TRIM(UPPER('query (2)'!F730)))</f>
        <v>1106-BW2G</v>
      </c>
      <c r="Q730" s="24" t="str">
        <f>IF('query (2)'!G730="","UNKNOWN",IFERROR(INDEX(Cleaning_Rules!$B$38:$B$46,MATCH(TRIM(UPPER('query (2)'!G730)),Cleaning_Rules!$A$38:$A$46,0)),"UNKNOWN"))</f>
        <v>OTHER</v>
      </c>
      <c r="R730" s="24" t="str">
        <f>IF('query (2)'!H730="","",TRIM(UPPER('query (2)'!H730)))</f>
        <v>MAGNET FILTER COOLANT TAMK NO.6</v>
      </c>
      <c r="S730" s="25" t="str">
        <f>IF('query (2)'!H730="","",'query (2)'!H730)</f>
        <v>Magnet filter coolant tamk No.6</v>
      </c>
      <c r="T730" s="24" t="str">
        <f>IF('query (2)'!J730="","",TRIM(UPPER('query (2)'!J730)))</f>
        <v>MAGNET FILTER COOLANT TANK</v>
      </c>
      <c r="U730" s="24" t="str">
        <f t="shared" si="80"/>
        <v/>
      </c>
      <c r="V730" s="24" t="str">
        <f>IF('query (2)'!K730="","NOT_SPECIFIED",IFERROR(INDEX(Cleaning_Rules!$B$32:$B$34,MATCH(TRIM(UPPER('query (2)'!K730)),Cleaning_Rules!$A$32:$A$34,0)),"UNKNOWN"))</f>
        <v>NOT_SPECIFIED</v>
      </c>
      <c r="W730" s="24" t="str">
        <f t="shared" si="81"/>
        <v>FI-205 | FACTORY3 | BWD2 | BWD | GRINDING 2 | 1106-BW2G | OTHER | MAGNET FILTER COOLANT TAMK NO.6 | MAGNET FILTER COOLANT TANK | NOT_SPECIFIED</v>
      </c>
      <c r="X730" s="24" t="str">
        <f t="shared" si="82"/>
        <v/>
      </c>
      <c r="Y730" s="24" t="str">
        <f t="shared" si="83"/>
        <v>MISSING_STATUS; CATEGORY_NOT_USEFUL</v>
      </c>
    </row>
    <row r="731" spans="1:25" x14ac:dyDescent="0.3">
      <c r="A731" s="24" t="str">
        <f t="shared" si="77"/>
        <v>CH-942#0730</v>
      </c>
      <c r="B731" s="24" t="str">
        <f>IF('query (2)'!B731="","",TRIM(UPPER('query (2)'!B731)))</f>
        <v>CH-942</v>
      </c>
      <c r="C731" s="25" t="str">
        <f>IF('query (2)'!B731="","",'query (2)'!B731)</f>
        <v>CH-942</v>
      </c>
      <c r="D731" s="24" t="str">
        <f t="shared" si="78"/>
        <v>CH</v>
      </c>
      <c r="E731" s="24">
        <f t="shared" si="79"/>
        <v>1</v>
      </c>
      <c r="F731" s="24">
        <f>IF('query (2)'!A731="","",IFERROR(VALUE('query (2)'!A731),""))</f>
        <v>749</v>
      </c>
      <c r="G731" s="24" t="str">
        <f>IF('query (2)'!C731="","UNKNOWN",IFERROR(INDEX(Cleaning_Rules!$B$15:$B$20,MATCH(TRIM(UPPER('query (2)'!C731)),Cleaning_Rules!$A$15:$A$20,0)),"UNKNOWN"))</f>
        <v>FACTORY3</v>
      </c>
      <c r="H731" s="25" t="str">
        <f>IF('query (2)'!C731="","",'query (2)'!C731)</f>
        <v>FACTORY3</v>
      </c>
      <c r="I731" s="24" t="str" cm="1">
        <f t="array" ref="I731">_xlfn.IFS($G731="UNKNOWN","UNKNOWN",OR($G731="FACTORY1",$G731="FACTORY2",$G731="FACTORY3"),"PLANT",TRUE,"SHARED")</f>
        <v>PLANT</v>
      </c>
      <c r="J731" s="24" t="str">
        <f>IF('query (2)'!D731="","UNKNOWN",IF(COUNTIF(Cleaning_Rules!$A$6:$A$11,TRIM('query (2)'!D731))&gt;0,"UNKNOWN",IFERROR(INDEX(Cleaning_Rules!$B$24:$B$28,MATCH(TRIM(UPPER('query (2)'!D731)),Cleaning_Rules!$A$24:$A$28,0)),TRIM(UPPER('query (2)'!D731)))))</f>
        <v>BWD2</v>
      </c>
      <c r="K731" s="25" t="str">
        <f>IF('query (2)'!D731="","",'query (2)'!D731)</f>
        <v>BWD2</v>
      </c>
      <c r="L731" s="24" t="str">
        <f>IF($J731="UNKNOWN","",_xlfn.TEXTBEFORE($J731,{"0","1","2","3","4","5","6","7","8","9"," ","-","."},1,,,$J731))</f>
        <v>BWD</v>
      </c>
      <c r="M731" s="24" t="str">
        <f>IF('query (2)'!I731&lt;&gt;"",TRIM(UPPER('query (2)'!I731)),IF($L731="","UNKNOWN",$L731))</f>
        <v>BWD</v>
      </c>
      <c r="N731" s="24" t="str">
        <f>IF('query (2)'!I731&lt;&gt;"","SOURCE",IF($L731="","UNKNOWN","DERIVED"))</f>
        <v>SOURCE</v>
      </c>
      <c r="O731" s="24" t="str">
        <f>IF('query (2)'!E731="","NOT_SPECIFIED",TRIM(UPPER('query (2)'!E731)))</f>
        <v>GRINDING 2</v>
      </c>
      <c r="P731" s="24" t="str">
        <f>IF('query (2)'!F731="","",TRIM(UPPER('query (2)'!F731)))</f>
        <v>1106-BW2G</v>
      </c>
      <c r="Q731" s="24" t="str">
        <f>IF('query (2)'!G731="","UNKNOWN",IFERROR(INDEX(Cleaning_Rules!$B$38:$B$46,MATCH(TRIM(UPPER('query (2)'!G731)),Cleaning_Rules!$A$38:$A$46,0)),"UNKNOWN"))</f>
        <v>OTHER</v>
      </c>
      <c r="R731" s="24" t="str">
        <f>IF('query (2)'!H731="","",TRIM(UPPER('query (2)'!H731)))</f>
        <v>OUTER &amp; INNER EDDY CURENT TESTER M/C</v>
      </c>
      <c r="S731" s="25" t="str">
        <f>IF('query (2)'!H731="","",'query (2)'!H731)</f>
        <v>Outer &amp; Inner Eddy curent tester m/c</v>
      </c>
      <c r="T731" s="24" t="str">
        <f>IF('query (2)'!J731="","",TRIM(UPPER('query (2)'!J731)))</f>
        <v>A&amp;B - E.C.T.</v>
      </c>
      <c r="U731" s="24" t="str">
        <f t="shared" si="80"/>
        <v/>
      </c>
      <c r="V731" s="24" t="str">
        <f>IF('query (2)'!K731="","NOT_SPECIFIED",IFERROR(INDEX(Cleaning_Rules!$B$32:$B$34,MATCH(TRIM(UPPER('query (2)'!K731)),Cleaning_Rules!$A$32:$A$34,0)),"UNKNOWN"))</f>
        <v>NOT_SPECIFIED</v>
      </c>
      <c r="W731" s="24" t="str">
        <f t="shared" si="81"/>
        <v>CH-942 | FACTORY3 | BWD2 | BWD | GRINDING 2 | 1106-BW2G | OTHER | OUTER &amp; INNER EDDY CURENT TESTER M/C | A&amp;B - E.C.T. | NOT_SPECIFIED</v>
      </c>
      <c r="X731" s="24" t="str">
        <f t="shared" si="82"/>
        <v/>
      </c>
      <c r="Y731" s="24" t="str">
        <f t="shared" si="83"/>
        <v>MISSING_STATUS; CATEGORY_NOT_USEFUL</v>
      </c>
    </row>
    <row r="732" spans="1:25" x14ac:dyDescent="0.3">
      <c r="A732" s="24" t="str">
        <f t="shared" si="77"/>
        <v>CH-967#0731</v>
      </c>
      <c r="B732" s="24" t="str">
        <f>IF('query (2)'!B732="","",TRIM(UPPER('query (2)'!B732)))</f>
        <v>CH-967</v>
      </c>
      <c r="C732" s="25" t="str">
        <f>IF('query (2)'!B732="","",'query (2)'!B732)</f>
        <v>CH-967</v>
      </c>
      <c r="D732" s="24" t="str">
        <f t="shared" si="78"/>
        <v>CH</v>
      </c>
      <c r="E732" s="24">
        <f t="shared" si="79"/>
        <v>1</v>
      </c>
      <c r="F732" s="24">
        <f>IF('query (2)'!A732="","",IFERROR(VALUE('query (2)'!A732),""))</f>
        <v>750</v>
      </c>
      <c r="G732" s="24" t="str">
        <f>IF('query (2)'!C732="","UNKNOWN",IFERROR(INDEX(Cleaning_Rules!$B$15:$B$20,MATCH(TRIM(UPPER('query (2)'!C732)),Cleaning_Rules!$A$15:$A$20,0)),"UNKNOWN"))</f>
        <v>FACTORY3</v>
      </c>
      <c r="H732" s="25" t="str">
        <f>IF('query (2)'!C732="","",'query (2)'!C732)</f>
        <v>FACTORY3</v>
      </c>
      <c r="I732" s="24" t="str" cm="1">
        <f t="array" ref="I732">_xlfn.IFS($G732="UNKNOWN","UNKNOWN",OR($G732="FACTORY1",$G732="FACTORY2",$G732="FACTORY3"),"PLANT",TRUE,"SHARED")</f>
        <v>PLANT</v>
      </c>
      <c r="J732" s="24" t="str">
        <f>IF('query (2)'!D732="","UNKNOWN",IF(COUNTIF(Cleaning_Rules!$A$6:$A$11,TRIM('query (2)'!D732))&gt;0,"UNKNOWN",IFERROR(INDEX(Cleaning_Rules!$B$24:$B$28,MATCH(TRIM(UPPER('query (2)'!D732)),Cleaning_Rules!$A$24:$A$28,0)),TRIM(UPPER('query (2)'!D732)))))</f>
        <v>KWD4</v>
      </c>
      <c r="K732" s="25" t="str">
        <f>IF('query (2)'!D732="","",'query (2)'!D732)</f>
        <v>KWD4</v>
      </c>
      <c r="L732" s="24" t="str">
        <f>IF($J732="UNKNOWN","",_xlfn.TEXTBEFORE($J732,{"0","1","2","3","4","5","6","7","8","9"," ","-","."},1,,,$J732))</f>
        <v>KWD</v>
      </c>
      <c r="M732" s="24" t="str">
        <f>IF('query (2)'!I732&lt;&gt;"",TRIM(UPPER('query (2)'!I732)),IF($L732="","UNKNOWN",$L732))</f>
        <v>KWD</v>
      </c>
      <c r="N732" s="24" t="str">
        <f>IF('query (2)'!I732&lt;&gt;"","SOURCE",IF($L732="","UNKNOWN","DERIVED"))</f>
        <v>SOURCE</v>
      </c>
      <c r="O732" s="24" t="str">
        <f>IF('query (2)'!E732="","NOT_SPECIFIED",TRIM(UPPER('query (2)'!E732)))</f>
        <v>ASSEMBLY</v>
      </c>
      <c r="P732" s="24" t="str">
        <f>IF('query (2)'!F732="","",TRIM(UPPER('query (2)'!F732)))</f>
        <v>1013-KW4AI</v>
      </c>
      <c r="Q732" s="24" t="str">
        <f>IF('query (2)'!G732="","UNKNOWN",IFERROR(INDEX(Cleaning_Rules!$B$38:$B$46,MATCH(TRIM(UPPER('query (2)'!G732)),Cleaning_Rules!$A$38:$A$46,0)),"UNKNOWN"))</f>
        <v>OTHER</v>
      </c>
      <c r="R732" s="24" t="str">
        <f>IF('query (2)'!H732="","",TRIM(UPPER('query (2)'!H732)))</f>
        <v>SEAL MAGNETIC M/C</v>
      </c>
      <c r="S732" s="25" t="str">
        <f>IF('query (2)'!H732="","",'query (2)'!H732)</f>
        <v>Seal  Magnetic m/c</v>
      </c>
      <c r="T732" s="24" t="str">
        <f>IF('query (2)'!J732="","",TRIM(UPPER('query (2)'!J732)))</f>
        <v>SEAL MAGNETIC MC</v>
      </c>
      <c r="U732" s="24" t="str">
        <f t="shared" si="80"/>
        <v/>
      </c>
      <c r="V732" s="24" t="str">
        <f>IF('query (2)'!K732="","NOT_SPECIFIED",IFERROR(INDEX(Cleaning_Rules!$B$32:$B$34,MATCH(TRIM(UPPER('query (2)'!K732)),Cleaning_Rules!$A$32:$A$34,0)),"UNKNOWN"))</f>
        <v>NOT_SPECIFIED</v>
      </c>
      <c r="W732" s="24" t="str">
        <f t="shared" si="81"/>
        <v>CH-967 | FACTORY3 | KWD4 | KWD | ASSEMBLY | 1013-KW4AI | OTHER | SEAL MAGNETIC M/C | SEAL MAGNETIC MC | NOT_SPECIFIED</v>
      </c>
      <c r="X732" s="24" t="str">
        <f t="shared" si="82"/>
        <v/>
      </c>
      <c r="Y732" s="24" t="str">
        <f t="shared" si="83"/>
        <v>MISSING_STATUS; CATEGORY_NOT_USEFUL</v>
      </c>
    </row>
    <row r="733" spans="1:25" x14ac:dyDescent="0.3">
      <c r="A733" s="24" t="str">
        <f t="shared" si="77"/>
        <v>GR-487#0732</v>
      </c>
      <c r="B733" s="24" t="str">
        <f>IF('query (2)'!B733="","",TRIM(UPPER('query (2)'!B733)))</f>
        <v>GR-487</v>
      </c>
      <c r="C733" s="25" t="str">
        <f>IF('query (2)'!B733="","",'query (2)'!B733)</f>
        <v>GR-487</v>
      </c>
      <c r="D733" s="24" t="str">
        <f t="shared" si="78"/>
        <v>GR</v>
      </c>
      <c r="E733" s="24">
        <f t="shared" si="79"/>
        <v>1</v>
      </c>
      <c r="F733" s="24">
        <f>IF('query (2)'!A733="","",IFERROR(VALUE('query (2)'!A733),""))</f>
        <v>751</v>
      </c>
      <c r="G733" s="24" t="str">
        <f>IF('query (2)'!C733="","UNKNOWN",IFERROR(INDEX(Cleaning_Rules!$B$15:$B$20,MATCH(TRIM(UPPER('query (2)'!C733)),Cleaning_Rules!$A$15:$A$20,0)),"UNKNOWN"))</f>
        <v>FACTORY3</v>
      </c>
      <c r="H733" s="25" t="str">
        <f>IF('query (2)'!C733="","",'query (2)'!C733)</f>
        <v>FACTORY3</v>
      </c>
      <c r="I733" s="24" t="str" cm="1">
        <f t="array" ref="I733">_xlfn.IFS($G733="UNKNOWN","UNKNOWN",OR($G733="FACTORY1",$G733="FACTORY2",$G733="FACTORY3"),"PLANT",TRUE,"SHARED")</f>
        <v>PLANT</v>
      </c>
      <c r="J733" s="24" t="str">
        <f>IF('query (2)'!D733="","UNKNOWN",IF(COUNTIF(Cleaning_Rules!$A$6:$A$11,TRIM('query (2)'!D733))&gt;0,"UNKNOWN",IFERROR(INDEX(Cleaning_Rules!$B$24:$B$28,MATCH(TRIM(UPPER('query (2)'!D733)),Cleaning_Rules!$A$24:$A$28,0)),TRIM(UPPER('query (2)'!D733)))))</f>
        <v>BWD3</v>
      </c>
      <c r="K733" s="25" t="str">
        <f>IF('query (2)'!D733="","",'query (2)'!D733)</f>
        <v>BWD3</v>
      </c>
      <c r="L733" s="24" t="str">
        <f>IF($J733="UNKNOWN","",_xlfn.TEXTBEFORE($J733,{"0","1","2","3","4","5","6","7","8","9"," ","-","."},1,,,$J733))</f>
        <v>BWD</v>
      </c>
      <c r="M733" s="24" t="str">
        <f>IF('query (2)'!I733&lt;&gt;"",TRIM(UPPER('query (2)'!I733)),IF($L733="","UNKNOWN",$L733))</f>
        <v>BWD</v>
      </c>
      <c r="N733" s="24" t="str">
        <f>IF('query (2)'!I733&lt;&gt;"","SOURCE",IF($L733="","UNKNOWN","DERIVED"))</f>
        <v>SOURCE</v>
      </c>
      <c r="O733" s="24" t="str">
        <f>IF('query (2)'!E733="","NOT_SPECIFIED",TRIM(UPPER('query (2)'!E733)))</f>
        <v>GRINDING 2</v>
      </c>
      <c r="P733" s="24" t="str">
        <f>IF('query (2)'!F733="","",TRIM(UPPER('query (2)'!F733)))</f>
        <v>1109-BW3G</v>
      </c>
      <c r="Q733" s="24" t="str">
        <f>IF('query (2)'!G733="","UNKNOWN",IFERROR(INDEX(Cleaning_Rules!$B$38:$B$46,MATCH(TRIM(UPPER('query (2)'!G733)),Cleaning_Rules!$A$38:$A$46,0)),"UNKNOWN"))</f>
        <v>OTHER</v>
      </c>
      <c r="R733" s="24" t="str">
        <f>IF('query (2)'!H733="","",TRIM(UPPER('query (2)'!H733)))</f>
        <v>OUTER RING RACEWAY GRINDING MACHINE.</v>
      </c>
      <c r="S733" s="25" t="str">
        <f>IF('query (2)'!H733="","",'query (2)'!H733)</f>
        <v>Outer ring raceway grinding machine.</v>
      </c>
      <c r="T733" s="24" t="str">
        <f>IF('query (2)'!J733="","",TRIM(UPPER('query (2)'!J733)))</f>
        <v>A - RACEWAY GRINDING</v>
      </c>
      <c r="U733" s="24" t="str">
        <f t="shared" si="80"/>
        <v/>
      </c>
      <c r="V733" s="24" t="str">
        <f>IF('query (2)'!K733="","NOT_SPECIFIED",IFERROR(INDEX(Cleaning_Rules!$B$32:$B$34,MATCH(TRIM(UPPER('query (2)'!K733)),Cleaning_Rules!$A$32:$A$34,0)),"UNKNOWN"))</f>
        <v>NOT_SPECIFIED</v>
      </c>
      <c r="W733" s="24" t="str">
        <f t="shared" si="81"/>
        <v>GR-487 | FACTORY3 | BWD3 | BWD | GRINDING 2 | 1109-BW3G | OTHER | OUTER RING RACEWAY GRINDING MACHINE. | A - RACEWAY GRINDING | NOT_SPECIFIED</v>
      </c>
      <c r="X733" s="24" t="str">
        <f t="shared" si="82"/>
        <v/>
      </c>
      <c r="Y733" s="24" t="str">
        <f t="shared" si="83"/>
        <v>MISSING_STATUS; CATEGORY_NOT_USEFUL</v>
      </c>
    </row>
    <row r="734" spans="1:25" x14ac:dyDescent="0.3">
      <c r="A734" s="24" t="str">
        <f t="shared" si="77"/>
        <v>DE-489#0733</v>
      </c>
      <c r="B734" s="24" t="str">
        <f>IF('query (2)'!B734="","",TRIM(UPPER('query (2)'!B734)))</f>
        <v>DE-489</v>
      </c>
      <c r="C734" s="25" t="str">
        <f>IF('query (2)'!B734="","",'query (2)'!B734)</f>
        <v>DE-489</v>
      </c>
      <c r="D734" s="24" t="str">
        <f t="shared" si="78"/>
        <v>DE</v>
      </c>
      <c r="E734" s="24">
        <f t="shared" si="79"/>
        <v>1</v>
      </c>
      <c r="F734" s="24">
        <f>IF('query (2)'!A734="","",IFERROR(VALUE('query (2)'!A734),""))</f>
        <v>752</v>
      </c>
      <c r="G734" s="24" t="str">
        <f>IF('query (2)'!C734="","UNKNOWN",IFERROR(INDEX(Cleaning_Rules!$B$15:$B$20,MATCH(TRIM(UPPER('query (2)'!C734)),Cleaning_Rules!$A$15:$A$20,0)),"UNKNOWN"))</f>
        <v>FACTORY3</v>
      </c>
      <c r="H734" s="25" t="str">
        <f>IF('query (2)'!C734="","",'query (2)'!C734)</f>
        <v>FACTORY3</v>
      </c>
      <c r="I734" s="24" t="str" cm="1">
        <f t="array" ref="I734">_xlfn.IFS($G734="UNKNOWN","UNKNOWN",OR($G734="FACTORY1",$G734="FACTORY2",$G734="FACTORY3"),"PLANT",TRUE,"SHARED")</f>
        <v>PLANT</v>
      </c>
      <c r="J734" s="24" t="str">
        <f>IF('query (2)'!D734="","UNKNOWN",IF(COUNTIF(Cleaning_Rules!$A$6:$A$11,TRIM('query (2)'!D734))&gt;0,"UNKNOWN",IFERROR(INDEX(Cleaning_Rules!$B$24:$B$28,MATCH(TRIM(UPPER('query (2)'!D734)),Cleaning_Rules!$A$24:$A$28,0)),TRIM(UPPER('query (2)'!D734)))))</f>
        <v>BWD3</v>
      </c>
      <c r="K734" s="25" t="str">
        <f>IF('query (2)'!D734="","",'query (2)'!D734)</f>
        <v>BWD3</v>
      </c>
      <c r="L734" s="24" t="str">
        <f>IF($J734="UNKNOWN","",_xlfn.TEXTBEFORE($J734,{"0","1","2","3","4","5","6","7","8","9"," ","-","."},1,,,$J734))</f>
        <v>BWD</v>
      </c>
      <c r="M734" s="24" t="str">
        <f>IF('query (2)'!I734&lt;&gt;"",TRIM(UPPER('query (2)'!I734)),IF($L734="","UNKNOWN",$L734))</f>
        <v>BWD</v>
      </c>
      <c r="N734" s="24" t="str">
        <f>IF('query (2)'!I734&lt;&gt;"","SOURCE",IF($L734="","UNKNOWN","DERIVED"))</f>
        <v>SOURCE</v>
      </c>
      <c r="O734" s="24" t="str">
        <f>IF('query (2)'!E734="","NOT_SPECIFIED",TRIM(UPPER('query (2)'!E734)))</f>
        <v>GRINDING 2</v>
      </c>
      <c r="P734" s="24" t="str">
        <f>IF('query (2)'!F734="","",TRIM(UPPER('query (2)'!F734)))</f>
        <v>1109-BW3G</v>
      </c>
      <c r="Q734" s="24" t="str">
        <f>IF('query (2)'!G734="","UNKNOWN",IFERROR(INDEX(Cleaning_Rules!$B$38:$B$46,MATCH(TRIM(UPPER('query (2)'!G734)),Cleaning_Rules!$A$38:$A$46,0)),"UNKNOWN"))</f>
        <v>OTHER</v>
      </c>
      <c r="R734" s="24" t="str">
        <f>IF('query (2)'!H734="","",TRIM(UPPER('query (2)'!H734)))</f>
        <v>OUTER RING DEMAGNETIZING MACHINE.</v>
      </c>
      <c r="S734" s="25" t="str">
        <f>IF('query (2)'!H734="","",'query (2)'!H734)</f>
        <v>Outer ring demagnetizing machine.</v>
      </c>
      <c r="T734" s="24" t="str">
        <f>IF('query (2)'!J734="","",TRIM(UPPER('query (2)'!J734)))</f>
        <v>A - DEMAGNETIZING</v>
      </c>
      <c r="U734" s="24" t="str">
        <f t="shared" si="80"/>
        <v/>
      </c>
      <c r="V734" s="24" t="str">
        <f>IF('query (2)'!K734="","NOT_SPECIFIED",IFERROR(INDEX(Cleaning_Rules!$B$32:$B$34,MATCH(TRIM(UPPER('query (2)'!K734)),Cleaning_Rules!$A$32:$A$34,0)),"UNKNOWN"))</f>
        <v>NOT_SPECIFIED</v>
      </c>
      <c r="W734" s="24" t="str">
        <f t="shared" si="81"/>
        <v>DE-489 | FACTORY3 | BWD3 | BWD | GRINDING 2 | 1109-BW3G | OTHER | OUTER RING DEMAGNETIZING MACHINE. | A - DEMAGNETIZING | NOT_SPECIFIED</v>
      </c>
      <c r="X734" s="24" t="str">
        <f t="shared" si="82"/>
        <v/>
      </c>
      <c r="Y734" s="24" t="str">
        <f t="shared" si="83"/>
        <v>MISSING_STATUS; CATEGORY_NOT_USEFUL</v>
      </c>
    </row>
    <row r="735" spans="1:25" x14ac:dyDescent="0.3">
      <c r="A735" s="24" t="str">
        <f t="shared" si="77"/>
        <v>GR-490#0734</v>
      </c>
      <c r="B735" s="24" t="str">
        <f>IF('query (2)'!B735="","",TRIM(UPPER('query (2)'!B735)))</f>
        <v>GR-490</v>
      </c>
      <c r="C735" s="25" t="str">
        <f>IF('query (2)'!B735="","",'query (2)'!B735)</f>
        <v>GR-490</v>
      </c>
      <c r="D735" s="24" t="str">
        <f t="shared" si="78"/>
        <v>GR</v>
      </c>
      <c r="E735" s="24">
        <f t="shared" si="79"/>
        <v>1</v>
      </c>
      <c r="F735" s="24">
        <f>IF('query (2)'!A735="","",IFERROR(VALUE('query (2)'!A735),""))</f>
        <v>753</v>
      </c>
      <c r="G735" s="24" t="str">
        <f>IF('query (2)'!C735="","UNKNOWN",IFERROR(INDEX(Cleaning_Rules!$B$15:$B$20,MATCH(TRIM(UPPER('query (2)'!C735)),Cleaning_Rules!$A$15:$A$20,0)),"UNKNOWN"))</f>
        <v>FACTORY3</v>
      </c>
      <c r="H735" s="25" t="str">
        <f>IF('query (2)'!C735="","",'query (2)'!C735)</f>
        <v>FACTORY3</v>
      </c>
      <c r="I735" s="24" t="str" cm="1">
        <f t="array" ref="I735">_xlfn.IFS($G735="UNKNOWN","UNKNOWN",OR($G735="FACTORY1",$G735="FACTORY2",$G735="FACTORY3"),"PLANT",TRUE,"SHARED")</f>
        <v>PLANT</v>
      </c>
      <c r="J735" s="24" t="str">
        <f>IF('query (2)'!D735="","UNKNOWN",IF(COUNTIF(Cleaning_Rules!$A$6:$A$11,TRIM('query (2)'!D735))&gt;0,"UNKNOWN",IFERROR(INDEX(Cleaning_Rules!$B$24:$B$28,MATCH(TRIM(UPPER('query (2)'!D735)),Cleaning_Rules!$A$24:$A$28,0)),TRIM(UPPER('query (2)'!D735)))))</f>
        <v>BWD3</v>
      </c>
      <c r="K735" s="25" t="str">
        <f>IF('query (2)'!D735="","",'query (2)'!D735)</f>
        <v>BWD3</v>
      </c>
      <c r="L735" s="24" t="str">
        <f>IF($J735="UNKNOWN","",_xlfn.TEXTBEFORE($J735,{"0","1","2","3","4","5","6","7","8","9"," ","-","."},1,,,$J735))</f>
        <v>BWD</v>
      </c>
      <c r="M735" s="24" t="str">
        <f>IF('query (2)'!I735&lt;&gt;"",TRIM(UPPER('query (2)'!I735)),IF($L735="","UNKNOWN",$L735))</f>
        <v>BWD</v>
      </c>
      <c r="N735" s="24" t="str">
        <f>IF('query (2)'!I735&lt;&gt;"","SOURCE",IF($L735="","UNKNOWN","DERIVED"))</f>
        <v>SOURCE</v>
      </c>
      <c r="O735" s="24" t="str">
        <f>IF('query (2)'!E735="","NOT_SPECIFIED",TRIM(UPPER('query (2)'!E735)))</f>
        <v>GRINDING 2</v>
      </c>
      <c r="P735" s="24" t="str">
        <f>IF('query (2)'!F735="","",TRIM(UPPER('query (2)'!F735)))</f>
        <v>1109-BW3G</v>
      </c>
      <c r="Q735" s="24" t="str">
        <f>IF('query (2)'!G735="","UNKNOWN",IFERROR(INDEX(Cleaning_Rules!$B$38:$B$46,MATCH(TRIM(UPPER('query (2)'!G735)),Cleaning_Rules!$A$38:$A$46,0)),"UNKNOWN"))</f>
        <v>OTHER</v>
      </c>
      <c r="R735" s="24" t="str">
        <f>IF('query (2)'!H735="","",TRIM(UPPER('query (2)'!H735)))</f>
        <v>OUTER RING RACEWAY SUPER FINISH MACHINE.</v>
      </c>
      <c r="S735" s="25" t="str">
        <f>IF('query (2)'!H735="","",'query (2)'!H735)</f>
        <v>Outer ring raceway super finish machine.</v>
      </c>
      <c r="T735" s="24" t="str">
        <f>IF('query (2)'!J735="","",TRIM(UPPER('query (2)'!J735)))</f>
        <v>A - RACEWAY SUPER FINISH</v>
      </c>
      <c r="U735" s="24" t="str">
        <f t="shared" si="80"/>
        <v/>
      </c>
      <c r="V735" s="24" t="str">
        <f>IF('query (2)'!K735="","NOT_SPECIFIED",IFERROR(INDEX(Cleaning_Rules!$B$32:$B$34,MATCH(TRIM(UPPER('query (2)'!K735)),Cleaning_Rules!$A$32:$A$34,0)),"UNKNOWN"))</f>
        <v>NOT_SPECIFIED</v>
      </c>
      <c r="W735" s="24" t="str">
        <f t="shared" si="81"/>
        <v>GR-490 | FACTORY3 | BWD3 | BWD | GRINDING 2 | 1109-BW3G | OTHER | OUTER RING RACEWAY SUPER FINISH MACHINE. | A - RACEWAY SUPER FINISH | NOT_SPECIFIED</v>
      </c>
      <c r="X735" s="24" t="str">
        <f t="shared" si="82"/>
        <v/>
      </c>
      <c r="Y735" s="24" t="str">
        <f t="shared" si="83"/>
        <v>MISSING_STATUS; CATEGORY_NOT_USEFUL</v>
      </c>
    </row>
    <row r="736" spans="1:25" x14ac:dyDescent="0.3">
      <c r="A736" s="24" t="str">
        <f t="shared" si="77"/>
        <v>WA-491#0735</v>
      </c>
      <c r="B736" s="24" t="str">
        <f>IF('query (2)'!B736="","",TRIM(UPPER('query (2)'!B736)))</f>
        <v>WA-491</v>
      </c>
      <c r="C736" s="25" t="str">
        <f>IF('query (2)'!B736="","",'query (2)'!B736)</f>
        <v>WA-491</v>
      </c>
      <c r="D736" s="24" t="str">
        <f t="shared" si="78"/>
        <v>WA</v>
      </c>
      <c r="E736" s="24">
        <f t="shared" si="79"/>
        <v>1</v>
      </c>
      <c r="F736" s="24">
        <f>IF('query (2)'!A736="","",IFERROR(VALUE('query (2)'!A736),""))</f>
        <v>754</v>
      </c>
      <c r="G736" s="24" t="str">
        <f>IF('query (2)'!C736="","UNKNOWN",IFERROR(INDEX(Cleaning_Rules!$B$15:$B$20,MATCH(TRIM(UPPER('query (2)'!C736)),Cleaning_Rules!$A$15:$A$20,0)),"UNKNOWN"))</f>
        <v>FACTORY3</v>
      </c>
      <c r="H736" s="25" t="str">
        <f>IF('query (2)'!C736="","",'query (2)'!C736)</f>
        <v>FACTORY3</v>
      </c>
      <c r="I736" s="24" t="str" cm="1">
        <f t="array" ref="I736">_xlfn.IFS($G736="UNKNOWN","UNKNOWN",OR($G736="FACTORY1",$G736="FACTORY2",$G736="FACTORY3"),"PLANT",TRUE,"SHARED")</f>
        <v>PLANT</v>
      </c>
      <c r="J736" s="24" t="str">
        <f>IF('query (2)'!D736="","UNKNOWN",IF(COUNTIF(Cleaning_Rules!$A$6:$A$11,TRIM('query (2)'!D736))&gt;0,"UNKNOWN",IFERROR(INDEX(Cleaning_Rules!$B$24:$B$28,MATCH(TRIM(UPPER('query (2)'!D736)),Cleaning_Rules!$A$24:$A$28,0)),TRIM(UPPER('query (2)'!D736)))))</f>
        <v>BWD3</v>
      </c>
      <c r="K736" s="25" t="str">
        <f>IF('query (2)'!D736="","",'query (2)'!D736)</f>
        <v>BWD3</v>
      </c>
      <c r="L736" s="24" t="str">
        <f>IF($J736="UNKNOWN","",_xlfn.TEXTBEFORE($J736,{"0","1","2","3","4","5","6","7","8","9"," ","-","."},1,,,$J736))</f>
        <v>BWD</v>
      </c>
      <c r="M736" s="24" t="str">
        <f>IF('query (2)'!I736&lt;&gt;"",TRIM(UPPER('query (2)'!I736)),IF($L736="","UNKNOWN",$L736))</f>
        <v>BWD</v>
      </c>
      <c r="N736" s="24" t="str">
        <f>IF('query (2)'!I736&lt;&gt;"","SOURCE",IF($L736="","UNKNOWN","DERIVED"))</f>
        <v>SOURCE</v>
      </c>
      <c r="O736" s="24" t="str">
        <f>IF('query (2)'!E736="","NOT_SPECIFIED",TRIM(UPPER('query (2)'!E736)))</f>
        <v>GRINDING 2</v>
      </c>
      <c r="P736" s="24" t="str">
        <f>IF('query (2)'!F736="","",TRIM(UPPER('query (2)'!F736)))</f>
        <v>1109-BW3G</v>
      </c>
      <c r="Q736" s="24" t="str">
        <f>IF('query (2)'!G736="","UNKNOWN",IFERROR(INDEX(Cleaning_Rules!$B$38:$B$46,MATCH(TRIM(UPPER('query (2)'!G736)),Cleaning_Rules!$A$38:$A$46,0)),"UNKNOWN"))</f>
        <v>OTHER</v>
      </c>
      <c r="R736" s="24" t="str">
        <f>IF('query (2)'!H736="","",TRIM(UPPER('query (2)'!H736)))</f>
        <v>OUTER/INNER RING PART WASH EQUIPMENT</v>
      </c>
      <c r="S736" s="25" t="str">
        <f>IF('query (2)'!H736="","",'query (2)'!H736)</f>
        <v>Outer/Inner ring part wash equipment</v>
      </c>
      <c r="T736" s="24" t="str">
        <f>IF('query (2)'!J736="","",TRIM(UPPER('query (2)'!J736)))</f>
        <v>A&amp;B - PART WASH EQUIPMENT</v>
      </c>
      <c r="U736" s="24" t="str">
        <f t="shared" si="80"/>
        <v/>
      </c>
      <c r="V736" s="24" t="str">
        <f>IF('query (2)'!K736="","NOT_SPECIFIED",IFERROR(INDEX(Cleaning_Rules!$B$32:$B$34,MATCH(TRIM(UPPER('query (2)'!K736)),Cleaning_Rules!$A$32:$A$34,0)),"UNKNOWN"))</f>
        <v>NOT_SPECIFIED</v>
      </c>
      <c r="W736" s="24" t="str">
        <f t="shared" si="81"/>
        <v>WA-491 | FACTORY3 | BWD3 | BWD | GRINDING 2 | 1109-BW3G | OTHER | OUTER/INNER RING PART WASH EQUIPMENT | A&amp;B - PART WASH EQUIPMENT | NOT_SPECIFIED</v>
      </c>
      <c r="X736" s="24" t="str">
        <f t="shared" si="82"/>
        <v/>
      </c>
      <c r="Y736" s="24" t="str">
        <f t="shared" si="83"/>
        <v>MISSING_STATUS; CATEGORY_NOT_USEFUL</v>
      </c>
    </row>
    <row r="737" spans="1:25" x14ac:dyDescent="0.3">
      <c r="A737" s="24" t="str">
        <f t="shared" si="77"/>
        <v>GR-495#0736</v>
      </c>
      <c r="B737" s="24" t="str">
        <f>IF('query (2)'!B737="","",TRIM(UPPER('query (2)'!B737)))</f>
        <v>GR-495</v>
      </c>
      <c r="C737" s="25" t="str">
        <f>IF('query (2)'!B737="","",'query (2)'!B737)</f>
        <v>GR-495</v>
      </c>
      <c r="D737" s="24" t="str">
        <f t="shared" si="78"/>
        <v>GR</v>
      </c>
      <c r="E737" s="24">
        <f t="shared" si="79"/>
        <v>1</v>
      </c>
      <c r="F737" s="24">
        <f>IF('query (2)'!A737="","",IFERROR(VALUE('query (2)'!A737),""))</f>
        <v>755</v>
      </c>
      <c r="G737" s="24" t="str">
        <f>IF('query (2)'!C737="","UNKNOWN",IFERROR(INDEX(Cleaning_Rules!$B$15:$B$20,MATCH(TRIM(UPPER('query (2)'!C737)),Cleaning_Rules!$A$15:$A$20,0)),"UNKNOWN"))</f>
        <v>FACTORY3</v>
      </c>
      <c r="H737" s="25" t="str">
        <f>IF('query (2)'!C737="","",'query (2)'!C737)</f>
        <v>FACTORY3</v>
      </c>
      <c r="I737" s="24" t="str" cm="1">
        <f t="array" ref="I737">_xlfn.IFS($G737="UNKNOWN","UNKNOWN",OR($G737="FACTORY1",$G737="FACTORY2",$G737="FACTORY3"),"PLANT",TRUE,"SHARED")</f>
        <v>PLANT</v>
      </c>
      <c r="J737" s="24" t="str">
        <f>IF('query (2)'!D737="","UNKNOWN",IF(COUNTIF(Cleaning_Rules!$A$6:$A$11,TRIM('query (2)'!D737))&gt;0,"UNKNOWN",IFERROR(INDEX(Cleaning_Rules!$B$24:$B$28,MATCH(TRIM(UPPER('query (2)'!D737)),Cleaning_Rules!$A$24:$A$28,0)),TRIM(UPPER('query (2)'!D737)))))</f>
        <v>BWD3</v>
      </c>
      <c r="K737" s="25" t="str">
        <f>IF('query (2)'!D737="","",'query (2)'!D737)</f>
        <v>BWD3</v>
      </c>
      <c r="L737" s="24" t="str">
        <f>IF($J737="UNKNOWN","",_xlfn.TEXTBEFORE($J737,{"0","1","2","3","4","5","6","7","8","9"," ","-","."},1,,,$J737))</f>
        <v>BWD</v>
      </c>
      <c r="M737" s="24" t="str">
        <f>IF('query (2)'!I737&lt;&gt;"",TRIM(UPPER('query (2)'!I737)),IF($L737="","UNKNOWN",$L737))</f>
        <v>BWD</v>
      </c>
      <c r="N737" s="24" t="str">
        <f>IF('query (2)'!I737&lt;&gt;"","SOURCE",IF($L737="","UNKNOWN","DERIVED"))</f>
        <v>SOURCE</v>
      </c>
      <c r="O737" s="24" t="str">
        <f>IF('query (2)'!E737="","NOT_SPECIFIED",TRIM(UPPER('query (2)'!E737)))</f>
        <v>GRINDING 2</v>
      </c>
      <c r="P737" s="24" t="str">
        <f>IF('query (2)'!F737="","",TRIM(UPPER('query (2)'!F737)))</f>
        <v>1109-BW3G</v>
      </c>
      <c r="Q737" s="24" t="str">
        <f>IF('query (2)'!G737="","UNKNOWN",IFERROR(INDEX(Cleaning_Rules!$B$38:$B$46,MATCH(TRIM(UPPER('query (2)'!G737)),Cleaning_Rules!$A$38:$A$46,0)),"UNKNOWN"))</f>
        <v>OTHER</v>
      </c>
      <c r="R737" s="24" t="str">
        <f>IF('query (2)'!H737="","",TRIM(UPPER('query (2)'!H737)))</f>
        <v>INNER RING RACEWAY GRINDING MACHINE.</v>
      </c>
      <c r="S737" s="25" t="str">
        <f>IF('query (2)'!H737="","",'query (2)'!H737)</f>
        <v>Inner ring raceway grinding machine.</v>
      </c>
      <c r="T737" s="24" t="str">
        <f>IF('query (2)'!J737="","",TRIM(UPPER('query (2)'!J737)))</f>
        <v>B - RACEWAY GRINDING</v>
      </c>
      <c r="U737" s="24" t="str">
        <f t="shared" si="80"/>
        <v/>
      </c>
      <c r="V737" s="24" t="str">
        <f>IF('query (2)'!K737="","NOT_SPECIFIED",IFERROR(INDEX(Cleaning_Rules!$B$32:$B$34,MATCH(TRIM(UPPER('query (2)'!K737)),Cleaning_Rules!$A$32:$A$34,0)),"UNKNOWN"))</f>
        <v>NOT_SPECIFIED</v>
      </c>
      <c r="W737" s="24" t="str">
        <f t="shared" si="81"/>
        <v>GR-495 | FACTORY3 | BWD3 | BWD | GRINDING 2 | 1109-BW3G | OTHER | INNER RING RACEWAY GRINDING MACHINE. | B - RACEWAY GRINDING | NOT_SPECIFIED</v>
      </c>
      <c r="X737" s="24" t="str">
        <f t="shared" si="82"/>
        <v/>
      </c>
      <c r="Y737" s="24" t="str">
        <f t="shared" si="83"/>
        <v>MISSING_STATUS; CATEGORY_NOT_USEFUL</v>
      </c>
    </row>
    <row r="738" spans="1:25" x14ac:dyDescent="0.3">
      <c r="A738" s="24" t="str">
        <f t="shared" si="77"/>
        <v>GR-497#0737</v>
      </c>
      <c r="B738" s="24" t="str">
        <f>IF('query (2)'!B738="","",TRIM(UPPER('query (2)'!B738)))</f>
        <v>GR-497</v>
      </c>
      <c r="C738" s="25" t="str">
        <f>IF('query (2)'!B738="","",'query (2)'!B738)</f>
        <v>GR-497</v>
      </c>
      <c r="D738" s="24" t="str">
        <f t="shared" si="78"/>
        <v>GR</v>
      </c>
      <c r="E738" s="24">
        <f t="shared" si="79"/>
        <v>1</v>
      </c>
      <c r="F738" s="24">
        <f>IF('query (2)'!A738="","",IFERROR(VALUE('query (2)'!A738),""))</f>
        <v>756</v>
      </c>
      <c r="G738" s="24" t="str">
        <f>IF('query (2)'!C738="","UNKNOWN",IFERROR(INDEX(Cleaning_Rules!$B$15:$B$20,MATCH(TRIM(UPPER('query (2)'!C738)),Cleaning_Rules!$A$15:$A$20,0)),"UNKNOWN"))</f>
        <v>FACTORY3</v>
      </c>
      <c r="H738" s="25" t="str">
        <f>IF('query (2)'!C738="","",'query (2)'!C738)</f>
        <v>FACTORY3</v>
      </c>
      <c r="I738" s="24" t="str" cm="1">
        <f t="array" ref="I738">_xlfn.IFS($G738="UNKNOWN","UNKNOWN",OR($G738="FACTORY1",$G738="FACTORY2",$G738="FACTORY3"),"PLANT",TRUE,"SHARED")</f>
        <v>PLANT</v>
      </c>
      <c r="J738" s="24" t="str">
        <f>IF('query (2)'!D738="","UNKNOWN",IF(COUNTIF(Cleaning_Rules!$A$6:$A$11,TRIM('query (2)'!D738))&gt;0,"UNKNOWN",IFERROR(INDEX(Cleaning_Rules!$B$24:$B$28,MATCH(TRIM(UPPER('query (2)'!D738)),Cleaning_Rules!$A$24:$A$28,0)),TRIM(UPPER('query (2)'!D738)))))</f>
        <v>BWD3</v>
      </c>
      <c r="K738" s="25" t="str">
        <f>IF('query (2)'!D738="","",'query (2)'!D738)</f>
        <v>BWD3</v>
      </c>
      <c r="L738" s="24" t="str">
        <f>IF($J738="UNKNOWN","",_xlfn.TEXTBEFORE($J738,{"0","1","2","3","4","5","6","7","8","9"," ","-","."},1,,,$J738))</f>
        <v>BWD</v>
      </c>
      <c r="M738" s="24" t="str">
        <f>IF('query (2)'!I738&lt;&gt;"",TRIM(UPPER('query (2)'!I738)),IF($L738="","UNKNOWN",$L738))</f>
        <v>BWD</v>
      </c>
      <c r="N738" s="24" t="str">
        <f>IF('query (2)'!I738&lt;&gt;"","SOURCE",IF($L738="","UNKNOWN","DERIVED"))</f>
        <v>SOURCE</v>
      </c>
      <c r="O738" s="24" t="str">
        <f>IF('query (2)'!E738="","NOT_SPECIFIED",TRIM(UPPER('query (2)'!E738)))</f>
        <v>GRINDING 2</v>
      </c>
      <c r="P738" s="24" t="str">
        <f>IF('query (2)'!F738="","",TRIM(UPPER('query (2)'!F738)))</f>
        <v>1109-BW3G</v>
      </c>
      <c r="Q738" s="24" t="str">
        <f>IF('query (2)'!G738="","UNKNOWN",IFERROR(INDEX(Cleaning_Rules!$B$38:$B$46,MATCH(TRIM(UPPER('query (2)'!G738)),Cleaning_Rules!$A$38:$A$46,0)),"UNKNOWN"))</f>
        <v>OTHER</v>
      </c>
      <c r="R738" s="24" t="str">
        <f>IF('query (2)'!H738="","",TRIM(UPPER('query (2)'!H738)))</f>
        <v>INNER RING BORE GRINDING MACHINE.</v>
      </c>
      <c r="S738" s="25" t="str">
        <f>IF('query (2)'!H738="","",'query (2)'!H738)</f>
        <v>Inner ring bore grinding machine.</v>
      </c>
      <c r="T738" s="24" t="str">
        <f>IF('query (2)'!J738="","",TRIM(UPPER('query (2)'!J738)))</f>
        <v>B - BORE GRINDING</v>
      </c>
      <c r="U738" s="24" t="str">
        <f t="shared" si="80"/>
        <v/>
      </c>
      <c r="V738" s="24" t="str">
        <f>IF('query (2)'!K738="","NOT_SPECIFIED",IFERROR(INDEX(Cleaning_Rules!$B$32:$B$34,MATCH(TRIM(UPPER('query (2)'!K738)),Cleaning_Rules!$A$32:$A$34,0)),"UNKNOWN"))</f>
        <v>NOT_SPECIFIED</v>
      </c>
      <c r="W738" s="24" t="str">
        <f t="shared" si="81"/>
        <v>GR-497 | FACTORY3 | BWD3 | BWD | GRINDING 2 | 1109-BW3G | OTHER | INNER RING BORE GRINDING MACHINE. | B - BORE GRINDING | NOT_SPECIFIED</v>
      </c>
      <c r="X738" s="24" t="str">
        <f t="shared" si="82"/>
        <v/>
      </c>
      <c r="Y738" s="24" t="str">
        <f t="shared" si="83"/>
        <v>MISSING_STATUS; CATEGORY_NOT_USEFUL</v>
      </c>
    </row>
    <row r="739" spans="1:25" x14ac:dyDescent="0.3">
      <c r="A739" s="24" t="str">
        <f t="shared" si="77"/>
        <v>DE-499#0738</v>
      </c>
      <c r="B739" s="24" t="str">
        <f>IF('query (2)'!B739="","",TRIM(UPPER('query (2)'!B739)))</f>
        <v>DE-499</v>
      </c>
      <c r="C739" s="25" t="str">
        <f>IF('query (2)'!B739="","",'query (2)'!B739)</f>
        <v>DE-499</v>
      </c>
      <c r="D739" s="24" t="str">
        <f t="shared" si="78"/>
        <v>DE</v>
      </c>
      <c r="E739" s="24">
        <f t="shared" si="79"/>
        <v>1</v>
      </c>
      <c r="F739" s="24">
        <f>IF('query (2)'!A739="","",IFERROR(VALUE('query (2)'!A739),""))</f>
        <v>757</v>
      </c>
      <c r="G739" s="24" t="str">
        <f>IF('query (2)'!C739="","UNKNOWN",IFERROR(INDEX(Cleaning_Rules!$B$15:$B$20,MATCH(TRIM(UPPER('query (2)'!C739)),Cleaning_Rules!$A$15:$A$20,0)),"UNKNOWN"))</f>
        <v>FACTORY3</v>
      </c>
      <c r="H739" s="25" t="str">
        <f>IF('query (2)'!C739="","",'query (2)'!C739)</f>
        <v>FACTORY3</v>
      </c>
      <c r="I739" s="24" t="str" cm="1">
        <f t="array" ref="I739">_xlfn.IFS($G739="UNKNOWN","UNKNOWN",OR($G739="FACTORY1",$G739="FACTORY2",$G739="FACTORY3"),"PLANT",TRUE,"SHARED")</f>
        <v>PLANT</v>
      </c>
      <c r="J739" s="24" t="str">
        <f>IF('query (2)'!D739="","UNKNOWN",IF(COUNTIF(Cleaning_Rules!$A$6:$A$11,TRIM('query (2)'!D739))&gt;0,"UNKNOWN",IFERROR(INDEX(Cleaning_Rules!$B$24:$B$28,MATCH(TRIM(UPPER('query (2)'!D739)),Cleaning_Rules!$A$24:$A$28,0)),TRIM(UPPER('query (2)'!D739)))))</f>
        <v>BWD3</v>
      </c>
      <c r="K739" s="25" t="str">
        <f>IF('query (2)'!D739="","",'query (2)'!D739)</f>
        <v>BWD3</v>
      </c>
      <c r="L739" s="24" t="str">
        <f>IF($J739="UNKNOWN","",_xlfn.TEXTBEFORE($J739,{"0","1","2","3","4","5","6","7","8","9"," ","-","."},1,,,$J739))</f>
        <v>BWD</v>
      </c>
      <c r="M739" s="24" t="str">
        <f>IF('query (2)'!I739&lt;&gt;"",TRIM(UPPER('query (2)'!I739)),IF($L739="","UNKNOWN",$L739))</f>
        <v>BWD</v>
      </c>
      <c r="N739" s="24" t="str">
        <f>IF('query (2)'!I739&lt;&gt;"","SOURCE",IF($L739="","UNKNOWN","DERIVED"))</f>
        <v>SOURCE</v>
      </c>
      <c r="O739" s="24" t="str">
        <f>IF('query (2)'!E739="","NOT_SPECIFIED",TRIM(UPPER('query (2)'!E739)))</f>
        <v>GRINDING 2</v>
      </c>
      <c r="P739" s="24" t="str">
        <f>IF('query (2)'!F739="","",TRIM(UPPER('query (2)'!F739)))</f>
        <v>1109-BW3G</v>
      </c>
      <c r="Q739" s="24" t="str">
        <f>IF('query (2)'!G739="","UNKNOWN",IFERROR(INDEX(Cleaning_Rules!$B$38:$B$46,MATCH(TRIM(UPPER('query (2)'!G739)),Cleaning_Rules!$A$38:$A$46,0)),"UNKNOWN"))</f>
        <v>OTHER</v>
      </c>
      <c r="R739" s="24" t="str">
        <f>IF('query (2)'!H739="","",TRIM(UPPER('query (2)'!H739)))</f>
        <v>INNER RING DEMAGNETIZING MACHINE.</v>
      </c>
      <c r="S739" s="25" t="str">
        <f>IF('query (2)'!H739="","",'query (2)'!H739)</f>
        <v>Inner  ring demagnetizing machine.</v>
      </c>
      <c r="T739" s="24" t="str">
        <f>IF('query (2)'!J739="","",TRIM(UPPER('query (2)'!J739)))</f>
        <v>B - DEMAGNETIZING</v>
      </c>
      <c r="U739" s="24" t="str">
        <f t="shared" si="80"/>
        <v/>
      </c>
      <c r="V739" s="24" t="str">
        <f>IF('query (2)'!K739="","NOT_SPECIFIED",IFERROR(INDEX(Cleaning_Rules!$B$32:$B$34,MATCH(TRIM(UPPER('query (2)'!K739)),Cleaning_Rules!$A$32:$A$34,0)),"UNKNOWN"))</f>
        <v>NOT_SPECIFIED</v>
      </c>
      <c r="W739" s="24" t="str">
        <f t="shared" si="81"/>
        <v>DE-499 | FACTORY3 | BWD3 | BWD | GRINDING 2 | 1109-BW3G | OTHER | INNER RING DEMAGNETIZING MACHINE. | B - DEMAGNETIZING | NOT_SPECIFIED</v>
      </c>
      <c r="X739" s="24" t="str">
        <f t="shared" si="82"/>
        <v/>
      </c>
      <c r="Y739" s="24" t="str">
        <f t="shared" si="83"/>
        <v>MISSING_STATUS; CATEGORY_NOT_USEFUL</v>
      </c>
    </row>
    <row r="740" spans="1:25" x14ac:dyDescent="0.3">
      <c r="A740" s="24" t="str">
        <f t="shared" si="77"/>
        <v>GR-501#0739</v>
      </c>
      <c r="B740" s="24" t="str">
        <f>IF('query (2)'!B740="","",TRIM(UPPER('query (2)'!B740)))</f>
        <v>GR-501</v>
      </c>
      <c r="C740" s="25" t="str">
        <f>IF('query (2)'!B740="","",'query (2)'!B740)</f>
        <v>GR-501</v>
      </c>
      <c r="D740" s="24" t="str">
        <f t="shared" si="78"/>
        <v>GR</v>
      </c>
      <c r="E740" s="24">
        <f t="shared" si="79"/>
        <v>1</v>
      </c>
      <c r="F740" s="24">
        <f>IF('query (2)'!A740="","",IFERROR(VALUE('query (2)'!A740),""))</f>
        <v>758</v>
      </c>
      <c r="G740" s="24" t="str">
        <f>IF('query (2)'!C740="","UNKNOWN",IFERROR(INDEX(Cleaning_Rules!$B$15:$B$20,MATCH(TRIM(UPPER('query (2)'!C740)),Cleaning_Rules!$A$15:$A$20,0)),"UNKNOWN"))</f>
        <v>FACTORY3</v>
      </c>
      <c r="H740" s="25" t="str">
        <f>IF('query (2)'!C740="","",'query (2)'!C740)</f>
        <v>FACTORY3</v>
      </c>
      <c r="I740" s="24" t="str" cm="1">
        <f t="array" ref="I740">_xlfn.IFS($G740="UNKNOWN","UNKNOWN",OR($G740="FACTORY1",$G740="FACTORY2",$G740="FACTORY3"),"PLANT",TRUE,"SHARED")</f>
        <v>PLANT</v>
      </c>
      <c r="J740" s="24" t="str">
        <f>IF('query (2)'!D740="","UNKNOWN",IF(COUNTIF(Cleaning_Rules!$A$6:$A$11,TRIM('query (2)'!D740))&gt;0,"UNKNOWN",IFERROR(INDEX(Cleaning_Rules!$B$24:$B$28,MATCH(TRIM(UPPER('query (2)'!D740)),Cleaning_Rules!$A$24:$A$28,0)),TRIM(UPPER('query (2)'!D740)))))</f>
        <v>BWD3</v>
      </c>
      <c r="K740" s="25" t="str">
        <f>IF('query (2)'!D740="","",'query (2)'!D740)</f>
        <v>BWD3</v>
      </c>
      <c r="L740" s="24" t="str">
        <f>IF($J740="UNKNOWN","",_xlfn.TEXTBEFORE($J740,{"0","1","2","3","4","5","6","7","8","9"," ","-","."},1,,,$J740))</f>
        <v>BWD</v>
      </c>
      <c r="M740" s="24" t="str">
        <f>IF('query (2)'!I740&lt;&gt;"",TRIM(UPPER('query (2)'!I740)),IF($L740="","UNKNOWN",$L740))</f>
        <v>BWD</v>
      </c>
      <c r="N740" s="24" t="str">
        <f>IF('query (2)'!I740&lt;&gt;"","SOURCE",IF($L740="","UNKNOWN","DERIVED"))</f>
        <v>SOURCE</v>
      </c>
      <c r="O740" s="24" t="str">
        <f>IF('query (2)'!E740="","NOT_SPECIFIED",TRIM(UPPER('query (2)'!E740)))</f>
        <v>GRINDING 2</v>
      </c>
      <c r="P740" s="24" t="str">
        <f>IF('query (2)'!F740="","",TRIM(UPPER('query (2)'!F740)))</f>
        <v>1109-BW3G</v>
      </c>
      <c r="Q740" s="24" t="str">
        <f>IF('query (2)'!G740="","UNKNOWN",IFERROR(INDEX(Cleaning_Rules!$B$38:$B$46,MATCH(TRIM(UPPER('query (2)'!G740)),Cleaning_Rules!$A$38:$A$46,0)),"UNKNOWN"))</f>
        <v>OTHER</v>
      </c>
      <c r="R740" s="24" t="str">
        <f>IF('query (2)'!H740="","",TRIM(UPPER('query (2)'!H740)))</f>
        <v>INNER RING RACEWAY SUPER FINISH MACHINE.</v>
      </c>
      <c r="S740" s="25" t="str">
        <f>IF('query (2)'!H740="","",'query (2)'!H740)</f>
        <v>Inner ring raceway super finish machine.</v>
      </c>
      <c r="T740" s="24" t="str">
        <f>IF('query (2)'!J740="","",TRIM(UPPER('query (2)'!J740)))</f>
        <v>B - RACEWAY SUPER FINISH</v>
      </c>
      <c r="U740" s="24" t="str">
        <f t="shared" si="80"/>
        <v/>
      </c>
      <c r="V740" s="24" t="str">
        <f>IF('query (2)'!K740="","NOT_SPECIFIED",IFERROR(INDEX(Cleaning_Rules!$B$32:$B$34,MATCH(TRIM(UPPER('query (2)'!K740)),Cleaning_Rules!$A$32:$A$34,0)),"UNKNOWN"))</f>
        <v>NOT_SPECIFIED</v>
      </c>
      <c r="W740" s="24" t="str">
        <f t="shared" si="81"/>
        <v>GR-501 | FACTORY3 | BWD3 | BWD | GRINDING 2 | 1109-BW3G | OTHER | INNER RING RACEWAY SUPER FINISH MACHINE. | B - RACEWAY SUPER FINISH | NOT_SPECIFIED</v>
      </c>
      <c r="X740" s="24" t="str">
        <f t="shared" si="82"/>
        <v/>
      </c>
      <c r="Y740" s="24" t="str">
        <f t="shared" si="83"/>
        <v>MISSING_STATUS; CATEGORY_NOT_USEFUL</v>
      </c>
    </row>
    <row r="741" spans="1:25" x14ac:dyDescent="0.3">
      <c r="A741" s="24" t="str">
        <f t="shared" si="77"/>
        <v>WA-165#0740</v>
      </c>
      <c r="B741" s="24" t="str">
        <f>IF('query (2)'!B741="","",TRIM(UPPER('query (2)'!B741)))</f>
        <v>WA-165</v>
      </c>
      <c r="C741" s="25" t="str">
        <f>IF('query (2)'!B741="","",'query (2)'!B741)</f>
        <v>WA-165</v>
      </c>
      <c r="D741" s="24" t="str">
        <f t="shared" si="78"/>
        <v>WA</v>
      </c>
      <c r="E741" s="24">
        <f t="shared" si="79"/>
        <v>1</v>
      </c>
      <c r="F741" s="24">
        <f>IF('query (2)'!A741="","",IFERROR(VALUE('query (2)'!A741),""))</f>
        <v>759</v>
      </c>
      <c r="G741" s="24" t="str">
        <f>IF('query (2)'!C741="","UNKNOWN",IFERROR(INDEX(Cleaning_Rules!$B$15:$B$20,MATCH(TRIM(UPPER('query (2)'!C741)),Cleaning_Rules!$A$15:$A$20,0)),"UNKNOWN"))</f>
        <v>FACTORY3</v>
      </c>
      <c r="H741" s="25" t="str">
        <f>IF('query (2)'!C741="","",'query (2)'!C741)</f>
        <v>FACTORY3</v>
      </c>
      <c r="I741" s="24" t="str" cm="1">
        <f t="array" ref="I741">_xlfn.IFS($G741="UNKNOWN","UNKNOWN",OR($G741="FACTORY1",$G741="FACTORY2",$G741="FACTORY3"),"PLANT",TRUE,"SHARED")</f>
        <v>PLANT</v>
      </c>
      <c r="J741" s="24" t="str">
        <f>IF('query (2)'!D741="","UNKNOWN",IF(COUNTIF(Cleaning_Rules!$A$6:$A$11,TRIM('query (2)'!D741))&gt;0,"UNKNOWN",IFERROR(INDEX(Cleaning_Rules!$B$24:$B$28,MATCH(TRIM(UPPER('query (2)'!D741)),Cleaning_Rules!$A$24:$A$28,0)),TRIM(UPPER('query (2)'!D741)))))</f>
        <v>BWD3</v>
      </c>
      <c r="K741" s="25" t="str">
        <f>IF('query (2)'!D741="","",'query (2)'!D741)</f>
        <v>BWD3</v>
      </c>
      <c r="L741" s="24" t="str">
        <f>IF($J741="UNKNOWN","",_xlfn.TEXTBEFORE($J741,{"0","1","2","3","4","5","6","7","8","9"," ","-","."},1,,,$J741))</f>
        <v>BWD</v>
      </c>
      <c r="M741" s="24" t="str">
        <f>IF('query (2)'!I741&lt;&gt;"",TRIM(UPPER('query (2)'!I741)),IF($L741="","UNKNOWN",$L741))</f>
        <v>BWD</v>
      </c>
      <c r="N741" s="24" t="str">
        <f>IF('query (2)'!I741&lt;&gt;"","SOURCE",IF($L741="","UNKNOWN","DERIVED"))</f>
        <v>SOURCE</v>
      </c>
      <c r="O741" s="24" t="str">
        <f>IF('query (2)'!E741="","NOT_SPECIFIED",TRIM(UPPER('query (2)'!E741)))</f>
        <v>ASSEMBLY</v>
      </c>
      <c r="P741" s="24" t="str">
        <f>IF('query (2)'!F741="","",TRIM(UPPER('query (2)'!F741)))</f>
        <v>1110-BW3AI</v>
      </c>
      <c r="Q741" s="24" t="str">
        <f>IF('query (2)'!G741="","UNKNOWN",IFERROR(INDEX(Cleaning_Rules!$B$38:$B$46,MATCH(TRIM(UPPER('query (2)'!G741)),Cleaning_Rules!$A$38:$A$46,0)),"UNKNOWN"))</f>
        <v>OTHER</v>
      </c>
      <c r="R741" s="24" t="str">
        <f>IF('query (2)'!H741="","",TRIM(UPPER('query (2)'!H741)))</f>
        <v>FINISH WASH EQUIPMENT</v>
      </c>
      <c r="S741" s="25" t="str">
        <f>IF('query (2)'!H741="","",'query (2)'!H741)</f>
        <v>Finish  wash  equipment</v>
      </c>
      <c r="T741" s="24" t="str">
        <f>IF('query (2)'!J741="","",TRIM(UPPER('query (2)'!J741)))</f>
        <v>FINISH WASH EQUIPMENT</v>
      </c>
      <c r="U741" s="24" t="str">
        <f t="shared" si="80"/>
        <v/>
      </c>
      <c r="V741" s="24" t="str">
        <f>IF('query (2)'!K741="","NOT_SPECIFIED",IFERROR(INDEX(Cleaning_Rules!$B$32:$B$34,MATCH(TRIM(UPPER('query (2)'!K741)),Cleaning_Rules!$A$32:$A$34,0)),"UNKNOWN"))</f>
        <v>NOT_SPECIFIED</v>
      </c>
      <c r="W741" s="24" t="str">
        <f t="shared" si="81"/>
        <v>WA-165 | FACTORY3 | BWD3 | BWD | ASSEMBLY | 1110-BW3AI | OTHER | FINISH WASH EQUIPMENT | FINISH WASH EQUIPMENT | NOT_SPECIFIED</v>
      </c>
      <c r="X741" s="24" t="str">
        <f t="shared" si="82"/>
        <v/>
      </c>
      <c r="Y741" s="24" t="str">
        <f t="shared" si="83"/>
        <v>MISSING_STATUS; CATEGORY_NOT_USEFUL</v>
      </c>
    </row>
    <row r="742" spans="1:25" x14ac:dyDescent="0.3">
      <c r="A742" s="24" t="str">
        <f t="shared" si="77"/>
        <v>CH-506#0741</v>
      </c>
      <c r="B742" s="24" t="str">
        <f>IF('query (2)'!B742="","",TRIM(UPPER('query (2)'!B742)))</f>
        <v>CH-506</v>
      </c>
      <c r="C742" s="25" t="str">
        <f>IF('query (2)'!B742="","",'query (2)'!B742)</f>
        <v>CH-506</v>
      </c>
      <c r="D742" s="24" t="str">
        <f t="shared" si="78"/>
        <v>CH</v>
      </c>
      <c r="E742" s="24">
        <f t="shared" si="79"/>
        <v>1</v>
      </c>
      <c r="F742" s="24">
        <f>IF('query (2)'!A742="","",IFERROR(VALUE('query (2)'!A742),""))</f>
        <v>760</v>
      </c>
      <c r="G742" s="24" t="str">
        <f>IF('query (2)'!C742="","UNKNOWN",IFERROR(INDEX(Cleaning_Rules!$B$15:$B$20,MATCH(TRIM(UPPER('query (2)'!C742)),Cleaning_Rules!$A$15:$A$20,0)),"UNKNOWN"))</f>
        <v>FACTORY3</v>
      </c>
      <c r="H742" s="25" t="str">
        <f>IF('query (2)'!C742="","",'query (2)'!C742)</f>
        <v>FACTORY3</v>
      </c>
      <c r="I742" s="24" t="str" cm="1">
        <f t="array" ref="I742">_xlfn.IFS($G742="UNKNOWN","UNKNOWN",OR($G742="FACTORY1",$G742="FACTORY2",$G742="FACTORY3"),"PLANT",TRUE,"SHARED")</f>
        <v>PLANT</v>
      </c>
      <c r="J742" s="24" t="str">
        <f>IF('query (2)'!D742="","UNKNOWN",IF(COUNTIF(Cleaning_Rules!$A$6:$A$11,TRIM('query (2)'!D742))&gt;0,"UNKNOWN",IFERROR(INDEX(Cleaning_Rules!$B$24:$B$28,MATCH(TRIM(UPPER('query (2)'!D742)),Cleaning_Rules!$A$24:$A$28,0)),TRIM(UPPER('query (2)'!D742)))))</f>
        <v>BWD3</v>
      </c>
      <c r="K742" s="25" t="str">
        <f>IF('query (2)'!D742="","",'query (2)'!D742)</f>
        <v>BWD3</v>
      </c>
      <c r="L742" s="24" t="str">
        <f>IF($J742="UNKNOWN","",_xlfn.TEXTBEFORE($J742,{"0","1","2","3","4","5","6","7","8","9"," ","-","."},1,,,$J742))</f>
        <v>BWD</v>
      </c>
      <c r="M742" s="24" t="str">
        <f>IF('query (2)'!I742&lt;&gt;"",TRIM(UPPER('query (2)'!I742)),IF($L742="","UNKNOWN",$L742))</f>
        <v>BWD</v>
      </c>
      <c r="N742" s="24" t="str">
        <f>IF('query (2)'!I742&lt;&gt;"","SOURCE",IF($L742="","UNKNOWN","DERIVED"))</f>
        <v>SOURCE</v>
      </c>
      <c r="O742" s="24" t="str">
        <f>IF('query (2)'!E742="","NOT_SPECIFIED",TRIM(UPPER('query (2)'!E742)))</f>
        <v>ASSEMBLY</v>
      </c>
      <c r="P742" s="24" t="str">
        <f>IF('query (2)'!F742="","",TRIM(UPPER('query (2)'!F742)))</f>
        <v>1110-BW3AI</v>
      </c>
      <c r="Q742" s="24" t="str">
        <f>IF('query (2)'!G742="","UNKNOWN",IFERROR(INDEX(Cleaning_Rules!$B$38:$B$46,MATCH(TRIM(UPPER('query (2)'!G742)),Cleaning_Rules!$A$38:$A$46,0)),"UNKNOWN"))</f>
        <v>OTHER</v>
      </c>
      <c r="R742" s="24" t="str">
        <f>IF('query (2)'!H742="","",TRIM(UPPER('query (2)'!H742)))</f>
        <v>AXIAL CLEARANCE INSPECTION EQUIPMENT</v>
      </c>
      <c r="S742" s="25" t="str">
        <f>IF('query (2)'!H742="","",'query (2)'!H742)</f>
        <v>Axial clearance inspection equipment</v>
      </c>
      <c r="T742" s="24" t="str">
        <f>IF('query (2)'!J742="","",TRIM(UPPER('query (2)'!J742)))</f>
        <v>AXIAL CLEARANCE AUTO</v>
      </c>
      <c r="U742" s="24" t="str">
        <f t="shared" si="80"/>
        <v/>
      </c>
      <c r="V742" s="24" t="str">
        <f>IF('query (2)'!K742="","NOT_SPECIFIED",IFERROR(INDEX(Cleaning_Rules!$B$32:$B$34,MATCH(TRIM(UPPER('query (2)'!K742)),Cleaning_Rules!$A$32:$A$34,0)),"UNKNOWN"))</f>
        <v>NOT_SPECIFIED</v>
      </c>
      <c r="W742" s="24" t="str">
        <f t="shared" si="81"/>
        <v>CH-506 | FACTORY3 | BWD3 | BWD | ASSEMBLY | 1110-BW3AI | OTHER | AXIAL CLEARANCE INSPECTION EQUIPMENT | AXIAL CLEARANCE AUTO | NOT_SPECIFIED</v>
      </c>
      <c r="X742" s="24" t="str">
        <f t="shared" si="82"/>
        <v/>
      </c>
      <c r="Y742" s="24" t="str">
        <f t="shared" si="83"/>
        <v>MISSING_STATUS; CATEGORY_NOT_USEFUL</v>
      </c>
    </row>
    <row r="743" spans="1:25" x14ac:dyDescent="0.3">
      <c r="A743" s="24" t="str">
        <f t="shared" si="77"/>
        <v>CH-507#0742</v>
      </c>
      <c r="B743" s="24" t="str">
        <f>IF('query (2)'!B743="","",TRIM(UPPER('query (2)'!B743)))</f>
        <v>CH-507</v>
      </c>
      <c r="C743" s="25" t="str">
        <f>IF('query (2)'!B743="","",'query (2)'!B743)</f>
        <v>CH-507</v>
      </c>
      <c r="D743" s="24" t="str">
        <f t="shared" si="78"/>
        <v>CH</v>
      </c>
      <c r="E743" s="24">
        <f t="shared" si="79"/>
        <v>1</v>
      </c>
      <c r="F743" s="24">
        <f>IF('query (2)'!A743="","",IFERROR(VALUE('query (2)'!A743),""))</f>
        <v>761</v>
      </c>
      <c r="G743" s="24" t="str">
        <f>IF('query (2)'!C743="","UNKNOWN",IFERROR(INDEX(Cleaning_Rules!$B$15:$B$20,MATCH(TRIM(UPPER('query (2)'!C743)),Cleaning_Rules!$A$15:$A$20,0)),"UNKNOWN"))</f>
        <v>FACTORY3</v>
      </c>
      <c r="H743" s="25" t="str">
        <f>IF('query (2)'!C743="","",'query (2)'!C743)</f>
        <v>FACTORY3</v>
      </c>
      <c r="I743" s="24" t="str" cm="1">
        <f t="array" ref="I743">_xlfn.IFS($G743="UNKNOWN","UNKNOWN",OR($G743="FACTORY1",$G743="FACTORY2",$G743="FACTORY3"),"PLANT",TRUE,"SHARED")</f>
        <v>PLANT</v>
      </c>
      <c r="J743" s="24" t="str">
        <f>IF('query (2)'!D743="","UNKNOWN",IF(COUNTIF(Cleaning_Rules!$A$6:$A$11,TRIM('query (2)'!D743))&gt;0,"UNKNOWN",IFERROR(INDEX(Cleaning_Rules!$B$24:$B$28,MATCH(TRIM(UPPER('query (2)'!D743)),Cleaning_Rules!$A$24:$A$28,0)),TRIM(UPPER('query (2)'!D743)))))</f>
        <v>BWD3</v>
      </c>
      <c r="K743" s="25" t="str">
        <f>IF('query (2)'!D743="","",'query (2)'!D743)</f>
        <v>BWD3</v>
      </c>
      <c r="L743" s="24" t="str">
        <f>IF($J743="UNKNOWN","",_xlfn.TEXTBEFORE($J743,{"0","1","2","3","4","5","6","7","8","9"," ","-","."},1,,,$J743))</f>
        <v>BWD</v>
      </c>
      <c r="M743" s="24" t="str">
        <f>IF('query (2)'!I743&lt;&gt;"",TRIM(UPPER('query (2)'!I743)),IF($L743="","UNKNOWN",$L743))</f>
        <v>BWD</v>
      </c>
      <c r="N743" s="24" t="str">
        <f>IF('query (2)'!I743&lt;&gt;"","SOURCE",IF($L743="","UNKNOWN","DERIVED"))</f>
        <v>SOURCE</v>
      </c>
      <c r="O743" s="24" t="str">
        <f>IF('query (2)'!E743="","NOT_SPECIFIED",TRIM(UPPER('query (2)'!E743)))</f>
        <v>ASSEMBLY</v>
      </c>
      <c r="P743" s="24" t="str">
        <f>IF('query (2)'!F743="","",TRIM(UPPER('query (2)'!F743)))</f>
        <v>1110-BW3AI</v>
      </c>
      <c r="Q743" s="24" t="str">
        <f>IF('query (2)'!G743="","UNKNOWN",IFERROR(INDEX(Cleaning_Rules!$B$38:$B$46,MATCH(TRIM(UPPER('query (2)'!G743)),Cleaning_Rules!$A$38:$A$46,0)),"UNKNOWN"))</f>
        <v>OTHER</v>
      </c>
      <c r="R743" s="24" t="str">
        <f>IF('query (2)'!H743="","",TRIM(UPPER('query (2)'!H743)))</f>
        <v>AUTOMATION VIBRATION TESTING MACHINE.</v>
      </c>
      <c r="S743" s="25" t="str">
        <f>IF('query (2)'!H743="","",'query (2)'!H743)</f>
        <v>Automation vibration testing machine.</v>
      </c>
      <c r="T743" s="24" t="str">
        <f>IF('query (2)'!J743="","",TRIM(UPPER('query (2)'!J743)))</f>
        <v>NOISE INSPECTION AUTO</v>
      </c>
      <c r="U743" s="24" t="str">
        <f t="shared" si="80"/>
        <v/>
      </c>
      <c r="V743" s="24" t="str">
        <f>IF('query (2)'!K743="","NOT_SPECIFIED",IFERROR(INDEX(Cleaning_Rules!$B$32:$B$34,MATCH(TRIM(UPPER('query (2)'!K743)),Cleaning_Rules!$A$32:$A$34,0)),"UNKNOWN"))</f>
        <v>NOT_SPECIFIED</v>
      </c>
      <c r="W743" s="24" t="str">
        <f t="shared" si="81"/>
        <v>CH-507 | FACTORY3 | BWD3 | BWD | ASSEMBLY | 1110-BW3AI | OTHER | AUTOMATION VIBRATION TESTING MACHINE. | NOISE INSPECTION AUTO | NOT_SPECIFIED</v>
      </c>
      <c r="X743" s="24" t="str">
        <f t="shared" si="82"/>
        <v/>
      </c>
      <c r="Y743" s="24" t="str">
        <f t="shared" si="83"/>
        <v>MISSING_STATUS; CATEGORY_NOT_USEFUL</v>
      </c>
    </row>
    <row r="744" spans="1:25" x14ac:dyDescent="0.3">
      <c r="A744" s="24" t="str">
        <f t="shared" si="77"/>
        <v>AS-508#0743</v>
      </c>
      <c r="B744" s="24" t="str">
        <f>IF('query (2)'!B744="","",TRIM(UPPER('query (2)'!B744)))</f>
        <v>AS-508</v>
      </c>
      <c r="C744" s="25" t="str">
        <f>IF('query (2)'!B744="","",'query (2)'!B744)</f>
        <v>AS-508</v>
      </c>
      <c r="D744" s="24" t="str">
        <f t="shared" si="78"/>
        <v>AS</v>
      </c>
      <c r="E744" s="24">
        <f t="shared" si="79"/>
        <v>1</v>
      </c>
      <c r="F744" s="24">
        <f>IF('query (2)'!A744="","",IFERROR(VALUE('query (2)'!A744),""))</f>
        <v>762</v>
      </c>
      <c r="G744" s="24" t="str">
        <f>IF('query (2)'!C744="","UNKNOWN",IFERROR(INDEX(Cleaning_Rules!$B$15:$B$20,MATCH(TRIM(UPPER('query (2)'!C744)),Cleaning_Rules!$A$15:$A$20,0)),"UNKNOWN"))</f>
        <v>FACTORY3</v>
      </c>
      <c r="H744" s="25" t="str">
        <f>IF('query (2)'!C744="","",'query (2)'!C744)</f>
        <v>FACTORY3</v>
      </c>
      <c r="I744" s="24" t="str" cm="1">
        <f t="array" ref="I744">_xlfn.IFS($G744="UNKNOWN","UNKNOWN",OR($G744="FACTORY1",$G744="FACTORY2",$G744="FACTORY3"),"PLANT",TRUE,"SHARED")</f>
        <v>PLANT</v>
      </c>
      <c r="J744" s="24" t="str">
        <f>IF('query (2)'!D744="","UNKNOWN",IF(COUNTIF(Cleaning_Rules!$A$6:$A$11,TRIM('query (2)'!D744))&gt;0,"UNKNOWN",IFERROR(INDEX(Cleaning_Rules!$B$24:$B$28,MATCH(TRIM(UPPER('query (2)'!D744)),Cleaning_Rules!$A$24:$A$28,0)),TRIM(UPPER('query (2)'!D744)))))</f>
        <v>BWD3</v>
      </c>
      <c r="K744" s="25" t="str">
        <f>IF('query (2)'!D744="","",'query (2)'!D744)</f>
        <v>BWD3</v>
      </c>
      <c r="L744" s="24" t="str">
        <f>IF($J744="UNKNOWN","",_xlfn.TEXTBEFORE($J744,{"0","1","2","3","4","5","6","7","8","9"," ","-","."},1,,,$J744))</f>
        <v>BWD</v>
      </c>
      <c r="M744" s="24" t="str">
        <f>IF('query (2)'!I744&lt;&gt;"",TRIM(UPPER('query (2)'!I744)),IF($L744="","UNKNOWN",$L744))</f>
        <v>BWD</v>
      </c>
      <c r="N744" s="24" t="str">
        <f>IF('query (2)'!I744&lt;&gt;"","SOURCE",IF($L744="","UNKNOWN","DERIVED"))</f>
        <v>SOURCE</v>
      </c>
      <c r="O744" s="24" t="str">
        <f>IF('query (2)'!E744="","NOT_SPECIFIED",TRIM(UPPER('query (2)'!E744)))</f>
        <v>ASSEMBLY</v>
      </c>
      <c r="P744" s="24" t="str">
        <f>IF('query (2)'!F744="","",TRIM(UPPER('query (2)'!F744)))</f>
        <v>1110-BW3AI</v>
      </c>
      <c r="Q744" s="24" t="str">
        <f>IF('query (2)'!G744="","UNKNOWN",IFERROR(INDEX(Cleaning_Rules!$B$38:$B$46,MATCH(TRIM(UPPER('query (2)'!G744)),Cleaning_Rules!$A$38:$A$46,0)),"UNKNOWN"))</f>
        <v>OTHER</v>
      </c>
      <c r="R744" s="24" t="str">
        <f>IF('query (2)'!H744="","",TRIM(UPPER('query (2)'!H744)))</f>
        <v>GREASE INJECTION MACHINE.</v>
      </c>
      <c r="S744" s="25" t="str">
        <f>IF('query (2)'!H744="","",'query (2)'!H744)</f>
        <v>Grease injection machine.</v>
      </c>
      <c r="T744" s="24" t="str">
        <f>IF('query (2)'!J744="","",TRIM(UPPER('query (2)'!J744)))</f>
        <v>GREASE INJECTION</v>
      </c>
      <c r="U744" s="24" t="str">
        <f t="shared" si="80"/>
        <v/>
      </c>
      <c r="V744" s="24" t="str">
        <f>IF('query (2)'!K744="","NOT_SPECIFIED",IFERROR(INDEX(Cleaning_Rules!$B$32:$B$34,MATCH(TRIM(UPPER('query (2)'!K744)),Cleaning_Rules!$A$32:$A$34,0)),"UNKNOWN"))</f>
        <v>NOT_SPECIFIED</v>
      </c>
      <c r="W744" s="24" t="str">
        <f t="shared" si="81"/>
        <v>AS-508 | FACTORY3 | BWD3 | BWD | ASSEMBLY | 1110-BW3AI | OTHER | GREASE INJECTION MACHINE. | GREASE INJECTION | NOT_SPECIFIED</v>
      </c>
      <c r="X744" s="24" t="str">
        <f t="shared" si="82"/>
        <v/>
      </c>
      <c r="Y744" s="24" t="str">
        <f t="shared" si="83"/>
        <v>MISSING_STATUS; CATEGORY_NOT_USEFUL</v>
      </c>
    </row>
    <row r="745" spans="1:25" x14ac:dyDescent="0.3">
      <c r="A745" s="24" t="str">
        <f t="shared" si="77"/>
        <v>AS-509#0744</v>
      </c>
      <c r="B745" s="24" t="str">
        <f>IF('query (2)'!B745="","",TRIM(UPPER('query (2)'!B745)))</f>
        <v>AS-509</v>
      </c>
      <c r="C745" s="25" t="str">
        <f>IF('query (2)'!B745="","",'query (2)'!B745)</f>
        <v>AS-509</v>
      </c>
      <c r="D745" s="24" t="str">
        <f t="shared" si="78"/>
        <v>AS</v>
      </c>
      <c r="E745" s="24">
        <f t="shared" si="79"/>
        <v>1</v>
      </c>
      <c r="F745" s="24">
        <f>IF('query (2)'!A745="","",IFERROR(VALUE('query (2)'!A745),""))</f>
        <v>763</v>
      </c>
      <c r="G745" s="24" t="str">
        <f>IF('query (2)'!C745="","UNKNOWN",IFERROR(INDEX(Cleaning_Rules!$B$15:$B$20,MATCH(TRIM(UPPER('query (2)'!C745)),Cleaning_Rules!$A$15:$A$20,0)),"UNKNOWN"))</f>
        <v>FACTORY3</v>
      </c>
      <c r="H745" s="25" t="str">
        <f>IF('query (2)'!C745="","",'query (2)'!C745)</f>
        <v>FACTORY3</v>
      </c>
      <c r="I745" s="24" t="str" cm="1">
        <f t="array" ref="I745">_xlfn.IFS($G745="UNKNOWN","UNKNOWN",OR($G745="FACTORY1",$G745="FACTORY2",$G745="FACTORY3"),"PLANT",TRUE,"SHARED")</f>
        <v>PLANT</v>
      </c>
      <c r="J745" s="24" t="str">
        <f>IF('query (2)'!D745="","UNKNOWN",IF(COUNTIF(Cleaning_Rules!$A$6:$A$11,TRIM('query (2)'!D745))&gt;0,"UNKNOWN",IFERROR(INDEX(Cleaning_Rules!$B$24:$B$28,MATCH(TRIM(UPPER('query (2)'!D745)),Cleaning_Rules!$A$24:$A$28,0)),TRIM(UPPER('query (2)'!D745)))))</f>
        <v>BWD3</v>
      </c>
      <c r="K745" s="25" t="str">
        <f>IF('query (2)'!D745="","",'query (2)'!D745)</f>
        <v>BWD3</v>
      </c>
      <c r="L745" s="24" t="str">
        <f>IF($J745="UNKNOWN","",_xlfn.TEXTBEFORE($J745,{"0","1","2","3","4","5","6","7","8","9"," ","-","."},1,,,$J745))</f>
        <v>BWD</v>
      </c>
      <c r="M745" s="24" t="str">
        <f>IF('query (2)'!I745&lt;&gt;"",TRIM(UPPER('query (2)'!I745)),IF($L745="","UNKNOWN",$L745))</f>
        <v>BWD</v>
      </c>
      <c r="N745" s="24" t="str">
        <f>IF('query (2)'!I745&lt;&gt;"","SOURCE",IF($L745="","UNKNOWN","DERIVED"))</f>
        <v>SOURCE</v>
      </c>
      <c r="O745" s="24" t="str">
        <f>IF('query (2)'!E745="","NOT_SPECIFIED",TRIM(UPPER('query (2)'!E745)))</f>
        <v>ASSEMBLY</v>
      </c>
      <c r="P745" s="24" t="str">
        <f>IF('query (2)'!F745="","",TRIM(UPPER('query (2)'!F745)))</f>
        <v>1110-BW3AI</v>
      </c>
      <c r="Q745" s="24" t="str">
        <f>IF('query (2)'!G745="","UNKNOWN",IFERROR(INDEX(Cleaning_Rules!$B$38:$B$46,MATCH(TRIM(UPPER('query (2)'!G745)),Cleaning_Rules!$A$38:$A$46,0)),"UNKNOWN"))</f>
        <v>OTHER</v>
      </c>
      <c r="R745" s="24" t="str">
        <f>IF('query (2)'!H745="","",TRIM(UPPER('query (2)'!H745)))</f>
        <v>SEAL PRESS NO.1 MACHINE.</v>
      </c>
      <c r="S745" s="25" t="str">
        <f>IF('query (2)'!H745="","",'query (2)'!H745)</f>
        <v>Seal press No.1 machine.</v>
      </c>
      <c r="T745" s="24" t="str">
        <f>IF('query (2)'!J745="","",TRIM(UPPER('query (2)'!J745)))</f>
        <v>SEAL PRESSING NO.1</v>
      </c>
      <c r="U745" s="24" t="str">
        <f t="shared" si="80"/>
        <v/>
      </c>
      <c r="V745" s="24" t="str">
        <f>IF('query (2)'!K745="","NOT_SPECIFIED",IFERROR(INDEX(Cleaning_Rules!$B$32:$B$34,MATCH(TRIM(UPPER('query (2)'!K745)),Cleaning_Rules!$A$32:$A$34,0)),"UNKNOWN"))</f>
        <v>NOT_SPECIFIED</v>
      </c>
      <c r="W745" s="24" t="str">
        <f t="shared" si="81"/>
        <v>AS-509 | FACTORY3 | BWD3 | BWD | ASSEMBLY | 1110-BW3AI | OTHER | SEAL PRESS NO.1 MACHINE. | SEAL PRESSING NO.1 | NOT_SPECIFIED</v>
      </c>
      <c r="X745" s="24" t="str">
        <f t="shared" si="82"/>
        <v/>
      </c>
      <c r="Y745" s="24" t="str">
        <f t="shared" si="83"/>
        <v>MISSING_STATUS; CATEGORY_NOT_USEFUL</v>
      </c>
    </row>
    <row r="746" spans="1:25" x14ac:dyDescent="0.3">
      <c r="A746" s="24" t="str">
        <f t="shared" si="77"/>
        <v>AS-510#0745</v>
      </c>
      <c r="B746" s="24" t="str">
        <f>IF('query (2)'!B746="","",TRIM(UPPER('query (2)'!B746)))</f>
        <v>AS-510</v>
      </c>
      <c r="C746" s="25" t="str">
        <f>IF('query (2)'!B746="","",'query (2)'!B746)</f>
        <v>AS-510</v>
      </c>
      <c r="D746" s="24" t="str">
        <f t="shared" si="78"/>
        <v>AS</v>
      </c>
      <c r="E746" s="24">
        <f t="shared" si="79"/>
        <v>1</v>
      </c>
      <c r="F746" s="24">
        <f>IF('query (2)'!A746="","",IFERROR(VALUE('query (2)'!A746),""))</f>
        <v>764</v>
      </c>
      <c r="G746" s="24" t="str">
        <f>IF('query (2)'!C746="","UNKNOWN",IFERROR(INDEX(Cleaning_Rules!$B$15:$B$20,MATCH(TRIM(UPPER('query (2)'!C746)),Cleaning_Rules!$A$15:$A$20,0)),"UNKNOWN"))</f>
        <v>FACTORY3</v>
      </c>
      <c r="H746" s="25" t="str">
        <f>IF('query (2)'!C746="","",'query (2)'!C746)</f>
        <v>FACTORY3</v>
      </c>
      <c r="I746" s="24" t="str" cm="1">
        <f t="array" ref="I746">_xlfn.IFS($G746="UNKNOWN","UNKNOWN",OR($G746="FACTORY1",$G746="FACTORY2",$G746="FACTORY3"),"PLANT",TRUE,"SHARED")</f>
        <v>PLANT</v>
      </c>
      <c r="J746" s="24" t="str">
        <f>IF('query (2)'!D746="","UNKNOWN",IF(COUNTIF(Cleaning_Rules!$A$6:$A$11,TRIM('query (2)'!D746))&gt;0,"UNKNOWN",IFERROR(INDEX(Cleaning_Rules!$B$24:$B$28,MATCH(TRIM(UPPER('query (2)'!D746)),Cleaning_Rules!$A$24:$A$28,0)),TRIM(UPPER('query (2)'!D746)))))</f>
        <v>BWD3</v>
      </c>
      <c r="K746" s="25" t="str">
        <f>IF('query (2)'!D746="","",'query (2)'!D746)</f>
        <v>BWD3</v>
      </c>
      <c r="L746" s="24" t="str">
        <f>IF($J746="UNKNOWN","",_xlfn.TEXTBEFORE($J746,{"0","1","2","3","4","5","6","7","8","9"," ","-","."},1,,,$J746))</f>
        <v>BWD</v>
      </c>
      <c r="M746" s="24" t="str">
        <f>IF('query (2)'!I746&lt;&gt;"",TRIM(UPPER('query (2)'!I746)),IF($L746="","UNKNOWN",$L746))</f>
        <v>BWD</v>
      </c>
      <c r="N746" s="24" t="str">
        <f>IF('query (2)'!I746&lt;&gt;"","SOURCE",IF($L746="","UNKNOWN","DERIVED"))</f>
        <v>SOURCE</v>
      </c>
      <c r="O746" s="24" t="str">
        <f>IF('query (2)'!E746="","NOT_SPECIFIED",TRIM(UPPER('query (2)'!E746)))</f>
        <v>ASSEMBLY</v>
      </c>
      <c r="P746" s="24" t="str">
        <f>IF('query (2)'!F746="","",TRIM(UPPER('query (2)'!F746)))</f>
        <v>1110-BW3AI</v>
      </c>
      <c r="Q746" s="24" t="str">
        <f>IF('query (2)'!G746="","UNKNOWN",IFERROR(INDEX(Cleaning_Rules!$B$38:$B$46,MATCH(TRIM(UPPER('query (2)'!G746)),Cleaning_Rules!$A$38:$A$46,0)),"UNKNOWN"))</f>
        <v>OTHER</v>
      </c>
      <c r="R746" s="24" t="str">
        <f>IF('query (2)'!H746="","",TRIM(UPPER('query (2)'!H746)))</f>
        <v>SEAL PRESS NO.2 MACHINE.</v>
      </c>
      <c r="S746" s="25" t="str">
        <f>IF('query (2)'!H746="","",'query (2)'!H746)</f>
        <v>Seal press No.2 machine.</v>
      </c>
      <c r="T746" s="24" t="str">
        <f>IF('query (2)'!J746="","",TRIM(UPPER('query (2)'!J746)))</f>
        <v>SEAL PRESSING NO.2</v>
      </c>
      <c r="U746" s="24" t="str">
        <f t="shared" si="80"/>
        <v/>
      </c>
      <c r="V746" s="24" t="str">
        <f>IF('query (2)'!K746="","NOT_SPECIFIED",IFERROR(INDEX(Cleaning_Rules!$B$32:$B$34,MATCH(TRIM(UPPER('query (2)'!K746)),Cleaning_Rules!$A$32:$A$34,0)),"UNKNOWN"))</f>
        <v>NOT_SPECIFIED</v>
      </c>
      <c r="W746" s="24" t="str">
        <f t="shared" si="81"/>
        <v>AS-510 | FACTORY3 | BWD3 | BWD | ASSEMBLY | 1110-BW3AI | OTHER | SEAL PRESS NO.2 MACHINE. | SEAL PRESSING NO.2 | NOT_SPECIFIED</v>
      </c>
      <c r="X746" s="24" t="str">
        <f t="shared" si="82"/>
        <v/>
      </c>
      <c r="Y746" s="24" t="str">
        <f t="shared" si="83"/>
        <v>MISSING_STATUS; CATEGORY_NOT_USEFUL</v>
      </c>
    </row>
    <row r="747" spans="1:25" x14ac:dyDescent="0.3">
      <c r="A747" s="24" t="str">
        <f t="shared" si="77"/>
        <v>CH-511#0746</v>
      </c>
      <c r="B747" s="24" t="str">
        <f>IF('query (2)'!B747="","",TRIM(UPPER('query (2)'!B747)))</f>
        <v>CH-511</v>
      </c>
      <c r="C747" s="25" t="str">
        <f>IF('query (2)'!B747="","",'query (2)'!B747)</f>
        <v>CH-511</v>
      </c>
      <c r="D747" s="24" t="str">
        <f t="shared" si="78"/>
        <v>CH</v>
      </c>
      <c r="E747" s="24">
        <f t="shared" si="79"/>
        <v>1</v>
      </c>
      <c r="F747" s="24">
        <f>IF('query (2)'!A747="","",IFERROR(VALUE('query (2)'!A747),""))</f>
        <v>765</v>
      </c>
      <c r="G747" s="24" t="str">
        <f>IF('query (2)'!C747="","UNKNOWN",IFERROR(INDEX(Cleaning_Rules!$B$15:$B$20,MATCH(TRIM(UPPER('query (2)'!C747)),Cleaning_Rules!$A$15:$A$20,0)),"UNKNOWN"))</f>
        <v>FACTORY3</v>
      </c>
      <c r="H747" s="25" t="str">
        <f>IF('query (2)'!C747="","",'query (2)'!C747)</f>
        <v>FACTORY3</v>
      </c>
      <c r="I747" s="24" t="str" cm="1">
        <f t="array" ref="I747">_xlfn.IFS($G747="UNKNOWN","UNKNOWN",OR($G747="FACTORY1",$G747="FACTORY2",$G747="FACTORY3"),"PLANT",TRUE,"SHARED")</f>
        <v>PLANT</v>
      </c>
      <c r="J747" s="24" t="str">
        <f>IF('query (2)'!D747="","UNKNOWN",IF(COUNTIF(Cleaning_Rules!$A$6:$A$11,TRIM('query (2)'!D747))&gt;0,"UNKNOWN",IFERROR(INDEX(Cleaning_Rules!$B$24:$B$28,MATCH(TRIM(UPPER('query (2)'!D747)),Cleaning_Rules!$A$24:$A$28,0)),TRIM(UPPER('query (2)'!D747)))))</f>
        <v>BWD3</v>
      </c>
      <c r="K747" s="25" t="str">
        <f>IF('query (2)'!D747="","",'query (2)'!D747)</f>
        <v>BWD3</v>
      </c>
      <c r="L747" s="24" t="str">
        <f>IF($J747="UNKNOWN","",_xlfn.TEXTBEFORE($J747,{"0","1","2","3","4","5","6","7","8","9"," ","-","."},1,,,$J747))</f>
        <v>BWD</v>
      </c>
      <c r="M747" s="24" t="str">
        <f>IF('query (2)'!I747&lt;&gt;"",TRIM(UPPER('query (2)'!I747)),IF($L747="","UNKNOWN",$L747))</f>
        <v>BWD</v>
      </c>
      <c r="N747" s="24" t="str">
        <f>IF('query (2)'!I747&lt;&gt;"","SOURCE",IF($L747="","UNKNOWN","DERIVED"))</f>
        <v>SOURCE</v>
      </c>
      <c r="O747" s="24" t="str">
        <f>IF('query (2)'!E747="","NOT_SPECIFIED",TRIM(UPPER('query (2)'!E747)))</f>
        <v>ASSEMBLY</v>
      </c>
      <c r="P747" s="24" t="str">
        <f>IF('query (2)'!F747="","",TRIM(UPPER('query (2)'!F747)))</f>
        <v>1110-BW3AI</v>
      </c>
      <c r="Q747" s="24" t="str">
        <f>IF('query (2)'!G747="","UNKNOWN",IFERROR(INDEX(Cleaning_Rules!$B$38:$B$46,MATCH(TRIM(UPPER('query (2)'!G747)),Cleaning_Rules!$A$38:$A$46,0)),"UNKNOWN"))</f>
        <v>OTHER</v>
      </c>
      <c r="R747" s="24" t="str">
        <f>IF('query (2)'!H747="","",TRIM(UPPER('query (2)'!H747)))</f>
        <v>SEAL CHECKER MACHINE.</v>
      </c>
      <c r="S747" s="25" t="str">
        <f>IF('query (2)'!H747="","",'query (2)'!H747)</f>
        <v>Seal checker machine.</v>
      </c>
      <c r="T747" s="24" t="str">
        <f>IF('query (2)'!J747="","",TRIM(UPPER('query (2)'!J747)))</f>
        <v>SEAL HEIGHT CHECKING</v>
      </c>
      <c r="U747" s="24" t="str">
        <f t="shared" si="80"/>
        <v/>
      </c>
      <c r="V747" s="24" t="str">
        <f>IF('query (2)'!K747="","NOT_SPECIFIED",IFERROR(INDEX(Cleaning_Rules!$B$32:$B$34,MATCH(TRIM(UPPER('query (2)'!K747)),Cleaning_Rules!$A$32:$A$34,0)),"UNKNOWN"))</f>
        <v>NOT_SPECIFIED</v>
      </c>
      <c r="W747" s="24" t="str">
        <f t="shared" si="81"/>
        <v>CH-511 | FACTORY3 | BWD3 | BWD | ASSEMBLY | 1110-BW3AI | OTHER | SEAL CHECKER MACHINE. | SEAL HEIGHT CHECKING | NOT_SPECIFIED</v>
      </c>
      <c r="X747" s="24" t="str">
        <f t="shared" si="82"/>
        <v/>
      </c>
      <c r="Y747" s="24" t="str">
        <f t="shared" si="83"/>
        <v>MISSING_STATUS; CATEGORY_NOT_USEFUL</v>
      </c>
    </row>
    <row r="748" spans="1:25" x14ac:dyDescent="0.3">
      <c r="A748" s="24" t="str">
        <f t="shared" si="77"/>
        <v>CH-512#0747</v>
      </c>
      <c r="B748" s="24" t="str">
        <f>IF('query (2)'!B748="","",TRIM(UPPER('query (2)'!B748)))</f>
        <v>CH-512</v>
      </c>
      <c r="C748" s="25" t="str">
        <f>IF('query (2)'!B748="","",'query (2)'!B748)</f>
        <v>CH-512</v>
      </c>
      <c r="D748" s="24" t="str">
        <f t="shared" si="78"/>
        <v>CH</v>
      </c>
      <c r="E748" s="24">
        <f t="shared" si="79"/>
        <v>1</v>
      </c>
      <c r="F748" s="24">
        <f>IF('query (2)'!A748="","",IFERROR(VALUE('query (2)'!A748),""))</f>
        <v>766</v>
      </c>
      <c r="G748" s="24" t="str">
        <f>IF('query (2)'!C748="","UNKNOWN",IFERROR(INDEX(Cleaning_Rules!$B$15:$B$20,MATCH(TRIM(UPPER('query (2)'!C748)),Cleaning_Rules!$A$15:$A$20,0)),"UNKNOWN"))</f>
        <v>FACTORY3</v>
      </c>
      <c r="H748" s="25" t="str">
        <f>IF('query (2)'!C748="","",'query (2)'!C748)</f>
        <v>FACTORY3</v>
      </c>
      <c r="I748" s="24" t="str" cm="1">
        <f t="array" ref="I748">_xlfn.IFS($G748="UNKNOWN","UNKNOWN",OR($G748="FACTORY1",$G748="FACTORY2",$G748="FACTORY3"),"PLANT",TRUE,"SHARED")</f>
        <v>PLANT</v>
      </c>
      <c r="J748" s="24" t="str">
        <f>IF('query (2)'!D748="","UNKNOWN",IF(COUNTIF(Cleaning_Rules!$A$6:$A$11,TRIM('query (2)'!D748))&gt;0,"UNKNOWN",IFERROR(INDEX(Cleaning_Rules!$B$24:$B$28,MATCH(TRIM(UPPER('query (2)'!D748)),Cleaning_Rules!$A$24:$A$28,0)),TRIM(UPPER('query (2)'!D748)))))</f>
        <v>BWD3</v>
      </c>
      <c r="K748" s="25" t="str">
        <f>IF('query (2)'!D748="","",'query (2)'!D748)</f>
        <v>BWD3</v>
      </c>
      <c r="L748" s="24" t="str">
        <f>IF($J748="UNKNOWN","",_xlfn.TEXTBEFORE($J748,{"0","1","2","3","4","5","6","7","8","9"," ","-","."},1,,,$J748))</f>
        <v>BWD</v>
      </c>
      <c r="M748" s="24" t="str">
        <f>IF('query (2)'!I748&lt;&gt;"",TRIM(UPPER('query (2)'!I748)),IF($L748="","UNKNOWN",$L748))</f>
        <v>BWD</v>
      </c>
      <c r="N748" s="24" t="str">
        <f>IF('query (2)'!I748&lt;&gt;"","SOURCE",IF($L748="","UNKNOWN","DERIVED"))</f>
        <v>SOURCE</v>
      </c>
      <c r="O748" s="24" t="str">
        <f>IF('query (2)'!E748="","NOT_SPECIFIED",TRIM(UPPER('query (2)'!E748)))</f>
        <v>ASSEMBLY</v>
      </c>
      <c r="P748" s="24" t="str">
        <f>IF('query (2)'!F748="","",TRIM(UPPER('query (2)'!F748)))</f>
        <v>1110-BW3AI</v>
      </c>
      <c r="Q748" s="24" t="str">
        <f>IF('query (2)'!G748="","UNKNOWN",IFERROR(INDEX(Cleaning_Rules!$B$38:$B$46,MATCH(TRIM(UPPER('query (2)'!G748)),Cleaning_Rules!$A$38:$A$46,0)),"UNKNOWN"))</f>
        <v>OTHER</v>
      </c>
      <c r="R748" s="24" t="str">
        <f>IF('query (2)'!H748="","",TRIM(UPPER('query (2)'!H748)))</f>
        <v>SEAL MAGNETIC MACHINE.</v>
      </c>
      <c r="S748" s="25" t="str">
        <f>IF('query (2)'!H748="","",'query (2)'!H748)</f>
        <v>Seal magnetic machine.</v>
      </c>
      <c r="T748" s="24" t="str">
        <f>IF('query (2)'!J748="","",TRIM(UPPER('query (2)'!J748)))</f>
        <v>SEAL MAGNETIC MC</v>
      </c>
      <c r="U748" s="24" t="str">
        <f t="shared" si="80"/>
        <v/>
      </c>
      <c r="V748" s="24" t="str">
        <f>IF('query (2)'!K748="","NOT_SPECIFIED",IFERROR(INDEX(Cleaning_Rules!$B$32:$B$34,MATCH(TRIM(UPPER('query (2)'!K748)),Cleaning_Rules!$A$32:$A$34,0)),"UNKNOWN"))</f>
        <v>NOT_SPECIFIED</v>
      </c>
      <c r="W748" s="24" t="str">
        <f t="shared" si="81"/>
        <v>CH-512 | FACTORY3 | BWD3 | BWD | ASSEMBLY | 1110-BW3AI | OTHER | SEAL MAGNETIC MACHINE. | SEAL MAGNETIC MC | NOT_SPECIFIED</v>
      </c>
      <c r="X748" s="24" t="str">
        <f t="shared" si="82"/>
        <v/>
      </c>
      <c r="Y748" s="24" t="str">
        <f t="shared" si="83"/>
        <v>MISSING_STATUS; CATEGORY_NOT_USEFUL</v>
      </c>
    </row>
    <row r="749" spans="1:25" x14ac:dyDescent="0.3">
      <c r="A749" s="24" t="str">
        <f t="shared" si="77"/>
        <v>CH-513#0748</v>
      </c>
      <c r="B749" s="24" t="str">
        <f>IF('query (2)'!B749="","",TRIM(UPPER('query (2)'!B749)))</f>
        <v>CH-513</v>
      </c>
      <c r="C749" s="25" t="str">
        <f>IF('query (2)'!B749="","",'query (2)'!B749)</f>
        <v>CH-513</v>
      </c>
      <c r="D749" s="24" t="str">
        <f t="shared" si="78"/>
        <v>CH</v>
      </c>
      <c r="E749" s="24">
        <f t="shared" si="79"/>
        <v>1</v>
      </c>
      <c r="F749" s="24">
        <f>IF('query (2)'!A749="","",IFERROR(VALUE('query (2)'!A749),""))</f>
        <v>767</v>
      </c>
      <c r="G749" s="24" t="str">
        <f>IF('query (2)'!C749="","UNKNOWN",IFERROR(INDEX(Cleaning_Rules!$B$15:$B$20,MATCH(TRIM(UPPER('query (2)'!C749)),Cleaning_Rules!$A$15:$A$20,0)),"UNKNOWN"))</f>
        <v>FACTORY3</v>
      </c>
      <c r="H749" s="25" t="str">
        <f>IF('query (2)'!C749="","",'query (2)'!C749)</f>
        <v>FACTORY3</v>
      </c>
      <c r="I749" s="24" t="str" cm="1">
        <f t="array" ref="I749">_xlfn.IFS($G749="UNKNOWN","UNKNOWN",OR($G749="FACTORY1",$G749="FACTORY2",$G749="FACTORY3"),"PLANT",TRUE,"SHARED")</f>
        <v>PLANT</v>
      </c>
      <c r="J749" s="24" t="str">
        <f>IF('query (2)'!D749="","UNKNOWN",IF(COUNTIF(Cleaning_Rules!$A$6:$A$11,TRIM('query (2)'!D749))&gt;0,"UNKNOWN",IFERROR(INDEX(Cleaning_Rules!$B$24:$B$28,MATCH(TRIM(UPPER('query (2)'!D749)),Cleaning_Rules!$A$24:$A$28,0)),TRIM(UPPER('query (2)'!D749)))))</f>
        <v>BWD3</v>
      </c>
      <c r="K749" s="25" t="str">
        <f>IF('query (2)'!D749="","",'query (2)'!D749)</f>
        <v>BWD3</v>
      </c>
      <c r="L749" s="24" t="str">
        <f>IF($J749="UNKNOWN","",_xlfn.TEXTBEFORE($J749,{"0","1","2","3","4","5","6","7","8","9"," ","-","."},1,,,$J749))</f>
        <v>BWD</v>
      </c>
      <c r="M749" s="24" t="str">
        <f>IF('query (2)'!I749&lt;&gt;"",TRIM(UPPER('query (2)'!I749)),IF($L749="","UNKNOWN",$L749))</f>
        <v>BWD</v>
      </c>
      <c r="N749" s="24" t="str">
        <f>IF('query (2)'!I749&lt;&gt;"","SOURCE",IF($L749="","UNKNOWN","DERIVED"))</f>
        <v>SOURCE</v>
      </c>
      <c r="O749" s="24" t="str">
        <f>IF('query (2)'!E749="","NOT_SPECIFIED",TRIM(UPPER('query (2)'!E749)))</f>
        <v>ASSEMBLY</v>
      </c>
      <c r="P749" s="24" t="str">
        <f>IF('query (2)'!F749="","",TRIM(UPPER('query (2)'!F749)))</f>
        <v>1110-BW3AI</v>
      </c>
      <c r="Q749" s="24" t="str">
        <f>IF('query (2)'!G749="","UNKNOWN",IFERROR(INDEX(Cleaning_Rules!$B$38:$B$46,MATCH(TRIM(UPPER('query (2)'!G749)),Cleaning_Rules!$A$38:$A$46,0)),"UNKNOWN"))</f>
        <v>OTHER</v>
      </c>
      <c r="R749" s="24" t="str">
        <f>IF('query (2)'!H749="","",TRIM(UPPER('query (2)'!H749)))</f>
        <v>WEIGHT CHECKER MACHINE.</v>
      </c>
      <c r="S749" s="25" t="str">
        <f>IF('query (2)'!H749="","",'query (2)'!H749)</f>
        <v>Weight checker machine.</v>
      </c>
      <c r="T749" s="24" t="str">
        <f>IF('query (2)'!J749="","",TRIM(UPPER('query (2)'!J749)))</f>
        <v>WEIGHT CHECKER</v>
      </c>
      <c r="U749" s="24" t="str">
        <f t="shared" si="80"/>
        <v/>
      </c>
      <c r="V749" s="24" t="str">
        <f>IF('query (2)'!K749="","NOT_SPECIFIED",IFERROR(INDEX(Cleaning_Rules!$B$32:$B$34,MATCH(TRIM(UPPER('query (2)'!K749)),Cleaning_Rules!$A$32:$A$34,0)),"UNKNOWN"))</f>
        <v>NOT_SPECIFIED</v>
      </c>
      <c r="W749" s="24" t="str">
        <f t="shared" si="81"/>
        <v>CH-513 | FACTORY3 | BWD3 | BWD | ASSEMBLY | 1110-BW3AI | OTHER | WEIGHT CHECKER MACHINE. | WEIGHT CHECKER | NOT_SPECIFIED</v>
      </c>
      <c r="X749" s="24" t="str">
        <f t="shared" si="82"/>
        <v/>
      </c>
      <c r="Y749" s="24" t="str">
        <f t="shared" si="83"/>
        <v>MISSING_STATUS; CATEGORY_NOT_USEFUL</v>
      </c>
    </row>
    <row r="750" spans="1:25" x14ac:dyDescent="0.3">
      <c r="A750" s="24" t="str">
        <f t="shared" si="77"/>
        <v>AS-574#0749</v>
      </c>
      <c r="B750" s="24" t="str">
        <f>IF('query (2)'!B750="","",TRIM(UPPER('query (2)'!B750)))</f>
        <v>AS-574</v>
      </c>
      <c r="C750" s="25" t="str">
        <f>IF('query (2)'!B750="","",'query (2)'!B750)</f>
        <v>AS-574</v>
      </c>
      <c r="D750" s="24" t="str">
        <f t="shared" si="78"/>
        <v>AS</v>
      </c>
      <c r="E750" s="24">
        <f t="shared" si="79"/>
        <v>1</v>
      </c>
      <c r="F750" s="24">
        <f>IF('query (2)'!A750="","",IFERROR(VALUE('query (2)'!A750),""))</f>
        <v>768</v>
      </c>
      <c r="G750" s="24" t="str">
        <f>IF('query (2)'!C750="","UNKNOWN",IFERROR(INDEX(Cleaning_Rules!$B$15:$B$20,MATCH(TRIM(UPPER('query (2)'!C750)),Cleaning_Rules!$A$15:$A$20,0)),"UNKNOWN"))</f>
        <v>FACTORY3</v>
      </c>
      <c r="H750" s="25" t="str">
        <f>IF('query (2)'!C750="","",'query (2)'!C750)</f>
        <v>FACTORY3</v>
      </c>
      <c r="I750" s="24" t="str" cm="1">
        <f t="array" ref="I750">_xlfn.IFS($G750="UNKNOWN","UNKNOWN",OR($G750="FACTORY1",$G750="FACTORY2",$G750="FACTORY3"),"PLANT",TRUE,"SHARED")</f>
        <v>PLANT</v>
      </c>
      <c r="J750" s="24" t="str">
        <f>IF('query (2)'!D750="","UNKNOWN",IF(COUNTIF(Cleaning_Rules!$A$6:$A$11,TRIM('query (2)'!D750))&gt;0,"UNKNOWN",IFERROR(INDEX(Cleaning_Rules!$B$24:$B$28,MATCH(TRIM(UPPER('query (2)'!D750)),Cleaning_Rules!$A$24:$A$28,0)),TRIM(UPPER('query (2)'!D750)))))</f>
        <v>BWD3</v>
      </c>
      <c r="K750" s="25" t="str">
        <f>IF('query (2)'!D750="","",'query (2)'!D750)</f>
        <v>BWD3</v>
      </c>
      <c r="L750" s="24" t="str">
        <f>IF($J750="UNKNOWN","",_xlfn.TEXTBEFORE($J750,{"0","1","2","3","4","5","6","7","8","9"," ","-","."},1,,,$J750))</f>
        <v>BWD</v>
      </c>
      <c r="M750" s="24" t="str">
        <f>IF('query (2)'!I750&lt;&gt;"",TRIM(UPPER('query (2)'!I750)),IF($L750="","UNKNOWN",$L750))</f>
        <v>BWD</v>
      </c>
      <c r="N750" s="24" t="str">
        <f>IF('query (2)'!I750&lt;&gt;"","SOURCE",IF($L750="","UNKNOWN","DERIVED"))</f>
        <v>SOURCE</v>
      </c>
      <c r="O750" s="24" t="str">
        <f>IF('query (2)'!E750="","NOT_SPECIFIED",TRIM(UPPER('query (2)'!E750)))</f>
        <v>ASSEMBLY</v>
      </c>
      <c r="P750" s="24" t="str">
        <f>IF('query (2)'!F750="","",TRIM(UPPER('query (2)'!F750)))</f>
        <v>1110-BW3AI</v>
      </c>
      <c r="Q750" s="24" t="str">
        <f>IF('query (2)'!G750="","UNKNOWN",IFERROR(INDEX(Cleaning_Rules!$B$38:$B$46,MATCH(TRIM(UPPER('query (2)'!G750)),Cleaning_Rules!$A$38:$A$46,0)),"UNKNOWN"))</f>
        <v>OTHER</v>
      </c>
      <c r="R750" s="24" t="str">
        <f>IF('query (2)'!H750="","",TRIM(UPPER('query (2)'!H750)))</f>
        <v>BALL &amp; CAGE ASSEMBLY MACHINE</v>
      </c>
      <c r="S750" s="25" t="str">
        <f>IF('query (2)'!H750="","",'query (2)'!H750)</f>
        <v>Ball &amp; Cage assembly machine</v>
      </c>
      <c r="T750" s="24" t="str">
        <f>IF('query (2)'!J750="","",TRIM(UPPER('query (2)'!J750)))</f>
        <v>CD ASSEMBLY</v>
      </c>
      <c r="U750" s="24" t="str">
        <f t="shared" si="80"/>
        <v/>
      </c>
      <c r="V750" s="24" t="str">
        <f>IF('query (2)'!K750="","NOT_SPECIFIED",IFERROR(INDEX(Cleaning_Rules!$B$32:$B$34,MATCH(TRIM(UPPER('query (2)'!K750)),Cleaning_Rules!$A$32:$A$34,0)),"UNKNOWN"))</f>
        <v>NOT_SPECIFIED</v>
      </c>
      <c r="W750" s="24" t="str">
        <f t="shared" si="81"/>
        <v>AS-574 | FACTORY3 | BWD3 | BWD | ASSEMBLY | 1110-BW3AI | OTHER | BALL &amp; CAGE ASSEMBLY MACHINE | CD ASSEMBLY | NOT_SPECIFIED</v>
      </c>
      <c r="X750" s="24" t="str">
        <f t="shared" si="82"/>
        <v/>
      </c>
      <c r="Y750" s="24" t="str">
        <f t="shared" si="83"/>
        <v>MISSING_STATUS; CATEGORY_NOT_USEFUL</v>
      </c>
    </row>
    <row r="751" spans="1:25" x14ac:dyDescent="0.3">
      <c r="A751" s="24" t="str">
        <f t="shared" si="77"/>
        <v>MA-620#0750</v>
      </c>
      <c r="B751" s="24" t="str">
        <f>IF('query (2)'!B751="","",TRIM(UPPER('query (2)'!B751)))</f>
        <v>MA-620</v>
      </c>
      <c r="C751" s="25" t="str">
        <f>IF('query (2)'!B751="","",'query (2)'!B751)</f>
        <v>MA-620</v>
      </c>
      <c r="D751" s="24" t="str">
        <f t="shared" si="78"/>
        <v>MA</v>
      </c>
      <c r="E751" s="24">
        <f t="shared" si="79"/>
        <v>1</v>
      </c>
      <c r="F751" s="24">
        <f>IF('query (2)'!A751="","",IFERROR(VALUE('query (2)'!A751),""))</f>
        <v>769</v>
      </c>
      <c r="G751" s="24" t="str">
        <f>IF('query (2)'!C751="","UNKNOWN",IFERROR(INDEX(Cleaning_Rules!$B$15:$B$20,MATCH(TRIM(UPPER('query (2)'!C751)),Cleaning_Rules!$A$15:$A$20,0)),"UNKNOWN"))</f>
        <v>FACTORY3</v>
      </c>
      <c r="H751" s="25" t="str">
        <f>IF('query (2)'!C751="","",'query (2)'!C751)</f>
        <v>FACTORY3</v>
      </c>
      <c r="I751" s="24" t="str" cm="1">
        <f t="array" ref="I751">_xlfn.IFS($G751="UNKNOWN","UNKNOWN",OR($G751="FACTORY1",$G751="FACTORY2",$G751="FACTORY3"),"PLANT",TRUE,"SHARED")</f>
        <v>PLANT</v>
      </c>
      <c r="J751" s="24" t="str">
        <f>IF('query (2)'!D751="","UNKNOWN",IF(COUNTIF(Cleaning_Rules!$A$6:$A$11,TRIM('query (2)'!D751))&gt;0,"UNKNOWN",IFERROR(INDEX(Cleaning_Rules!$B$24:$B$28,MATCH(TRIM(UPPER('query (2)'!D751)),Cleaning_Rules!$A$24:$A$28,0)),TRIM(UPPER('query (2)'!D751)))))</f>
        <v>BWD3</v>
      </c>
      <c r="K751" s="25" t="str">
        <f>IF('query (2)'!D751="","",'query (2)'!D751)</f>
        <v>BWD3</v>
      </c>
      <c r="L751" s="24" t="str">
        <f>IF($J751="UNKNOWN","",_xlfn.TEXTBEFORE($J751,{"0","1","2","3","4","5","6","7","8","9"," ","-","."},1,,,$J751))</f>
        <v>BWD</v>
      </c>
      <c r="M751" s="24" t="str">
        <f>IF('query (2)'!I751&lt;&gt;"",TRIM(UPPER('query (2)'!I751)),IF($L751="","UNKNOWN",$L751))</f>
        <v>BWD</v>
      </c>
      <c r="N751" s="24" t="str">
        <f>IF('query (2)'!I751&lt;&gt;"","SOURCE",IF($L751="","UNKNOWN","DERIVED"))</f>
        <v>SOURCE</v>
      </c>
      <c r="O751" s="24" t="str">
        <f>IF('query (2)'!E751="","NOT_SPECIFIED",TRIM(UPPER('query (2)'!E751)))</f>
        <v>ASSEMBLY</v>
      </c>
      <c r="P751" s="24" t="str">
        <f>IF('query (2)'!F751="","",TRIM(UPPER('query (2)'!F751)))</f>
        <v>1110-BW3AI</v>
      </c>
      <c r="Q751" s="24" t="str">
        <f>IF('query (2)'!G751="","UNKNOWN",IFERROR(INDEX(Cleaning_Rules!$B$38:$B$46,MATCH(TRIM(UPPER('query (2)'!G751)),Cleaning_Rules!$A$38:$A$46,0)),"UNKNOWN"))</f>
        <v>OTHER</v>
      </c>
      <c r="R751" s="24" t="str">
        <f>IF('query (2)'!H751="","",TRIM(UPPER('query (2)'!H751)))</f>
        <v>LASER MARKING MACHINE</v>
      </c>
      <c r="S751" s="25" t="str">
        <f>IF('query (2)'!H751="","",'query (2)'!H751)</f>
        <v>Laser marking machine</v>
      </c>
      <c r="T751" s="24" t="str">
        <f>IF('query (2)'!J751="","",TRIM(UPPER('query (2)'!J751)))</f>
        <v>LASER MARKING</v>
      </c>
      <c r="U751" s="24" t="str">
        <f t="shared" si="80"/>
        <v/>
      </c>
      <c r="V751" s="24" t="str">
        <f>IF('query (2)'!K751="","NOT_SPECIFIED",IFERROR(INDEX(Cleaning_Rules!$B$32:$B$34,MATCH(TRIM(UPPER('query (2)'!K751)),Cleaning_Rules!$A$32:$A$34,0)),"UNKNOWN"))</f>
        <v>NOT_SPECIFIED</v>
      </c>
      <c r="W751" s="24" t="str">
        <f t="shared" si="81"/>
        <v>MA-620 | FACTORY3 | BWD3 | BWD | ASSEMBLY | 1110-BW3AI | OTHER | LASER MARKING MACHINE | LASER MARKING | NOT_SPECIFIED</v>
      </c>
      <c r="X751" s="24" t="str">
        <f t="shared" si="82"/>
        <v/>
      </c>
      <c r="Y751" s="24" t="str">
        <f t="shared" si="83"/>
        <v>MISSING_STATUS; CATEGORY_NOT_USEFUL</v>
      </c>
    </row>
    <row r="752" spans="1:25" x14ac:dyDescent="0.3">
      <c r="A752" s="24" t="str">
        <f t="shared" si="77"/>
        <v>FI-148#0751</v>
      </c>
      <c r="B752" s="24" t="str">
        <f>IF('query (2)'!B752="","",TRIM(UPPER('query (2)'!B752)))</f>
        <v>FI-148</v>
      </c>
      <c r="C752" s="25" t="str">
        <f>IF('query (2)'!B752="","",'query (2)'!B752)</f>
        <v>FI-148</v>
      </c>
      <c r="D752" s="24" t="str">
        <f t="shared" si="78"/>
        <v>FI</v>
      </c>
      <c r="E752" s="24">
        <f t="shared" si="79"/>
        <v>1</v>
      </c>
      <c r="F752" s="24">
        <f>IF('query (2)'!A752="","",IFERROR(VALUE('query (2)'!A752),""))</f>
        <v>770</v>
      </c>
      <c r="G752" s="24" t="str">
        <f>IF('query (2)'!C752="","UNKNOWN",IFERROR(INDEX(Cleaning_Rules!$B$15:$B$20,MATCH(TRIM(UPPER('query (2)'!C752)),Cleaning_Rules!$A$15:$A$20,0)),"UNKNOWN"))</f>
        <v>FACTORY3</v>
      </c>
      <c r="H752" s="25" t="str">
        <f>IF('query (2)'!C752="","",'query (2)'!C752)</f>
        <v>FACTORY3</v>
      </c>
      <c r="I752" s="24" t="str" cm="1">
        <f t="array" ref="I752">_xlfn.IFS($G752="UNKNOWN","UNKNOWN",OR($G752="FACTORY1",$G752="FACTORY2",$G752="FACTORY3"),"PLANT",TRUE,"SHARED")</f>
        <v>PLANT</v>
      </c>
      <c r="J752" s="24" t="str">
        <f>IF('query (2)'!D752="","UNKNOWN",IF(COUNTIF(Cleaning_Rules!$A$6:$A$11,TRIM('query (2)'!D752))&gt;0,"UNKNOWN",IFERROR(INDEX(Cleaning_Rules!$B$24:$B$28,MATCH(TRIM(UPPER('query (2)'!D752)),Cleaning_Rules!$A$24:$A$28,0)),TRIM(UPPER('query (2)'!D752)))))</f>
        <v>BWD3</v>
      </c>
      <c r="K752" s="25" t="str">
        <f>IF('query (2)'!D752="","",'query (2)'!D752)</f>
        <v>BWD3</v>
      </c>
      <c r="L752" s="24" t="str">
        <f>IF($J752="UNKNOWN","",_xlfn.TEXTBEFORE($J752,{"0","1","2","3","4","5","6","7","8","9"," ","-","."},1,,,$J752))</f>
        <v>BWD</v>
      </c>
      <c r="M752" s="24" t="str">
        <f>IF('query (2)'!I752&lt;&gt;"",TRIM(UPPER('query (2)'!I752)),IF($L752="","UNKNOWN",$L752))</f>
        <v>BWD</v>
      </c>
      <c r="N752" s="24" t="str">
        <f>IF('query (2)'!I752&lt;&gt;"","SOURCE",IF($L752="","UNKNOWN","DERIVED"))</f>
        <v>SOURCE</v>
      </c>
      <c r="O752" s="24" t="str">
        <f>IF('query (2)'!E752="","NOT_SPECIFIED",TRIM(UPPER('query (2)'!E752)))</f>
        <v>GRINDING 2</v>
      </c>
      <c r="P752" s="24" t="str">
        <f>IF('query (2)'!F752="","",TRIM(UPPER('query (2)'!F752)))</f>
        <v>1109-BW3G</v>
      </c>
      <c r="Q752" s="24" t="str">
        <f>IF('query (2)'!G752="","UNKNOWN",IFERROR(INDEX(Cleaning_Rules!$B$38:$B$46,MATCH(TRIM(UPPER('query (2)'!G752)),Cleaning_Rules!$A$38:$A$46,0)),"UNKNOWN"))</f>
        <v>OTHER</v>
      </c>
      <c r="R752" s="24" t="str">
        <f>IF('query (2)'!H752="","",TRIM(UPPER('query (2)'!H752)))</f>
        <v>MAGNET FILTER COOLANT TANK NO.5</v>
      </c>
      <c r="S752" s="25" t="str">
        <f>IF('query (2)'!H752="","",'query (2)'!H752)</f>
        <v>Magnet  filter  coolant  tank  NO.5</v>
      </c>
      <c r="T752" s="24" t="str">
        <f>IF('query (2)'!J752="","",TRIM(UPPER('query (2)'!J752)))</f>
        <v>MAGNET FILTER COOLANT TANK</v>
      </c>
      <c r="U752" s="24" t="str">
        <f t="shared" si="80"/>
        <v/>
      </c>
      <c r="V752" s="24" t="str">
        <f>IF('query (2)'!K752="","NOT_SPECIFIED",IFERROR(INDEX(Cleaning_Rules!$B$32:$B$34,MATCH(TRIM(UPPER('query (2)'!K752)),Cleaning_Rules!$A$32:$A$34,0)),"UNKNOWN"))</f>
        <v>NOT_SPECIFIED</v>
      </c>
      <c r="W752" s="24" t="str">
        <f t="shared" si="81"/>
        <v>FI-148 | FACTORY3 | BWD3 | BWD | GRINDING 2 | 1109-BW3G | OTHER | MAGNET FILTER COOLANT TANK NO.5 | MAGNET FILTER COOLANT TANK | NOT_SPECIFIED</v>
      </c>
      <c r="X752" s="24" t="str">
        <f t="shared" si="82"/>
        <v/>
      </c>
      <c r="Y752" s="24" t="str">
        <f t="shared" si="83"/>
        <v>MISSING_STATUS; CATEGORY_NOT_USEFUL</v>
      </c>
    </row>
    <row r="753" spans="1:25" x14ac:dyDescent="0.3">
      <c r="A753" s="24" t="str">
        <f t="shared" si="77"/>
        <v>CH-945#0752</v>
      </c>
      <c r="B753" s="24" t="str">
        <f>IF('query (2)'!B753="","",TRIM(UPPER('query (2)'!B753)))</f>
        <v>CH-945</v>
      </c>
      <c r="C753" s="25" t="str">
        <f>IF('query (2)'!B753="","",'query (2)'!B753)</f>
        <v>CH-945</v>
      </c>
      <c r="D753" s="24" t="str">
        <f t="shared" si="78"/>
        <v>CH</v>
      </c>
      <c r="E753" s="24">
        <f t="shared" si="79"/>
        <v>1</v>
      </c>
      <c r="F753" s="24">
        <f>IF('query (2)'!A753="","",IFERROR(VALUE('query (2)'!A753),""))</f>
        <v>771</v>
      </c>
      <c r="G753" s="24" t="str">
        <f>IF('query (2)'!C753="","UNKNOWN",IFERROR(INDEX(Cleaning_Rules!$B$15:$B$20,MATCH(TRIM(UPPER('query (2)'!C753)),Cleaning_Rules!$A$15:$A$20,0)),"UNKNOWN"))</f>
        <v>FACTORY3</v>
      </c>
      <c r="H753" s="25" t="str">
        <f>IF('query (2)'!C753="","",'query (2)'!C753)</f>
        <v>FACTORY3</v>
      </c>
      <c r="I753" s="24" t="str" cm="1">
        <f t="array" ref="I753">_xlfn.IFS($G753="UNKNOWN","UNKNOWN",OR($G753="FACTORY1",$G753="FACTORY2",$G753="FACTORY3"),"PLANT",TRUE,"SHARED")</f>
        <v>PLANT</v>
      </c>
      <c r="J753" s="24" t="str">
        <f>IF('query (2)'!D753="","UNKNOWN",IF(COUNTIF(Cleaning_Rules!$A$6:$A$11,TRIM('query (2)'!D753))&gt;0,"UNKNOWN",IFERROR(INDEX(Cleaning_Rules!$B$24:$B$28,MATCH(TRIM(UPPER('query (2)'!D753)),Cleaning_Rules!$A$24:$A$28,0)),TRIM(UPPER('query (2)'!D753)))))</f>
        <v>BWD3</v>
      </c>
      <c r="K753" s="25" t="str">
        <f>IF('query (2)'!D753="","",'query (2)'!D753)</f>
        <v>BWD3</v>
      </c>
      <c r="L753" s="24" t="str">
        <f>IF($J753="UNKNOWN","",_xlfn.TEXTBEFORE($J753,{"0","1","2","3","4","5","6","7","8","9"," ","-","."},1,,,$J753))</f>
        <v>BWD</v>
      </c>
      <c r="M753" s="24" t="str">
        <f>IF('query (2)'!I753&lt;&gt;"",TRIM(UPPER('query (2)'!I753)),IF($L753="","UNKNOWN",$L753))</f>
        <v>BWD</v>
      </c>
      <c r="N753" s="24" t="str">
        <f>IF('query (2)'!I753&lt;&gt;"","SOURCE",IF($L753="","UNKNOWN","DERIVED"))</f>
        <v>SOURCE</v>
      </c>
      <c r="O753" s="24" t="str">
        <f>IF('query (2)'!E753="","NOT_SPECIFIED",TRIM(UPPER('query (2)'!E753)))</f>
        <v>GRINDING 2</v>
      </c>
      <c r="P753" s="24" t="str">
        <f>IF('query (2)'!F753="","",TRIM(UPPER('query (2)'!F753)))</f>
        <v>1109-BW3G</v>
      </c>
      <c r="Q753" s="24" t="str">
        <f>IF('query (2)'!G753="","UNKNOWN",IFERROR(INDEX(Cleaning_Rules!$B$38:$B$46,MATCH(TRIM(UPPER('query (2)'!G753)),Cleaning_Rules!$A$38:$A$46,0)),"UNKNOWN"))</f>
        <v>OTHER</v>
      </c>
      <c r="R753" s="24" t="str">
        <f>IF('query (2)'!H753="","",TRIM(UPPER('query (2)'!H753)))</f>
        <v>OUTER/INNER RING EDDY CURRENT TESTER MACHINE</v>
      </c>
      <c r="S753" s="25" t="str">
        <f>IF('query (2)'!H753="","",'query (2)'!H753)</f>
        <v>Outer/Inner ring Eddy current tester machine</v>
      </c>
      <c r="T753" s="24" t="str">
        <f>IF('query (2)'!J753="","",TRIM(UPPER('query (2)'!J753)))</f>
        <v>A&amp;B - E.C.T.</v>
      </c>
      <c r="U753" s="24" t="str">
        <f t="shared" si="80"/>
        <v/>
      </c>
      <c r="V753" s="24" t="str">
        <f>IF('query (2)'!K753="","NOT_SPECIFIED",IFERROR(INDEX(Cleaning_Rules!$B$32:$B$34,MATCH(TRIM(UPPER('query (2)'!K753)),Cleaning_Rules!$A$32:$A$34,0)),"UNKNOWN"))</f>
        <v>NOT_SPECIFIED</v>
      </c>
      <c r="W753" s="24" t="str">
        <f t="shared" si="81"/>
        <v>CH-945 | FACTORY3 | BWD3 | BWD | GRINDING 2 | 1109-BW3G | OTHER | OUTER/INNER RING EDDY CURRENT TESTER MACHINE | A&amp;B - E.C.T. | NOT_SPECIFIED</v>
      </c>
      <c r="X753" s="24" t="str">
        <f t="shared" si="82"/>
        <v/>
      </c>
      <c r="Y753" s="24" t="str">
        <f t="shared" si="83"/>
        <v>MISSING_STATUS; CATEGORY_NOT_USEFUL</v>
      </c>
    </row>
    <row r="754" spans="1:25" x14ac:dyDescent="0.3">
      <c r="A754" s="24" t="str">
        <f t="shared" si="77"/>
        <v>KT-769#0753</v>
      </c>
      <c r="B754" s="24" t="str">
        <f>IF('query (2)'!B754="","",TRIM(UPPER('query (2)'!B754)))</f>
        <v>KT-769</v>
      </c>
      <c r="C754" s="25" t="str">
        <f>IF('query (2)'!B754="","",'query (2)'!B754)</f>
        <v>KT-769</v>
      </c>
      <c r="D754" s="24" t="str">
        <f t="shared" si="78"/>
        <v>KT</v>
      </c>
      <c r="E754" s="24">
        <f t="shared" si="79"/>
        <v>1</v>
      </c>
      <c r="F754" s="24">
        <f>IF('query (2)'!A754="","",IFERROR(VALUE('query (2)'!A754),""))</f>
        <v>772</v>
      </c>
      <c r="G754" s="24" t="str">
        <f>IF('query (2)'!C754="","UNKNOWN",IFERROR(INDEX(Cleaning_Rules!$B$15:$B$20,MATCH(TRIM(UPPER('query (2)'!C754)),Cleaning_Rules!$A$15:$A$20,0)),"UNKNOWN"))</f>
        <v>FACTORY3</v>
      </c>
      <c r="H754" s="25" t="str">
        <f>IF('query (2)'!C754="","",'query (2)'!C754)</f>
        <v>FACTORY3</v>
      </c>
      <c r="I754" s="24" t="str" cm="1">
        <f t="array" ref="I754">_xlfn.IFS($G754="UNKNOWN","UNKNOWN",OR($G754="FACTORY1",$G754="FACTORY2",$G754="FACTORY3"),"PLANT",TRUE,"SHARED")</f>
        <v>PLANT</v>
      </c>
      <c r="J754" s="24" t="str">
        <f>IF('query (2)'!D754="","UNKNOWN",IF(COUNTIF(Cleaning_Rules!$A$6:$A$11,TRIM('query (2)'!D754))&gt;0,"UNKNOWN",IFERROR(INDEX(Cleaning_Rules!$B$24:$B$28,MATCH(TRIM(UPPER('query (2)'!D754)),Cleaning_Rules!$A$24:$A$28,0)),TRIM(UPPER('query (2)'!D754)))))</f>
        <v>KWDL2-3</v>
      </c>
      <c r="K754" s="25" t="str">
        <f>IF('query (2)'!D754="","",'query (2)'!D754)</f>
        <v>KWDL2-3</v>
      </c>
      <c r="L754" s="24" t="str">
        <f>IF($J754="UNKNOWN","",_xlfn.TEXTBEFORE($J754,{"0","1","2","3","4","5","6","7","8","9"," ","-","."},1,,,$J754))</f>
        <v>KWDL</v>
      </c>
      <c r="M754" s="24" t="str">
        <f>IF('query (2)'!I754&lt;&gt;"",TRIM(UPPER('query (2)'!I754)),IF($L754="","UNKNOWN",$L754))</f>
        <v>KWDL</v>
      </c>
      <c r="N754" s="24" t="str">
        <f>IF('query (2)'!I754&lt;&gt;"","SOURCE",IF($L754="","UNKNOWN","DERIVED"))</f>
        <v>SOURCE</v>
      </c>
      <c r="O754" s="24" t="str">
        <f>IF('query (2)'!E754="","NOT_SPECIFIED",TRIM(UPPER('query (2)'!E754)))</f>
        <v>GRINDING 2</v>
      </c>
      <c r="P754" s="24" t="str">
        <f>IF('query (2)'!F754="","",TRIM(UPPER('query (2)'!F754)))</f>
        <v/>
      </c>
      <c r="Q754" s="24" t="str">
        <f>IF('query (2)'!G754="","UNKNOWN",IFERROR(INDEX(Cleaning_Rules!$B$38:$B$46,MATCH(TRIM(UPPER('query (2)'!G754)),Cleaning_Rules!$A$38:$A$46,0)),"UNKNOWN"))</f>
        <v>OTHER</v>
      </c>
      <c r="R754" s="24" t="str">
        <f>IF('query (2)'!H754="","",TRIM(UPPER('query (2)'!H754)))</f>
        <v>A-CNC TURNING MACHINE</v>
      </c>
      <c r="S754" s="25" t="str">
        <f>IF('query (2)'!H754="","",'query (2)'!H754)</f>
        <v>A-CNC Turning Machine</v>
      </c>
      <c r="T754" s="24" t="str">
        <f>IF('query (2)'!J754="","",TRIM(UPPER('query (2)'!J754)))</f>
        <v/>
      </c>
      <c r="U754" s="24" t="str">
        <f t="shared" si="80"/>
        <v/>
      </c>
      <c r="V754" s="24" t="str">
        <f>IF('query (2)'!K754="","NOT_SPECIFIED",IFERROR(INDEX(Cleaning_Rules!$B$32:$B$34,MATCH(TRIM(UPPER('query (2)'!K754)),Cleaning_Rules!$A$32:$A$34,0)),"UNKNOWN"))</f>
        <v>NOT_SPECIFIED</v>
      </c>
      <c r="W754" s="24" t="str">
        <f t="shared" si="81"/>
        <v>KT-769 | FACTORY3 | KWDL2-3 | KWDL | GRINDING 2 | OTHER | A-CNC TURNING MACHINE | NOT_SPECIFIED</v>
      </c>
      <c r="X754" s="24" t="str">
        <f t="shared" si="82"/>
        <v>MISSING_COST_CENTER</v>
      </c>
      <c r="Y754" s="24" t="str">
        <f t="shared" si="83"/>
        <v>MISSING_STATUS; CATEGORY_NOT_USEFUL; MISSING_PRODUCTION_NAME</v>
      </c>
    </row>
    <row r="755" spans="1:25" x14ac:dyDescent="0.3">
      <c r="A755" s="24" t="str">
        <f t="shared" si="77"/>
        <v>KT-770#0754</v>
      </c>
      <c r="B755" s="24" t="str">
        <f>IF('query (2)'!B755="","",TRIM(UPPER('query (2)'!B755)))</f>
        <v>KT-770</v>
      </c>
      <c r="C755" s="25" t="str">
        <f>IF('query (2)'!B755="","",'query (2)'!B755)</f>
        <v>KT-770</v>
      </c>
      <c r="D755" s="24" t="str">
        <f t="shared" si="78"/>
        <v>KT</v>
      </c>
      <c r="E755" s="24">
        <f t="shared" si="79"/>
        <v>1</v>
      </c>
      <c r="F755" s="24">
        <f>IF('query (2)'!A755="","",IFERROR(VALUE('query (2)'!A755),""))</f>
        <v>773</v>
      </c>
      <c r="G755" s="24" t="str">
        <f>IF('query (2)'!C755="","UNKNOWN",IFERROR(INDEX(Cleaning_Rules!$B$15:$B$20,MATCH(TRIM(UPPER('query (2)'!C755)),Cleaning_Rules!$A$15:$A$20,0)),"UNKNOWN"))</f>
        <v>FACTORY3</v>
      </c>
      <c r="H755" s="25" t="str">
        <f>IF('query (2)'!C755="","",'query (2)'!C755)</f>
        <v>FACTORY3</v>
      </c>
      <c r="I755" s="24" t="str" cm="1">
        <f t="array" ref="I755">_xlfn.IFS($G755="UNKNOWN","UNKNOWN",OR($G755="FACTORY1",$G755="FACTORY2",$G755="FACTORY3"),"PLANT",TRUE,"SHARED")</f>
        <v>PLANT</v>
      </c>
      <c r="J755" s="24" t="str">
        <f>IF('query (2)'!D755="","UNKNOWN",IF(COUNTIF(Cleaning_Rules!$A$6:$A$11,TRIM('query (2)'!D755))&gt;0,"UNKNOWN",IFERROR(INDEX(Cleaning_Rules!$B$24:$B$28,MATCH(TRIM(UPPER('query (2)'!D755)),Cleaning_Rules!$A$24:$A$28,0)),TRIM(UPPER('query (2)'!D755)))))</f>
        <v>KWDL2-3</v>
      </c>
      <c r="K755" s="25" t="str">
        <f>IF('query (2)'!D755="","",'query (2)'!D755)</f>
        <v>KWDL2-3</v>
      </c>
      <c r="L755" s="24" t="str">
        <f>IF($J755="UNKNOWN","",_xlfn.TEXTBEFORE($J755,{"0","1","2","3","4","5","6","7","8","9"," ","-","."},1,,,$J755))</f>
        <v>KWDL</v>
      </c>
      <c r="M755" s="24" t="str">
        <f>IF('query (2)'!I755&lt;&gt;"",TRIM(UPPER('query (2)'!I755)),IF($L755="","UNKNOWN",$L755))</f>
        <v>KWDL</v>
      </c>
      <c r="N755" s="24" t="str">
        <f>IF('query (2)'!I755&lt;&gt;"","SOURCE",IF($L755="","UNKNOWN","DERIVED"))</f>
        <v>SOURCE</v>
      </c>
      <c r="O755" s="24" t="str">
        <f>IF('query (2)'!E755="","NOT_SPECIFIED",TRIM(UPPER('query (2)'!E755)))</f>
        <v>GRINDING 2</v>
      </c>
      <c r="P755" s="24" t="str">
        <f>IF('query (2)'!F755="","",TRIM(UPPER('query (2)'!F755)))</f>
        <v/>
      </c>
      <c r="Q755" s="24" t="str">
        <f>IF('query (2)'!G755="","UNKNOWN",IFERROR(INDEX(Cleaning_Rules!$B$38:$B$46,MATCH(TRIM(UPPER('query (2)'!G755)),Cleaning_Rules!$A$38:$A$46,0)),"UNKNOWN"))</f>
        <v>OTHER</v>
      </c>
      <c r="R755" s="24" t="str">
        <f>IF('query (2)'!H755="","",TRIM(UPPER('query (2)'!H755)))</f>
        <v>B-CNC TURNING MACHINE NO.1</v>
      </c>
      <c r="S755" s="25" t="str">
        <f>IF('query (2)'!H755="","",'query (2)'!H755)</f>
        <v>B-CNC Turning Machine No.1</v>
      </c>
      <c r="T755" s="24" t="str">
        <f>IF('query (2)'!J755="","",TRIM(UPPER('query (2)'!J755)))</f>
        <v/>
      </c>
      <c r="U755" s="24" t="str">
        <f t="shared" si="80"/>
        <v/>
      </c>
      <c r="V755" s="24" t="str">
        <f>IF('query (2)'!K755="","NOT_SPECIFIED",IFERROR(INDEX(Cleaning_Rules!$B$32:$B$34,MATCH(TRIM(UPPER('query (2)'!K755)),Cleaning_Rules!$A$32:$A$34,0)),"UNKNOWN"))</f>
        <v>NOT_SPECIFIED</v>
      </c>
      <c r="W755" s="24" t="str">
        <f t="shared" si="81"/>
        <v>KT-770 | FACTORY3 | KWDL2-3 | KWDL | GRINDING 2 | OTHER | B-CNC TURNING MACHINE NO.1 | NOT_SPECIFIED</v>
      </c>
      <c r="X755" s="24" t="str">
        <f t="shared" si="82"/>
        <v>MISSING_COST_CENTER</v>
      </c>
      <c r="Y755" s="24" t="str">
        <f t="shared" si="83"/>
        <v>MISSING_STATUS; CATEGORY_NOT_USEFUL; MISSING_PRODUCTION_NAME</v>
      </c>
    </row>
    <row r="756" spans="1:25" x14ac:dyDescent="0.3">
      <c r="A756" s="24" t="str">
        <f t="shared" si="77"/>
        <v>KT-771#0755</v>
      </c>
      <c r="B756" s="24" t="str">
        <f>IF('query (2)'!B756="","",TRIM(UPPER('query (2)'!B756)))</f>
        <v>KT-771</v>
      </c>
      <c r="C756" s="25" t="str">
        <f>IF('query (2)'!B756="","",'query (2)'!B756)</f>
        <v>KT-771</v>
      </c>
      <c r="D756" s="24" t="str">
        <f t="shared" si="78"/>
        <v>KT</v>
      </c>
      <c r="E756" s="24">
        <f t="shared" si="79"/>
        <v>1</v>
      </c>
      <c r="F756" s="24">
        <f>IF('query (2)'!A756="","",IFERROR(VALUE('query (2)'!A756),""))</f>
        <v>774</v>
      </c>
      <c r="G756" s="24" t="str">
        <f>IF('query (2)'!C756="","UNKNOWN",IFERROR(INDEX(Cleaning_Rules!$B$15:$B$20,MATCH(TRIM(UPPER('query (2)'!C756)),Cleaning_Rules!$A$15:$A$20,0)),"UNKNOWN"))</f>
        <v>FACTORY3</v>
      </c>
      <c r="H756" s="25" t="str">
        <f>IF('query (2)'!C756="","",'query (2)'!C756)</f>
        <v>FACTORY3</v>
      </c>
      <c r="I756" s="24" t="str" cm="1">
        <f t="array" ref="I756">_xlfn.IFS($G756="UNKNOWN","UNKNOWN",OR($G756="FACTORY1",$G756="FACTORY2",$G756="FACTORY3"),"PLANT",TRUE,"SHARED")</f>
        <v>PLANT</v>
      </c>
      <c r="J756" s="24" t="str">
        <f>IF('query (2)'!D756="","UNKNOWN",IF(COUNTIF(Cleaning_Rules!$A$6:$A$11,TRIM('query (2)'!D756))&gt;0,"UNKNOWN",IFERROR(INDEX(Cleaning_Rules!$B$24:$B$28,MATCH(TRIM(UPPER('query (2)'!D756)),Cleaning_Rules!$A$24:$A$28,0)),TRIM(UPPER('query (2)'!D756)))))</f>
        <v>KWDL2-3</v>
      </c>
      <c r="K756" s="25" t="str">
        <f>IF('query (2)'!D756="","",'query (2)'!D756)</f>
        <v>KWDL2-3</v>
      </c>
      <c r="L756" s="24" t="str">
        <f>IF($J756="UNKNOWN","",_xlfn.TEXTBEFORE($J756,{"0","1","2","3","4","5","6","7","8","9"," ","-","."},1,,,$J756))</f>
        <v>KWDL</v>
      </c>
      <c r="M756" s="24" t="str">
        <f>IF('query (2)'!I756&lt;&gt;"",TRIM(UPPER('query (2)'!I756)),IF($L756="","UNKNOWN",$L756))</f>
        <v>KWDL</v>
      </c>
      <c r="N756" s="24" t="str">
        <f>IF('query (2)'!I756&lt;&gt;"","SOURCE",IF($L756="","UNKNOWN","DERIVED"))</f>
        <v>SOURCE</v>
      </c>
      <c r="O756" s="24" t="str">
        <f>IF('query (2)'!E756="","NOT_SPECIFIED",TRIM(UPPER('query (2)'!E756)))</f>
        <v>GRINDING 2</v>
      </c>
      <c r="P756" s="24" t="str">
        <f>IF('query (2)'!F756="","",TRIM(UPPER('query (2)'!F756)))</f>
        <v/>
      </c>
      <c r="Q756" s="24" t="str">
        <f>IF('query (2)'!G756="","UNKNOWN",IFERROR(INDEX(Cleaning_Rules!$B$38:$B$46,MATCH(TRIM(UPPER('query (2)'!G756)),Cleaning_Rules!$A$38:$A$46,0)),"UNKNOWN"))</f>
        <v>OTHER</v>
      </c>
      <c r="R756" s="24" t="str">
        <f>IF('query (2)'!H756="","",TRIM(UPPER('query (2)'!H756)))</f>
        <v>B-CNC TURNING MACHINE NO.2</v>
      </c>
      <c r="S756" s="25" t="str">
        <f>IF('query (2)'!H756="","",'query (2)'!H756)</f>
        <v>B-CNC Turning Machine No.2</v>
      </c>
      <c r="T756" s="24" t="str">
        <f>IF('query (2)'!J756="","",TRIM(UPPER('query (2)'!J756)))</f>
        <v/>
      </c>
      <c r="U756" s="24" t="str">
        <f t="shared" si="80"/>
        <v/>
      </c>
      <c r="V756" s="24" t="str">
        <f>IF('query (2)'!K756="","NOT_SPECIFIED",IFERROR(INDEX(Cleaning_Rules!$B$32:$B$34,MATCH(TRIM(UPPER('query (2)'!K756)),Cleaning_Rules!$A$32:$A$34,0)),"UNKNOWN"))</f>
        <v>NOT_SPECIFIED</v>
      </c>
      <c r="W756" s="24" t="str">
        <f t="shared" si="81"/>
        <v>KT-771 | FACTORY3 | KWDL2-3 | KWDL | GRINDING 2 | OTHER | B-CNC TURNING MACHINE NO.2 | NOT_SPECIFIED</v>
      </c>
      <c r="X756" s="24" t="str">
        <f t="shared" si="82"/>
        <v>MISSING_COST_CENTER</v>
      </c>
      <c r="Y756" s="24" t="str">
        <f t="shared" si="83"/>
        <v>MISSING_STATUS; CATEGORY_NOT_USEFUL; MISSING_PRODUCTION_NAME</v>
      </c>
    </row>
    <row r="757" spans="1:25" x14ac:dyDescent="0.3">
      <c r="A757" s="24" t="str">
        <f t="shared" si="77"/>
        <v>KT-772#0756</v>
      </c>
      <c r="B757" s="24" t="str">
        <f>IF('query (2)'!B757="","",TRIM(UPPER('query (2)'!B757)))</f>
        <v>KT-772</v>
      </c>
      <c r="C757" s="25" t="str">
        <f>IF('query (2)'!B757="","",'query (2)'!B757)</f>
        <v>KT-772</v>
      </c>
      <c r="D757" s="24" t="str">
        <f t="shared" si="78"/>
        <v>KT</v>
      </c>
      <c r="E757" s="24">
        <f t="shared" si="79"/>
        <v>1</v>
      </c>
      <c r="F757" s="24">
        <f>IF('query (2)'!A757="","",IFERROR(VALUE('query (2)'!A757),""))</f>
        <v>775</v>
      </c>
      <c r="G757" s="24" t="str">
        <f>IF('query (2)'!C757="","UNKNOWN",IFERROR(INDEX(Cleaning_Rules!$B$15:$B$20,MATCH(TRIM(UPPER('query (2)'!C757)),Cleaning_Rules!$A$15:$A$20,0)),"UNKNOWN"))</f>
        <v>FACTORY3</v>
      </c>
      <c r="H757" s="25" t="str">
        <f>IF('query (2)'!C757="","",'query (2)'!C757)</f>
        <v>FACTORY3</v>
      </c>
      <c r="I757" s="24" t="str" cm="1">
        <f t="array" ref="I757">_xlfn.IFS($G757="UNKNOWN","UNKNOWN",OR($G757="FACTORY1",$G757="FACTORY2",$G757="FACTORY3"),"PLANT",TRUE,"SHARED")</f>
        <v>PLANT</v>
      </c>
      <c r="J757" s="24" t="str">
        <f>IF('query (2)'!D757="","UNKNOWN",IF(COUNTIF(Cleaning_Rules!$A$6:$A$11,TRIM('query (2)'!D757))&gt;0,"UNKNOWN",IFERROR(INDEX(Cleaning_Rules!$B$24:$B$28,MATCH(TRIM(UPPER('query (2)'!D757)),Cleaning_Rules!$A$24:$A$28,0)),TRIM(UPPER('query (2)'!D757)))))</f>
        <v>KWDL2-4</v>
      </c>
      <c r="K757" s="25" t="str">
        <f>IF('query (2)'!D757="","",'query (2)'!D757)</f>
        <v>KWDL2-4</v>
      </c>
      <c r="L757" s="24" t="str">
        <f>IF($J757="UNKNOWN","",_xlfn.TEXTBEFORE($J757,{"0","1","2","3","4","5","6","7","8","9"," ","-","."},1,,,$J757))</f>
        <v>KWDL</v>
      </c>
      <c r="M757" s="24" t="str">
        <f>IF('query (2)'!I757&lt;&gt;"",TRIM(UPPER('query (2)'!I757)),IF($L757="","UNKNOWN",$L757))</f>
        <v>KWDL</v>
      </c>
      <c r="N757" s="24" t="str">
        <f>IF('query (2)'!I757&lt;&gt;"","SOURCE",IF($L757="","UNKNOWN","DERIVED"))</f>
        <v>SOURCE</v>
      </c>
      <c r="O757" s="24" t="str">
        <f>IF('query (2)'!E757="","NOT_SPECIFIED",TRIM(UPPER('query (2)'!E757)))</f>
        <v>GRINDING 2</v>
      </c>
      <c r="P757" s="24" t="str">
        <f>IF('query (2)'!F757="","",TRIM(UPPER('query (2)'!F757)))</f>
        <v/>
      </c>
      <c r="Q757" s="24" t="str">
        <f>IF('query (2)'!G757="","UNKNOWN",IFERROR(INDEX(Cleaning_Rules!$B$38:$B$46,MATCH(TRIM(UPPER('query (2)'!G757)),Cleaning_Rules!$A$38:$A$46,0)),"UNKNOWN"))</f>
        <v>OTHER</v>
      </c>
      <c r="R757" s="24" t="str">
        <f>IF('query (2)'!H757="","",TRIM(UPPER('query (2)'!H757)))</f>
        <v>A-CNC TURNING MACHINE</v>
      </c>
      <c r="S757" s="25" t="str">
        <f>IF('query (2)'!H757="","",'query (2)'!H757)</f>
        <v>A-CNC Turning Machine</v>
      </c>
      <c r="T757" s="24" t="str">
        <f>IF('query (2)'!J757="","",TRIM(UPPER('query (2)'!J757)))</f>
        <v/>
      </c>
      <c r="U757" s="24" t="str">
        <f t="shared" si="80"/>
        <v/>
      </c>
      <c r="V757" s="24" t="str">
        <f>IF('query (2)'!K757="","NOT_SPECIFIED",IFERROR(INDEX(Cleaning_Rules!$B$32:$B$34,MATCH(TRIM(UPPER('query (2)'!K757)),Cleaning_Rules!$A$32:$A$34,0)),"UNKNOWN"))</f>
        <v>NOT_SPECIFIED</v>
      </c>
      <c r="W757" s="24" t="str">
        <f t="shared" si="81"/>
        <v>KT-772 | FACTORY3 | KWDL2-4 | KWDL | GRINDING 2 | OTHER | A-CNC TURNING MACHINE | NOT_SPECIFIED</v>
      </c>
      <c r="X757" s="24" t="str">
        <f t="shared" si="82"/>
        <v>MISSING_COST_CENTER</v>
      </c>
      <c r="Y757" s="24" t="str">
        <f t="shared" si="83"/>
        <v>MISSING_STATUS; CATEGORY_NOT_USEFUL; MISSING_PRODUCTION_NAME</v>
      </c>
    </row>
    <row r="758" spans="1:25" x14ac:dyDescent="0.3">
      <c r="A758" s="24" t="str">
        <f t="shared" si="77"/>
        <v>KT-773#0757</v>
      </c>
      <c r="B758" s="24" t="str">
        <f>IF('query (2)'!B758="","",TRIM(UPPER('query (2)'!B758)))</f>
        <v>KT-773</v>
      </c>
      <c r="C758" s="25" t="str">
        <f>IF('query (2)'!B758="","",'query (2)'!B758)</f>
        <v>KT-773</v>
      </c>
      <c r="D758" s="24" t="str">
        <f t="shared" si="78"/>
        <v>KT</v>
      </c>
      <c r="E758" s="24">
        <f t="shared" si="79"/>
        <v>1</v>
      </c>
      <c r="F758" s="24">
        <f>IF('query (2)'!A758="","",IFERROR(VALUE('query (2)'!A758),""))</f>
        <v>776</v>
      </c>
      <c r="G758" s="24" t="str">
        <f>IF('query (2)'!C758="","UNKNOWN",IFERROR(INDEX(Cleaning_Rules!$B$15:$B$20,MATCH(TRIM(UPPER('query (2)'!C758)),Cleaning_Rules!$A$15:$A$20,0)),"UNKNOWN"))</f>
        <v>FACTORY3</v>
      </c>
      <c r="H758" s="25" t="str">
        <f>IF('query (2)'!C758="","",'query (2)'!C758)</f>
        <v>FACTORY3</v>
      </c>
      <c r="I758" s="24" t="str" cm="1">
        <f t="array" ref="I758">_xlfn.IFS($G758="UNKNOWN","UNKNOWN",OR($G758="FACTORY1",$G758="FACTORY2",$G758="FACTORY3"),"PLANT",TRUE,"SHARED")</f>
        <v>PLANT</v>
      </c>
      <c r="J758" s="24" t="str">
        <f>IF('query (2)'!D758="","UNKNOWN",IF(COUNTIF(Cleaning_Rules!$A$6:$A$11,TRIM('query (2)'!D758))&gt;0,"UNKNOWN",IFERROR(INDEX(Cleaning_Rules!$B$24:$B$28,MATCH(TRIM(UPPER('query (2)'!D758)),Cleaning_Rules!$A$24:$A$28,0)),TRIM(UPPER('query (2)'!D758)))))</f>
        <v>KWDL2-4</v>
      </c>
      <c r="K758" s="25" t="str">
        <f>IF('query (2)'!D758="","",'query (2)'!D758)</f>
        <v>KWDL2-4</v>
      </c>
      <c r="L758" s="24" t="str">
        <f>IF($J758="UNKNOWN","",_xlfn.TEXTBEFORE($J758,{"0","1","2","3","4","5","6","7","8","9"," ","-","."},1,,,$J758))</f>
        <v>KWDL</v>
      </c>
      <c r="M758" s="24" t="str">
        <f>IF('query (2)'!I758&lt;&gt;"",TRIM(UPPER('query (2)'!I758)),IF($L758="","UNKNOWN",$L758))</f>
        <v>KWDL</v>
      </c>
      <c r="N758" s="24" t="str">
        <f>IF('query (2)'!I758&lt;&gt;"","SOURCE",IF($L758="","UNKNOWN","DERIVED"))</f>
        <v>SOURCE</v>
      </c>
      <c r="O758" s="24" t="str">
        <f>IF('query (2)'!E758="","NOT_SPECIFIED",TRIM(UPPER('query (2)'!E758)))</f>
        <v>GRINDING 2</v>
      </c>
      <c r="P758" s="24" t="str">
        <f>IF('query (2)'!F758="","",TRIM(UPPER('query (2)'!F758)))</f>
        <v/>
      </c>
      <c r="Q758" s="24" t="str">
        <f>IF('query (2)'!G758="","UNKNOWN",IFERROR(INDEX(Cleaning_Rules!$B$38:$B$46,MATCH(TRIM(UPPER('query (2)'!G758)),Cleaning_Rules!$A$38:$A$46,0)),"UNKNOWN"))</f>
        <v>OTHER</v>
      </c>
      <c r="R758" s="24" t="str">
        <f>IF('query (2)'!H758="","",TRIM(UPPER('query (2)'!H758)))</f>
        <v>B-CNC TURNING MACHINE NO.1</v>
      </c>
      <c r="S758" s="25" t="str">
        <f>IF('query (2)'!H758="","",'query (2)'!H758)</f>
        <v>B-CNC Turning Machine No.1</v>
      </c>
      <c r="T758" s="24" t="str">
        <f>IF('query (2)'!J758="","",TRIM(UPPER('query (2)'!J758)))</f>
        <v/>
      </c>
      <c r="U758" s="24" t="str">
        <f t="shared" si="80"/>
        <v/>
      </c>
      <c r="V758" s="24" t="str">
        <f>IF('query (2)'!K758="","NOT_SPECIFIED",IFERROR(INDEX(Cleaning_Rules!$B$32:$B$34,MATCH(TRIM(UPPER('query (2)'!K758)),Cleaning_Rules!$A$32:$A$34,0)),"UNKNOWN"))</f>
        <v>NOT_SPECIFIED</v>
      </c>
      <c r="W758" s="24" t="str">
        <f t="shared" si="81"/>
        <v>KT-773 | FACTORY3 | KWDL2-4 | KWDL | GRINDING 2 | OTHER | B-CNC TURNING MACHINE NO.1 | NOT_SPECIFIED</v>
      </c>
      <c r="X758" s="24" t="str">
        <f t="shared" si="82"/>
        <v>MISSING_COST_CENTER</v>
      </c>
      <c r="Y758" s="24" t="str">
        <f t="shared" si="83"/>
        <v>MISSING_STATUS; CATEGORY_NOT_USEFUL; MISSING_PRODUCTION_NAME</v>
      </c>
    </row>
    <row r="759" spans="1:25" x14ac:dyDescent="0.3">
      <c r="A759" s="24" t="str">
        <f t="shared" si="77"/>
        <v>KT-774#0758</v>
      </c>
      <c r="B759" s="24" t="str">
        <f>IF('query (2)'!B759="","",TRIM(UPPER('query (2)'!B759)))</f>
        <v>KT-774</v>
      </c>
      <c r="C759" s="25" t="str">
        <f>IF('query (2)'!B759="","",'query (2)'!B759)</f>
        <v>KT-774</v>
      </c>
      <c r="D759" s="24" t="str">
        <f t="shared" si="78"/>
        <v>KT</v>
      </c>
      <c r="E759" s="24">
        <f t="shared" si="79"/>
        <v>1</v>
      </c>
      <c r="F759" s="24">
        <f>IF('query (2)'!A759="","",IFERROR(VALUE('query (2)'!A759),""))</f>
        <v>777</v>
      </c>
      <c r="G759" s="24" t="str">
        <f>IF('query (2)'!C759="","UNKNOWN",IFERROR(INDEX(Cleaning_Rules!$B$15:$B$20,MATCH(TRIM(UPPER('query (2)'!C759)),Cleaning_Rules!$A$15:$A$20,0)),"UNKNOWN"))</f>
        <v>FACTORY3</v>
      </c>
      <c r="H759" s="25" t="str">
        <f>IF('query (2)'!C759="","",'query (2)'!C759)</f>
        <v>FACTORY3</v>
      </c>
      <c r="I759" s="24" t="str" cm="1">
        <f t="array" ref="I759">_xlfn.IFS($G759="UNKNOWN","UNKNOWN",OR($G759="FACTORY1",$G759="FACTORY2",$G759="FACTORY3"),"PLANT",TRUE,"SHARED")</f>
        <v>PLANT</v>
      </c>
      <c r="J759" s="24" t="str">
        <f>IF('query (2)'!D759="","UNKNOWN",IF(COUNTIF(Cleaning_Rules!$A$6:$A$11,TRIM('query (2)'!D759))&gt;0,"UNKNOWN",IFERROR(INDEX(Cleaning_Rules!$B$24:$B$28,MATCH(TRIM(UPPER('query (2)'!D759)),Cleaning_Rules!$A$24:$A$28,0)),TRIM(UPPER('query (2)'!D759)))))</f>
        <v>KWDL2-4</v>
      </c>
      <c r="K759" s="25" t="str">
        <f>IF('query (2)'!D759="","",'query (2)'!D759)</f>
        <v>KWDL2-4</v>
      </c>
      <c r="L759" s="24" t="str">
        <f>IF($J759="UNKNOWN","",_xlfn.TEXTBEFORE($J759,{"0","1","2","3","4","5","6","7","8","9"," ","-","."},1,,,$J759))</f>
        <v>KWDL</v>
      </c>
      <c r="M759" s="24" t="str">
        <f>IF('query (2)'!I759&lt;&gt;"",TRIM(UPPER('query (2)'!I759)),IF($L759="","UNKNOWN",$L759))</f>
        <v>KWDL</v>
      </c>
      <c r="N759" s="24" t="str">
        <f>IF('query (2)'!I759&lt;&gt;"","SOURCE",IF($L759="","UNKNOWN","DERIVED"))</f>
        <v>SOURCE</v>
      </c>
      <c r="O759" s="24" t="str">
        <f>IF('query (2)'!E759="","NOT_SPECIFIED",TRIM(UPPER('query (2)'!E759)))</f>
        <v>GRINDING 2</v>
      </c>
      <c r="P759" s="24" t="str">
        <f>IF('query (2)'!F759="","",TRIM(UPPER('query (2)'!F759)))</f>
        <v/>
      </c>
      <c r="Q759" s="24" t="str">
        <f>IF('query (2)'!G759="","UNKNOWN",IFERROR(INDEX(Cleaning_Rules!$B$38:$B$46,MATCH(TRIM(UPPER('query (2)'!G759)),Cleaning_Rules!$A$38:$A$46,0)),"UNKNOWN"))</f>
        <v>OTHER</v>
      </c>
      <c r="R759" s="24" t="str">
        <f>IF('query (2)'!H759="","",TRIM(UPPER('query (2)'!H759)))</f>
        <v>B-CNC TURNING MACHINE NO.2</v>
      </c>
      <c r="S759" s="25" t="str">
        <f>IF('query (2)'!H759="","",'query (2)'!H759)</f>
        <v>B-CNC Turning Machine No.2</v>
      </c>
      <c r="T759" s="24" t="str">
        <f>IF('query (2)'!J759="","",TRIM(UPPER('query (2)'!J759)))</f>
        <v/>
      </c>
      <c r="U759" s="24" t="str">
        <f t="shared" si="80"/>
        <v/>
      </c>
      <c r="V759" s="24" t="str">
        <f>IF('query (2)'!K759="","NOT_SPECIFIED",IFERROR(INDEX(Cleaning_Rules!$B$32:$B$34,MATCH(TRIM(UPPER('query (2)'!K759)),Cleaning_Rules!$A$32:$A$34,0)),"UNKNOWN"))</f>
        <v>NOT_SPECIFIED</v>
      </c>
      <c r="W759" s="24" t="str">
        <f t="shared" si="81"/>
        <v>KT-774 | FACTORY3 | KWDL2-4 | KWDL | GRINDING 2 | OTHER | B-CNC TURNING MACHINE NO.2 | NOT_SPECIFIED</v>
      </c>
      <c r="X759" s="24" t="str">
        <f t="shared" si="82"/>
        <v>MISSING_COST_CENTER</v>
      </c>
      <c r="Y759" s="24" t="str">
        <f t="shared" si="83"/>
        <v>MISSING_STATUS; CATEGORY_NOT_USEFUL; MISSING_PRODUCTION_NAME</v>
      </c>
    </row>
    <row r="760" spans="1:25" x14ac:dyDescent="0.3">
      <c r="A760" s="24" t="str">
        <f t="shared" si="77"/>
        <v>CH-1067#0759</v>
      </c>
      <c r="B760" s="24" t="str">
        <f>IF('query (2)'!B760="","",TRIM(UPPER('query (2)'!B760)))</f>
        <v>CH-1067</v>
      </c>
      <c r="C760" s="25" t="str">
        <f>IF('query (2)'!B760="","",'query (2)'!B760)</f>
        <v>CH-1067</v>
      </c>
      <c r="D760" s="24" t="str">
        <f t="shared" si="78"/>
        <v>CH</v>
      </c>
      <c r="E760" s="24">
        <f t="shared" si="79"/>
        <v>1</v>
      </c>
      <c r="F760" s="24">
        <f>IF('query (2)'!A760="","",IFERROR(VALUE('query (2)'!A760),""))</f>
        <v>778</v>
      </c>
      <c r="G760" s="24" t="str">
        <f>IF('query (2)'!C760="","UNKNOWN",IFERROR(INDEX(Cleaning_Rules!$B$15:$B$20,MATCH(TRIM(UPPER('query (2)'!C760)),Cleaning_Rules!$A$15:$A$20,0)),"UNKNOWN"))</f>
        <v>FACTORY2</v>
      </c>
      <c r="H760" s="25" t="str">
        <f>IF('query (2)'!C760="","",'query (2)'!C760)</f>
        <v>FACTORY2</v>
      </c>
      <c r="I760" s="24" t="str" cm="1">
        <f t="array" ref="I760">_xlfn.IFS($G760="UNKNOWN","UNKNOWN",OR($G760="FACTORY1",$G760="FACTORY2",$G760="FACTORY3"),"PLANT",TRUE,"SHARED")</f>
        <v>PLANT</v>
      </c>
      <c r="J760" s="24" t="str">
        <f>IF('query (2)'!D760="","UNKNOWN",IF(COUNTIF(Cleaning_Rules!$A$6:$A$11,TRIM('query (2)'!D760))&gt;0,"UNKNOWN",IFERROR(INDEX(Cleaning_Rules!$B$24:$B$28,MATCH(TRIM(UPPER('query (2)'!D760)),Cleaning_Rules!$A$24:$A$28,0)),TRIM(UPPER('query (2)'!D760)))))</f>
        <v>SB1</v>
      </c>
      <c r="K760" s="25" t="str">
        <f>IF('query (2)'!D760="","",'query (2)'!D760)</f>
        <v>SB1</v>
      </c>
      <c r="L760" s="24" t="str">
        <f>IF($J760="UNKNOWN","",_xlfn.TEXTBEFORE($J760,{"0","1","2","3","4","5","6","7","8","9"," ","-","."},1,,,$J760))</f>
        <v>SB</v>
      </c>
      <c r="M760" s="24" t="str">
        <f>IF('query (2)'!I760&lt;&gt;"",TRIM(UPPER('query (2)'!I760)),IF($L760="","UNKNOWN",$L760))</f>
        <v>SB</v>
      </c>
      <c r="N760" s="24" t="str">
        <f>IF('query (2)'!I760&lt;&gt;"","SOURCE",IF($L760="","UNKNOWN","DERIVED"))</f>
        <v>SOURCE</v>
      </c>
      <c r="O760" s="24" t="str">
        <f>IF('query (2)'!E760="","NOT_SPECIFIED",TRIM(UPPER('query (2)'!E760)))</f>
        <v>ASSEMBLY</v>
      </c>
      <c r="P760" s="24" t="str">
        <f>IF('query (2)'!F760="","",TRIM(UPPER('query (2)'!F760)))</f>
        <v>1204-SB1AI</v>
      </c>
      <c r="Q760" s="24" t="str">
        <f>IF('query (2)'!G760="","UNKNOWN",IFERROR(INDEX(Cleaning_Rules!$B$38:$B$46,MATCH(TRIM(UPPER('query (2)'!G760)),Cleaning_Rules!$A$38:$A$46,0)),"UNKNOWN"))</f>
        <v>OTHER</v>
      </c>
      <c r="R760" s="24" t="str">
        <f>IF('query (2)'!H760="","",TRIM(UPPER('query (2)'!H760)))</f>
        <v>DIMENSION CHECKER MACHINE</v>
      </c>
      <c r="S760" s="25" t="str">
        <f>IF('query (2)'!H760="","",'query (2)'!H760)</f>
        <v>Dimension checker machine</v>
      </c>
      <c r="T760" s="24" t="str">
        <f>IF('query (2)'!J760="","",TRIM(UPPER('query (2)'!J760)))</f>
        <v>OD.CHECK AUTO</v>
      </c>
      <c r="U760" s="24" t="str">
        <f t="shared" si="80"/>
        <v/>
      </c>
      <c r="V760" s="24" t="str">
        <f>IF('query (2)'!K760="","NOT_SPECIFIED",IFERROR(INDEX(Cleaning_Rules!$B$32:$B$34,MATCH(TRIM(UPPER('query (2)'!K760)),Cleaning_Rules!$A$32:$A$34,0)),"UNKNOWN"))</f>
        <v>NOT_SPECIFIED</v>
      </c>
      <c r="W760" s="24" t="str">
        <f t="shared" si="81"/>
        <v>CH-1067 | FACTORY2 | SB1 | SB | ASSEMBLY | 1204-SB1AI | OTHER | DIMENSION CHECKER MACHINE | OD.CHECK AUTO | NOT_SPECIFIED</v>
      </c>
      <c r="X760" s="24" t="str">
        <f t="shared" si="82"/>
        <v/>
      </c>
      <c r="Y760" s="24" t="str">
        <f t="shared" si="83"/>
        <v>MISSING_STATUS; CATEGORY_NOT_USEFUL</v>
      </c>
    </row>
    <row r="761" spans="1:25" x14ac:dyDescent="0.3">
      <c r="A761" s="24" t="str">
        <f t="shared" si="77"/>
        <v>COM-1-1#0760</v>
      </c>
      <c r="B761" s="24" t="str">
        <f>IF('query (2)'!B761="","",TRIM(UPPER('query (2)'!B761)))</f>
        <v>COM-1-1</v>
      </c>
      <c r="C761" s="25" t="str">
        <f>IF('query (2)'!B761="","",'query (2)'!B761)</f>
        <v>COM-1-1</v>
      </c>
      <c r="D761" s="24" t="str">
        <f t="shared" si="78"/>
        <v>COM</v>
      </c>
      <c r="E761" s="24">
        <f t="shared" si="79"/>
        <v>1</v>
      </c>
      <c r="F761" s="24">
        <f>IF('query (2)'!A761="","",IFERROR(VALUE('query (2)'!A761),""))</f>
        <v>779</v>
      </c>
      <c r="G761" s="24" t="str">
        <f>IF('query (2)'!C761="","UNKNOWN",IFERROR(INDEX(Cleaning_Rules!$B$15:$B$20,MATCH(TRIM(UPPER('query (2)'!C761)),Cleaning_Rules!$A$15:$A$20,0)),"UNKNOWN"))</f>
        <v>UTILITY</v>
      </c>
      <c r="H761" s="25" t="str">
        <f>IF('query (2)'!C761="","",'query (2)'!C761)</f>
        <v>UTILITY</v>
      </c>
      <c r="I761" s="24" t="str" cm="1">
        <f t="array" ref="I761">_xlfn.IFS($G761="UNKNOWN","UNKNOWN",OR($G761="FACTORY1",$G761="FACTORY2",$G761="FACTORY3"),"PLANT",TRUE,"SHARED")</f>
        <v>SHARED</v>
      </c>
      <c r="J761" s="24" t="str">
        <f>IF('query (2)'!D761="","UNKNOWN",IF(COUNTIF(Cleaning_Rules!$A$6:$A$11,TRIM('query (2)'!D761))&gt;0,"UNKNOWN",IFERROR(INDEX(Cleaning_Rules!$B$24:$B$28,MATCH(TRIM(UPPER('query (2)'!D761)),Cleaning_Rules!$A$24:$A$28,0)),TRIM(UPPER('query (2)'!D761)))))</f>
        <v>UT</v>
      </c>
      <c r="K761" s="25" t="str">
        <f>IF('query (2)'!D761="","",'query (2)'!D761)</f>
        <v>UT</v>
      </c>
      <c r="L761" s="24" t="str">
        <f>IF($J761="UNKNOWN","",_xlfn.TEXTBEFORE($J761,{"0","1","2","3","4","5","6","7","8","9"," ","-","."},1,,,$J761))</f>
        <v>UT</v>
      </c>
      <c r="M761" s="24" t="str">
        <f>IF('query (2)'!I761&lt;&gt;"",TRIM(UPPER('query (2)'!I761)),IF($L761="","UNKNOWN",$L761))</f>
        <v>UT</v>
      </c>
      <c r="N761" s="24" t="str">
        <f>IF('query (2)'!I761&lt;&gt;"","SOURCE",IF($L761="","UNKNOWN","DERIVED"))</f>
        <v>DERIVED</v>
      </c>
      <c r="O761" s="24" t="str">
        <f>IF('query (2)'!E761="","NOT_SPECIFIED",TRIM(UPPER('query (2)'!E761)))</f>
        <v>NOT_SPECIFIED</v>
      </c>
      <c r="P761" s="24" t="str">
        <f>IF('query (2)'!F761="","",TRIM(UPPER('query (2)'!F761)))</f>
        <v/>
      </c>
      <c r="Q761" s="24" t="str">
        <f>IF('query (2)'!G761="","UNKNOWN",IFERROR(INDEX(Cleaning_Rules!$B$38:$B$46,MATCH(TRIM(UPPER('query (2)'!G761)),Cleaning_Rules!$A$38:$A$46,0)),"UNKNOWN"))</f>
        <v>OTHER</v>
      </c>
      <c r="R761" s="24" t="str">
        <f>IF('query (2)'!H761="","",TRIM(UPPER('query (2)'!H761)))</f>
        <v>AIR COMPRESSOR</v>
      </c>
      <c r="S761" s="25" t="str">
        <f>IF('query (2)'!H761="","",'query (2)'!H761)</f>
        <v>Air  Compressor</v>
      </c>
      <c r="T761" s="24" t="str">
        <f>IF('query (2)'!J761="","",TRIM(UPPER('query (2)'!J761)))</f>
        <v/>
      </c>
      <c r="U761" s="24" t="str">
        <f t="shared" si="80"/>
        <v/>
      </c>
      <c r="V761" s="24" t="str">
        <f>IF('query (2)'!K761="","NOT_SPECIFIED",IFERROR(INDEX(Cleaning_Rules!$B$32:$B$34,MATCH(TRIM(UPPER('query (2)'!K761)),Cleaning_Rules!$A$32:$A$34,0)),"UNKNOWN"))</f>
        <v>NOT_SPECIFIED</v>
      </c>
      <c r="W761" s="24" t="str">
        <f t="shared" si="81"/>
        <v>COM-1-1 | UTILITY | UT | UT | NOT_SPECIFIED | OTHER | AIR COMPRESSOR | NOT_SPECIFIED</v>
      </c>
      <c r="X761" s="24" t="str">
        <f t="shared" si="82"/>
        <v>MISSING_RESPONSIBLE; MISSING_COST_CENTER</v>
      </c>
      <c r="Y761" s="24" t="str">
        <f t="shared" si="83"/>
        <v>MISSING_STATUS; CATEGORY_NOT_USEFUL; MISSING_PRODUCTION_NAME; SECTION_DERIVED</v>
      </c>
    </row>
    <row r="762" spans="1:25" x14ac:dyDescent="0.3">
      <c r="A762" s="24" t="str">
        <f t="shared" si="77"/>
        <v>SU-1068#0761</v>
      </c>
      <c r="B762" s="24" t="str">
        <f>IF('query (2)'!B762="","",TRIM(UPPER('query (2)'!B762)))</f>
        <v>SU-1068</v>
      </c>
      <c r="C762" s="25" t="str">
        <f>IF('query (2)'!B762="","",'query (2)'!B762)</f>
        <v>SU-1068</v>
      </c>
      <c r="D762" s="24" t="str">
        <f t="shared" si="78"/>
        <v>SU</v>
      </c>
      <c r="E762" s="24">
        <f t="shared" si="79"/>
        <v>1</v>
      </c>
      <c r="F762" s="24">
        <f>IF('query (2)'!A762="","",IFERROR(VALUE('query (2)'!A762),""))</f>
        <v>780</v>
      </c>
      <c r="G762" s="24" t="str">
        <f>IF('query (2)'!C762="","UNKNOWN",IFERROR(INDEX(Cleaning_Rules!$B$15:$B$20,MATCH(TRIM(UPPER('query (2)'!C762)),Cleaning_Rules!$A$15:$A$20,0)),"UNKNOWN"))</f>
        <v>FACTORY2</v>
      </c>
      <c r="H762" s="25" t="str">
        <f>IF('query (2)'!C762="","",'query (2)'!C762)</f>
        <v>FACTORY2</v>
      </c>
      <c r="I762" s="24" t="str" cm="1">
        <f t="array" ref="I762">_xlfn.IFS($G762="UNKNOWN","UNKNOWN",OR($G762="FACTORY1",$G762="FACTORY2",$G762="FACTORY3"),"PLANT",TRUE,"SHARED")</f>
        <v>PLANT</v>
      </c>
      <c r="J762" s="24" t="str">
        <f>IF('query (2)'!D762="","UNKNOWN",IF(COUNTIF(Cleaning_Rules!$A$6:$A$11,TRIM('query (2)'!D762))&gt;0,"UNKNOWN",IFERROR(INDEX(Cleaning_Rules!$B$24:$B$28,MATCH(TRIM(UPPER('query (2)'!D762)),Cleaning_Rules!$A$24:$A$28,0)),TRIM(UPPER('query (2)'!D762)))))</f>
        <v>NB GRINDING1</v>
      </c>
      <c r="K762" s="25" t="str">
        <f>IF('query (2)'!D762="","",'query (2)'!D762)</f>
        <v>NB Grinding1</v>
      </c>
      <c r="L762" s="24" t="str">
        <f>IF($J762="UNKNOWN","",_xlfn.TEXTBEFORE($J762,{"0","1","2","3","4","5","6","7","8","9"," ","-","."},1,,,$J762))</f>
        <v>NB</v>
      </c>
      <c r="M762" s="24" t="str">
        <f>IF('query (2)'!I762&lt;&gt;"",TRIM(UPPER('query (2)'!I762)),IF($L762="","UNKNOWN",$L762))</f>
        <v>NB</v>
      </c>
      <c r="N762" s="24" t="str">
        <f>IF('query (2)'!I762&lt;&gt;"","SOURCE",IF($L762="","UNKNOWN","DERIVED"))</f>
        <v>SOURCE</v>
      </c>
      <c r="O762" s="24" t="str">
        <f>IF('query (2)'!E762="","NOT_SPECIFIED",TRIM(UPPER('query (2)'!E762)))</f>
        <v>GRINDING 2</v>
      </c>
      <c r="P762" s="24" t="str">
        <f>IF('query (2)'!F762="","",TRIM(UPPER('query (2)'!F762)))</f>
        <v>3606-NB1GA</v>
      </c>
      <c r="Q762" s="24" t="str">
        <f>IF('query (2)'!G762="","UNKNOWN",IFERROR(INDEX(Cleaning_Rules!$B$38:$B$46,MATCH(TRIM(UPPER('query (2)'!G762)),Cleaning_Rules!$A$38:$A$46,0)),"UNKNOWN"))</f>
        <v>OTHER</v>
      </c>
      <c r="R762" s="24" t="str">
        <f>IF('query (2)'!H762="","",TRIM(UPPER('query (2)'!H762)))</f>
        <v>OUTER RING WORK FEEDER L</v>
      </c>
      <c r="S762" s="25" t="str">
        <f>IF('query (2)'!H762="","",'query (2)'!H762)</f>
        <v>Outer ring work feeder L</v>
      </c>
      <c r="T762" s="24" t="str">
        <f>IF('query (2)'!J762="","",TRIM(UPPER('query (2)'!J762)))</f>
        <v/>
      </c>
      <c r="U762" s="24" t="str">
        <f t="shared" si="80"/>
        <v/>
      </c>
      <c r="V762" s="24" t="str">
        <f>IF('query (2)'!K762="","NOT_SPECIFIED",IFERROR(INDEX(Cleaning_Rules!$B$32:$B$34,MATCH(TRIM(UPPER('query (2)'!K762)),Cleaning_Rules!$A$32:$A$34,0)),"UNKNOWN"))</f>
        <v>NOT_SPECIFIED</v>
      </c>
      <c r="W762" s="24" t="str">
        <f t="shared" si="81"/>
        <v>SU-1068 | FACTORY2 | NB GRINDING1 | NB | GRINDING 2 | 3606-NB1GA | OTHER | OUTER RING WORK FEEDER L | NOT_SPECIFIED</v>
      </c>
      <c r="X762" s="24" t="str">
        <f t="shared" si="82"/>
        <v/>
      </c>
      <c r="Y762" s="24" t="str">
        <f t="shared" si="83"/>
        <v>MISSING_STATUS; CATEGORY_NOT_USEFUL; MISSING_PRODUCTION_NAME</v>
      </c>
    </row>
    <row r="763" spans="1:25" x14ac:dyDescent="0.3">
      <c r="A763" s="24" t="str">
        <f t="shared" si="77"/>
        <v>GR-1069#0762</v>
      </c>
      <c r="B763" s="24" t="str">
        <f>IF('query (2)'!B763="","",TRIM(UPPER('query (2)'!B763)))</f>
        <v>GR-1069</v>
      </c>
      <c r="C763" s="25" t="str">
        <f>IF('query (2)'!B763="","",'query (2)'!B763)</f>
        <v>GR-1069</v>
      </c>
      <c r="D763" s="24" t="str">
        <f t="shared" si="78"/>
        <v>GR</v>
      </c>
      <c r="E763" s="24">
        <f t="shared" si="79"/>
        <v>1</v>
      </c>
      <c r="F763" s="24">
        <f>IF('query (2)'!A763="","",IFERROR(VALUE('query (2)'!A763),""))</f>
        <v>781</v>
      </c>
      <c r="G763" s="24" t="str">
        <f>IF('query (2)'!C763="","UNKNOWN",IFERROR(INDEX(Cleaning_Rules!$B$15:$B$20,MATCH(TRIM(UPPER('query (2)'!C763)),Cleaning_Rules!$A$15:$A$20,0)),"UNKNOWN"))</f>
        <v>FACTORY2</v>
      </c>
      <c r="H763" s="25" t="str">
        <f>IF('query (2)'!C763="","",'query (2)'!C763)</f>
        <v>FACTORY2</v>
      </c>
      <c r="I763" s="24" t="str" cm="1">
        <f t="array" ref="I763">_xlfn.IFS($G763="UNKNOWN","UNKNOWN",OR($G763="FACTORY1",$G763="FACTORY2",$G763="FACTORY3"),"PLANT",TRUE,"SHARED")</f>
        <v>PLANT</v>
      </c>
      <c r="J763" s="24" t="str">
        <f>IF('query (2)'!D763="","UNKNOWN",IF(COUNTIF(Cleaning_Rules!$A$6:$A$11,TRIM('query (2)'!D763))&gt;0,"UNKNOWN",IFERROR(INDEX(Cleaning_Rules!$B$24:$B$28,MATCH(TRIM(UPPER('query (2)'!D763)),Cleaning_Rules!$A$24:$A$28,0)),TRIM(UPPER('query (2)'!D763)))))</f>
        <v>NB GRINDING1</v>
      </c>
      <c r="K763" s="25" t="str">
        <f>IF('query (2)'!D763="","",'query (2)'!D763)</f>
        <v>NB Grinding1</v>
      </c>
      <c r="L763" s="24" t="str">
        <f>IF($J763="UNKNOWN","",_xlfn.TEXTBEFORE($J763,{"0","1","2","3","4","5","6","7","8","9"," ","-","."},1,,,$J763))</f>
        <v>NB</v>
      </c>
      <c r="M763" s="24" t="str">
        <f>IF('query (2)'!I763&lt;&gt;"",TRIM(UPPER('query (2)'!I763)),IF($L763="","UNKNOWN",$L763))</f>
        <v>NB</v>
      </c>
      <c r="N763" s="24" t="str">
        <f>IF('query (2)'!I763&lt;&gt;"","SOURCE",IF($L763="","UNKNOWN","DERIVED"))</f>
        <v>SOURCE</v>
      </c>
      <c r="O763" s="24" t="str">
        <f>IF('query (2)'!E763="","NOT_SPECIFIED",TRIM(UPPER('query (2)'!E763)))</f>
        <v>GRINDING 2</v>
      </c>
      <c r="P763" s="24" t="str">
        <f>IF('query (2)'!F763="","",TRIM(UPPER('query (2)'!F763)))</f>
        <v>3606-NB1GA</v>
      </c>
      <c r="Q763" s="24" t="str">
        <f>IF('query (2)'!G763="","UNKNOWN",IFERROR(INDEX(Cleaning_Rules!$B$38:$B$46,MATCH(TRIM(UPPER('query (2)'!G763)),Cleaning_Rules!$A$38:$A$46,0)),"UNKNOWN"))</f>
        <v>GRINDING</v>
      </c>
      <c r="R763" s="24" t="str">
        <f>IF('query (2)'!H763="","",TRIM(UPPER('query (2)'!H763)))</f>
        <v>OUTER RING RACEWAY GRINDING MACHINE L</v>
      </c>
      <c r="S763" s="25" t="str">
        <f>IF('query (2)'!H763="","",'query (2)'!H763)</f>
        <v>Outer ring raceway grinding machine L</v>
      </c>
      <c r="T763" s="24" t="str">
        <f>IF('query (2)'!J763="","",TRIM(UPPER('query (2)'!J763)))</f>
        <v>A - RACEWAY GRINDING</v>
      </c>
      <c r="U763" s="24" t="str">
        <f t="shared" si="80"/>
        <v/>
      </c>
      <c r="V763" s="24" t="str">
        <f>IF('query (2)'!K763="","NOT_SPECIFIED",IFERROR(INDEX(Cleaning_Rules!$B$32:$B$34,MATCH(TRIM(UPPER('query (2)'!K763)),Cleaning_Rules!$A$32:$A$34,0)),"UNKNOWN"))</f>
        <v>NOT_SPECIFIED</v>
      </c>
      <c r="W763" s="24" t="str">
        <f t="shared" si="81"/>
        <v>GR-1069 | FACTORY2 | NB GRINDING1 | NB | GRINDING 2 | 3606-NB1GA | GRINDING | OUTER RING RACEWAY GRINDING MACHINE L | A - RACEWAY GRINDING | NOT_SPECIFIED</v>
      </c>
      <c r="X763" s="24" t="str">
        <f t="shared" si="82"/>
        <v/>
      </c>
      <c r="Y763" s="24" t="str">
        <f t="shared" si="83"/>
        <v>MISSING_STATUS</v>
      </c>
    </row>
    <row r="764" spans="1:25" x14ac:dyDescent="0.3">
      <c r="A764" s="24" t="str">
        <f t="shared" si="77"/>
        <v>GR-1070#0763</v>
      </c>
      <c r="B764" s="24" t="str">
        <f>IF('query (2)'!B764="","",TRIM(UPPER('query (2)'!B764)))</f>
        <v>GR-1070</v>
      </c>
      <c r="C764" s="25" t="str">
        <f>IF('query (2)'!B764="","",'query (2)'!B764)</f>
        <v>GR-1070</v>
      </c>
      <c r="D764" s="24" t="str">
        <f t="shared" si="78"/>
        <v>GR</v>
      </c>
      <c r="E764" s="24">
        <f t="shared" si="79"/>
        <v>1</v>
      </c>
      <c r="F764" s="24">
        <f>IF('query (2)'!A764="","",IFERROR(VALUE('query (2)'!A764),""))</f>
        <v>782</v>
      </c>
      <c r="G764" s="24" t="str">
        <f>IF('query (2)'!C764="","UNKNOWN",IFERROR(INDEX(Cleaning_Rules!$B$15:$B$20,MATCH(TRIM(UPPER('query (2)'!C764)),Cleaning_Rules!$A$15:$A$20,0)),"UNKNOWN"))</f>
        <v>FACTORY2</v>
      </c>
      <c r="H764" s="25" t="str">
        <f>IF('query (2)'!C764="","",'query (2)'!C764)</f>
        <v>FACTORY2</v>
      </c>
      <c r="I764" s="24" t="str" cm="1">
        <f t="array" ref="I764">_xlfn.IFS($G764="UNKNOWN","UNKNOWN",OR($G764="FACTORY1",$G764="FACTORY2",$G764="FACTORY3"),"PLANT",TRUE,"SHARED")</f>
        <v>PLANT</v>
      </c>
      <c r="J764" s="24" t="str">
        <f>IF('query (2)'!D764="","UNKNOWN",IF(COUNTIF(Cleaning_Rules!$A$6:$A$11,TRIM('query (2)'!D764))&gt;0,"UNKNOWN",IFERROR(INDEX(Cleaning_Rules!$B$24:$B$28,MATCH(TRIM(UPPER('query (2)'!D764)),Cleaning_Rules!$A$24:$A$28,0)),TRIM(UPPER('query (2)'!D764)))))</f>
        <v>NB GRINDING1</v>
      </c>
      <c r="K764" s="25" t="str">
        <f>IF('query (2)'!D764="","",'query (2)'!D764)</f>
        <v>NB Grinding1</v>
      </c>
      <c r="L764" s="24" t="str">
        <f>IF($J764="UNKNOWN","",_xlfn.TEXTBEFORE($J764,{"0","1","2","3","4","5","6","7","8","9"," ","-","."},1,,,$J764))</f>
        <v>NB</v>
      </c>
      <c r="M764" s="24" t="str">
        <f>IF('query (2)'!I764&lt;&gt;"",TRIM(UPPER('query (2)'!I764)),IF($L764="","UNKNOWN",$L764))</f>
        <v>NB</v>
      </c>
      <c r="N764" s="24" t="str">
        <f>IF('query (2)'!I764&lt;&gt;"","SOURCE",IF($L764="","UNKNOWN","DERIVED"))</f>
        <v>SOURCE</v>
      </c>
      <c r="O764" s="24" t="str">
        <f>IF('query (2)'!E764="","NOT_SPECIFIED",TRIM(UPPER('query (2)'!E764)))</f>
        <v>GRINDING 2</v>
      </c>
      <c r="P764" s="24" t="str">
        <f>IF('query (2)'!F764="","",TRIM(UPPER('query (2)'!F764)))</f>
        <v>3606-NB1GA</v>
      </c>
      <c r="Q764" s="24" t="str">
        <f>IF('query (2)'!G764="","UNKNOWN",IFERROR(INDEX(Cleaning_Rules!$B$38:$B$46,MATCH(TRIM(UPPER('query (2)'!G764)),Cleaning_Rules!$A$38:$A$46,0)),"UNKNOWN"))</f>
        <v>OTHER</v>
      </c>
      <c r="R764" s="24" t="str">
        <f>IF('query (2)'!H764="","",TRIM(UPPER('query (2)'!H764)))</f>
        <v>OUTER RING RACEWAY SUPER FINISH MACHINE L</v>
      </c>
      <c r="S764" s="25" t="str">
        <f>IF('query (2)'!H764="","",'query (2)'!H764)</f>
        <v>Outer ring raceway super finish machine L</v>
      </c>
      <c r="T764" s="24" t="str">
        <f>IF('query (2)'!J764="","",TRIM(UPPER('query (2)'!J764)))</f>
        <v>A - RACEWAY SUPER FINISH</v>
      </c>
      <c r="U764" s="24" t="str">
        <f t="shared" si="80"/>
        <v/>
      </c>
      <c r="V764" s="24" t="str">
        <f>IF('query (2)'!K764="","NOT_SPECIFIED",IFERROR(INDEX(Cleaning_Rules!$B$32:$B$34,MATCH(TRIM(UPPER('query (2)'!K764)),Cleaning_Rules!$A$32:$A$34,0)),"UNKNOWN"))</f>
        <v>NOT_SPECIFIED</v>
      </c>
      <c r="W764" s="24" t="str">
        <f t="shared" si="81"/>
        <v>GR-1070 | FACTORY2 | NB GRINDING1 | NB | GRINDING 2 | 3606-NB1GA | OTHER | OUTER RING RACEWAY SUPER FINISH MACHINE L | A - RACEWAY SUPER FINISH | NOT_SPECIFIED</v>
      </c>
      <c r="X764" s="24" t="str">
        <f t="shared" si="82"/>
        <v/>
      </c>
      <c r="Y764" s="24" t="str">
        <f t="shared" si="83"/>
        <v>MISSING_STATUS; CATEGORY_NOT_USEFUL</v>
      </c>
    </row>
    <row r="765" spans="1:25" x14ac:dyDescent="0.3">
      <c r="A765" s="24" t="str">
        <f t="shared" si="77"/>
        <v>SU-1071#0764</v>
      </c>
      <c r="B765" s="24" t="str">
        <f>IF('query (2)'!B765="","",TRIM(UPPER('query (2)'!B765)))</f>
        <v>SU-1071</v>
      </c>
      <c r="C765" s="25" t="str">
        <f>IF('query (2)'!B765="","",'query (2)'!B765)</f>
        <v>SU-1071</v>
      </c>
      <c r="D765" s="24" t="str">
        <f t="shared" si="78"/>
        <v>SU</v>
      </c>
      <c r="E765" s="24">
        <f t="shared" si="79"/>
        <v>1</v>
      </c>
      <c r="F765" s="24">
        <f>IF('query (2)'!A765="","",IFERROR(VALUE('query (2)'!A765),""))</f>
        <v>783</v>
      </c>
      <c r="G765" s="24" t="str">
        <f>IF('query (2)'!C765="","UNKNOWN",IFERROR(INDEX(Cleaning_Rules!$B$15:$B$20,MATCH(TRIM(UPPER('query (2)'!C765)),Cleaning_Rules!$A$15:$A$20,0)),"UNKNOWN"))</f>
        <v>FACTORY2</v>
      </c>
      <c r="H765" s="25" t="str">
        <f>IF('query (2)'!C765="","",'query (2)'!C765)</f>
        <v>FACTORY2</v>
      </c>
      <c r="I765" s="24" t="str" cm="1">
        <f t="array" ref="I765">_xlfn.IFS($G765="UNKNOWN","UNKNOWN",OR($G765="FACTORY1",$G765="FACTORY2",$G765="FACTORY3"),"PLANT",TRUE,"SHARED")</f>
        <v>PLANT</v>
      </c>
      <c r="J765" s="24" t="str">
        <f>IF('query (2)'!D765="","UNKNOWN",IF(COUNTIF(Cleaning_Rules!$A$6:$A$11,TRIM('query (2)'!D765))&gt;0,"UNKNOWN",IFERROR(INDEX(Cleaning_Rules!$B$24:$B$28,MATCH(TRIM(UPPER('query (2)'!D765)),Cleaning_Rules!$A$24:$A$28,0)),TRIM(UPPER('query (2)'!D765)))))</f>
        <v>NB GRINDING1</v>
      </c>
      <c r="K765" s="25" t="str">
        <f>IF('query (2)'!D765="","",'query (2)'!D765)</f>
        <v>NB Grinding1</v>
      </c>
      <c r="L765" s="24" t="str">
        <f>IF($J765="UNKNOWN","",_xlfn.TEXTBEFORE($J765,{"0","1","2","3","4","5","6","7","8","9"," ","-","."},1,,,$J765))</f>
        <v>NB</v>
      </c>
      <c r="M765" s="24" t="str">
        <f>IF('query (2)'!I765&lt;&gt;"",TRIM(UPPER('query (2)'!I765)),IF($L765="","UNKNOWN",$L765))</f>
        <v>NB</v>
      </c>
      <c r="N765" s="24" t="str">
        <f>IF('query (2)'!I765&lt;&gt;"","SOURCE",IF($L765="","UNKNOWN","DERIVED"))</f>
        <v>SOURCE</v>
      </c>
      <c r="O765" s="24" t="str">
        <f>IF('query (2)'!E765="","NOT_SPECIFIED",TRIM(UPPER('query (2)'!E765)))</f>
        <v>GRINDING 2</v>
      </c>
      <c r="P765" s="24" t="str">
        <f>IF('query (2)'!F765="","",TRIM(UPPER('query (2)'!F765)))</f>
        <v>3606-NB1GA</v>
      </c>
      <c r="Q765" s="24" t="str">
        <f>IF('query (2)'!G765="","UNKNOWN",IFERROR(INDEX(Cleaning_Rules!$B$38:$B$46,MATCH(TRIM(UPPER('query (2)'!G765)),Cleaning_Rules!$A$38:$A$46,0)),"UNKNOWN"))</f>
        <v>OTHER</v>
      </c>
      <c r="R765" s="24" t="str">
        <f>IF('query (2)'!H765="","",TRIM(UPPER('query (2)'!H765)))</f>
        <v>INNER RING WORK FEEDER L</v>
      </c>
      <c r="S765" s="25" t="str">
        <f>IF('query (2)'!H765="","",'query (2)'!H765)</f>
        <v>Inner ring work feeder L</v>
      </c>
      <c r="T765" s="24" t="str">
        <f>IF('query (2)'!J765="","",TRIM(UPPER('query (2)'!J765)))</f>
        <v/>
      </c>
      <c r="U765" s="24" t="str">
        <f t="shared" si="80"/>
        <v/>
      </c>
      <c r="V765" s="24" t="str">
        <f>IF('query (2)'!K765="","NOT_SPECIFIED",IFERROR(INDEX(Cleaning_Rules!$B$32:$B$34,MATCH(TRIM(UPPER('query (2)'!K765)),Cleaning_Rules!$A$32:$A$34,0)),"UNKNOWN"))</f>
        <v>NOT_SPECIFIED</v>
      </c>
      <c r="W765" s="24" t="str">
        <f t="shared" si="81"/>
        <v>SU-1071 | FACTORY2 | NB GRINDING1 | NB | GRINDING 2 | 3606-NB1GA | OTHER | INNER RING WORK FEEDER L | NOT_SPECIFIED</v>
      </c>
      <c r="X765" s="24" t="str">
        <f t="shared" si="82"/>
        <v/>
      </c>
      <c r="Y765" s="24" t="str">
        <f t="shared" si="83"/>
        <v>MISSING_STATUS; CATEGORY_NOT_USEFUL; MISSING_PRODUCTION_NAME</v>
      </c>
    </row>
    <row r="766" spans="1:25" x14ac:dyDescent="0.3">
      <c r="A766" s="24" t="str">
        <f t="shared" si="77"/>
        <v>GR-1072#0765</v>
      </c>
      <c r="B766" s="24" t="str">
        <f>IF('query (2)'!B766="","",TRIM(UPPER('query (2)'!B766)))</f>
        <v>GR-1072</v>
      </c>
      <c r="C766" s="25" t="str">
        <f>IF('query (2)'!B766="","",'query (2)'!B766)</f>
        <v>GR-1072</v>
      </c>
      <c r="D766" s="24" t="str">
        <f t="shared" si="78"/>
        <v>GR</v>
      </c>
      <c r="E766" s="24">
        <f t="shared" si="79"/>
        <v>1</v>
      </c>
      <c r="F766" s="24">
        <f>IF('query (2)'!A766="","",IFERROR(VALUE('query (2)'!A766),""))</f>
        <v>784</v>
      </c>
      <c r="G766" s="24" t="str">
        <f>IF('query (2)'!C766="","UNKNOWN",IFERROR(INDEX(Cleaning_Rules!$B$15:$B$20,MATCH(TRIM(UPPER('query (2)'!C766)),Cleaning_Rules!$A$15:$A$20,0)),"UNKNOWN"))</f>
        <v>FACTORY2</v>
      </c>
      <c r="H766" s="25" t="str">
        <f>IF('query (2)'!C766="","",'query (2)'!C766)</f>
        <v>FACTORY2</v>
      </c>
      <c r="I766" s="24" t="str" cm="1">
        <f t="array" ref="I766">_xlfn.IFS($G766="UNKNOWN","UNKNOWN",OR($G766="FACTORY1",$G766="FACTORY2",$G766="FACTORY3"),"PLANT",TRUE,"SHARED")</f>
        <v>PLANT</v>
      </c>
      <c r="J766" s="24" t="str">
        <f>IF('query (2)'!D766="","UNKNOWN",IF(COUNTIF(Cleaning_Rules!$A$6:$A$11,TRIM('query (2)'!D766))&gt;0,"UNKNOWN",IFERROR(INDEX(Cleaning_Rules!$B$24:$B$28,MATCH(TRIM(UPPER('query (2)'!D766)),Cleaning_Rules!$A$24:$A$28,0)),TRIM(UPPER('query (2)'!D766)))))</f>
        <v>NB GRINDING1</v>
      </c>
      <c r="K766" s="25" t="str">
        <f>IF('query (2)'!D766="","",'query (2)'!D766)</f>
        <v>NB Grinding1</v>
      </c>
      <c r="L766" s="24" t="str">
        <f>IF($J766="UNKNOWN","",_xlfn.TEXTBEFORE($J766,{"0","1","2","3","4","5","6","7","8","9"," ","-","."},1,,,$J766))</f>
        <v>NB</v>
      </c>
      <c r="M766" s="24" t="str">
        <f>IF('query (2)'!I766&lt;&gt;"",TRIM(UPPER('query (2)'!I766)),IF($L766="","UNKNOWN",$L766))</f>
        <v>NB</v>
      </c>
      <c r="N766" s="24" t="str">
        <f>IF('query (2)'!I766&lt;&gt;"","SOURCE",IF($L766="","UNKNOWN","DERIVED"))</f>
        <v>SOURCE</v>
      </c>
      <c r="O766" s="24" t="str">
        <f>IF('query (2)'!E766="","NOT_SPECIFIED",TRIM(UPPER('query (2)'!E766)))</f>
        <v>GRINDING 2</v>
      </c>
      <c r="P766" s="24" t="str">
        <f>IF('query (2)'!F766="","",TRIM(UPPER('query (2)'!F766)))</f>
        <v>3606-NB1GA</v>
      </c>
      <c r="Q766" s="24" t="str">
        <f>IF('query (2)'!G766="","UNKNOWN",IFERROR(INDEX(Cleaning_Rules!$B$38:$B$46,MATCH(TRIM(UPPER('query (2)'!G766)),Cleaning_Rules!$A$38:$A$46,0)),"UNKNOWN"))</f>
        <v>OTHER</v>
      </c>
      <c r="R766" s="24" t="str">
        <f>IF('query (2)'!H766="","",TRIM(UPPER('query (2)'!H766)))</f>
        <v>INNER RING RACEWAY GRINDING MACHINE L</v>
      </c>
      <c r="S766" s="25" t="str">
        <f>IF('query (2)'!H766="","",'query (2)'!H766)</f>
        <v>Inner ring raceway grinding machine L</v>
      </c>
      <c r="T766" s="24" t="str">
        <f>IF('query (2)'!J766="","",TRIM(UPPER('query (2)'!J766)))</f>
        <v>B - RACEWAY GRINDING</v>
      </c>
      <c r="U766" s="24" t="str">
        <f t="shared" si="80"/>
        <v/>
      </c>
      <c r="V766" s="24" t="str">
        <f>IF('query (2)'!K766="","NOT_SPECIFIED",IFERROR(INDEX(Cleaning_Rules!$B$32:$B$34,MATCH(TRIM(UPPER('query (2)'!K766)),Cleaning_Rules!$A$32:$A$34,0)),"UNKNOWN"))</f>
        <v>NOT_SPECIFIED</v>
      </c>
      <c r="W766" s="24" t="str">
        <f t="shared" si="81"/>
        <v>GR-1072 | FACTORY2 | NB GRINDING1 | NB | GRINDING 2 | 3606-NB1GA | OTHER | INNER RING RACEWAY GRINDING MACHINE L | B - RACEWAY GRINDING | NOT_SPECIFIED</v>
      </c>
      <c r="X766" s="24" t="str">
        <f t="shared" si="82"/>
        <v/>
      </c>
      <c r="Y766" s="24" t="str">
        <f t="shared" si="83"/>
        <v>MISSING_STATUS; CATEGORY_NOT_USEFUL</v>
      </c>
    </row>
    <row r="767" spans="1:25" x14ac:dyDescent="0.3">
      <c r="A767" s="24" t="str">
        <f t="shared" si="77"/>
        <v>GR-1073#0766</v>
      </c>
      <c r="B767" s="24" t="str">
        <f>IF('query (2)'!B767="","",TRIM(UPPER('query (2)'!B767)))</f>
        <v>GR-1073</v>
      </c>
      <c r="C767" s="25" t="str">
        <f>IF('query (2)'!B767="","",'query (2)'!B767)</f>
        <v>GR-1073</v>
      </c>
      <c r="D767" s="24" t="str">
        <f t="shared" si="78"/>
        <v>GR</v>
      </c>
      <c r="E767" s="24">
        <f t="shared" si="79"/>
        <v>1</v>
      </c>
      <c r="F767" s="24">
        <f>IF('query (2)'!A767="","",IFERROR(VALUE('query (2)'!A767),""))</f>
        <v>785</v>
      </c>
      <c r="G767" s="24" t="str">
        <f>IF('query (2)'!C767="","UNKNOWN",IFERROR(INDEX(Cleaning_Rules!$B$15:$B$20,MATCH(TRIM(UPPER('query (2)'!C767)),Cleaning_Rules!$A$15:$A$20,0)),"UNKNOWN"))</f>
        <v>FACTORY2</v>
      </c>
      <c r="H767" s="25" t="str">
        <f>IF('query (2)'!C767="","",'query (2)'!C767)</f>
        <v>FACTORY2</v>
      </c>
      <c r="I767" s="24" t="str" cm="1">
        <f t="array" ref="I767">_xlfn.IFS($G767="UNKNOWN","UNKNOWN",OR($G767="FACTORY1",$G767="FACTORY2",$G767="FACTORY3"),"PLANT",TRUE,"SHARED")</f>
        <v>PLANT</v>
      </c>
      <c r="J767" s="24" t="str">
        <f>IF('query (2)'!D767="","UNKNOWN",IF(COUNTIF(Cleaning_Rules!$A$6:$A$11,TRIM('query (2)'!D767))&gt;0,"UNKNOWN",IFERROR(INDEX(Cleaning_Rules!$B$24:$B$28,MATCH(TRIM(UPPER('query (2)'!D767)),Cleaning_Rules!$A$24:$A$28,0)),TRIM(UPPER('query (2)'!D767)))))</f>
        <v>NB GRINDING1</v>
      </c>
      <c r="K767" s="25" t="str">
        <f>IF('query (2)'!D767="","",'query (2)'!D767)</f>
        <v>NB Grinding1</v>
      </c>
      <c r="L767" s="24" t="str">
        <f>IF($J767="UNKNOWN","",_xlfn.TEXTBEFORE($J767,{"0","1","2","3","4","5","6","7","8","9"," ","-","."},1,,,$J767))</f>
        <v>NB</v>
      </c>
      <c r="M767" s="24" t="str">
        <f>IF('query (2)'!I767&lt;&gt;"",TRIM(UPPER('query (2)'!I767)),IF($L767="","UNKNOWN",$L767))</f>
        <v>NB</v>
      </c>
      <c r="N767" s="24" t="str">
        <f>IF('query (2)'!I767&lt;&gt;"","SOURCE",IF($L767="","UNKNOWN","DERIVED"))</f>
        <v>SOURCE</v>
      </c>
      <c r="O767" s="24" t="str">
        <f>IF('query (2)'!E767="","NOT_SPECIFIED",TRIM(UPPER('query (2)'!E767)))</f>
        <v>GRINDING 2</v>
      </c>
      <c r="P767" s="24" t="str">
        <f>IF('query (2)'!F767="","",TRIM(UPPER('query (2)'!F767)))</f>
        <v>3606-NB1GA</v>
      </c>
      <c r="Q767" s="24" t="str">
        <f>IF('query (2)'!G767="","UNKNOWN",IFERROR(INDEX(Cleaning_Rules!$B$38:$B$46,MATCH(TRIM(UPPER('query (2)'!G767)),Cleaning_Rules!$A$38:$A$46,0)),"UNKNOWN"))</f>
        <v>OTHER</v>
      </c>
      <c r="R767" s="24" t="str">
        <f>IF('query (2)'!H767="","",TRIM(UPPER('query (2)'!H767)))</f>
        <v>INNER RING BORE GRINDING MACHINE L</v>
      </c>
      <c r="S767" s="25" t="str">
        <f>IF('query (2)'!H767="","",'query (2)'!H767)</f>
        <v>Inner ring bore grinding machine L</v>
      </c>
      <c r="T767" s="24" t="str">
        <f>IF('query (2)'!J767="","",TRIM(UPPER('query (2)'!J767)))</f>
        <v/>
      </c>
      <c r="U767" s="24" t="str">
        <f t="shared" si="80"/>
        <v/>
      </c>
      <c r="V767" s="24" t="str">
        <f>IF('query (2)'!K767="","NOT_SPECIFIED",IFERROR(INDEX(Cleaning_Rules!$B$32:$B$34,MATCH(TRIM(UPPER('query (2)'!K767)),Cleaning_Rules!$A$32:$A$34,0)),"UNKNOWN"))</f>
        <v>NOT_SPECIFIED</v>
      </c>
      <c r="W767" s="24" t="str">
        <f t="shared" si="81"/>
        <v>GR-1073 | FACTORY2 | NB GRINDING1 | NB | GRINDING 2 | 3606-NB1GA | OTHER | INNER RING BORE GRINDING MACHINE L | NOT_SPECIFIED</v>
      </c>
      <c r="X767" s="24" t="str">
        <f t="shared" si="82"/>
        <v/>
      </c>
      <c r="Y767" s="24" t="str">
        <f t="shared" si="83"/>
        <v>MISSING_STATUS; CATEGORY_NOT_USEFUL; MISSING_PRODUCTION_NAME</v>
      </c>
    </row>
    <row r="768" spans="1:25" x14ac:dyDescent="0.3">
      <c r="A768" s="24" t="str">
        <f t="shared" si="77"/>
        <v>CH-1074#0767</v>
      </c>
      <c r="B768" s="24" t="str">
        <f>IF('query (2)'!B768="","",TRIM(UPPER('query (2)'!B768)))</f>
        <v>CH-1074</v>
      </c>
      <c r="C768" s="25" t="str">
        <f>IF('query (2)'!B768="","",'query (2)'!B768)</f>
        <v>CH-1074</v>
      </c>
      <c r="D768" s="24" t="str">
        <f t="shared" si="78"/>
        <v>CH</v>
      </c>
      <c r="E768" s="24">
        <f t="shared" si="79"/>
        <v>1</v>
      </c>
      <c r="F768" s="24">
        <f>IF('query (2)'!A768="","",IFERROR(VALUE('query (2)'!A768),""))</f>
        <v>786</v>
      </c>
      <c r="G768" s="24" t="str">
        <f>IF('query (2)'!C768="","UNKNOWN",IFERROR(INDEX(Cleaning_Rules!$B$15:$B$20,MATCH(TRIM(UPPER('query (2)'!C768)),Cleaning_Rules!$A$15:$A$20,0)),"UNKNOWN"))</f>
        <v>FACTORY2</v>
      </c>
      <c r="H768" s="25" t="str">
        <f>IF('query (2)'!C768="","",'query (2)'!C768)</f>
        <v>FACTORY2</v>
      </c>
      <c r="I768" s="24" t="str" cm="1">
        <f t="array" ref="I768">_xlfn.IFS($G768="UNKNOWN","UNKNOWN",OR($G768="FACTORY1",$G768="FACTORY2",$G768="FACTORY3"),"PLANT",TRUE,"SHARED")</f>
        <v>PLANT</v>
      </c>
      <c r="J768" s="24" t="str">
        <f>IF('query (2)'!D768="","UNKNOWN",IF(COUNTIF(Cleaning_Rules!$A$6:$A$11,TRIM('query (2)'!D768))&gt;0,"UNKNOWN",IFERROR(INDEX(Cleaning_Rules!$B$24:$B$28,MATCH(TRIM(UPPER('query (2)'!D768)),Cleaning_Rules!$A$24:$A$28,0)),TRIM(UPPER('query (2)'!D768)))))</f>
        <v>NB GRINDING1</v>
      </c>
      <c r="K768" s="25" t="str">
        <f>IF('query (2)'!D768="","",'query (2)'!D768)</f>
        <v>NB Grinding1</v>
      </c>
      <c r="L768" s="24" t="str">
        <f>IF($J768="UNKNOWN","",_xlfn.TEXTBEFORE($J768,{"0","1","2","3","4","5","6","7","8","9"," ","-","."},1,,,$J768))</f>
        <v>NB</v>
      </c>
      <c r="M768" s="24" t="str">
        <f>IF('query (2)'!I768&lt;&gt;"",TRIM(UPPER('query (2)'!I768)),IF($L768="","UNKNOWN",$L768))</f>
        <v>NB</v>
      </c>
      <c r="N768" s="24" t="str">
        <f>IF('query (2)'!I768&lt;&gt;"","SOURCE",IF($L768="","UNKNOWN","DERIVED"))</f>
        <v>SOURCE</v>
      </c>
      <c r="O768" s="24" t="str">
        <f>IF('query (2)'!E768="","NOT_SPECIFIED",TRIM(UPPER('query (2)'!E768)))</f>
        <v>GRINDING 2</v>
      </c>
      <c r="P768" s="24" t="str">
        <f>IF('query (2)'!F768="","",TRIM(UPPER('query (2)'!F768)))</f>
        <v>3606-NB1GA</v>
      </c>
      <c r="Q768" s="24" t="str">
        <f>IF('query (2)'!G768="","UNKNOWN",IFERROR(INDEX(Cleaning_Rules!$B$38:$B$46,MATCH(TRIM(UPPER('query (2)'!G768)),Cleaning_Rules!$A$38:$A$46,0)),"UNKNOWN"))</f>
        <v>OTHER</v>
      </c>
      <c r="R768" s="24" t="str">
        <f>IF('query (2)'!H768="","",TRIM(UPPER('query (2)'!H768)))</f>
        <v>INNER RING BORE INSPECTION EQUIPMENT L</v>
      </c>
      <c r="S768" s="25" t="str">
        <f>IF('query (2)'!H768="","",'query (2)'!H768)</f>
        <v>Inner ring bore inspection equipment L</v>
      </c>
      <c r="T768" s="24" t="str">
        <f>IF('query (2)'!J768="","",TRIM(UPPER('query (2)'!J768)))</f>
        <v/>
      </c>
      <c r="U768" s="24" t="str">
        <f t="shared" si="80"/>
        <v/>
      </c>
      <c r="V768" s="24" t="str">
        <f>IF('query (2)'!K768="","NOT_SPECIFIED",IFERROR(INDEX(Cleaning_Rules!$B$32:$B$34,MATCH(TRIM(UPPER('query (2)'!K768)),Cleaning_Rules!$A$32:$A$34,0)),"UNKNOWN"))</f>
        <v>NOT_SPECIFIED</v>
      </c>
      <c r="W768" s="24" t="str">
        <f t="shared" si="81"/>
        <v>CH-1074 | FACTORY2 | NB GRINDING1 | NB | GRINDING 2 | 3606-NB1GA | OTHER | INNER RING BORE INSPECTION EQUIPMENT L | NOT_SPECIFIED</v>
      </c>
      <c r="X768" s="24" t="str">
        <f t="shared" si="82"/>
        <v/>
      </c>
      <c r="Y768" s="24" t="str">
        <f t="shared" si="83"/>
        <v>MISSING_STATUS; CATEGORY_NOT_USEFUL; MISSING_PRODUCTION_NAME</v>
      </c>
    </row>
    <row r="769" spans="1:25" x14ac:dyDescent="0.3">
      <c r="A769" s="24" t="str">
        <f t="shared" si="77"/>
        <v>GR-1075#0768</v>
      </c>
      <c r="B769" s="24" t="str">
        <f>IF('query (2)'!B769="","",TRIM(UPPER('query (2)'!B769)))</f>
        <v>GR-1075</v>
      </c>
      <c r="C769" s="25" t="str">
        <f>IF('query (2)'!B769="","",'query (2)'!B769)</f>
        <v>GR-1075</v>
      </c>
      <c r="D769" s="24" t="str">
        <f t="shared" si="78"/>
        <v>GR</v>
      </c>
      <c r="E769" s="24">
        <f t="shared" si="79"/>
        <v>1</v>
      </c>
      <c r="F769" s="24">
        <f>IF('query (2)'!A769="","",IFERROR(VALUE('query (2)'!A769),""))</f>
        <v>787</v>
      </c>
      <c r="G769" s="24" t="str">
        <f>IF('query (2)'!C769="","UNKNOWN",IFERROR(INDEX(Cleaning_Rules!$B$15:$B$20,MATCH(TRIM(UPPER('query (2)'!C769)),Cleaning_Rules!$A$15:$A$20,0)),"UNKNOWN"))</f>
        <v>FACTORY2</v>
      </c>
      <c r="H769" s="25" t="str">
        <f>IF('query (2)'!C769="","",'query (2)'!C769)</f>
        <v>FACTORY2</v>
      </c>
      <c r="I769" s="24" t="str" cm="1">
        <f t="array" ref="I769">_xlfn.IFS($G769="UNKNOWN","UNKNOWN",OR($G769="FACTORY1",$G769="FACTORY2",$G769="FACTORY3"),"PLANT",TRUE,"SHARED")</f>
        <v>PLANT</v>
      </c>
      <c r="J769" s="24" t="str">
        <f>IF('query (2)'!D769="","UNKNOWN",IF(COUNTIF(Cleaning_Rules!$A$6:$A$11,TRIM('query (2)'!D769))&gt;0,"UNKNOWN",IFERROR(INDEX(Cleaning_Rules!$B$24:$B$28,MATCH(TRIM(UPPER('query (2)'!D769)),Cleaning_Rules!$A$24:$A$28,0)),TRIM(UPPER('query (2)'!D769)))))</f>
        <v>NB GRINDING1</v>
      </c>
      <c r="K769" s="25" t="str">
        <f>IF('query (2)'!D769="","",'query (2)'!D769)</f>
        <v>NB Grinding1</v>
      </c>
      <c r="L769" s="24" t="str">
        <f>IF($J769="UNKNOWN","",_xlfn.TEXTBEFORE($J769,{"0","1","2","3","4","5","6","7","8","9"," ","-","."},1,,,$J769))</f>
        <v>NB</v>
      </c>
      <c r="M769" s="24" t="str">
        <f>IF('query (2)'!I769&lt;&gt;"",TRIM(UPPER('query (2)'!I769)),IF($L769="","UNKNOWN",$L769))</f>
        <v>NB</v>
      </c>
      <c r="N769" s="24" t="str">
        <f>IF('query (2)'!I769&lt;&gt;"","SOURCE",IF($L769="","UNKNOWN","DERIVED"))</f>
        <v>SOURCE</v>
      </c>
      <c r="O769" s="24" t="str">
        <f>IF('query (2)'!E769="","NOT_SPECIFIED",TRIM(UPPER('query (2)'!E769)))</f>
        <v>GRINDING 2</v>
      </c>
      <c r="P769" s="24" t="str">
        <f>IF('query (2)'!F769="","",TRIM(UPPER('query (2)'!F769)))</f>
        <v>3606-NB1GA</v>
      </c>
      <c r="Q769" s="24" t="str">
        <f>IF('query (2)'!G769="","UNKNOWN",IFERROR(INDEX(Cleaning_Rules!$B$38:$B$46,MATCH(TRIM(UPPER('query (2)'!G769)),Cleaning_Rules!$A$38:$A$46,0)),"UNKNOWN"))</f>
        <v>OTHER</v>
      </c>
      <c r="R769" s="24" t="str">
        <f>IF('query (2)'!H769="","",TRIM(UPPER('query (2)'!H769)))</f>
        <v>INNER RING RACEWAY SUPER FINISH MACHINE L</v>
      </c>
      <c r="S769" s="25" t="str">
        <f>IF('query (2)'!H769="","",'query (2)'!H769)</f>
        <v>Inner ring raceway super finish machine L</v>
      </c>
      <c r="T769" s="24" t="str">
        <f>IF('query (2)'!J769="","",TRIM(UPPER('query (2)'!J769)))</f>
        <v/>
      </c>
      <c r="U769" s="24" t="str">
        <f t="shared" si="80"/>
        <v/>
      </c>
      <c r="V769" s="24" t="str">
        <f>IF('query (2)'!K769="","NOT_SPECIFIED",IFERROR(INDEX(Cleaning_Rules!$B$32:$B$34,MATCH(TRIM(UPPER('query (2)'!K769)),Cleaning_Rules!$A$32:$A$34,0)),"UNKNOWN"))</f>
        <v>NOT_SPECIFIED</v>
      </c>
      <c r="W769" s="24" t="str">
        <f t="shared" si="81"/>
        <v>GR-1075 | FACTORY2 | NB GRINDING1 | NB | GRINDING 2 | 3606-NB1GA | OTHER | INNER RING RACEWAY SUPER FINISH MACHINE L | NOT_SPECIFIED</v>
      </c>
      <c r="X769" s="24" t="str">
        <f t="shared" si="82"/>
        <v/>
      </c>
      <c r="Y769" s="24" t="str">
        <f t="shared" si="83"/>
        <v>MISSING_STATUS; CATEGORY_NOT_USEFUL; MISSING_PRODUCTION_NAME</v>
      </c>
    </row>
    <row r="770" spans="1:25" x14ac:dyDescent="0.3">
      <c r="A770" s="24" t="str">
        <f t="shared" si="77"/>
        <v>SU-1076#0769</v>
      </c>
      <c r="B770" s="24" t="str">
        <f>IF('query (2)'!B770="","",TRIM(UPPER('query (2)'!B770)))</f>
        <v>SU-1076</v>
      </c>
      <c r="C770" s="25" t="str">
        <f>IF('query (2)'!B770="","",'query (2)'!B770)</f>
        <v>SU-1076</v>
      </c>
      <c r="D770" s="24" t="str">
        <f t="shared" si="78"/>
        <v>SU</v>
      </c>
      <c r="E770" s="24">
        <f t="shared" si="79"/>
        <v>1</v>
      </c>
      <c r="F770" s="24">
        <f>IF('query (2)'!A770="","",IFERROR(VALUE('query (2)'!A770),""))</f>
        <v>788</v>
      </c>
      <c r="G770" s="24" t="str">
        <f>IF('query (2)'!C770="","UNKNOWN",IFERROR(INDEX(Cleaning_Rules!$B$15:$B$20,MATCH(TRIM(UPPER('query (2)'!C770)),Cleaning_Rules!$A$15:$A$20,0)),"UNKNOWN"))</f>
        <v>FACTORY2</v>
      </c>
      <c r="H770" s="25" t="str">
        <f>IF('query (2)'!C770="","",'query (2)'!C770)</f>
        <v>FACTORY2</v>
      </c>
      <c r="I770" s="24" t="str" cm="1">
        <f t="array" ref="I770">_xlfn.IFS($G770="UNKNOWN","UNKNOWN",OR($G770="FACTORY1",$G770="FACTORY2",$G770="FACTORY3"),"PLANT",TRUE,"SHARED")</f>
        <v>PLANT</v>
      </c>
      <c r="J770" s="24" t="str">
        <f>IF('query (2)'!D770="","UNKNOWN",IF(COUNTIF(Cleaning_Rules!$A$6:$A$11,TRIM('query (2)'!D770))&gt;0,"UNKNOWN",IFERROR(INDEX(Cleaning_Rules!$B$24:$B$28,MATCH(TRIM(UPPER('query (2)'!D770)),Cleaning_Rules!$A$24:$A$28,0)),TRIM(UPPER('query (2)'!D770)))))</f>
        <v>NB GRINDING1</v>
      </c>
      <c r="K770" s="25" t="str">
        <f>IF('query (2)'!D770="","",'query (2)'!D770)</f>
        <v>NB Grinding1</v>
      </c>
      <c r="L770" s="24" t="str">
        <f>IF($J770="UNKNOWN","",_xlfn.TEXTBEFORE($J770,{"0","1","2","3","4","5","6","7","8","9"," ","-","."},1,,,$J770))</f>
        <v>NB</v>
      </c>
      <c r="M770" s="24" t="str">
        <f>IF('query (2)'!I770&lt;&gt;"",TRIM(UPPER('query (2)'!I770)),IF($L770="","UNKNOWN",$L770))</f>
        <v>NB</v>
      </c>
      <c r="N770" s="24" t="str">
        <f>IF('query (2)'!I770&lt;&gt;"","SOURCE",IF($L770="","UNKNOWN","DERIVED"))</f>
        <v>SOURCE</v>
      </c>
      <c r="O770" s="24" t="str">
        <f>IF('query (2)'!E770="","NOT_SPECIFIED",TRIM(UPPER('query (2)'!E770)))</f>
        <v>GRINDING 2</v>
      </c>
      <c r="P770" s="24" t="str">
        <f>IF('query (2)'!F770="","",TRIM(UPPER('query (2)'!F770)))</f>
        <v>3606-NB1GA</v>
      </c>
      <c r="Q770" s="24" t="str">
        <f>IF('query (2)'!G770="","UNKNOWN",IFERROR(INDEX(Cleaning_Rules!$B$38:$B$46,MATCH(TRIM(UPPER('query (2)'!G770)),Cleaning_Rules!$A$38:$A$46,0)),"UNKNOWN"))</f>
        <v>OTHER</v>
      </c>
      <c r="R770" s="24" t="str">
        <f>IF('query (2)'!H770="","",TRIM(UPPER('query (2)'!H770)))</f>
        <v>OUTER RING WORK FEEDER R</v>
      </c>
      <c r="S770" s="25" t="str">
        <f>IF('query (2)'!H770="","",'query (2)'!H770)</f>
        <v>Outer ring work feeder R</v>
      </c>
      <c r="T770" s="24" t="str">
        <f>IF('query (2)'!J770="","",TRIM(UPPER('query (2)'!J770)))</f>
        <v/>
      </c>
      <c r="U770" s="24" t="str">
        <f t="shared" si="80"/>
        <v/>
      </c>
      <c r="V770" s="24" t="str">
        <f>IF('query (2)'!K770="","NOT_SPECIFIED",IFERROR(INDEX(Cleaning_Rules!$B$32:$B$34,MATCH(TRIM(UPPER('query (2)'!K770)),Cleaning_Rules!$A$32:$A$34,0)),"UNKNOWN"))</f>
        <v>NOT_SPECIFIED</v>
      </c>
      <c r="W770" s="24" t="str">
        <f t="shared" si="81"/>
        <v>SU-1076 | FACTORY2 | NB GRINDING1 | NB | GRINDING 2 | 3606-NB1GA | OTHER | OUTER RING WORK FEEDER R | NOT_SPECIFIED</v>
      </c>
      <c r="X770" s="24" t="str">
        <f t="shared" si="82"/>
        <v/>
      </c>
      <c r="Y770" s="24" t="str">
        <f t="shared" si="83"/>
        <v>MISSING_STATUS; CATEGORY_NOT_USEFUL; MISSING_PRODUCTION_NAME</v>
      </c>
    </row>
    <row r="771" spans="1:25" x14ac:dyDescent="0.3">
      <c r="A771" s="24" t="str">
        <f t="shared" ref="A771:A834" si="84">IF($B771="","NO_QR#"&amp;TEXT(ROW()-1,"0000"),$B771&amp;"#"&amp;TEXT(ROW()-1,"0000"))</f>
        <v>GR-1077#0770</v>
      </c>
      <c r="B771" s="24" t="str">
        <f>IF('query (2)'!B771="","",TRIM(UPPER('query (2)'!B771)))</f>
        <v>GR-1077</v>
      </c>
      <c r="C771" s="25" t="str">
        <f>IF('query (2)'!B771="","",'query (2)'!B771)</f>
        <v>GR-1077</v>
      </c>
      <c r="D771" s="24" t="str">
        <f t="shared" ref="D771:D834" si="85">IF($B771="","",IFERROR(_xlfn.TEXTBEFORE($B771,"-"),"NO_PREFIX"))</f>
        <v>GR</v>
      </c>
      <c r="E771" s="24">
        <f t="shared" ref="E771:E834" si="86">IF($B771="","",COUNTIF($B$2:$B$974,$B771))</f>
        <v>1</v>
      </c>
      <c r="F771" s="24">
        <f>IF('query (2)'!A771="","",IFERROR(VALUE('query (2)'!A771),""))</f>
        <v>789</v>
      </c>
      <c r="G771" s="24" t="str">
        <f>IF('query (2)'!C771="","UNKNOWN",IFERROR(INDEX(Cleaning_Rules!$B$15:$B$20,MATCH(TRIM(UPPER('query (2)'!C771)),Cleaning_Rules!$A$15:$A$20,0)),"UNKNOWN"))</f>
        <v>FACTORY2</v>
      </c>
      <c r="H771" s="25" t="str">
        <f>IF('query (2)'!C771="","",'query (2)'!C771)</f>
        <v>FACTORY2</v>
      </c>
      <c r="I771" s="24" t="str" cm="1">
        <f t="array" ref="I771">_xlfn.IFS($G771="UNKNOWN","UNKNOWN",OR($G771="FACTORY1",$G771="FACTORY2",$G771="FACTORY3"),"PLANT",TRUE,"SHARED")</f>
        <v>PLANT</v>
      </c>
      <c r="J771" s="24" t="str">
        <f>IF('query (2)'!D771="","UNKNOWN",IF(COUNTIF(Cleaning_Rules!$A$6:$A$11,TRIM('query (2)'!D771))&gt;0,"UNKNOWN",IFERROR(INDEX(Cleaning_Rules!$B$24:$B$28,MATCH(TRIM(UPPER('query (2)'!D771)),Cleaning_Rules!$A$24:$A$28,0)),TRIM(UPPER('query (2)'!D771)))))</f>
        <v>NB GRINDING1</v>
      </c>
      <c r="K771" s="25" t="str">
        <f>IF('query (2)'!D771="","",'query (2)'!D771)</f>
        <v>NB Grinding1</v>
      </c>
      <c r="L771" s="24" t="str">
        <f>IF($J771="UNKNOWN","",_xlfn.TEXTBEFORE($J771,{"0","1","2","3","4","5","6","7","8","9"," ","-","."},1,,,$J771))</f>
        <v>NB</v>
      </c>
      <c r="M771" s="24" t="str">
        <f>IF('query (2)'!I771&lt;&gt;"",TRIM(UPPER('query (2)'!I771)),IF($L771="","UNKNOWN",$L771))</f>
        <v>NB</v>
      </c>
      <c r="N771" s="24" t="str">
        <f>IF('query (2)'!I771&lt;&gt;"","SOURCE",IF($L771="","UNKNOWN","DERIVED"))</f>
        <v>SOURCE</v>
      </c>
      <c r="O771" s="24" t="str">
        <f>IF('query (2)'!E771="","NOT_SPECIFIED",TRIM(UPPER('query (2)'!E771)))</f>
        <v>GRINDING 2</v>
      </c>
      <c r="P771" s="24" t="str">
        <f>IF('query (2)'!F771="","",TRIM(UPPER('query (2)'!F771)))</f>
        <v>3606-NB1GA</v>
      </c>
      <c r="Q771" s="24" t="str">
        <f>IF('query (2)'!G771="","UNKNOWN",IFERROR(INDEX(Cleaning_Rules!$B$38:$B$46,MATCH(TRIM(UPPER('query (2)'!G771)),Cleaning_Rules!$A$38:$A$46,0)),"UNKNOWN"))</f>
        <v>GRINDING</v>
      </c>
      <c r="R771" s="24" t="str">
        <f>IF('query (2)'!H771="","",TRIM(UPPER('query (2)'!H771)))</f>
        <v>OUTER RING RACEWAY GRINDING MACHINE R</v>
      </c>
      <c r="S771" s="25" t="str">
        <f>IF('query (2)'!H771="","",'query (2)'!H771)</f>
        <v>Outer ring raceway grinding machine R</v>
      </c>
      <c r="T771" s="24" t="str">
        <f>IF('query (2)'!J771="","",TRIM(UPPER('query (2)'!J771)))</f>
        <v>A - RACEWAY GRINDING</v>
      </c>
      <c r="U771" s="24" t="str">
        <f t="shared" ref="U771:U834" si="87">IFERROR(IF(ISNUMBER(VALUE(MID($R771,SEARCH("(??-???)",$R771)+4,3))),MID($R771,SEARCH("(??-???)",$R771)+1,6),""),"")</f>
        <v/>
      </c>
      <c r="V771" s="24" t="str">
        <f>IF('query (2)'!K771="","NOT_SPECIFIED",IFERROR(INDEX(Cleaning_Rules!$B$32:$B$34,MATCH(TRIM(UPPER('query (2)'!K771)),Cleaning_Rules!$A$32:$A$34,0)),"UNKNOWN"))</f>
        <v>NOT_SPECIFIED</v>
      </c>
      <c r="W771" s="24" t="str">
        <f t="shared" ref="W771:W834" si="88">_xlfn.TEXTJOIN(" | ",TRUE,$B771,$G771,$J771,$M771,$O771,$P771,$Q771,$R771,$T771,$V771)</f>
        <v>GR-1077 | FACTORY2 | NB GRINDING1 | NB | GRINDING 2 | 3606-NB1GA | GRINDING | OUTER RING RACEWAY GRINDING MACHINE R | A - RACEWAY GRINDING | NOT_SPECIFIED</v>
      </c>
      <c r="X771" s="24" t="str">
        <f t="shared" ref="X771:X834" si="89">_xlfn.TEXTJOIN("; ",TRUE,IF($B771="","MISSING_QR",""),IF(N($E771)&gt;1,"DUPLICATE_QR",""),IF($F771="","MISSING_NO",""),IF($G771="UNKNOWN","MISSING_LOCATION",""),IF($J771="UNKNOWN","MISSING_DEPARTMENT",""),IF($N771="UNKNOWN","MISSING_SECTION",""),IF($O771="NOT_SPECIFIED","MISSING_RESPONSIBLE",""),IF($P771="","MISSING_COST_CENTER",""),IF($Q771="UNKNOWN","MISSING_CATEGORY",""),IF($R771="","MISSING_DESCRIPTION",""))</f>
        <v/>
      </c>
      <c r="Y771" s="24" t="str">
        <f t="shared" ref="Y771:Y834" si="90">_xlfn.TEXTJOIN("; ",TRUE,IF($V771="NOT_SPECIFIED","MISSING_STATUS",""),IF($Q771="OTHER","CATEGORY_NOT_USEFUL",""),IF($T771="","MISSING_PRODUCTION_NAME",""),IF($N771="DERIVED","SECTION_DERIVED",""))</f>
        <v>MISSING_STATUS</v>
      </c>
    </row>
    <row r="772" spans="1:25" x14ac:dyDescent="0.3">
      <c r="A772" s="24" t="str">
        <f t="shared" si="84"/>
        <v>GR-1078#0771</v>
      </c>
      <c r="B772" s="24" t="str">
        <f>IF('query (2)'!B772="","",TRIM(UPPER('query (2)'!B772)))</f>
        <v>GR-1078</v>
      </c>
      <c r="C772" s="25" t="str">
        <f>IF('query (2)'!B772="","",'query (2)'!B772)</f>
        <v>GR-1078</v>
      </c>
      <c r="D772" s="24" t="str">
        <f t="shared" si="85"/>
        <v>GR</v>
      </c>
      <c r="E772" s="24">
        <f t="shared" si="86"/>
        <v>1</v>
      </c>
      <c r="F772" s="24">
        <f>IF('query (2)'!A772="","",IFERROR(VALUE('query (2)'!A772),""))</f>
        <v>790</v>
      </c>
      <c r="G772" s="24" t="str">
        <f>IF('query (2)'!C772="","UNKNOWN",IFERROR(INDEX(Cleaning_Rules!$B$15:$B$20,MATCH(TRIM(UPPER('query (2)'!C772)),Cleaning_Rules!$A$15:$A$20,0)),"UNKNOWN"))</f>
        <v>FACTORY2</v>
      </c>
      <c r="H772" s="25" t="str">
        <f>IF('query (2)'!C772="","",'query (2)'!C772)</f>
        <v>FACTORY2</v>
      </c>
      <c r="I772" s="24" t="str" cm="1">
        <f t="array" ref="I772">_xlfn.IFS($G772="UNKNOWN","UNKNOWN",OR($G772="FACTORY1",$G772="FACTORY2",$G772="FACTORY3"),"PLANT",TRUE,"SHARED")</f>
        <v>PLANT</v>
      </c>
      <c r="J772" s="24" t="str">
        <f>IF('query (2)'!D772="","UNKNOWN",IF(COUNTIF(Cleaning_Rules!$A$6:$A$11,TRIM('query (2)'!D772))&gt;0,"UNKNOWN",IFERROR(INDEX(Cleaning_Rules!$B$24:$B$28,MATCH(TRIM(UPPER('query (2)'!D772)),Cleaning_Rules!$A$24:$A$28,0)),TRIM(UPPER('query (2)'!D772)))))</f>
        <v>NB GRINDING1</v>
      </c>
      <c r="K772" s="25" t="str">
        <f>IF('query (2)'!D772="","",'query (2)'!D772)</f>
        <v>NB Grinding1</v>
      </c>
      <c r="L772" s="24" t="str">
        <f>IF($J772="UNKNOWN","",_xlfn.TEXTBEFORE($J772,{"0","1","2","3","4","5","6","7","8","9"," ","-","."},1,,,$J772))</f>
        <v>NB</v>
      </c>
      <c r="M772" s="24" t="str">
        <f>IF('query (2)'!I772&lt;&gt;"",TRIM(UPPER('query (2)'!I772)),IF($L772="","UNKNOWN",$L772))</f>
        <v>NB</v>
      </c>
      <c r="N772" s="24" t="str">
        <f>IF('query (2)'!I772&lt;&gt;"","SOURCE",IF($L772="","UNKNOWN","DERIVED"))</f>
        <v>SOURCE</v>
      </c>
      <c r="O772" s="24" t="str">
        <f>IF('query (2)'!E772="","NOT_SPECIFIED",TRIM(UPPER('query (2)'!E772)))</f>
        <v>GRINDING 2</v>
      </c>
      <c r="P772" s="24" t="str">
        <f>IF('query (2)'!F772="","",TRIM(UPPER('query (2)'!F772)))</f>
        <v>3606-NB1GA</v>
      </c>
      <c r="Q772" s="24" t="str">
        <f>IF('query (2)'!G772="","UNKNOWN",IFERROR(INDEX(Cleaning_Rules!$B$38:$B$46,MATCH(TRIM(UPPER('query (2)'!G772)),Cleaning_Rules!$A$38:$A$46,0)),"UNKNOWN"))</f>
        <v>OTHER</v>
      </c>
      <c r="R772" s="24" t="str">
        <f>IF('query (2)'!H772="","",TRIM(UPPER('query (2)'!H772)))</f>
        <v>OUTER RING RACEWAY SUPER FINISH MACHINE R</v>
      </c>
      <c r="S772" s="25" t="str">
        <f>IF('query (2)'!H772="","",'query (2)'!H772)</f>
        <v>Outer ring raceway super finish machine R</v>
      </c>
      <c r="T772" s="24" t="str">
        <f>IF('query (2)'!J772="","",TRIM(UPPER('query (2)'!J772)))</f>
        <v>A - RACEWAY SUPER FINISH</v>
      </c>
      <c r="U772" s="24" t="str">
        <f t="shared" si="87"/>
        <v/>
      </c>
      <c r="V772" s="24" t="str">
        <f>IF('query (2)'!K772="","NOT_SPECIFIED",IFERROR(INDEX(Cleaning_Rules!$B$32:$B$34,MATCH(TRIM(UPPER('query (2)'!K772)),Cleaning_Rules!$A$32:$A$34,0)),"UNKNOWN"))</f>
        <v>NOT_SPECIFIED</v>
      </c>
      <c r="W772" s="24" t="str">
        <f t="shared" si="88"/>
        <v>GR-1078 | FACTORY2 | NB GRINDING1 | NB | GRINDING 2 | 3606-NB1GA | OTHER | OUTER RING RACEWAY SUPER FINISH MACHINE R | A - RACEWAY SUPER FINISH | NOT_SPECIFIED</v>
      </c>
      <c r="X772" s="24" t="str">
        <f t="shared" si="89"/>
        <v/>
      </c>
      <c r="Y772" s="24" t="str">
        <f t="shared" si="90"/>
        <v>MISSING_STATUS; CATEGORY_NOT_USEFUL</v>
      </c>
    </row>
    <row r="773" spans="1:25" x14ac:dyDescent="0.3">
      <c r="A773" s="24" t="str">
        <f t="shared" si="84"/>
        <v>SU-1079#0772</v>
      </c>
      <c r="B773" s="24" t="str">
        <f>IF('query (2)'!B773="","",TRIM(UPPER('query (2)'!B773)))</f>
        <v>SU-1079</v>
      </c>
      <c r="C773" s="25" t="str">
        <f>IF('query (2)'!B773="","",'query (2)'!B773)</f>
        <v>SU-1079</v>
      </c>
      <c r="D773" s="24" t="str">
        <f t="shared" si="85"/>
        <v>SU</v>
      </c>
      <c r="E773" s="24">
        <f t="shared" si="86"/>
        <v>1</v>
      </c>
      <c r="F773" s="24">
        <f>IF('query (2)'!A773="","",IFERROR(VALUE('query (2)'!A773),""))</f>
        <v>791</v>
      </c>
      <c r="G773" s="24" t="str">
        <f>IF('query (2)'!C773="","UNKNOWN",IFERROR(INDEX(Cleaning_Rules!$B$15:$B$20,MATCH(TRIM(UPPER('query (2)'!C773)),Cleaning_Rules!$A$15:$A$20,0)),"UNKNOWN"))</f>
        <v>FACTORY2</v>
      </c>
      <c r="H773" s="25" t="str">
        <f>IF('query (2)'!C773="","",'query (2)'!C773)</f>
        <v>FACTORY2</v>
      </c>
      <c r="I773" s="24" t="str" cm="1">
        <f t="array" ref="I773">_xlfn.IFS($G773="UNKNOWN","UNKNOWN",OR($G773="FACTORY1",$G773="FACTORY2",$G773="FACTORY3"),"PLANT",TRUE,"SHARED")</f>
        <v>PLANT</v>
      </c>
      <c r="J773" s="24" t="str">
        <f>IF('query (2)'!D773="","UNKNOWN",IF(COUNTIF(Cleaning_Rules!$A$6:$A$11,TRIM('query (2)'!D773))&gt;0,"UNKNOWN",IFERROR(INDEX(Cleaning_Rules!$B$24:$B$28,MATCH(TRIM(UPPER('query (2)'!D773)),Cleaning_Rules!$A$24:$A$28,0)),TRIM(UPPER('query (2)'!D773)))))</f>
        <v>NB GRINDING1</v>
      </c>
      <c r="K773" s="25" t="str">
        <f>IF('query (2)'!D773="","",'query (2)'!D773)</f>
        <v>NB Grinding1</v>
      </c>
      <c r="L773" s="24" t="str">
        <f>IF($J773="UNKNOWN","",_xlfn.TEXTBEFORE($J773,{"0","1","2","3","4","5","6","7","8","9"," ","-","."},1,,,$J773))</f>
        <v>NB</v>
      </c>
      <c r="M773" s="24" t="str">
        <f>IF('query (2)'!I773&lt;&gt;"",TRIM(UPPER('query (2)'!I773)),IF($L773="","UNKNOWN",$L773))</f>
        <v>NB</v>
      </c>
      <c r="N773" s="24" t="str">
        <f>IF('query (2)'!I773&lt;&gt;"","SOURCE",IF($L773="","UNKNOWN","DERIVED"))</f>
        <v>SOURCE</v>
      </c>
      <c r="O773" s="24" t="str">
        <f>IF('query (2)'!E773="","NOT_SPECIFIED",TRIM(UPPER('query (2)'!E773)))</f>
        <v>GRINDING 2</v>
      </c>
      <c r="P773" s="24" t="str">
        <f>IF('query (2)'!F773="","",TRIM(UPPER('query (2)'!F773)))</f>
        <v>3606-NB1GA</v>
      </c>
      <c r="Q773" s="24" t="str">
        <f>IF('query (2)'!G773="","UNKNOWN",IFERROR(INDEX(Cleaning_Rules!$B$38:$B$46,MATCH(TRIM(UPPER('query (2)'!G773)),Cleaning_Rules!$A$38:$A$46,0)),"UNKNOWN"))</f>
        <v>OTHER</v>
      </c>
      <c r="R773" s="24" t="str">
        <f>IF('query (2)'!H773="","",TRIM(UPPER('query (2)'!H773)))</f>
        <v>INNER RING WORK FEEDER R</v>
      </c>
      <c r="S773" s="25" t="str">
        <f>IF('query (2)'!H773="","",'query (2)'!H773)</f>
        <v>Inner ring work feeder R</v>
      </c>
      <c r="T773" s="24" t="str">
        <f>IF('query (2)'!J773="","",TRIM(UPPER('query (2)'!J773)))</f>
        <v/>
      </c>
      <c r="U773" s="24" t="str">
        <f t="shared" si="87"/>
        <v/>
      </c>
      <c r="V773" s="24" t="str">
        <f>IF('query (2)'!K773="","NOT_SPECIFIED",IFERROR(INDEX(Cleaning_Rules!$B$32:$B$34,MATCH(TRIM(UPPER('query (2)'!K773)),Cleaning_Rules!$A$32:$A$34,0)),"UNKNOWN"))</f>
        <v>NOT_SPECIFIED</v>
      </c>
      <c r="W773" s="24" t="str">
        <f t="shared" si="88"/>
        <v>SU-1079 | FACTORY2 | NB GRINDING1 | NB | GRINDING 2 | 3606-NB1GA | OTHER | INNER RING WORK FEEDER R | NOT_SPECIFIED</v>
      </c>
      <c r="X773" s="24" t="str">
        <f t="shared" si="89"/>
        <v/>
      </c>
      <c r="Y773" s="24" t="str">
        <f t="shared" si="90"/>
        <v>MISSING_STATUS; CATEGORY_NOT_USEFUL; MISSING_PRODUCTION_NAME</v>
      </c>
    </row>
    <row r="774" spans="1:25" x14ac:dyDescent="0.3">
      <c r="A774" s="24" t="str">
        <f t="shared" si="84"/>
        <v>GR-1080#0773</v>
      </c>
      <c r="B774" s="24" t="str">
        <f>IF('query (2)'!B774="","",TRIM(UPPER('query (2)'!B774)))</f>
        <v>GR-1080</v>
      </c>
      <c r="C774" s="25" t="str">
        <f>IF('query (2)'!B774="","",'query (2)'!B774)</f>
        <v>GR-1080</v>
      </c>
      <c r="D774" s="24" t="str">
        <f t="shared" si="85"/>
        <v>GR</v>
      </c>
      <c r="E774" s="24">
        <f t="shared" si="86"/>
        <v>1</v>
      </c>
      <c r="F774" s="24">
        <f>IF('query (2)'!A774="","",IFERROR(VALUE('query (2)'!A774),""))</f>
        <v>792</v>
      </c>
      <c r="G774" s="24" t="str">
        <f>IF('query (2)'!C774="","UNKNOWN",IFERROR(INDEX(Cleaning_Rules!$B$15:$B$20,MATCH(TRIM(UPPER('query (2)'!C774)),Cleaning_Rules!$A$15:$A$20,0)),"UNKNOWN"))</f>
        <v>FACTORY2</v>
      </c>
      <c r="H774" s="25" t="str">
        <f>IF('query (2)'!C774="","",'query (2)'!C774)</f>
        <v>FACTORY2</v>
      </c>
      <c r="I774" s="24" t="str" cm="1">
        <f t="array" ref="I774">_xlfn.IFS($G774="UNKNOWN","UNKNOWN",OR($G774="FACTORY1",$G774="FACTORY2",$G774="FACTORY3"),"PLANT",TRUE,"SHARED")</f>
        <v>PLANT</v>
      </c>
      <c r="J774" s="24" t="str">
        <f>IF('query (2)'!D774="","UNKNOWN",IF(COUNTIF(Cleaning_Rules!$A$6:$A$11,TRIM('query (2)'!D774))&gt;0,"UNKNOWN",IFERROR(INDEX(Cleaning_Rules!$B$24:$B$28,MATCH(TRIM(UPPER('query (2)'!D774)),Cleaning_Rules!$A$24:$A$28,0)),TRIM(UPPER('query (2)'!D774)))))</f>
        <v>NB GRINDING1</v>
      </c>
      <c r="K774" s="25" t="str">
        <f>IF('query (2)'!D774="","",'query (2)'!D774)</f>
        <v>NB Grinding1</v>
      </c>
      <c r="L774" s="24" t="str">
        <f>IF($J774="UNKNOWN","",_xlfn.TEXTBEFORE($J774,{"0","1","2","3","4","5","6","7","8","9"," ","-","."},1,,,$J774))</f>
        <v>NB</v>
      </c>
      <c r="M774" s="24" t="str">
        <f>IF('query (2)'!I774&lt;&gt;"",TRIM(UPPER('query (2)'!I774)),IF($L774="","UNKNOWN",$L774))</f>
        <v>NB</v>
      </c>
      <c r="N774" s="24" t="str">
        <f>IF('query (2)'!I774&lt;&gt;"","SOURCE",IF($L774="","UNKNOWN","DERIVED"))</f>
        <v>SOURCE</v>
      </c>
      <c r="O774" s="24" t="str">
        <f>IF('query (2)'!E774="","NOT_SPECIFIED",TRIM(UPPER('query (2)'!E774)))</f>
        <v>GRINDING 2</v>
      </c>
      <c r="P774" s="24" t="str">
        <f>IF('query (2)'!F774="","",TRIM(UPPER('query (2)'!F774)))</f>
        <v>3606-NB1GA</v>
      </c>
      <c r="Q774" s="24" t="str">
        <f>IF('query (2)'!G774="","UNKNOWN",IFERROR(INDEX(Cleaning_Rules!$B$38:$B$46,MATCH(TRIM(UPPER('query (2)'!G774)),Cleaning_Rules!$A$38:$A$46,0)),"UNKNOWN"))</f>
        <v>OTHER</v>
      </c>
      <c r="R774" s="24" t="str">
        <f>IF('query (2)'!H774="","",TRIM(UPPER('query (2)'!H774)))</f>
        <v>INNER RING RACEWAY GRINDING MACHINE R</v>
      </c>
      <c r="S774" s="25" t="str">
        <f>IF('query (2)'!H774="","",'query (2)'!H774)</f>
        <v>Inner ring raceway grinding machine R</v>
      </c>
      <c r="T774" s="24" t="str">
        <f>IF('query (2)'!J774="","",TRIM(UPPER('query (2)'!J774)))</f>
        <v>B - RACEWAY GRINDING</v>
      </c>
      <c r="U774" s="24" t="str">
        <f t="shared" si="87"/>
        <v/>
      </c>
      <c r="V774" s="24" t="str">
        <f>IF('query (2)'!K774="","NOT_SPECIFIED",IFERROR(INDEX(Cleaning_Rules!$B$32:$B$34,MATCH(TRIM(UPPER('query (2)'!K774)),Cleaning_Rules!$A$32:$A$34,0)),"UNKNOWN"))</f>
        <v>NOT_SPECIFIED</v>
      </c>
      <c r="W774" s="24" t="str">
        <f t="shared" si="88"/>
        <v>GR-1080 | FACTORY2 | NB GRINDING1 | NB | GRINDING 2 | 3606-NB1GA | OTHER | INNER RING RACEWAY GRINDING MACHINE R | B - RACEWAY GRINDING | NOT_SPECIFIED</v>
      </c>
      <c r="X774" s="24" t="str">
        <f t="shared" si="89"/>
        <v/>
      </c>
      <c r="Y774" s="24" t="str">
        <f t="shared" si="90"/>
        <v>MISSING_STATUS; CATEGORY_NOT_USEFUL</v>
      </c>
    </row>
    <row r="775" spans="1:25" x14ac:dyDescent="0.3">
      <c r="A775" s="24" t="str">
        <f t="shared" si="84"/>
        <v>GR-1081#0774</v>
      </c>
      <c r="B775" s="24" t="str">
        <f>IF('query (2)'!B775="","",TRIM(UPPER('query (2)'!B775)))</f>
        <v>GR-1081</v>
      </c>
      <c r="C775" s="25" t="str">
        <f>IF('query (2)'!B775="","",'query (2)'!B775)</f>
        <v>GR-1081</v>
      </c>
      <c r="D775" s="24" t="str">
        <f t="shared" si="85"/>
        <v>GR</v>
      </c>
      <c r="E775" s="24">
        <f t="shared" si="86"/>
        <v>1</v>
      </c>
      <c r="F775" s="24">
        <f>IF('query (2)'!A775="","",IFERROR(VALUE('query (2)'!A775),""))</f>
        <v>793</v>
      </c>
      <c r="G775" s="24" t="str">
        <f>IF('query (2)'!C775="","UNKNOWN",IFERROR(INDEX(Cleaning_Rules!$B$15:$B$20,MATCH(TRIM(UPPER('query (2)'!C775)),Cleaning_Rules!$A$15:$A$20,0)),"UNKNOWN"))</f>
        <v>FACTORY2</v>
      </c>
      <c r="H775" s="25" t="str">
        <f>IF('query (2)'!C775="","",'query (2)'!C775)</f>
        <v>FACTORY2</v>
      </c>
      <c r="I775" s="24" t="str" cm="1">
        <f t="array" ref="I775">_xlfn.IFS($G775="UNKNOWN","UNKNOWN",OR($G775="FACTORY1",$G775="FACTORY2",$G775="FACTORY3"),"PLANT",TRUE,"SHARED")</f>
        <v>PLANT</v>
      </c>
      <c r="J775" s="24" t="str">
        <f>IF('query (2)'!D775="","UNKNOWN",IF(COUNTIF(Cleaning_Rules!$A$6:$A$11,TRIM('query (2)'!D775))&gt;0,"UNKNOWN",IFERROR(INDEX(Cleaning_Rules!$B$24:$B$28,MATCH(TRIM(UPPER('query (2)'!D775)),Cleaning_Rules!$A$24:$A$28,0)),TRIM(UPPER('query (2)'!D775)))))</f>
        <v>NB GRINDING1</v>
      </c>
      <c r="K775" s="25" t="str">
        <f>IF('query (2)'!D775="","",'query (2)'!D775)</f>
        <v>NB Grinding1</v>
      </c>
      <c r="L775" s="24" t="str">
        <f>IF($J775="UNKNOWN","",_xlfn.TEXTBEFORE($J775,{"0","1","2","3","4","5","6","7","8","9"," ","-","."},1,,,$J775))</f>
        <v>NB</v>
      </c>
      <c r="M775" s="24" t="str">
        <f>IF('query (2)'!I775&lt;&gt;"",TRIM(UPPER('query (2)'!I775)),IF($L775="","UNKNOWN",$L775))</f>
        <v>NB</v>
      </c>
      <c r="N775" s="24" t="str">
        <f>IF('query (2)'!I775&lt;&gt;"","SOURCE",IF($L775="","UNKNOWN","DERIVED"))</f>
        <v>SOURCE</v>
      </c>
      <c r="O775" s="24" t="str">
        <f>IF('query (2)'!E775="","NOT_SPECIFIED",TRIM(UPPER('query (2)'!E775)))</f>
        <v>GRINDING 2</v>
      </c>
      <c r="P775" s="24" t="str">
        <f>IF('query (2)'!F775="","",TRIM(UPPER('query (2)'!F775)))</f>
        <v>3606-NB1GA</v>
      </c>
      <c r="Q775" s="24" t="str">
        <f>IF('query (2)'!G775="","UNKNOWN",IFERROR(INDEX(Cleaning_Rules!$B$38:$B$46,MATCH(TRIM(UPPER('query (2)'!G775)),Cleaning_Rules!$A$38:$A$46,0)),"UNKNOWN"))</f>
        <v>OTHER</v>
      </c>
      <c r="R775" s="24" t="str">
        <f>IF('query (2)'!H775="","",TRIM(UPPER('query (2)'!H775)))</f>
        <v>INNER RING BORE GRINDING MACHINE R</v>
      </c>
      <c r="S775" s="25" t="str">
        <f>IF('query (2)'!H775="","",'query (2)'!H775)</f>
        <v>Inner ring bore grinding machine R</v>
      </c>
      <c r="T775" s="24" t="str">
        <f>IF('query (2)'!J775="","",TRIM(UPPER('query (2)'!J775)))</f>
        <v/>
      </c>
      <c r="U775" s="24" t="str">
        <f t="shared" si="87"/>
        <v/>
      </c>
      <c r="V775" s="24" t="str">
        <f>IF('query (2)'!K775="","NOT_SPECIFIED",IFERROR(INDEX(Cleaning_Rules!$B$32:$B$34,MATCH(TRIM(UPPER('query (2)'!K775)),Cleaning_Rules!$A$32:$A$34,0)),"UNKNOWN"))</f>
        <v>NOT_SPECIFIED</v>
      </c>
      <c r="W775" s="24" t="str">
        <f t="shared" si="88"/>
        <v>GR-1081 | FACTORY2 | NB GRINDING1 | NB | GRINDING 2 | 3606-NB1GA | OTHER | INNER RING BORE GRINDING MACHINE R | NOT_SPECIFIED</v>
      </c>
      <c r="X775" s="24" t="str">
        <f t="shared" si="89"/>
        <v/>
      </c>
      <c r="Y775" s="24" t="str">
        <f t="shared" si="90"/>
        <v>MISSING_STATUS; CATEGORY_NOT_USEFUL; MISSING_PRODUCTION_NAME</v>
      </c>
    </row>
    <row r="776" spans="1:25" x14ac:dyDescent="0.3">
      <c r="A776" s="24" t="str">
        <f t="shared" si="84"/>
        <v>CH-1082#0775</v>
      </c>
      <c r="B776" s="24" t="str">
        <f>IF('query (2)'!B776="","",TRIM(UPPER('query (2)'!B776)))</f>
        <v>CH-1082</v>
      </c>
      <c r="C776" s="25" t="str">
        <f>IF('query (2)'!B776="","",'query (2)'!B776)</f>
        <v>CH-1082</v>
      </c>
      <c r="D776" s="24" t="str">
        <f t="shared" si="85"/>
        <v>CH</v>
      </c>
      <c r="E776" s="24">
        <f t="shared" si="86"/>
        <v>1</v>
      </c>
      <c r="F776" s="24">
        <f>IF('query (2)'!A776="","",IFERROR(VALUE('query (2)'!A776),""))</f>
        <v>794</v>
      </c>
      <c r="G776" s="24" t="str">
        <f>IF('query (2)'!C776="","UNKNOWN",IFERROR(INDEX(Cleaning_Rules!$B$15:$B$20,MATCH(TRIM(UPPER('query (2)'!C776)),Cleaning_Rules!$A$15:$A$20,0)),"UNKNOWN"))</f>
        <v>FACTORY2</v>
      </c>
      <c r="H776" s="25" t="str">
        <f>IF('query (2)'!C776="","",'query (2)'!C776)</f>
        <v>FACTORY2</v>
      </c>
      <c r="I776" s="24" t="str" cm="1">
        <f t="array" ref="I776">_xlfn.IFS($G776="UNKNOWN","UNKNOWN",OR($G776="FACTORY1",$G776="FACTORY2",$G776="FACTORY3"),"PLANT",TRUE,"SHARED")</f>
        <v>PLANT</v>
      </c>
      <c r="J776" s="24" t="str">
        <f>IF('query (2)'!D776="","UNKNOWN",IF(COUNTIF(Cleaning_Rules!$A$6:$A$11,TRIM('query (2)'!D776))&gt;0,"UNKNOWN",IFERROR(INDEX(Cleaning_Rules!$B$24:$B$28,MATCH(TRIM(UPPER('query (2)'!D776)),Cleaning_Rules!$A$24:$A$28,0)),TRIM(UPPER('query (2)'!D776)))))</f>
        <v>NB GRINDING1</v>
      </c>
      <c r="K776" s="25" t="str">
        <f>IF('query (2)'!D776="","",'query (2)'!D776)</f>
        <v>NB Grinding1</v>
      </c>
      <c r="L776" s="24" t="str">
        <f>IF($J776="UNKNOWN","",_xlfn.TEXTBEFORE($J776,{"0","1","2","3","4","5","6","7","8","9"," ","-","."},1,,,$J776))</f>
        <v>NB</v>
      </c>
      <c r="M776" s="24" t="str">
        <f>IF('query (2)'!I776&lt;&gt;"",TRIM(UPPER('query (2)'!I776)),IF($L776="","UNKNOWN",$L776))</f>
        <v>NB</v>
      </c>
      <c r="N776" s="24" t="str">
        <f>IF('query (2)'!I776&lt;&gt;"","SOURCE",IF($L776="","UNKNOWN","DERIVED"))</f>
        <v>SOURCE</v>
      </c>
      <c r="O776" s="24" t="str">
        <f>IF('query (2)'!E776="","NOT_SPECIFIED",TRIM(UPPER('query (2)'!E776)))</f>
        <v>GRINDING 2</v>
      </c>
      <c r="P776" s="24" t="str">
        <f>IF('query (2)'!F776="","",TRIM(UPPER('query (2)'!F776)))</f>
        <v>3606-NB1GA</v>
      </c>
      <c r="Q776" s="24" t="str">
        <f>IF('query (2)'!G776="","UNKNOWN",IFERROR(INDEX(Cleaning_Rules!$B$38:$B$46,MATCH(TRIM(UPPER('query (2)'!G776)),Cleaning_Rules!$A$38:$A$46,0)),"UNKNOWN"))</f>
        <v>OTHER</v>
      </c>
      <c r="R776" s="24" t="str">
        <f>IF('query (2)'!H776="","",TRIM(UPPER('query (2)'!H776)))</f>
        <v>INNER RING BORE INSPECTION EQUIPMENT R</v>
      </c>
      <c r="S776" s="25" t="str">
        <f>IF('query (2)'!H776="","",'query (2)'!H776)</f>
        <v>Inner ring bore inspection equipment R</v>
      </c>
      <c r="T776" s="24" t="str">
        <f>IF('query (2)'!J776="","",TRIM(UPPER('query (2)'!J776)))</f>
        <v/>
      </c>
      <c r="U776" s="24" t="str">
        <f t="shared" si="87"/>
        <v/>
      </c>
      <c r="V776" s="24" t="str">
        <f>IF('query (2)'!K776="","NOT_SPECIFIED",IFERROR(INDEX(Cleaning_Rules!$B$32:$B$34,MATCH(TRIM(UPPER('query (2)'!K776)),Cleaning_Rules!$A$32:$A$34,0)),"UNKNOWN"))</f>
        <v>NOT_SPECIFIED</v>
      </c>
      <c r="W776" s="24" t="str">
        <f t="shared" si="88"/>
        <v>CH-1082 | FACTORY2 | NB GRINDING1 | NB | GRINDING 2 | 3606-NB1GA | OTHER | INNER RING BORE INSPECTION EQUIPMENT R | NOT_SPECIFIED</v>
      </c>
      <c r="X776" s="24" t="str">
        <f t="shared" si="89"/>
        <v/>
      </c>
      <c r="Y776" s="24" t="str">
        <f t="shared" si="90"/>
        <v>MISSING_STATUS; CATEGORY_NOT_USEFUL; MISSING_PRODUCTION_NAME</v>
      </c>
    </row>
    <row r="777" spans="1:25" x14ac:dyDescent="0.3">
      <c r="A777" s="24" t="str">
        <f t="shared" si="84"/>
        <v>GR-1083#0776</v>
      </c>
      <c r="B777" s="24" t="str">
        <f>IF('query (2)'!B777="","",TRIM(UPPER('query (2)'!B777)))</f>
        <v>GR-1083</v>
      </c>
      <c r="C777" s="25" t="str">
        <f>IF('query (2)'!B777="","",'query (2)'!B777)</f>
        <v>GR-1083</v>
      </c>
      <c r="D777" s="24" t="str">
        <f t="shared" si="85"/>
        <v>GR</v>
      </c>
      <c r="E777" s="24">
        <f t="shared" si="86"/>
        <v>1</v>
      </c>
      <c r="F777" s="24">
        <f>IF('query (2)'!A777="","",IFERROR(VALUE('query (2)'!A777),""))</f>
        <v>795</v>
      </c>
      <c r="G777" s="24" t="str">
        <f>IF('query (2)'!C777="","UNKNOWN",IFERROR(INDEX(Cleaning_Rules!$B$15:$B$20,MATCH(TRIM(UPPER('query (2)'!C777)),Cleaning_Rules!$A$15:$A$20,0)),"UNKNOWN"))</f>
        <v>FACTORY2</v>
      </c>
      <c r="H777" s="25" t="str">
        <f>IF('query (2)'!C777="","",'query (2)'!C777)</f>
        <v>FACTORY2</v>
      </c>
      <c r="I777" s="24" t="str" cm="1">
        <f t="array" ref="I777">_xlfn.IFS($G777="UNKNOWN","UNKNOWN",OR($G777="FACTORY1",$G777="FACTORY2",$G777="FACTORY3"),"PLANT",TRUE,"SHARED")</f>
        <v>PLANT</v>
      </c>
      <c r="J777" s="24" t="str">
        <f>IF('query (2)'!D777="","UNKNOWN",IF(COUNTIF(Cleaning_Rules!$A$6:$A$11,TRIM('query (2)'!D777))&gt;0,"UNKNOWN",IFERROR(INDEX(Cleaning_Rules!$B$24:$B$28,MATCH(TRIM(UPPER('query (2)'!D777)),Cleaning_Rules!$A$24:$A$28,0)),TRIM(UPPER('query (2)'!D777)))))</f>
        <v>NB GRINDING1</v>
      </c>
      <c r="K777" s="25" t="str">
        <f>IF('query (2)'!D777="","",'query (2)'!D777)</f>
        <v>NB Grinding1</v>
      </c>
      <c r="L777" s="24" t="str">
        <f>IF($J777="UNKNOWN","",_xlfn.TEXTBEFORE($J777,{"0","1","2","3","4","5","6","7","8","9"," ","-","."},1,,,$J777))</f>
        <v>NB</v>
      </c>
      <c r="M777" s="24" t="str">
        <f>IF('query (2)'!I777&lt;&gt;"",TRIM(UPPER('query (2)'!I777)),IF($L777="","UNKNOWN",$L777))</f>
        <v>NB</v>
      </c>
      <c r="N777" s="24" t="str">
        <f>IF('query (2)'!I777&lt;&gt;"","SOURCE",IF($L777="","UNKNOWN","DERIVED"))</f>
        <v>SOURCE</v>
      </c>
      <c r="O777" s="24" t="str">
        <f>IF('query (2)'!E777="","NOT_SPECIFIED",TRIM(UPPER('query (2)'!E777)))</f>
        <v>GRINDING 2</v>
      </c>
      <c r="P777" s="24" t="str">
        <f>IF('query (2)'!F777="","",TRIM(UPPER('query (2)'!F777)))</f>
        <v>3606-NB1GA</v>
      </c>
      <c r="Q777" s="24" t="str">
        <f>IF('query (2)'!G777="","UNKNOWN",IFERROR(INDEX(Cleaning_Rules!$B$38:$B$46,MATCH(TRIM(UPPER('query (2)'!G777)),Cleaning_Rules!$A$38:$A$46,0)),"UNKNOWN"))</f>
        <v>OTHER</v>
      </c>
      <c r="R777" s="24" t="str">
        <f>IF('query (2)'!H777="","",TRIM(UPPER('query (2)'!H777)))</f>
        <v>INNER RING RACEWAY SUPER FINISH MACHINE R</v>
      </c>
      <c r="S777" s="25" t="str">
        <f>IF('query (2)'!H777="","",'query (2)'!H777)</f>
        <v>Inner ring raceway super finish machine R</v>
      </c>
      <c r="T777" s="24" t="str">
        <f>IF('query (2)'!J777="","",TRIM(UPPER('query (2)'!J777)))</f>
        <v/>
      </c>
      <c r="U777" s="24" t="str">
        <f t="shared" si="87"/>
        <v/>
      </c>
      <c r="V777" s="24" t="str">
        <f>IF('query (2)'!K777="","NOT_SPECIFIED",IFERROR(INDEX(Cleaning_Rules!$B$32:$B$34,MATCH(TRIM(UPPER('query (2)'!K777)),Cleaning_Rules!$A$32:$A$34,0)),"UNKNOWN"))</f>
        <v>NOT_SPECIFIED</v>
      </c>
      <c r="W777" s="24" t="str">
        <f t="shared" si="88"/>
        <v>GR-1083 | FACTORY2 | NB GRINDING1 | NB | GRINDING 2 | 3606-NB1GA | OTHER | INNER RING RACEWAY SUPER FINISH MACHINE R | NOT_SPECIFIED</v>
      </c>
      <c r="X777" s="24" t="str">
        <f t="shared" si="89"/>
        <v/>
      </c>
      <c r="Y777" s="24" t="str">
        <f t="shared" si="90"/>
        <v>MISSING_STATUS; CATEGORY_NOT_USEFUL; MISSING_PRODUCTION_NAME</v>
      </c>
    </row>
    <row r="778" spans="1:25" x14ac:dyDescent="0.3">
      <c r="A778" s="24" t="str">
        <f t="shared" si="84"/>
        <v>SU-1086#0777</v>
      </c>
      <c r="B778" s="24" t="str">
        <f>IF('query (2)'!B778="","",TRIM(UPPER('query (2)'!B778)))</f>
        <v>SU-1086</v>
      </c>
      <c r="C778" s="25" t="str">
        <f>IF('query (2)'!B778="","",'query (2)'!B778)</f>
        <v>SU-1086</v>
      </c>
      <c r="D778" s="24" t="str">
        <f t="shared" si="85"/>
        <v>SU</v>
      </c>
      <c r="E778" s="24">
        <f t="shared" si="86"/>
        <v>1</v>
      </c>
      <c r="F778" s="24">
        <f>IF('query (2)'!A778="","",IFERROR(VALUE('query (2)'!A778),""))</f>
        <v>796</v>
      </c>
      <c r="G778" s="24" t="str">
        <f>IF('query (2)'!C778="","UNKNOWN",IFERROR(INDEX(Cleaning_Rules!$B$15:$B$20,MATCH(TRIM(UPPER('query (2)'!C778)),Cleaning_Rules!$A$15:$A$20,0)),"UNKNOWN"))</f>
        <v>FACTORY2</v>
      </c>
      <c r="H778" s="25" t="str">
        <f>IF('query (2)'!C778="","",'query (2)'!C778)</f>
        <v>FACTORY2</v>
      </c>
      <c r="I778" s="24" t="str" cm="1">
        <f t="array" ref="I778">_xlfn.IFS($G778="UNKNOWN","UNKNOWN",OR($G778="FACTORY1",$G778="FACTORY2",$G778="FACTORY3"),"PLANT",TRUE,"SHARED")</f>
        <v>PLANT</v>
      </c>
      <c r="J778" s="24" t="str">
        <f>IF('query (2)'!D778="","UNKNOWN",IF(COUNTIF(Cleaning_Rules!$A$6:$A$11,TRIM('query (2)'!D778))&gt;0,"UNKNOWN",IFERROR(INDEX(Cleaning_Rules!$B$24:$B$28,MATCH(TRIM(UPPER('query (2)'!D778)),Cleaning_Rules!$A$24:$A$28,0)),TRIM(UPPER('query (2)'!D778)))))</f>
        <v>NB ASSEMBLY1</v>
      </c>
      <c r="K778" s="25" t="str">
        <f>IF('query (2)'!D778="","",'query (2)'!D778)</f>
        <v>NB Assambly1</v>
      </c>
      <c r="L778" s="24" t="str">
        <f>IF($J778="UNKNOWN","",_xlfn.TEXTBEFORE($J778,{"0","1","2","3","4","5","6","7","8","9"," ","-","."},1,,,$J778))</f>
        <v>NB</v>
      </c>
      <c r="M778" s="24" t="str">
        <f>IF('query (2)'!I778&lt;&gt;"",TRIM(UPPER('query (2)'!I778)),IF($L778="","UNKNOWN",$L778))</f>
        <v>NB</v>
      </c>
      <c r="N778" s="24" t="str">
        <f>IF('query (2)'!I778&lt;&gt;"","SOURCE",IF($L778="","UNKNOWN","DERIVED"))</f>
        <v>SOURCE</v>
      </c>
      <c r="O778" s="24" t="str">
        <f>IF('query (2)'!E778="","NOT_SPECIFIED",TRIM(UPPER('query (2)'!E778)))</f>
        <v>ASSEMBLY</v>
      </c>
      <c r="P778" s="24" t="str">
        <f>IF('query (2)'!F778="","",TRIM(UPPER('query (2)'!F778)))</f>
        <v>3605-NB1AI</v>
      </c>
      <c r="Q778" s="24" t="str">
        <f>IF('query (2)'!G778="","UNKNOWN",IFERROR(INDEX(Cleaning_Rules!$B$38:$B$46,MATCH(TRIM(UPPER('query (2)'!G778)),Cleaning_Rules!$A$38:$A$46,0)),"UNKNOWN"))</f>
        <v>OTHER</v>
      </c>
      <c r="R778" s="24" t="str">
        <f>IF('query (2)'!H778="","",TRIM(UPPER('query (2)'!H778)))</f>
        <v>INNER RING / OUTER RING AUTO SUPPLY</v>
      </c>
      <c r="S778" s="25" t="str">
        <f>IF('query (2)'!H778="","",'query (2)'!H778)</f>
        <v>INNER RING / OUTER RING AUTO SUPPLY</v>
      </c>
      <c r="T778" s="24" t="str">
        <f>IF('query (2)'!J778="","",TRIM(UPPER('query (2)'!J778)))</f>
        <v/>
      </c>
      <c r="U778" s="24" t="str">
        <f t="shared" si="87"/>
        <v/>
      </c>
      <c r="V778" s="24" t="str">
        <f>IF('query (2)'!K778="","NOT_SPECIFIED",IFERROR(INDEX(Cleaning_Rules!$B$32:$B$34,MATCH(TRIM(UPPER('query (2)'!K778)),Cleaning_Rules!$A$32:$A$34,0)),"UNKNOWN"))</f>
        <v>NOT_SPECIFIED</v>
      </c>
      <c r="W778" s="24" t="str">
        <f t="shared" si="88"/>
        <v>SU-1086 | FACTORY2 | NB ASSEMBLY1 | NB | ASSEMBLY | 3605-NB1AI | OTHER | INNER RING / OUTER RING AUTO SUPPLY | NOT_SPECIFIED</v>
      </c>
      <c r="X778" s="24" t="str">
        <f t="shared" si="89"/>
        <v/>
      </c>
      <c r="Y778" s="24" t="str">
        <f t="shared" si="90"/>
        <v>MISSING_STATUS; CATEGORY_NOT_USEFUL; MISSING_PRODUCTION_NAME</v>
      </c>
    </row>
    <row r="779" spans="1:25" x14ac:dyDescent="0.3">
      <c r="A779" s="24" t="str">
        <f t="shared" si="84"/>
        <v>WA-1087#0778</v>
      </c>
      <c r="B779" s="24" t="str">
        <f>IF('query (2)'!B779="","",TRIM(UPPER('query (2)'!B779)))</f>
        <v>WA-1087</v>
      </c>
      <c r="C779" s="25" t="str">
        <f>IF('query (2)'!B779="","",'query (2)'!B779)</f>
        <v>WA-1087</v>
      </c>
      <c r="D779" s="24" t="str">
        <f t="shared" si="85"/>
        <v>WA</v>
      </c>
      <c r="E779" s="24">
        <f t="shared" si="86"/>
        <v>1</v>
      </c>
      <c r="F779" s="24">
        <f>IF('query (2)'!A779="","",IFERROR(VALUE('query (2)'!A779),""))</f>
        <v>797</v>
      </c>
      <c r="G779" s="24" t="str">
        <f>IF('query (2)'!C779="","UNKNOWN",IFERROR(INDEX(Cleaning_Rules!$B$15:$B$20,MATCH(TRIM(UPPER('query (2)'!C779)),Cleaning_Rules!$A$15:$A$20,0)),"UNKNOWN"))</f>
        <v>FACTORY2</v>
      </c>
      <c r="H779" s="25" t="str">
        <f>IF('query (2)'!C779="","",'query (2)'!C779)</f>
        <v>FACTORY2</v>
      </c>
      <c r="I779" s="24" t="str" cm="1">
        <f t="array" ref="I779">_xlfn.IFS($G779="UNKNOWN","UNKNOWN",OR($G779="FACTORY1",$G779="FACTORY2",$G779="FACTORY3"),"PLANT",TRUE,"SHARED")</f>
        <v>PLANT</v>
      </c>
      <c r="J779" s="24" t="str">
        <f>IF('query (2)'!D779="","UNKNOWN",IF(COUNTIF(Cleaning_Rules!$A$6:$A$11,TRIM('query (2)'!D779))&gt;0,"UNKNOWN",IFERROR(INDEX(Cleaning_Rules!$B$24:$B$28,MATCH(TRIM(UPPER('query (2)'!D779)),Cleaning_Rules!$A$24:$A$28,0)),TRIM(UPPER('query (2)'!D779)))))</f>
        <v>NB ASSEMBLY1</v>
      </c>
      <c r="K779" s="25" t="str">
        <f>IF('query (2)'!D779="","",'query (2)'!D779)</f>
        <v>NB Assambly1</v>
      </c>
      <c r="L779" s="24" t="str">
        <f>IF($J779="UNKNOWN","",_xlfn.TEXTBEFORE($J779,{"0","1","2","3","4","5","6","7","8","9"," ","-","."},1,,,$J779))</f>
        <v>NB</v>
      </c>
      <c r="M779" s="24" t="str">
        <f>IF('query (2)'!I779&lt;&gt;"",TRIM(UPPER('query (2)'!I779)),IF($L779="","UNKNOWN",$L779))</f>
        <v>NB</v>
      </c>
      <c r="N779" s="24" t="str">
        <f>IF('query (2)'!I779&lt;&gt;"","SOURCE",IF($L779="","UNKNOWN","DERIVED"))</f>
        <v>SOURCE</v>
      </c>
      <c r="O779" s="24" t="str">
        <f>IF('query (2)'!E779="","NOT_SPECIFIED",TRIM(UPPER('query (2)'!E779)))</f>
        <v>ASSEMBLY</v>
      </c>
      <c r="P779" s="24" t="str">
        <f>IF('query (2)'!F779="","",TRIM(UPPER('query (2)'!F779)))</f>
        <v>3605-NB1AI</v>
      </c>
      <c r="Q779" s="24" t="str">
        <f>IF('query (2)'!G779="","UNKNOWN",IFERROR(INDEX(Cleaning_Rules!$B$38:$B$46,MATCH(TRIM(UPPER('query (2)'!G779)),Cleaning_Rules!$A$38:$A$46,0)),"UNKNOWN"))</f>
        <v>OTHER</v>
      </c>
      <c r="R779" s="24" t="str">
        <f>IF('query (2)'!H779="","",TRIM(UPPER('query (2)'!H779)))</f>
        <v>PARTS WASHING MACHINE</v>
      </c>
      <c r="S779" s="25" t="str">
        <f>IF('query (2)'!H779="","",'query (2)'!H779)</f>
        <v>PARTS WASHING MACHINE</v>
      </c>
      <c r="T779" s="24" t="str">
        <f>IF('query (2)'!J779="","",TRIM(UPPER('query (2)'!J779)))</f>
        <v/>
      </c>
      <c r="U779" s="24" t="str">
        <f t="shared" si="87"/>
        <v/>
      </c>
      <c r="V779" s="24" t="str">
        <f>IF('query (2)'!K779="","NOT_SPECIFIED",IFERROR(INDEX(Cleaning_Rules!$B$32:$B$34,MATCH(TRIM(UPPER('query (2)'!K779)),Cleaning_Rules!$A$32:$A$34,0)),"UNKNOWN"))</f>
        <v>NOT_SPECIFIED</v>
      </c>
      <c r="W779" s="24" t="str">
        <f t="shared" si="88"/>
        <v>WA-1087 | FACTORY2 | NB ASSEMBLY1 | NB | ASSEMBLY | 3605-NB1AI | OTHER | PARTS WASHING MACHINE | NOT_SPECIFIED</v>
      </c>
      <c r="X779" s="24" t="str">
        <f t="shared" si="89"/>
        <v/>
      </c>
      <c r="Y779" s="24" t="str">
        <f t="shared" si="90"/>
        <v>MISSING_STATUS; CATEGORY_NOT_USEFUL; MISSING_PRODUCTION_NAME</v>
      </c>
    </row>
    <row r="780" spans="1:25" x14ac:dyDescent="0.3">
      <c r="A780" s="24" t="str">
        <f t="shared" si="84"/>
        <v>CH-1088#0779</v>
      </c>
      <c r="B780" s="24" t="str">
        <f>IF('query (2)'!B780="","",TRIM(UPPER('query (2)'!B780)))</f>
        <v>CH-1088</v>
      </c>
      <c r="C780" s="25" t="str">
        <f>IF('query (2)'!B780="","",'query (2)'!B780)</f>
        <v>CH-1088</v>
      </c>
      <c r="D780" s="24" t="str">
        <f t="shared" si="85"/>
        <v>CH</v>
      </c>
      <c r="E780" s="24">
        <f t="shared" si="86"/>
        <v>1</v>
      </c>
      <c r="F780" s="24">
        <f>IF('query (2)'!A780="","",IFERROR(VALUE('query (2)'!A780),""))</f>
        <v>798</v>
      </c>
      <c r="G780" s="24" t="str">
        <f>IF('query (2)'!C780="","UNKNOWN",IFERROR(INDEX(Cleaning_Rules!$B$15:$B$20,MATCH(TRIM(UPPER('query (2)'!C780)),Cleaning_Rules!$A$15:$A$20,0)),"UNKNOWN"))</f>
        <v>FACTORY2</v>
      </c>
      <c r="H780" s="25" t="str">
        <f>IF('query (2)'!C780="","",'query (2)'!C780)</f>
        <v>FACTORY2</v>
      </c>
      <c r="I780" s="24" t="str" cm="1">
        <f t="array" ref="I780">_xlfn.IFS($G780="UNKNOWN","UNKNOWN",OR($G780="FACTORY1",$G780="FACTORY2",$G780="FACTORY3"),"PLANT",TRUE,"SHARED")</f>
        <v>PLANT</v>
      </c>
      <c r="J780" s="24" t="str">
        <f>IF('query (2)'!D780="","UNKNOWN",IF(COUNTIF(Cleaning_Rules!$A$6:$A$11,TRIM('query (2)'!D780))&gt;0,"UNKNOWN",IFERROR(INDEX(Cleaning_Rules!$B$24:$B$28,MATCH(TRIM(UPPER('query (2)'!D780)),Cleaning_Rules!$A$24:$A$28,0)),TRIM(UPPER('query (2)'!D780)))))</f>
        <v>NB ASSEMBLY1</v>
      </c>
      <c r="K780" s="25" t="str">
        <f>IF('query (2)'!D780="","",'query (2)'!D780)</f>
        <v>NB Assambly1</v>
      </c>
      <c r="L780" s="24" t="str">
        <f>IF($J780="UNKNOWN","",_xlfn.TEXTBEFORE($J780,{"0","1","2","3","4","5","6","7","8","9"," ","-","."},1,,,$J780))</f>
        <v>NB</v>
      </c>
      <c r="M780" s="24" t="str">
        <f>IF('query (2)'!I780&lt;&gt;"",TRIM(UPPER('query (2)'!I780)),IF($L780="","UNKNOWN",$L780))</f>
        <v>NB</v>
      </c>
      <c r="N780" s="24" t="str">
        <f>IF('query (2)'!I780&lt;&gt;"","SOURCE",IF($L780="","UNKNOWN","DERIVED"))</f>
        <v>SOURCE</v>
      </c>
      <c r="O780" s="24" t="str">
        <f>IF('query (2)'!E780="","NOT_SPECIFIED",TRIM(UPPER('query (2)'!E780)))</f>
        <v>ASSEMBLY</v>
      </c>
      <c r="P780" s="24" t="str">
        <f>IF('query (2)'!F780="","",TRIM(UPPER('query (2)'!F780)))</f>
        <v>3605-NB1AI</v>
      </c>
      <c r="Q780" s="24" t="str">
        <f>IF('query (2)'!G780="","UNKNOWN",IFERROR(INDEX(Cleaning_Rules!$B$38:$B$46,MATCH(TRIM(UPPER('query (2)'!G780)),Cleaning_Rules!$A$38:$A$46,0)),"UNKNOWN"))</f>
        <v>OTHER</v>
      </c>
      <c r="R780" s="24" t="str">
        <f>IF('query (2)'!H780="","",TRIM(UPPER('query (2)'!H780)))</f>
        <v>EDDY CURRENT TESTER</v>
      </c>
      <c r="S780" s="25" t="str">
        <f>IF('query (2)'!H780="","",'query (2)'!H780)</f>
        <v>EDDY CURRENT TESTER</v>
      </c>
      <c r="T780" s="24" t="str">
        <f>IF('query (2)'!J780="","",TRIM(UPPER('query (2)'!J780)))</f>
        <v/>
      </c>
      <c r="U780" s="24" t="str">
        <f t="shared" si="87"/>
        <v/>
      </c>
      <c r="V780" s="24" t="str">
        <f>IF('query (2)'!K780="","NOT_SPECIFIED",IFERROR(INDEX(Cleaning_Rules!$B$32:$B$34,MATCH(TRIM(UPPER('query (2)'!K780)),Cleaning_Rules!$A$32:$A$34,0)),"UNKNOWN"))</f>
        <v>NOT_SPECIFIED</v>
      </c>
      <c r="W780" s="24" t="str">
        <f t="shared" si="88"/>
        <v>CH-1088 | FACTORY2 | NB ASSEMBLY1 | NB | ASSEMBLY | 3605-NB1AI | OTHER | EDDY CURRENT TESTER | NOT_SPECIFIED</v>
      </c>
      <c r="X780" s="24" t="str">
        <f t="shared" si="89"/>
        <v/>
      </c>
      <c r="Y780" s="24" t="str">
        <f t="shared" si="90"/>
        <v>MISSING_STATUS; CATEGORY_NOT_USEFUL; MISSING_PRODUCTION_NAME</v>
      </c>
    </row>
    <row r="781" spans="1:25" x14ac:dyDescent="0.3">
      <c r="A781" s="24" t="str">
        <f t="shared" si="84"/>
        <v>AS-1089#0780</v>
      </c>
      <c r="B781" s="24" t="str">
        <f>IF('query (2)'!B781="","",TRIM(UPPER('query (2)'!B781)))</f>
        <v>AS-1089</v>
      </c>
      <c r="C781" s="25" t="str">
        <f>IF('query (2)'!B781="","",'query (2)'!B781)</f>
        <v>AS-1089</v>
      </c>
      <c r="D781" s="24" t="str">
        <f t="shared" si="85"/>
        <v>AS</v>
      </c>
      <c r="E781" s="24">
        <f t="shared" si="86"/>
        <v>1</v>
      </c>
      <c r="F781" s="24">
        <f>IF('query (2)'!A781="","",IFERROR(VALUE('query (2)'!A781),""))</f>
        <v>799</v>
      </c>
      <c r="G781" s="24" t="str">
        <f>IF('query (2)'!C781="","UNKNOWN",IFERROR(INDEX(Cleaning_Rules!$B$15:$B$20,MATCH(TRIM(UPPER('query (2)'!C781)),Cleaning_Rules!$A$15:$A$20,0)),"UNKNOWN"))</f>
        <v>FACTORY2</v>
      </c>
      <c r="H781" s="25" t="str">
        <f>IF('query (2)'!C781="","",'query (2)'!C781)</f>
        <v>FACTORY2</v>
      </c>
      <c r="I781" s="24" t="str" cm="1">
        <f t="array" ref="I781">_xlfn.IFS($G781="UNKNOWN","UNKNOWN",OR($G781="FACTORY1",$G781="FACTORY2",$G781="FACTORY3"),"PLANT",TRUE,"SHARED")</f>
        <v>PLANT</v>
      </c>
      <c r="J781" s="24" t="str">
        <f>IF('query (2)'!D781="","UNKNOWN",IF(COUNTIF(Cleaning_Rules!$A$6:$A$11,TRIM('query (2)'!D781))&gt;0,"UNKNOWN",IFERROR(INDEX(Cleaning_Rules!$B$24:$B$28,MATCH(TRIM(UPPER('query (2)'!D781)),Cleaning_Rules!$A$24:$A$28,0)),TRIM(UPPER('query (2)'!D781)))))</f>
        <v>NB ASSEMBLY1</v>
      </c>
      <c r="K781" s="25" t="str">
        <f>IF('query (2)'!D781="","",'query (2)'!D781)</f>
        <v>NB Assambly1</v>
      </c>
      <c r="L781" s="24" t="str">
        <f>IF($J781="UNKNOWN","",_xlfn.TEXTBEFORE($J781,{"0","1","2","3","4","5","6","7","8","9"," ","-","."},1,,,$J781))</f>
        <v>NB</v>
      </c>
      <c r="M781" s="24" t="str">
        <f>IF('query (2)'!I781&lt;&gt;"",TRIM(UPPER('query (2)'!I781)),IF($L781="","UNKNOWN",$L781))</f>
        <v>NB</v>
      </c>
      <c r="N781" s="24" t="str">
        <f>IF('query (2)'!I781&lt;&gt;"","SOURCE",IF($L781="","UNKNOWN","DERIVED"))</f>
        <v>SOURCE</v>
      </c>
      <c r="O781" s="24" t="str">
        <f>IF('query (2)'!E781="","NOT_SPECIFIED",TRIM(UPPER('query (2)'!E781)))</f>
        <v>ASSEMBLY</v>
      </c>
      <c r="P781" s="24" t="str">
        <f>IF('query (2)'!F781="","",TRIM(UPPER('query (2)'!F781)))</f>
        <v>3605-NB1AI</v>
      </c>
      <c r="Q781" s="24" t="str">
        <f>IF('query (2)'!G781="","UNKNOWN",IFERROR(INDEX(Cleaning_Rules!$B$38:$B$46,MATCH(TRIM(UPPER('query (2)'!G781)),Cleaning_Rules!$A$38:$A$46,0)),"UNKNOWN"))</f>
        <v>OTHER</v>
      </c>
      <c r="R781" s="24" t="str">
        <f>IF('query (2)'!H781="","",TRIM(UPPER('query (2)'!H781)))</f>
        <v>AUTOMATIIC SELECTION MATCHING MACHINE</v>
      </c>
      <c r="S781" s="25" t="str">
        <f>IF('query (2)'!H781="","",'query (2)'!H781)</f>
        <v>AUTOMATIIC SELECTION MATCHING MACHINE</v>
      </c>
      <c r="T781" s="24" t="str">
        <f>IF('query (2)'!J781="","",TRIM(UPPER('query (2)'!J781)))</f>
        <v/>
      </c>
      <c r="U781" s="24" t="str">
        <f t="shared" si="87"/>
        <v/>
      </c>
      <c r="V781" s="24" t="str">
        <f>IF('query (2)'!K781="","NOT_SPECIFIED",IFERROR(INDEX(Cleaning_Rules!$B$32:$B$34,MATCH(TRIM(UPPER('query (2)'!K781)),Cleaning_Rules!$A$32:$A$34,0)),"UNKNOWN"))</f>
        <v>NOT_SPECIFIED</v>
      </c>
      <c r="W781" s="24" t="str">
        <f t="shared" si="88"/>
        <v>AS-1089 | FACTORY2 | NB ASSEMBLY1 | NB | ASSEMBLY | 3605-NB1AI | OTHER | AUTOMATIIC SELECTION MATCHING MACHINE | NOT_SPECIFIED</v>
      </c>
      <c r="X781" s="24" t="str">
        <f t="shared" si="89"/>
        <v/>
      </c>
      <c r="Y781" s="24" t="str">
        <f t="shared" si="90"/>
        <v>MISSING_STATUS; CATEGORY_NOT_USEFUL; MISSING_PRODUCTION_NAME</v>
      </c>
    </row>
    <row r="782" spans="1:25" x14ac:dyDescent="0.3">
      <c r="A782" s="24" t="str">
        <f t="shared" si="84"/>
        <v>AS-1090#0781</v>
      </c>
      <c r="B782" s="24" t="str">
        <f>IF('query (2)'!B782="","",TRIM(UPPER('query (2)'!B782)))</f>
        <v>AS-1090</v>
      </c>
      <c r="C782" s="25" t="str">
        <f>IF('query (2)'!B782="","",'query (2)'!B782)</f>
        <v>AS-1090</v>
      </c>
      <c r="D782" s="24" t="str">
        <f t="shared" si="85"/>
        <v>AS</v>
      </c>
      <c r="E782" s="24">
        <f t="shared" si="86"/>
        <v>1</v>
      </c>
      <c r="F782" s="24">
        <f>IF('query (2)'!A782="","",IFERROR(VALUE('query (2)'!A782),""))</f>
        <v>800</v>
      </c>
      <c r="G782" s="24" t="str">
        <f>IF('query (2)'!C782="","UNKNOWN",IFERROR(INDEX(Cleaning_Rules!$B$15:$B$20,MATCH(TRIM(UPPER('query (2)'!C782)),Cleaning_Rules!$A$15:$A$20,0)),"UNKNOWN"))</f>
        <v>FACTORY2</v>
      </c>
      <c r="H782" s="25" t="str">
        <f>IF('query (2)'!C782="","",'query (2)'!C782)</f>
        <v>FACTORY2</v>
      </c>
      <c r="I782" s="24" t="str" cm="1">
        <f t="array" ref="I782">_xlfn.IFS($G782="UNKNOWN","UNKNOWN",OR($G782="FACTORY1",$G782="FACTORY2",$G782="FACTORY3"),"PLANT",TRUE,"SHARED")</f>
        <v>PLANT</v>
      </c>
      <c r="J782" s="24" t="str">
        <f>IF('query (2)'!D782="","UNKNOWN",IF(COUNTIF(Cleaning_Rules!$A$6:$A$11,TRIM('query (2)'!D782))&gt;0,"UNKNOWN",IFERROR(INDEX(Cleaning_Rules!$B$24:$B$28,MATCH(TRIM(UPPER('query (2)'!D782)),Cleaning_Rules!$A$24:$A$28,0)),TRIM(UPPER('query (2)'!D782)))))</f>
        <v>NB ASSEMBLY1</v>
      </c>
      <c r="K782" s="25" t="str">
        <f>IF('query (2)'!D782="","",'query (2)'!D782)</f>
        <v>NB Assambly1</v>
      </c>
      <c r="L782" s="24" t="str">
        <f>IF($J782="UNKNOWN","",_xlfn.TEXTBEFORE($J782,{"0","1","2","3","4","5","6","7","8","9"," ","-","."},1,,,$J782))</f>
        <v>NB</v>
      </c>
      <c r="M782" s="24" t="str">
        <f>IF('query (2)'!I782&lt;&gt;"",TRIM(UPPER('query (2)'!I782)),IF($L782="","UNKNOWN",$L782))</f>
        <v>NB</v>
      </c>
      <c r="N782" s="24" t="str">
        <f>IF('query (2)'!I782&lt;&gt;"","SOURCE",IF($L782="","UNKNOWN","DERIVED"))</f>
        <v>SOURCE</v>
      </c>
      <c r="O782" s="24" t="str">
        <f>IF('query (2)'!E782="","NOT_SPECIFIED",TRIM(UPPER('query (2)'!E782)))</f>
        <v>ASSEMBLY</v>
      </c>
      <c r="P782" s="24" t="str">
        <f>IF('query (2)'!F782="","",TRIM(UPPER('query (2)'!F782)))</f>
        <v>3605-NB1AI</v>
      </c>
      <c r="Q782" s="24" t="str">
        <f>IF('query (2)'!G782="","UNKNOWN",IFERROR(INDEX(Cleaning_Rules!$B$38:$B$46,MATCH(TRIM(UPPER('query (2)'!G782)),Cleaning_Rules!$A$38:$A$46,0)),"UNKNOWN"))</f>
        <v>OTHER</v>
      </c>
      <c r="R782" s="24" t="str">
        <f>IF('query (2)'!H782="","",TRIM(UPPER('query (2)'!H782)))</f>
        <v>AUTOMATIC ASSEMBLY MACHINE</v>
      </c>
      <c r="S782" s="25" t="str">
        <f>IF('query (2)'!H782="","",'query (2)'!H782)</f>
        <v>AUTOMATIC ASSEMBLY MACHINE</v>
      </c>
      <c r="T782" s="24" t="str">
        <f>IF('query (2)'!J782="","",TRIM(UPPER('query (2)'!J782)))</f>
        <v/>
      </c>
      <c r="U782" s="24" t="str">
        <f t="shared" si="87"/>
        <v/>
      </c>
      <c r="V782" s="24" t="str">
        <f>IF('query (2)'!K782="","NOT_SPECIFIED",IFERROR(INDEX(Cleaning_Rules!$B$32:$B$34,MATCH(TRIM(UPPER('query (2)'!K782)),Cleaning_Rules!$A$32:$A$34,0)),"UNKNOWN"))</f>
        <v>NOT_SPECIFIED</v>
      </c>
      <c r="W782" s="24" t="str">
        <f t="shared" si="88"/>
        <v>AS-1090 | FACTORY2 | NB ASSEMBLY1 | NB | ASSEMBLY | 3605-NB1AI | OTHER | AUTOMATIC ASSEMBLY MACHINE | NOT_SPECIFIED</v>
      </c>
      <c r="X782" s="24" t="str">
        <f t="shared" si="89"/>
        <v/>
      </c>
      <c r="Y782" s="24" t="str">
        <f t="shared" si="90"/>
        <v>MISSING_STATUS; CATEGORY_NOT_USEFUL; MISSING_PRODUCTION_NAME</v>
      </c>
    </row>
    <row r="783" spans="1:25" x14ac:dyDescent="0.3">
      <c r="A783" s="24" t="str">
        <f t="shared" si="84"/>
        <v>SU-1091#0782</v>
      </c>
      <c r="B783" s="24" t="str">
        <f>IF('query (2)'!B783="","",TRIM(UPPER('query (2)'!B783)))</f>
        <v>SU-1091</v>
      </c>
      <c r="C783" s="25" t="str">
        <f>IF('query (2)'!B783="","",'query (2)'!B783)</f>
        <v>SU-1091</v>
      </c>
      <c r="D783" s="24" t="str">
        <f t="shared" si="85"/>
        <v>SU</v>
      </c>
      <c r="E783" s="24">
        <f t="shared" si="86"/>
        <v>1</v>
      </c>
      <c r="F783" s="24">
        <f>IF('query (2)'!A783="","",IFERROR(VALUE('query (2)'!A783),""))</f>
        <v>801</v>
      </c>
      <c r="G783" s="24" t="str">
        <f>IF('query (2)'!C783="","UNKNOWN",IFERROR(INDEX(Cleaning_Rules!$B$15:$B$20,MATCH(TRIM(UPPER('query (2)'!C783)),Cleaning_Rules!$A$15:$A$20,0)),"UNKNOWN"))</f>
        <v>FACTORY2</v>
      </c>
      <c r="H783" s="25" t="str">
        <f>IF('query (2)'!C783="","",'query (2)'!C783)</f>
        <v>FACTORY2</v>
      </c>
      <c r="I783" s="24" t="str" cm="1">
        <f t="array" ref="I783">_xlfn.IFS($G783="UNKNOWN","UNKNOWN",OR($G783="FACTORY1",$G783="FACTORY2",$G783="FACTORY3"),"PLANT",TRUE,"SHARED")</f>
        <v>PLANT</v>
      </c>
      <c r="J783" s="24" t="str">
        <f>IF('query (2)'!D783="","UNKNOWN",IF(COUNTIF(Cleaning_Rules!$A$6:$A$11,TRIM('query (2)'!D783))&gt;0,"UNKNOWN",IFERROR(INDEX(Cleaning_Rules!$B$24:$B$28,MATCH(TRIM(UPPER('query (2)'!D783)),Cleaning_Rules!$A$24:$A$28,0)),TRIM(UPPER('query (2)'!D783)))))</f>
        <v>NB ASSEMBLY1</v>
      </c>
      <c r="K783" s="25" t="str">
        <f>IF('query (2)'!D783="","",'query (2)'!D783)</f>
        <v>NB Assambly1</v>
      </c>
      <c r="L783" s="24" t="str">
        <f>IF($J783="UNKNOWN","",_xlfn.TEXTBEFORE($J783,{"0","1","2","3","4","5","6","7","8","9"," ","-","."},1,,,$J783))</f>
        <v>NB</v>
      </c>
      <c r="M783" s="24" t="str">
        <f>IF('query (2)'!I783&lt;&gt;"",TRIM(UPPER('query (2)'!I783)),IF($L783="","UNKNOWN",$L783))</f>
        <v>NB</v>
      </c>
      <c r="N783" s="24" t="str">
        <f>IF('query (2)'!I783&lt;&gt;"","SOURCE",IF($L783="","UNKNOWN","DERIVED"))</f>
        <v>SOURCE</v>
      </c>
      <c r="O783" s="24" t="str">
        <f>IF('query (2)'!E783="","NOT_SPECIFIED",TRIM(UPPER('query (2)'!E783)))</f>
        <v>ASSEMBLY</v>
      </c>
      <c r="P783" s="24" t="str">
        <f>IF('query (2)'!F783="","",TRIM(UPPER('query (2)'!F783)))</f>
        <v>3605-NB1AI</v>
      </c>
      <c r="Q783" s="24" t="str">
        <f>IF('query (2)'!G783="","UNKNOWN",IFERROR(INDEX(Cleaning_Rules!$B$38:$B$46,MATCH(TRIM(UPPER('query (2)'!G783)),Cleaning_Rules!$A$38:$A$46,0)),"UNKNOWN"))</f>
        <v>OTHER</v>
      </c>
      <c r="R783" s="24" t="str">
        <f>IF('query (2)'!H783="","",TRIM(UPPER('query (2)'!H783)))</f>
        <v>BALL HOPPER</v>
      </c>
      <c r="S783" s="25" t="str">
        <f>IF('query (2)'!H783="","",'query (2)'!H783)</f>
        <v>BALL HOPPER</v>
      </c>
      <c r="T783" s="24" t="str">
        <f>IF('query (2)'!J783="","",TRIM(UPPER('query (2)'!J783)))</f>
        <v/>
      </c>
      <c r="U783" s="24" t="str">
        <f t="shared" si="87"/>
        <v/>
      </c>
      <c r="V783" s="24" t="str">
        <f>IF('query (2)'!K783="","NOT_SPECIFIED",IFERROR(INDEX(Cleaning_Rules!$B$32:$B$34,MATCH(TRIM(UPPER('query (2)'!K783)),Cleaning_Rules!$A$32:$A$34,0)),"UNKNOWN"))</f>
        <v>NOT_SPECIFIED</v>
      </c>
      <c r="W783" s="24" t="str">
        <f t="shared" si="88"/>
        <v>SU-1091 | FACTORY2 | NB ASSEMBLY1 | NB | ASSEMBLY | 3605-NB1AI | OTHER | BALL HOPPER | NOT_SPECIFIED</v>
      </c>
      <c r="X783" s="24" t="str">
        <f t="shared" si="89"/>
        <v/>
      </c>
      <c r="Y783" s="24" t="str">
        <f t="shared" si="90"/>
        <v>MISSING_STATUS; CATEGORY_NOT_USEFUL; MISSING_PRODUCTION_NAME</v>
      </c>
    </row>
    <row r="784" spans="1:25" x14ac:dyDescent="0.3">
      <c r="A784" s="24" t="str">
        <f t="shared" si="84"/>
        <v>AS-1092#0783</v>
      </c>
      <c r="B784" s="24" t="str">
        <f>IF('query (2)'!B784="","",TRIM(UPPER('query (2)'!B784)))</f>
        <v>AS-1092</v>
      </c>
      <c r="C784" s="25" t="str">
        <f>IF('query (2)'!B784="","",'query (2)'!B784)</f>
        <v>AS-1092</v>
      </c>
      <c r="D784" s="24" t="str">
        <f t="shared" si="85"/>
        <v>AS</v>
      </c>
      <c r="E784" s="24">
        <f t="shared" si="86"/>
        <v>1</v>
      </c>
      <c r="F784" s="24">
        <f>IF('query (2)'!A784="","",IFERROR(VALUE('query (2)'!A784),""))</f>
        <v>802</v>
      </c>
      <c r="G784" s="24" t="str">
        <f>IF('query (2)'!C784="","UNKNOWN",IFERROR(INDEX(Cleaning_Rules!$B$15:$B$20,MATCH(TRIM(UPPER('query (2)'!C784)),Cleaning_Rules!$A$15:$A$20,0)),"UNKNOWN"))</f>
        <v>FACTORY2</v>
      </c>
      <c r="H784" s="25" t="str">
        <f>IF('query (2)'!C784="","",'query (2)'!C784)</f>
        <v>FACTORY2</v>
      </c>
      <c r="I784" s="24" t="str" cm="1">
        <f t="array" ref="I784">_xlfn.IFS($G784="UNKNOWN","UNKNOWN",OR($G784="FACTORY1",$G784="FACTORY2",$G784="FACTORY3"),"PLANT",TRUE,"SHARED")</f>
        <v>PLANT</v>
      </c>
      <c r="J784" s="24" t="str">
        <f>IF('query (2)'!D784="","UNKNOWN",IF(COUNTIF(Cleaning_Rules!$A$6:$A$11,TRIM('query (2)'!D784))&gt;0,"UNKNOWN",IFERROR(INDEX(Cleaning_Rules!$B$24:$B$28,MATCH(TRIM(UPPER('query (2)'!D784)),Cleaning_Rules!$A$24:$A$28,0)),TRIM(UPPER('query (2)'!D784)))))</f>
        <v>NB ASSEMBLY1</v>
      </c>
      <c r="K784" s="25" t="str">
        <f>IF('query (2)'!D784="","",'query (2)'!D784)</f>
        <v>NB Assambly1</v>
      </c>
      <c r="L784" s="24" t="str">
        <f>IF($J784="UNKNOWN","",_xlfn.TEXTBEFORE($J784,{"0","1","2","3","4","5","6","7","8","9"," ","-","."},1,,,$J784))</f>
        <v>NB</v>
      </c>
      <c r="M784" s="24" t="str">
        <f>IF('query (2)'!I784&lt;&gt;"",TRIM(UPPER('query (2)'!I784)),IF($L784="","UNKNOWN",$L784))</f>
        <v>NB</v>
      </c>
      <c r="N784" s="24" t="str">
        <f>IF('query (2)'!I784&lt;&gt;"","SOURCE",IF($L784="","UNKNOWN","DERIVED"))</f>
        <v>SOURCE</v>
      </c>
      <c r="O784" s="24" t="str">
        <f>IF('query (2)'!E784="","NOT_SPECIFIED",TRIM(UPPER('query (2)'!E784)))</f>
        <v>ASSEMBLY</v>
      </c>
      <c r="P784" s="24" t="str">
        <f>IF('query (2)'!F784="","",TRIM(UPPER('query (2)'!F784)))</f>
        <v>3605-NB1AI</v>
      </c>
      <c r="Q784" s="24" t="str">
        <f>IF('query (2)'!G784="","UNKNOWN",IFERROR(INDEX(Cleaning_Rules!$B$38:$B$46,MATCH(TRIM(UPPER('query (2)'!G784)),Cleaning_Rules!$A$38:$A$46,0)),"UNKNOWN"))</f>
        <v>OTHER</v>
      </c>
      <c r="R784" s="24" t="str">
        <f>IF('query (2)'!H784="","",TRIM(UPPER('query (2)'!H784)))</f>
        <v>RIVET PRESS MACHINE</v>
      </c>
      <c r="S784" s="25" t="str">
        <f>IF('query (2)'!H784="","",'query (2)'!H784)</f>
        <v>RIVET PRESS MACHINE</v>
      </c>
      <c r="T784" s="24" t="str">
        <f>IF('query (2)'!J784="","",TRIM(UPPER('query (2)'!J784)))</f>
        <v/>
      </c>
      <c r="U784" s="24" t="str">
        <f t="shared" si="87"/>
        <v/>
      </c>
      <c r="V784" s="24" t="str">
        <f>IF('query (2)'!K784="","NOT_SPECIFIED",IFERROR(INDEX(Cleaning_Rules!$B$32:$B$34,MATCH(TRIM(UPPER('query (2)'!K784)),Cleaning_Rules!$A$32:$A$34,0)),"UNKNOWN"))</f>
        <v>NOT_SPECIFIED</v>
      </c>
      <c r="W784" s="24" t="str">
        <f t="shared" si="88"/>
        <v>AS-1092 | FACTORY2 | NB ASSEMBLY1 | NB | ASSEMBLY | 3605-NB1AI | OTHER | RIVET PRESS MACHINE | NOT_SPECIFIED</v>
      </c>
      <c r="X784" s="24" t="str">
        <f t="shared" si="89"/>
        <v/>
      </c>
      <c r="Y784" s="24" t="str">
        <f t="shared" si="90"/>
        <v>MISSING_STATUS; CATEGORY_NOT_USEFUL; MISSING_PRODUCTION_NAME</v>
      </c>
    </row>
    <row r="785" spans="1:25" x14ac:dyDescent="0.3">
      <c r="A785" s="24" t="str">
        <f t="shared" si="84"/>
        <v>WA-1093#0784</v>
      </c>
      <c r="B785" s="24" t="str">
        <f>IF('query (2)'!B785="","",TRIM(UPPER('query (2)'!B785)))</f>
        <v>WA-1093</v>
      </c>
      <c r="C785" s="25" t="str">
        <f>IF('query (2)'!B785="","",'query (2)'!B785)</f>
        <v>WA-1093</v>
      </c>
      <c r="D785" s="24" t="str">
        <f t="shared" si="85"/>
        <v>WA</v>
      </c>
      <c r="E785" s="24">
        <f t="shared" si="86"/>
        <v>1</v>
      </c>
      <c r="F785" s="24">
        <f>IF('query (2)'!A785="","",IFERROR(VALUE('query (2)'!A785),""))</f>
        <v>803</v>
      </c>
      <c r="G785" s="24" t="str">
        <f>IF('query (2)'!C785="","UNKNOWN",IFERROR(INDEX(Cleaning_Rules!$B$15:$B$20,MATCH(TRIM(UPPER('query (2)'!C785)),Cleaning_Rules!$A$15:$A$20,0)),"UNKNOWN"))</f>
        <v>FACTORY2</v>
      </c>
      <c r="H785" s="25" t="str">
        <f>IF('query (2)'!C785="","",'query (2)'!C785)</f>
        <v>FACTORY2</v>
      </c>
      <c r="I785" s="24" t="str" cm="1">
        <f t="array" ref="I785">_xlfn.IFS($G785="UNKNOWN","UNKNOWN",OR($G785="FACTORY1",$G785="FACTORY2",$G785="FACTORY3"),"PLANT",TRUE,"SHARED")</f>
        <v>PLANT</v>
      </c>
      <c r="J785" s="24" t="str">
        <f>IF('query (2)'!D785="","UNKNOWN",IF(COUNTIF(Cleaning_Rules!$A$6:$A$11,TRIM('query (2)'!D785))&gt;0,"UNKNOWN",IFERROR(INDEX(Cleaning_Rules!$B$24:$B$28,MATCH(TRIM(UPPER('query (2)'!D785)),Cleaning_Rules!$A$24:$A$28,0)),TRIM(UPPER('query (2)'!D785)))))</f>
        <v>NB ASSEMBLY1</v>
      </c>
      <c r="K785" s="25" t="str">
        <f>IF('query (2)'!D785="","",'query (2)'!D785)</f>
        <v>NB Assambly1</v>
      </c>
      <c r="L785" s="24" t="str">
        <f>IF($J785="UNKNOWN","",_xlfn.TEXTBEFORE($J785,{"0","1","2","3","4","5","6","7","8","9"," ","-","."},1,,,$J785))</f>
        <v>NB</v>
      </c>
      <c r="M785" s="24" t="str">
        <f>IF('query (2)'!I785&lt;&gt;"",TRIM(UPPER('query (2)'!I785)),IF($L785="","UNKNOWN",$L785))</f>
        <v>NB</v>
      </c>
      <c r="N785" s="24" t="str">
        <f>IF('query (2)'!I785&lt;&gt;"","SOURCE",IF($L785="","UNKNOWN","DERIVED"))</f>
        <v>SOURCE</v>
      </c>
      <c r="O785" s="24" t="str">
        <f>IF('query (2)'!E785="","NOT_SPECIFIED",TRIM(UPPER('query (2)'!E785)))</f>
        <v>ASSEMBLY</v>
      </c>
      <c r="P785" s="24" t="str">
        <f>IF('query (2)'!F785="","",TRIM(UPPER('query (2)'!F785)))</f>
        <v>3605-NB1AI</v>
      </c>
      <c r="Q785" s="24" t="str">
        <f>IF('query (2)'!G785="","UNKNOWN",IFERROR(INDEX(Cleaning_Rules!$B$38:$B$46,MATCH(TRIM(UPPER('query (2)'!G785)),Cleaning_Rules!$A$38:$A$46,0)),"UNKNOWN"))</f>
        <v>OTHER</v>
      </c>
      <c r="R785" s="24" t="str">
        <f>IF('query (2)'!H785="","",TRIM(UPPER('query (2)'!H785)))</f>
        <v>JET WASHING MACHINE FOR #608</v>
      </c>
      <c r="S785" s="25" t="str">
        <f>IF('query (2)'!H785="","",'query (2)'!H785)</f>
        <v>JET WASHING MACHINE FOR #608</v>
      </c>
      <c r="T785" s="24" t="str">
        <f>IF('query (2)'!J785="","",TRIM(UPPER('query (2)'!J785)))</f>
        <v/>
      </c>
      <c r="U785" s="24" t="str">
        <f t="shared" si="87"/>
        <v/>
      </c>
      <c r="V785" s="24" t="str">
        <f>IF('query (2)'!K785="","NOT_SPECIFIED",IFERROR(INDEX(Cleaning_Rules!$B$32:$B$34,MATCH(TRIM(UPPER('query (2)'!K785)),Cleaning_Rules!$A$32:$A$34,0)),"UNKNOWN"))</f>
        <v>NOT_SPECIFIED</v>
      </c>
      <c r="W785" s="24" t="str">
        <f t="shared" si="88"/>
        <v>WA-1093 | FACTORY2 | NB ASSEMBLY1 | NB | ASSEMBLY | 3605-NB1AI | OTHER | JET WASHING MACHINE FOR #608 | NOT_SPECIFIED</v>
      </c>
      <c r="X785" s="24" t="str">
        <f t="shared" si="89"/>
        <v/>
      </c>
      <c r="Y785" s="24" t="str">
        <f t="shared" si="90"/>
        <v>MISSING_STATUS; CATEGORY_NOT_USEFUL; MISSING_PRODUCTION_NAME</v>
      </c>
    </row>
    <row r="786" spans="1:25" x14ac:dyDescent="0.3">
      <c r="A786" s="24" t="str">
        <f t="shared" si="84"/>
        <v>CH-1094#0785</v>
      </c>
      <c r="B786" s="24" t="str">
        <f>IF('query (2)'!B786="","",TRIM(UPPER('query (2)'!B786)))</f>
        <v>CH-1094</v>
      </c>
      <c r="C786" s="25" t="str">
        <f>IF('query (2)'!B786="","",'query (2)'!B786)</f>
        <v>CH-1094</v>
      </c>
      <c r="D786" s="24" t="str">
        <f t="shared" si="85"/>
        <v>CH</v>
      </c>
      <c r="E786" s="24">
        <f t="shared" si="86"/>
        <v>1</v>
      </c>
      <c r="F786" s="24">
        <f>IF('query (2)'!A786="","",IFERROR(VALUE('query (2)'!A786),""))</f>
        <v>804</v>
      </c>
      <c r="G786" s="24" t="str">
        <f>IF('query (2)'!C786="","UNKNOWN",IFERROR(INDEX(Cleaning_Rules!$B$15:$B$20,MATCH(TRIM(UPPER('query (2)'!C786)),Cleaning_Rules!$A$15:$A$20,0)),"UNKNOWN"))</f>
        <v>FACTORY2</v>
      </c>
      <c r="H786" s="25" t="str">
        <f>IF('query (2)'!C786="","",'query (2)'!C786)</f>
        <v>FACTORY2</v>
      </c>
      <c r="I786" s="24" t="str" cm="1">
        <f t="array" ref="I786">_xlfn.IFS($G786="UNKNOWN","UNKNOWN",OR($G786="FACTORY1",$G786="FACTORY2",$G786="FACTORY3"),"PLANT",TRUE,"SHARED")</f>
        <v>PLANT</v>
      </c>
      <c r="J786" s="24" t="str">
        <f>IF('query (2)'!D786="","UNKNOWN",IF(COUNTIF(Cleaning_Rules!$A$6:$A$11,TRIM('query (2)'!D786))&gt;0,"UNKNOWN",IFERROR(INDEX(Cleaning_Rules!$B$24:$B$28,MATCH(TRIM(UPPER('query (2)'!D786)),Cleaning_Rules!$A$24:$A$28,0)),TRIM(UPPER('query (2)'!D786)))))</f>
        <v>NB ASSEMBLY1</v>
      </c>
      <c r="K786" s="25" t="str">
        <f>IF('query (2)'!D786="","",'query (2)'!D786)</f>
        <v>NB Assambly1</v>
      </c>
      <c r="L786" s="24" t="str">
        <f>IF($J786="UNKNOWN","",_xlfn.TEXTBEFORE($J786,{"0","1","2","3","4","5","6","7","8","9"," ","-","."},1,,,$J786))</f>
        <v>NB</v>
      </c>
      <c r="M786" s="24" t="str">
        <f>IF('query (2)'!I786&lt;&gt;"",TRIM(UPPER('query (2)'!I786)),IF($L786="","UNKNOWN",$L786))</f>
        <v>NB</v>
      </c>
      <c r="N786" s="24" t="str">
        <f>IF('query (2)'!I786&lt;&gt;"","SOURCE",IF($L786="","UNKNOWN","DERIVED"))</f>
        <v>SOURCE</v>
      </c>
      <c r="O786" s="24" t="str">
        <f>IF('query (2)'!E786="","NOT_SPECIFIED",TRIM(UPPER('query (2)'!E786)))</f>
        <v>ASSEMBLY</v>
      </c>
      <c r="P786" s="24" t="str">
        <f>IF('query (2)'!F786="","",TRIM(UPPER('query (2)'!F786)))</f>
        <v>3605-NB1AI</v>
      </c>
      <c r="Q786" s="24" t="str">
        <f>IF('query (2)'!G786="","UNKNOWN",IFERROR(INDEX(Cleaning_Rules!$B$38:$B$46,MATCH(TRIM(UPPER('query (2)'!G786)),Cleaning_Rules!$A$38:$A$46,0)),"UNKNOWN"))</f>
        <v>OTHER</v>
      </c>
      <c r="R786" s="24" t="str">
        <f>IF('query (2)'!H786="","",TRIM(UPPER('query (2)'!H786)))</f>
        <v>MESIN ME612</v>
      </c>
      <c r="S786" s="25" t="str">
        <f>IF('query (2)'!H786="","",'query (2)'!H786)</f>
        <v>MESIN ME612</v>
      </c>
      <c r="T786" s="24" t="str">
        <f>IF('query (2)'!J786="","",TRIM(UPPER('query (2)'!J786)))</f>
        <v/>
      </c>
      <c r="U786" s="24" t="str">
        <f t="shared" si="87"/>
        <v/>
      </c>
      <c r="V786" s="24" t="str">
        <f>IF('query (2)'!K786="","NOT_SPECIFIED",IFERROR(INDEX(Cleaning_Rules!$B$32:$B$34,MATCH(TRIM(UPPER('query (2)'!K786)),Cleaning_Rules!$A$32:$A$34,0)),"UNKNOWN"))</f>
        <v>NOT_SPECIFIED</v>
      </c>
      <c r="W786" s="24" t="str">
        <f t="shared" si="88"/>
        <v>CH-1094 | FACTORY2 | NB ASSEMBLY1 | NB | ASSEMBLY | 3605-NB1AI | OTHER | MESIN ME612 | NOT_SPECIFIED</v>
      </c>
      <c r="X786" s="24" t="str">
        <f t="shared" si="89"/>
        <v/>
      </c>
      <c r="Y786" s="24" t="str">
        <f t="shared" si="90"/>
        <v>MISSING_STATUS; CATEGORY_NOT_USEFUL; MISSING_PRODUCTION_NAME</v>
      </c>
    </row>
    <row r="787" spans="1:25" x14ac:dyDescent="0.3">
      <c r="A787" s="24" t="str">
        <f t="shared" si="84"/>
        <v>WA-1095#0786</v>
      </c>
      <c r="B787" s="24" t="str">
        <f>IF('query (2)'!B787="","",TRIM(UPPER('query (2)'!B787)))</f>
        <v>WA-1095</v>
      </c>
      <c r="C787" s="25" t="str">
        <f>IF('query (2)'!B787="","",'query (2)'!B787)</f>
        <v>WA-1095</v>
      </c>
      <c r="D787" s="24" t="str">
        <f t="shared" si="85"/>
        <v>WA</v>
      </c>
      <c r="E787" s="24">
        <f t="shared" si="86"/>
        <v>1</v>
      </c>
      <c r="F787" s="24">
        <f>IF('query (2)'!A787="","",IFERROR(VALUE('query (2)'!A787),""))</f>
        <v>805</v>
      </c>
      <c r="G787" s="24" t="str">
        <f>IF('query (2)'!C787="","UNKNOWN",IFERROR(INDEX(Cleaning_Rules!$B$15:$B$20,MATCH(TRIM(UPPER('query (2)'!C787)),Cleaning_Rules!$A$15:$A$20,0)),"UNKNOWN"))</f>
        <v>FACTORY2</v>
      </c>
      <c r="H787" s="25" t="str">
        <f>IF('query (2)'!C787="","",'query (2)'!C787)</f>
        <v>FACTORY2</v>
      </c>
      <c r="I787" s="24" t="str" cm="1">
        <f t="array" ref="I787">_xlfn.IFS($G787="UNKNOWN","UNKNOWN",OR($G787="FACTORY1",$G787="FACTORY2",$G787="FACTORY3"),"PLANT",TRUE,"SHARED")</f>
        <v>PLANT</v>
      </c>
      <c r="J787" s="24" t="str">
        <f>IF('query (2)'!D787="","UNKNOWN",IF(COUNTIF(Cleaning_Rules!$A$6:$A$11,TRIM('query (2)'!D787))&gt;0,"UNKNOWN",IFERROR(INDEX(Cleaning_Rules!$B$24:$B$28,MATCH(TRIM(UPPER('query (2)'!D787)),Cleaning_Rules!$A$24:$A$28,0)),TRIM(UPPER('query (2)'!D787)))))</f>
        <v>NB ASSEMBLY1</v>
      </c>
      <c r="K787" s="25" t="str">
        <f>IF('query (2)'!D787="","",'query (2)'!D787)</f>
        <v>NB Assambly1</v>
      </c>
      <c r="L787" s="24" t="str">
        <f>IF($J787="UNKNOWN","",_xlfn.TEXTBEFORE($J787,{"0","1","2","3","4","5","6","7","8","9"," ","-","."},1,,,$J787))</f>
        <v>NB</v>
      </c>
      <c r="M787" s="24" t="str">
        <f>IF('query (2)'!I787&lt;&gt;"",TRIM(UPPER('query (2)'!I787)),IF($L787="","UNKNOWN",$L787))</f>
        <v>NB</v>
      </c>
      <c r="N787" s="24" t="str">
        <f>IF('query (2)'!I787&lt;&gt;"","SOURCE",IF($L787="","UNKNOWN","DERIVED"))</f>
        <v>SOURCE</v>
      </c>
      <c r="O787" s="24" t="str">
        <f>IF('query (2)'!E787="","NOT_SPECIFIED",TRIM(UPPER('query (2)'!E787)))</f>
        <v>ASSEMBLY</v>
      </c>
      <c r="P787" s="24" t="str">
        <f>IF('query (2)'!F787="","",TRIM(UPPER('query (2)'!F787)))</f>
        <v>3605-NB1AI</v>
      </c>
      <c r="Q787" s="24" t="str">
        <f>IF('query (2)'!G787="","UNKNOWN",IFERROR(INDEX(Cleaning_Rules!$B$38:$B$46,MATCH(TRIM(UPPER('query (2)'!G787)),Cleaning_Rules!$A$38:$A$46,0)),"UNKNOWN"))</f>
        <v>OTHER</v>
      </c>
      <c r="R787" s="24" t="str">
        <f>IF('query (2)'!H787="","",TRIM(UPPER('query (2)'!H787)))</f>
        <v>UNIT MACHINE (PART &amp; EQUIPMENT)TYPE M/C WF-610</v>
      </c>
      <c r="S787" s="25" t="str">
        <f>IF('query (2)'!H787="","",'query (2)'!H787)</f>
        <v>UNIT MACHINE (PART &amp; EQUIPMENT)TYPE M/C WF-610</v>
      </c>
      <c r="T787" s="24" t="str">
        <f>IF('query (2)'!J787="","",TRIM(UPPER('query (2)'!J787)))</f>
        <v/>
      </c>
      <c r="U787" s="24" t="str">
        <f t="shared" si="87"/>
        <v/>
      </c>
      <c r="V787" s="24" t="str">
        <f>IF('query (2)'!K787="","NOT_SPECIFIED",IFERROR(INDEX(Cleaning_Rules!$B$32:$B$34,MATCH(TRIM(UPPER('query (2)'!K787)),Cleaning_Rules!$A$32:$A$34,0)),"UNKNOWN"))</f>
        <v>NOT_SPECIFIED</v>
      </c>
      <c r="W787" s="24" t="str">
        <f t="shared" si="88"/>
        <v>WA-1095 | FACTORY2 | NB ASSEMBLY1 | NB | ASSEMBLY | 3605-NB1AI | OTHER | UNIT MACHINE (PART &amp; EQUIPMENT)TYPE M/C WF-610 | NOT_SPECIFIED</v>
      </c>
      <c r="X787" s="24" t="str">
        <f t="shared" si="89"/>
        <v/>
      </c>
      <c r="Y787" s="24" t="str">
        <f t="shared" si="90"/>
        <v>MISSING_STATUS; CATEGORY_NOT_USEFUL; MISSING_PRODUCTION_NAME</v>
      </c>
    </row>
    <row r="788" spans="1:25" x14ac:dyDescent="0.3">
      <c r="A788" s="24" t="str">
        <f t="shared" si="84"/>
        <v>CH-1096#0787</v>
      </c>
      <c r="B788" s="24" t="str">
        <f>IF('query (2)'!B788="","",TRIM(UPPER('query (2)'!B788)))</f>
        <v>CH-1096</v>
      </c>
      <c r="C788" s="25" t="str">
        <f>IF('query (2)'!B788="","",'query (2)'!B788)</f>
        <v>CH-1096</v>
      </c>
      <c r="D788" s="24" t="str">
        <f t="shared" si="85"/>
        <v>CH</v>
      </c>
      <c r="E788" s="24">
        <f t="shared" si="86"/>
        <v>1</v>
      </c>
      <c r="F788" s="24">
        <f>IF('query (2)'!A788="","",IFERROR(VALUE('query (2)'!A788),""))</f>
        <v>806</v>
      </c>
      <c r="G788" s="24" t="str">
        <f>IF('query (2)'!C788="","UNKNOWN",IFERROR(INDEX(Cleaning_Rules!$B$15:$B$20,MATCH(TRIM(UPPER('query (2)'!C788)),Cleaning_Rules!$A$15:$A$20,0)),"UNKNOWN"))</f>
        <v>FACTORY2</v>
      </c>
      <c r="H788" s="25" t="str">
        <f>IF('query (2)'!C788="","",'query (2)'!C788)</f>
        <v>FACTORY2</v>
      </c>
      <c r="I788" s="24" t="str" cm="1">
        <f t="array" ref="I788">_xlfn.IFS($G788="UNKNOWN","UNKNOWN",OR($G788="FACTORY1",$G788="FACTORY2",$G788="FACTORY3"),"PLANT",TRUE,"SHARED")</f>
        <v>PLANT</v>
      </c>
      <c r="J788" s="24" t="str">
        <f>IF('query (2)'!D788="","UNKNOWN",IF(COUNTIF(Cleaning_Rules!$A$6:$A$11,TRIM('query (2)'!D788))&gt;0,"UNKNOWN",IFERROR(INDEX(Cleaning_Rules!$B$24:$B$28,MATCH(TRIM(UPPER('query (2)'!D788)),Cleaning_Rules!$A$24:$A$28,0)),TRIM(UPPER('query (2)'!D788)))))</f>
        <v>NB ASSEMBLY1</v>
      </c>
      <c r="K788" s="25" t="str">
        <f>IF('query (2)'!D788="","",'query (2)'!D788)</f>
        <v>NB Assambly1</v>
      </c>
      <c r="L788" s="24" t="str">
        <f>IF($J788="UNKNOWN","",_xlfn.TEXTBEFORE($J788,{"0","1","2","3","4","5","6","7","8","9"," ","-","."},1,,,$J788))</f>
        <v>NB</v>
      </c>
      <c r="M788" s="24" t="str">
        <f>IF('query (2)'!I788&lt;&gt;"",TRIM(UPPER('query (2)'!I788)),IF($L788="","UNKNOWN",$L788))</f>
        <v>NB</v>
      </c>
      <c r="N788" s="24" t="str">
        <f>IF('query (2)'!I788&lt;&gt;"","SOURCE",IF($L788="","UNKNOWN","DERIVED"))</f>
        <v>SOURCE</v>
      </c>
      <c r="O788" s="24" t="str">
        <f>IF('query (2)'!E788="","NOT_SPECIFIED",TRIM(UPPER('query (2)'!E788)))</f>
        <v>ASSEMBLY</v>
      </c>
      <c r="P788" s="24" t="str">
        <f>IF('query (2)'!F788="","",TRIM(UPPER('query (2)'!F788)))</f>
        <v>3605-NB1AI</v>
      </c>
      <c r="Q788" s="24" t="str">
        <f>IF('query (2)'!G788="","UNKNOWN",IFERROR(INDEX(Cleaning_Rules!$B$38:$B$46,MATCH(TRIM(UPPER('query (2)'!G788)),Cleaning_Rules!$A$38:$A$46,0)),"UNKNOWN"))</f>
        <v>OTHER</v>
      </c>
      <c r="R788" s="24" t="str">
        <f>IF('query (2)'!H788="","",TRIM(UPPER('query (2)'!H788)))</f>
        <v>AUTOMATIC VIBRATION SELECTING MACHINE</v>
      </c>
      <c r="S788" s="25" t="str">
        <f>IF('query (2)'!H788="","",'query (2)'!H788)</f>
        <v>AUTOMATIC VIBRATION SELECTING MACHINE</v>
      </c>
      <c r="T788" s="24" t="str">
        <f>IF('query (2)'!J788="","",TRIM(UPPER('query (2)'!J788)))</f>
        <v/>
      </c>
      <c r="U788" s="24" t="str">
        <f t="shared" si="87"/>
        <v/>
      </c>
      <c r="V788" s="24" t="str">
        <f>IF('query (2)'!K788="","NOT_SPECIFIED",IFERROR(INDEX(Cleaning_Rules!$B$32:$B$34,MATCH(TRIM(UPPER('query (2)'!K788)),Cleaning_Rules!$A$32:$A$34,0)),"UNKNOWN"))</f>
        <v>NOT_SPECIFIED</v>
      </c>
      <c r="W788" s="24" t="str">
        <f t="shared" si="88"/>
        <v>CH-1096 | FACTORY2 | NB ASSEMBLY1 | NB | ASSEMBLY | 3605-NB1AI | OTHER | AUTOMATIC VIBRATION SELECTING MACHINE | NOT_SPECIFIED</v>
      </c>
      <c r="X788" s="24" t="str">
        <f t="shared" si="89"/>
        <v/>
      </c>
      <c r="Y788" s="24" t="str">
        <f t="shared" si="90"/>
        <v>MISSING_STATUS; CATEGORY_NOT_USEFUL; MISSING_PRODUCTION_NAME</v>
      </c>
    </row>
    <row r="789" spans="1:25" x14ac:dyDescent="0.3">
      <c r="A789" s="24" t="str">
        <f t="shared" si="84"/>
        <v>CH-1097#0788</v>
      </c>
      <c r="B789" s="24" t="str">
        <f>IF('query (2)'!B789="","",TRIM(UPPER('query (2)'!B789)))</f>
        <v>CH-1097</v>
      </c>
      <c r="C789" s="25" t="str">
        <f>IF('query (2)'!B789="","",'query (2)'!B789)</f>
        <v>CH-1097</v>
      </c>
      <c r="D789" s="24" t="str">
        <f t="shared" si="85"/>
        <v>CH</v>
      </c>
      <c r="E789" s="24">
        <f t="shared" si="86"/>
        <v>1</v>
      </c>
      <c r="F789" s="24">
        <f>IF('query (2)'!A789="","",IFERROR(VALUE('query (2)'!A789),""))</f>
        <v>807</v>
      </c>
      <c r="G789" s="24" t="str">
        <f>IF('query (2)'!C789="","UNKNOWN",IFERROR(INDEX(Cleaning_Rules!$B$15:$B$20,MATCH(TRIM(UPPER('query (2)'!C789)),Cleaning_Rules!$A$15:$A$20,0)),"UNKNOWN"))</f>
        <v>FACTORY2</v>
      </c>
      <c r="H789" s="25" t="str">
        <f>IF('query (2)'!C789="","",'query (2)'!C789)</f>
        <v>FACTORY2</v>
      </c>
      <c r="I789" s="24" t="str" cm="1">
        <f t="array" ref="I789">_xlfn.IFS($G789="UNKNOWN","UNKNOWN",OR($G789="FACTORY1",$G789="FACTORY2",$G789="FACTORY3"),"PLANT",TRUE,"SHARED")</f>
        <v>PLANT</v>
      </c>
      <c r="J789" s="24" t="str">
        <f>IF('query (2)'!D789="","UNKNOWN",IF(COUNTIF(Cleaning_Rules!$A$6:$A$11,TRIM('query (2)'!D789))&gt;0,"UNKNOWN",IFERROR(INDEX(Cleaning_Rules!$B$24:$B$28,MATCH(TRIM(UPPER('query (2)'!D789)),Cleaning_Rules!$A$24:$A$28,0)),TRIM(UPPER('query (2)'!D789)))))</f>
        <v>NB ASSEMBLY1</v>
      </c>
      <c r="K789" s="25" t="str">
        <f>IF('query (2)'!D789="","",'query (2)'!D789)</f>
        <v>NB Assambly1</v>
      </c>
      <c r="L789" s="24" t="str">
        <f>IF($J789="UNKNOWN","",_xlfn.TEXTBEFORE($J789,{"0","1","2","3","4","5","6","7","8","9"," ","-","."},1,,,$J789))</f>
        <v>NB</v>
      </c>
      <c r="M789" s="24" t="str">
        <f>IF('query (2)'!I789&lt;&gt;"",TRIM(UPPER('query (2)'!I789)),IF($L789="","UNKNOWN",$L789))</f>
        <v>NB</v>
      </c>
      <c r="N789" s="24" t="str">
        <f>IF('query (2)'!I789&lt;&gt;"","SOURCE",IF($L789="","UNKNOWN","DERIVED"))</f>
        <v>SOURCE</v>
      </c>
      <c r="O789" s="24" t="str">
        <f>IF('query (2)'!E789="","NOT_SPECIFIED",TRIM(UPPER('query (2)'!E789)))</f>
        <v>ASSEMBLY</v>
      </c>
      <c r="P789" s="24" t="str">
        <f>IF('query (2)'!F789="","",TRIM(UPPER('query (2)'!F789)))</f>
        <v>3605-NB1AI</v>
      </c>
      <c r="Q789" s="24" t="str">
        <f>IF('query (2)'!G789="","UNKNOWN",IFERROR(INDEX(Cleaning_Rules!$B$38:$B$46,MATCH(TRIM(UPPER('query (2)'!G789)),Cleaning_Rules!$A$38:$A$46,0)),"UNKNOWN"))</f>
        <v>OTHER</v>
      </c>
      <c r="R789" s="24" t="str">
        <f>IF('query (2)'!H789="","",TRIM(UPPER('query (2)'!H789)))</f>
        <v>BEARING VIBRATION TESTER</v>
      </c>
      <c r="S789" s="25" t="str">
        <f>IF('query (2)'!H789="","",'query (2)'!H789)</f>
        <v>BEARING VIBRATION TESTER</v>
      </c>
      <c r="T789" s="24" t="str">
        <f>IF('query (2)'!J789="","",TRIM(UPPER('query (2)'!J789)))</f>
        <v/>
      </c>
      <c r="U789" s="24" t="str">
        <f t="shared" si="87"/>
        <v/>
      </c>
      <c r="V789" s="24" t="str">
        <f>IF('query (2)'!K789="","NOT_SPECIFIED",IFERROR(INDEX(Cleaning_Rules!$B$32:$B$34,MATCH(TRIM(UPPER('query (2)'!K789)),Cleaning_Rules!$A$32:$A$34,0)),"UNKNOWN"))</f>
        <v>NOT_SPECIFIED</v>
      </c>
      <c r="W789" s="24" t="str">
        <f t="shared" si="88"/>
        <v>CH-1097 | FACTORY2 | NB ASSEMBLY1 | NB | ASSEMBLY | 3605-NB1AI | OTHER | BEARING VIBRATION TESTER | NOT_SPECIFIED</v>
      </c>
      <c r="X789" s="24" t="str">
        <f t="shared" si="89"/>
        <v/>
      </c>
      <c r="Y789" s="24" t="str">
        <f t="shared" si="90"/>
        <v>MISSING_STATUS; CATEGORY_NOT_USEFUL; MISSING_PRODUCTION_NAME</v>
      </c>
    </row>
    <row r="790" spans="1:25" x14ac:dyDescent="0.3">
      <c r="A790" s="24" t="str">
        <f t="shared" si="84"/>
        <v>CH-1098#0789</v>
      </c>
      <c r="B790" s="24" t="str">
        <f>IF('query (2)'!B790="","",TRIM(UPPER('query (2)'!B790)))</f>
        <v>CH-1098</v>
      </c>
      <c r="C790" s="25" t="str">
        <f>IF('query (2)'!B790="","",'query (2)'!B790)</f>
        <v>CH-1098</v>
      </c>
      <c r="D790" s="24" t="str">
        <f t="shared" si="85"/>
        <v>CH</v>
      </c>
      <c r="E790" s="24">
        <f t="shared" si="86"/>
        <v>1</v>
      </c>
      <c r="F790" s="24">
        <f>IF('query (2)'!A790="","",IFERROR(VALUE('query (2)'!A790),""))</f>
        <v>808</v>
      </c>
      <c r="G790" s="24" t="str">
        <f>IF('query (2)'!C790="","UNKNOWN",IFERROR(INDEX(Cleaning_Rules!$B$15:$B$20,MATCH(TRIM(UPPER('query (2)'!C790)),Cleaning_Rules!$A$15:$A$20,0)),"UNKNOWN"))</f>
        <v>FACTORY2</v>
      </c>
      <c r="H790" s="25" t="str">
        <f>IF('query (2)'!C790="","",'query (2)'!C790)</f>
        <v>FACTORY2</v>
      </c>
      <c r="I790" s="24" t="str" cm="1">
        <f t="array" ref="I790">_xlfn.IFS($G790="UNKNOWN","UNKNOWN",OR($G790="FACTORY1",$G790="FACTORY2",$G790="FACTORY3"),"PLANT",TRUE,"SHARED")</f>
        <v>PLANT</v>
      </c>
      <c r="J790" s="24" t="str">
        <f>IF('query (2)'!D790="","UNKNOWN",IF(COUNTIF(Cleaning_Rules!$A$6:$A$11,TRIM('query (2)'!D790))&gt;0,"UNKNOWN",IFERROR(INDEX(Cleaning_Rules!$B$24:$B$28,MATCH(TRIM(UPPER('query (2)'!D790)),Cleaning_Rules!$A$24:$A$28,0)),TRIM(UPPER('query (2)'!D790)))))</f>
        <v>NB ASSEMBLY1</v>
      </c>
      <c r="K790" s="25" t="str">
        <f>IF('query (2)'!D790="","",'query (2)'!D790)</f>
        <v>NB Assambly1</v>
      </c>
      <c r="L790" s="24" t="str">
        <f>IF($J790="UNKNOWN","",_xlfn.TEXTBEFORE($J790,{"0","1","2","3","4","5","6","7","8","9"," ","-","."},1,,,$J790))</f>
        <v>NB</v>
      </c>
      <c r="M790" s="24" t="str">
        <f>IF('query (2)'!I790&lt;&gt;"",TRIM(UPPER('query (2)'!I790)),IF($L790="","UNKNOWN",$L790))</f>
        <v>NB</v>
      </c>
      <c r="N790" s="24" t="str">
        <f>IF('query (2)'!I790&lt;&gt;"","SOURCE",IF($L790="","UNKNOWN","DERIVED"))</f>
        <v>SOURCE</v>
      </c>
      <c r="O790" s="24" t="str">
        <f>IF('query (2)'!E790="","NOT_SPECIFIED",TRIM(UPPER('query (2)'!E790)))</f>
        <v>ASSEMBLY</v>
      </c>
      <c r="P790" s="24" t="str">
        <f>IF('query (2)'!F790="","",TRIM(UPPER('query (2)'!F790)))</f>
        <v>3605-NB1AI</v>
      </c>
      <c r="Q790" s="24" t="str">
        <f>IF('query (2)'!G790="","UNKNOWN",IFERROR(INDEX(Cleaning_Rules!$B$38:$B$46,MATCH(TRIM(UPPER('query (2)'!G790)),Cleaning_Rules!$A$38:$A$46,0)),"UNKNOWN"))</f>
        <v>OTHER</v>
      </c>
      <c r="R790" s="24" t="str">
        <f>IF('query (2)'!H790="","",TRIM(UPPER('query (2)'!H790)))</f>
        <v>DIRECTIONAL ALIGNMENT MACHINE</v>
      </c>
      <c r="S790" s="25" t="str">
        <f>IF('query (2)'!H790="","",'query (2)'!H790)</f>
        <v>DIRECTIONAL ALIGNMENT MACHINE</v>
      </c>
      <c r="T790" s="24" t="str">
        <f>IF('query (2)'!J790="","",TRIM(UPPER('query (2)'!J790)))</f>
        <v/>
      </c>
      <c r="U790" s="24" t="str">
        <f t="shared" si="87"/>
        <v/>
      </c>
      <c r="V790" s="24" t="str">
        <f>IF('query (2)'!K790="","NOT_SPECIFIED",IFERROR(INDEX(Cleaning_Rules!$B$32:$B$34,MATCH(TRIM(UPPER('query (2)'!K790)),Cleaning_Rules!$A$32:$A$34,0)),"UNKNOWN"))</f>
        <v>NOT_SPECIFIED</v>
      </c>
      <c r="W790" s="24" t="str">
        <f t="shared" si="88"/>
        <v>CH-1098 | FACTORY2 | NB ASSEMBLY1 | NB | ASSEMBLY | 3605-NB1AI | OTHER | DIRECTIONAL ALIGNMENT MACHINE | NOT_SPECIFIED</v>
      </c>
      <c r="X790" s="24" t="str">
        <f t="shared" si="89"/>
        <v/>
      </c>
      <c r="Y790" s="24" t="str">
        <f t="shared" si="90"/>
        <v>MISSING_STATUS; CATEGORY_NOT_USEFUL; MISSING_PRODUCTION_NAME</v>
      </c>
    </row>
    <row r="791" spans="1:25" x14ac:dyDescent="0.3">
      <c r="A791" s="24" t="str">
        <f t="shared" si="84"/>
        <v>WA-1099#0790</v>
      </c>
      <c r="B791" s="24" t="str">
        <f>IF('query (2)'!B791="","",TRIM(UPPER('query (2)'!B791)))</f>
        <v>WA-1099</v>
      </c>
      <c r="C791" s="25" t="str">
        <f>IF('query (2)'!B791="","",'query (2)'!B791)</f>
        <v>WA-1099</v>
      </c>
      <c r="D791" s="24" t="str">
        <f t="shared" si="85"/>
        <v>WA</v>
      </c>
      <c r="E791" s="24">
        <f t="shared" si="86"/>
        <v>1</v>
      </c>
      <c r="F791" s="24">
        <f>IF('query (2)'!A791="","",IFERROR(VALUE('query (2)'!A791),""))</f>
        <v>809</v>
      </c>
      <c r="G791" s="24" t="str">
        <f>IF('query (2)'!C791="","UNKNOWN",IFERROR(INDEX(Cleaning_Rules!$B$15:$B$20,MATCH(TRIM(UPPER('query (2)'!C791)),Cleaning_Rules!$A$15:$A$20,0)),"UNKNOWN"))</f>
        <v>FACTORY2</v>
      </c>
      <c r="H791" s="25" t="str">
        <f>IF('query (2)'!C791="","",'query (2)'!C791)</f>
        <v>FACTORY2</v>
      </c>
      <c r="I791" s="24" t="str" cm="1">
        <f t="array" ref="I791">_xlfn.IFS($G791="UNKNOWN","UNKNOWN",OR($G791="FACTORY1",$G791="FACTORY2",$G791="FACTORY3"),"PLANT",TRUE,"SHARED")</f>
        <v>PLANT</v>
      </c>
      <c r="J791" s="24" t="str">
        <f>IF('query (2)'!D791="","UNKNOWN",IF(COUNTIF(Cleaning_Rules!$A$6:$A$11,TRIM('query (2)'!D791))&gt;0,"UNKNOWN",IFERROR(INDEX(Cleaning_Rules!$B$24:$B$28,MATCH(TRIM(UPPER('query (2)'!D791)),Cleaning_Rules!$A$24:$A$28,0)),TRIM(UPPER('query (2)'!D791)))))</f>
        <v>NB ASSEMBLY1</v>
      </c>
      <c r="K791" s="25" t="str">
        <f>IF('query (2)'!D791="","",'query (2)'!D791)</f>
        <v>NB Assambly1</v>
      </c>
      <c r="L791" s="24" t="str">
        <f>IF($J791="UNKNOWN","",_xlfn.TEXTBEFORE($J791,{"0","1","2","3","4","5","6","7","8","9"," ","-","."},1,,,$J791))</f>
        <v>NB</v>
      </c>
      <c r="M791" s="24" t="str">
        <f>IF('query (2)'!I791&lt;&gt;"",TRIM(UPPER('query (2)'!I791)),IF($L791="","UNKNOWN",$L791))</f>
        <v>NB</v>
      </c>
      <c r="N791" s="24" t="str">
        <f>IF('query (2)'!I791&lt;&gt;"","SOURCE",IF($L791="","UNKNOWN","DERIVED"))</f>
        <v>SOURCE</v>
      </c>
      <c r="O791" s="24" t="str">
        <f>IF('query (2)'!E791="","NOT_SPECIFIED",TRIM(UPPER('query (2)'!E791)))</f>
        <v>ASSEMBLY</v>
      </c>
      <c r="P791" s="24" t="str">
        <f>IF('query (2)'!F791="","",TRIM(UPPER('query (2)'!F791)))</f>
        <v>3605-NB1AI</v>
      </c>
      <c r="Q791" s="24" t="str">
        <f>IF('query (2)'!G791="","UNKNOWN",IFERROR(INDEX(Cleaning_Rules!$B$38:$B$46,MATCH(TRIM(UPPER('query (2)'!G791)),Cleaning_Rules!$A$38:$A$46,0)),"UNKNOWN"))</f>
        <v>OTHER</v>
      </c>
      <c r="R791" s="24" t="str">
        <f>IF('query (2)'!H791="","",TRIM(UPPER('query (2)'!H791)))</f>
        <v>CENTRIFUGAL WASHING MACHINE</v>
      </c>
      <c r="S791" s="25" t="str">
        <f>IF('query (2)'!H791="","",'query (2)'!H791)</f>
        <v>CENTRIFUGAL WASHING MACHINE</v>
      </c>
      <c r="T791" s="24" t="str">
        <f>IF('query (2)'!J791="","",TRIM(UPPER('query (2)'!J791)))</f>
        <v/>
      </c>
      <c r="U791" s="24" t="str">
        <f t="shared" si="87"/>
        <v/>
      </c>
      <c r="V791" s="24" t="str">
        <f>IF('query (2)'!K791="","NOT_SPECIFIED",IFERROR(INDEX(Cleaning_Rules!$B$32:$B$34,MATCH(TRIM(UPPER('query (2)'!K791)),Cleaning_Rules!$A$32:$A$34,0)),"UNKNOWN"))</f>
        <v>NOT_SPECIFIED</v>
      </c>
      <c r="W791" s="24" t="str">
        <f t="shared" si="88"/>
        <v>WA-1099 | FACTORY2 | NB ASSEMBLY1 | NB | ASSEMBLY | 3605-NB1AI | OTHER | CENTRIFUGAL WASHING MACHINE | NOT_SPECIFIED</v>
      </c>
      <c r="X791" s="24" t="str">
        <f t="shared" si="89"/>
        <v/>
      </c>
      <c r="Y791" s="24" t="str">
        <f t="shared" si="90"/>
        <v>MISSING_STATUS; CATEGORY_NOT_USEFUL; MISSING_PRODUCTION_NAME</v>
      </c>
    </row>
    <row r="792" spans="1:25" x14ac:dyDescent="0.3">
      <c r="A792" s="24" t="str">
        <f t="shared" si="84"/>
        <v>MA-1100#0791</v>
      </c>
      <c r="B792" s="24" t="str">
        <f>IF('query (2)'!B792="","",TRIM(UPPER('query (2)'!B792)))</f>
        <v>MA-1100</v>
      </c>
      <c r="C792" s="25" t="str">
        <f>IF('query (2)'!B792="","",'query (2)'!B792)</f>
        <v>MA-1100</v>
      </c>
      <c r="D792" s="24" t="str">
        <f t="shared" si="85"/>
        <v>MA</v>
      </c>
      <c r="E792" s="24">
        <f t="shared" si="86"/>
        <v>1</v>
      </c>
      <c r="F792" s="24">
        <f>IF('query (2)'!A792="","",IFERROR(VALUE('query (2)'!A792),""))</f>
        <v>810</v>
      </c>
      <c r="G792" s="24" t="str">
        <f>IF('query (2)'!C792="","UNKNOWN",IFERROR(INDEX(Cleaning_Rules!$B$15:$B$20,MATCH(TRIM(UPPER('query (2)'!C792)),Cleaning_Rules!$A$15:$A$20,0)),"UNKNOWN"))</f>
        <v>FACTORY2</v>
      </c>
      <c r="H792" s="25" t="str">
        <f>IF('query (2)'!C792="","",'query (2)'!C792)</f>
        <v>FACTORY2</v>
      </c>
      <c r="I792" s="24" t="str" cm="1">
        <f t="array" ref="I792">_xlfn.IFS($G792="UNKNOWN","UNKNOWN",OR($G792="FACTORY1",$G792="FACTORY2",$G792="FACTORY3"),"PLANT",TRUE,"SHARED")</f>
        <v>PLANT</v>
      </c>
      <c r="J792" s="24" t="str">
        <f>IF('query (2)'!D792="","UNKNOWN",IF(COUNTIF(Cleaning_Rules!$A$6:$A$11,TRIM('query (2)'!D792))&gt;0,"UNKNOWN",IFERROR(INDEX(Cleaning_Rules!$B$24:$B$28,MATCH(TRIM(UPPER('query (2)'!D792)),Cleaning_Rules!$A$24:$A$28,0)),TRIM(UPPER('query (2)'!D792)))))</f>
        <v>NB ASSEMBLY1</v>
      </c>
      <c r="K792" s="25" t="str">
        <f>IF('query (2)'!D792="","",'query (2)'!D792)</f>
        <v>NB Assambly1</v>
      </c>
      <c r="L792" s="24" t="str">
        <f>IF($J792="UNKNOWN","",_xlfn.TEXTBEFORE($J792,{"0","1","2","3","4","5","6","7","8","9"," ","-","."},1,,,$J792))</f>
        <v>NB</v>
      </c>
      <c r="M792" s="24" t="str">
        <f>IF('query (2)'!I792&lt;&gt;"",TRIM(UPPER('query (2)'!I792)),IF($L792="","UNKNOWN",$L792))</f>
        <v>NB</v>
      </c>
      <c r="N792" s="24" t="str">
        <f>IF('query (2)'!I792&lt;&gt;"","SOURCE",IF($L792="","UNKNOWN","DERIVED"))</f>
        <v>SOURCE</v>
      </c>
      <c r="O792" s="24" t="str">
        <f>IF('query (2)'!E792="","NOT_SPECIFIED",TRIM(UPPER('query (2)'!E792)))</f>
        <v>ASSEMBLY</v>
      </c>
      <c r="P792" s="24" t="str">
        <f>IF('query (2)'!F792="","",TRIM(UPPER('query (2)'!F792)))</f>
        <v>3605-NB1AI</v>
      </c>
      <c r="Q792" s="24" t="str">
        <f>IF('query (2)'!G792="","UNKNOWN",IFERROR(INDEX(Cleaning_Rules!$B$38:$B$46,MATCH(TRIM(UPPER('query (2)'!G792)),Cleaning_Rules!$A$38:$A$46,0)),"UNKNOWN"))</f>
        <v>OTHER</v>
      </c>
      <c r="R792" s="24" t="str">
        <f>IF('query (2)'!H792="","",TRIM(UPPER('query (2)'!H792)))</f>
        <v>LASER MARKER HANDLER</v>
      </c>
      <c r="S792" s="25" t="str">
        <f>IF('query (2)'!H792="","",'query (2)'!H792)</f>
        <v>LASER MARKER HANDLER</v>
      </c>
      <c r="T792" s="24" t="str">
        <f>IF('query (2)'!J792="","",TRIM(UPPER('query (2)'!J792)))</f>
        <v/>
      </c>
      <c r="U792" s="24" t="str">
        <f t="shared" si="87"/>
        <v/>
      </c>
      <c r="V792" s="24" t="str">
        <f>IF('query (2)'!K792="","NOT_SPECIFIED",IFERROR(INDEX(Cleaning_Rules!$B$32:$B$34,MATCH(TRIM(UPPER('query (2)'!K792)),Cleaning_Rules!$A$32:$A$34,0)),"UNKNOWN"))</f>
        <v>NOT_SPECIFIED</v>
      </c>
      <c r="W792" s="24" t="str">
        <f t="shared" si="88"/>
        <v>MA-1100 | FACTORY2 | NB ASSEMBLY1 | NB | ASSEMBLY | 3605-NB1AI | OTHER | LASER MARKER HANDLER | NOT_SPECIFIED</v>
      </c>
      <c r="X792" s="24" t="str">
        <f t="shared" si="89"/>
        <v/>
      </c>
      <c r="Y792" s="24" t="str">
        <f t="shared" si="90"/>
        <v>MISSING_STATUS; CATEGORY_NOT_USEFUL; MISSING_PRODUCTION_NAME</v>
      </c>
    </row>
    <row r="793" spans="1:25" x14ac:dyDescent="0.3">
      <c r="A793" s="24" t="str">
        <f t="shared" si="84"/>
        <v>CH-1101#0792</v>
      </c>
      <c r="B793" s="24" t="str">
        <f>IF('query (2)'!B793="","",TRIM(UPPER('query (2)'!B793)))</f>
        <v>CH-1101</v>
      </c>
      <c r="C793" s="25" t="str">
        <f>IF('query (2)'!B793="","",'query (2)'!B793)</f>
        <v>CH-1101</v>
      </c>
      <c r="D793" s="24" t="str">
        <f t="shared" si="85"/>
        <v>CH</v>
      </c>
      <c r="E793" s="24">
        <f t="shared" si="86"/>
        <v>1</v>
      </c>
      <c r="F793" s="24">
        <f>IF('query (2)'!A793="","",IFERROR(VALUE('query (2)'!A793),""))</f>
        <v>811</v>
      </c>
      <c r="G793" s="24" t="str">
        <f>IF('query (2)'!C793="","UNKNOWN",IFERROR(INDEX(Cleaning_Rules!$B$15:$B$20,MATCH(TRIM(UPPER('query (2)'!C793)),Cleaning_Rules!$A$15:$A$20,0)),"UNKNOWN"))</f>
        <v>FACTORY2</v>
      </c>
      <c r="H793" s="25" t="str">
        <f>IF('query (2)'!C793="","",'query (2)'!C793)</f>
        <v>FACTORY2</v>
      </c>
      <c r="I793" s="24" t="str" cm="1">
        <f t="array" ref="I793">_xlfn.IFS($G793="UNKNOWN","UNKNOWN",OR($G793="FACTORY1",$G793="FACTORY2",$G793="FACTORY3"),"PLANT",TRUE,"SHARED")</f>
        <v>PLANT</v>
      </c>
      <c r="J793" s="24" t="str">
        <f>IF('query (2)'!D793="","UNKNOWN",IF(COUNTIF(Cleaning_Rules!$A$6:$A$11,TRIM('query (2)'!D793))&gt;0,"UNKNOWN",IFERROR(INDEX(Cleaning_Rules!$B$24:$B$28,MATCH(TRIM(UPPER('query (2)'!D793)),Cleaning_Rules!$A$24:$A$28,0)),TRIM(UPPER('query (2)'!D793)))))</f>
        <v>NB ASSEMBLY1</v>
      </c>
      <c r="K793" s="25" t="str">
        <f>IF('query (2)'!D793="","",'query (2)'!D793)</f>
        <v>NB Assambly1</v>
      </c>
      <c r="L793" s="24" t="str">
        <f>IF($J793="UNKNOWN","",_xlfn.TEXTBEFORE($J793,{"0","1","2","3","4","5","6","7","8","9"," ","-","."},1,,,$J793))</f>
        <v>NB</v>
      </c>
      <c r="M793" s="24" t="str">
        <f>IF('query (2)'!I793&lt;&gt;"",TRIM(UPPER('query (2)'!I793)),IF($L793="","UNKNOWN",$L793))</f>
        <v>NB</v>
      </c>
      <c r="N793" s="24" t="str">
        <f>IF('query (2)'!I793&lt;&gt;"","SOURCE",IF($L793="","UNKNOWN","DERIVED"))</f>
        <v>SOURCE</v>
      </c>
      <c r="O793" s="24" t="str">
        <f>IF('query (2)'!E793="","NOT_SPECIFIED",TRIM(UPPER('query (2)'!E793)))</f>
        <v>ASSEMBLY</v>
      </c>
      <c r="P793" s="24" t="str">
        <f>IF('query (2)'!F793="","",TRIM(UPPER('query (2)'!F793)))</f>
        <v>3605-NB1AI</v>
      </c>
      <c r="Q793" s="24" t="str">
        <f>IF('query (2)'!G793="","UNKNOWN",IFERROR(INDEX(Cleaning_Rules!$B$38:$B$46,MATCH(TRIM(UPPER('query (2)'!G793)),Cleaning_Rules!$A$38:$A$46,0)),"UNKNOWN"))</f>
        <v>OTHER</v>
      </c>
      <c r="R793" s="24" t="str">
        <f>IF('query (2)'!H793="","",TRIM(UPPER('query (2)'!H793)))</f>
        <v>AUTOMATIC VISUAL INSPECTION MACHINE</v>
      </c>
      <c r="S793" s="25" t="str">
        <f>IF('query (2)'!H793="","",'query (2)'!H793)</f>
        <v>AUTOMATIC VISUAL INSPECTION MACHINE</v>
      </c>
      <c r="T793" s="24" t="str">
        <f>IF('query (2)'!J793="","",TRIM(UPPER('query (2)'!J793)))</f>
        <v/>
      </c>
      <c r="U793" s="24" t="str">
        <f t="shared" si="87"/>
        <v/>
      </c>
      <c r="V793" s="24" t="str">
        <f>IF('query (2)'!K793="","NOT_SPECIFIED",IFERROR(INDEX(Cleaning_Rules!$B$32:$B$34,MATCH(TRIM(UPPER('query (2)'!K793)),Cleaning_Rules!$A$32:$A$34,0)),"UNKNOWN"))</f>
        <v>NOT_SPECIFIED</v>
      </c>
      <c r="W793" s="24" t="str">
        <f t="shared" si="88"/>
        <v>CH-1101 | FACTORY2 | NB ASSEMBLY1 | NB | ASSEMBLY | 3605-NB1AI | OTHER | AUTOMATIC VISUAL INSPECTION MACHINE | NOT_SPECIFIED</v>
      </c>
      <c r="X793" s="24" t="str">
        <f t="shared" si="89"/>
        <v/>
      </c>
      <c r="Y793" s="24" t="str">
        <f t="shared" si="90"/>
        <v>MISSING_STATUS; CATEGORY_NOT_USEFUL; MISSING_PRODUCTION_NAME</v>
      </c>
    </row>
    <row r="794" spans="1:25" x14ac:dyDescent="0.3">
      <c r="A794" s="24" t="str">
        <f t="shared" si="84"/>
        <v>CH-1102#0793</v>
      </c>
      <c r="B794" s="24" t="str">
        <f>IF('query (2)'!B794="","",TRIM(UPPER('query (2)'!B794)))</f>
        <v>CH-1102</v>
      </c>
      <c r="C794" s="25" t="str">
        <f>IF('query (2)'!B794="","",'query (2)'!B794)</f>
        <v>CH-1102</v>
      </c>
      <c r="D794" s="24" t="str">
        <f t="shared" si="85"/>
        <v>CH</v>
      </c>
      <c r="E794" s="24">
        <f t="shared" si="86"/>
        <v>1</v>
      </c>
      <c r="F794" s="24">
        <f>IF('query (2)'!A794="","",IFERROR(VALUE('query (2)'!A794),""))</f>
        <v>812</v>
      </c>
      <c r="G794" s="24" t="str">
        <f>IF('query (2)'!C794="","UNKNOWN",IFERROR(INDEX(Cleaning_Rules!$B$15:$B$20,MATCH(TRIM(UPPER('query (2)'!C794)),Cleaning_Rules!$A$15:$A$20,0)),"UNKNOWN"))</f>
        <v>FACTORY2</v>
      </c>
      <c r="H794" s="25" t="str">
        <f>IF('query (2)'!C794="","",'query (2)'!C794)</f>
        <v>FACTORY2</v>
      </c>
      <c r="I794" s="24" t="str" cm="1">
        <f t="array" ref="I794">_xlfn.IFS($G794="UNKNOWN","UNKNOWN",OR($G794="FACTORY1",$G794="FACTORY2",$G794="FACTORY3"),"PLANT",TRUE,"SHARED")</f>
        <v>PLANT</v>
      </c>
      <c r="J794" s="24" t="str">
        <f>IF('query (2)'!D794="","UNKNOWN",IF(COUNTIF(Cleaning_Rules!$A$6:$A$11,TRIM('query (2)'!D794))&gt;0,"UNKNOWN",IFERROR(INDEX(Cleaning_Rules!$B$24:$B$28,MATCH(TRIM(UPPER('query (2)'!D794)),Cleaning_Rules!$A$24:$A$28,0)),TRIM(UPPER('query (2)'!D794)))))</f>
        <v>NB ASSEMBLY1</v>
      </c>
      <c r="K794" s="25" t="str">
        <f>IF('query (2)'!D794="","",'query (2)'!D794)</f>
        <v>NB Assambly1</v>
      </c>
      <c r="L794" s="24" t="str">
        <f>IF($J794="UNKNOWN","",_xlfn.TEXTBEFORE($J794,{"0","1","2","3","4","5","6","7","8","9"," ","-","."},1,,,$J794))</f>
        <v>NB</v>
      </c>
      <c r="M794" s="24" t="str">
        <f>IF('query (2)'!I794&lt;&gt;"",TRIM(UPPER('query (2)'!I794)),IF($L794="","UNKNOWN",$L794))</f>
        <v>NB</v>
      </c>
      <c r="N794" s="24" t="str">
        <f>IF('query (2)'!I794&lt;&gt;"","SOURCE",IF($L794="","UNKNOWN","DERIVED"))</f>
        <v>SOURCE</v>
      </c>
      <c r="O794" s="24" t="str">
        <f>IF('query (2)'!E794="","NOT_SPECIFIED",TRIM(UPPER('query (2)'!E794)))</f>
        <v>ASSEMBLY</v>
      </c>
      <c r="P794" s="24" t="str">
        <f>IF('query (2)'!F794="","",TRIM(UPPER('query (2)'!F794)))</f>
        <v>3605-NB1AI</v>
      </c>
      <c r="Q794" s="24" t="str">
        <f>IF('query (2)'!G794="","UNKNOWN",IFERROR(INDEX(Cleaning_Rules!$B$38:$B$46,MATCH(TRIM(UPPER('query (2)'!G794)),Cleaning_Rules!$A$38:$A$46,0)),"UNKNOWN"))</f>
        <v>OTHER</v>
      </c>
      <c r="R794" s="24" t="str">
        <f>IF('query (2)'!H794="","",TRIM(UPPER('query (2)'!H794)))</f>
        <v>ANRITSU WEIGHER KWS6001BF04+CONVEYOR REJECT</v>
      </c>
      <c r="S794" s="25" t="str">
        <f>IF('query (2)'!H794="","",'query (2)'!H794)</f>
        <v>ANRITSU WEIGHER KWS6001BF04+CONVEYOR REJECT</v>
      </c>
      <c r="T794" s="24" t="str">
        <f>IF('query (2)'!J794="","",TRIM(UPPER('query (2)'!J794)))</f>
        <v/>
      </c>
      <c r="U794" s="24" t="str">
        <f t="shared" si="87"/>
        <v/>
      </c>
      <c r="V794" s="24" t="str">
        <f>IF('query (2)'!K794="","NOT_SPECIFIED",IFERROR(INDEX(Cleaning_Rules!$B$32:$B$34,MATCH(TRIM(UPPER('query (2)'!K794)),Cleaning_Rules!$A$32:$A$34,0)),"UNKNOWN"))</f>
        <v>NOT_SPECIFIED</v>
      </c>
      <c r="W794" s="24" t="str">
        <f t="shared" si="88"/>
        <v>CH-1102 | FACTORY2 | NB ASSEMBLY1 | NB | ASSEMBLY | 3605-NB1AI | OTHER | ANRITSU WEIGHER KWS6001BF04+CONVEYOR REJECT | NOT_SPECIFIED</v>
      </c>
      <c r="X794" s="24" t="str">
        <f t="shared" si="89"/>
        <v/>
      </c>
      <c r="Y794" s="24" t="str">
        <f t="shared" si="90"/>
        <v>MISSING_STATUS; CATEGORY_NOT_USEFUL; MISSING_PRODUCTION_NAME</v>
      </c>
    </row>
    <row r="795" spans="1:25" x14ac:dyDescent="0.3">
      <c r="A795" s="24" t="str">
        <f t="shared" si="84"/>
        <v>CH-1103#0794</v>
      </c>
      <c r="B795" s="24" t="str">
        <f>IF('query (2)'!B795="","",TRIM(UPPER('query (2)'!B795)))</f>
        <v>CH-1103</v>
      </c>
      <c r="C795" s="25" t="str">
        <f>IF('query (2)'!B795="","",'query (2)'!B795)</f>
        <v>CH-1103</v>
      </c>
      <c r="D795" s="24" t="str">
        <f t="shared" si="85"/>
        <v>CH</v>
      </c>
      <c r="E795" s="24">
        <f t="shared" si="86"/>
        <v>1</v>
      </c>
      <c r="F795" s="24">
        <f>IF('query (2)'!A795="","",IFERROR(VALUE('query (2)'!A795),""))</f>
        <v>813</v>
      </c>
      <c r="G795" s="24" t="str">
        <f>IF('query (2)'!C795="","UNKNOWN",IFERROR(INDEX(Cleaning_Rules!$B$15:$B$20,MATCH(TRIM(UPPER('query (2)'!C795)),Cleaning_Rules!$A$15:$A$20,0)),"UNKNOWN"))</f>
        <v>FACTORY2</v>
      </c>
      <c r="H795" s="25" t="str">
        <f>IF('query (2)'!C795="","",'query (2)'!C795)</f>
        <v>FACTORY2</v>
      </c>
      <c r="I795" s="24" t="str" cm="1">
        <f t="array" ref="I795">_xlfn.IFS($G795="UNKNOWN","UNKNOWN",OR($G795="FACTORY1",$G795="FACTORY2",$G795="FACTORY3"),"PLANT",TRUE,"SHARED")</f>
        <v>PLANT</v>
      </c>
      <c r="J795" s="24" t="str">
        <f>IF('query (2)'!D795="","UNKNOWN",IF(COUNTIF(Cleaning_Rules!$A$6:$A$11,TRIM('query (2)'!D795))&gt;0,"UNKNOWN",IFERROR(INDEX(Cleaning_Rules!$B$24:$B$28,MATCH(TRIM(UPPER('query (2)'!D795)),Cleaning_Rules!$A$24:$A$28,0)),TRIM(UPPER('query (2)'!D795)))))</f>
        <v>NB ASSEMBLY1</v>
      </c>
      <c r="K795" s="25" t="str">
        <f>IF('query (2)'!D795="","",'query (2)'!D795)</f>
        <v>NB Assambly1</v>
      </c>
      <c r="L795" s="24" t="str">
        <f>IF($J795="UNKNOWN","",_xlfn.TEXTBEFORE($J795,{"0","1","2","3","4","5","6","7","8","9"," ","-","."},1,,,$J795))</f>
        <v>NB</v>
      </c>
      <c r="M795" s="24" t="str">
        <f>IF('query (2)'!I795&lt;&gt;"",TRIM(UPPER('query (2)'!I795)),IF($L795="","UNKNOWN",$L795))</f>
        <v>NB</v>
      </c>
      <c r="N795" s="24" t="str">
        <f>IF('query (2)'!I795&lt;&gt;"","SOURCE",IF($L795="","UNKNOWN","DERIVED"))</f>
        <v>SOURCE</v>
      </c>
      <c r="O795" s="24" t="str">
        <f>IF('query (2)'!E795="","NOT_SPECIFIED",TRIM(UPPER('query (2)'!E795)))</f>
        <v>ASSEMBLY</v>
      </c>
      <c r="P795" s="24" t="str">
        <f>IF('query (2)'!F795="","",TRIM(UPPER('query (2)'!F795)))</f>
        <v>3605-NB1AI</v>
      </c>
      <c r="Q795" s="24" t="str">
        <f>IF('query (2)'!G795="","UNKNOWN",IFERROR(INDEX(Cleaning_Rules!$B$38:$B$46,MATCH(TRIM(UPPER('query (2)'!G795)),Cleaning_Rules!$A$38:$A$46,0)),"UNKNOWN"))</f>
        <v>OTHER</v>
      </c>
      <c r="R795" s="24" t="str">
        <f>IF('query (2)'!H795="","",TRIM(UPPER('query (2)'!H795)))</f>
        <v>UNIT MACHINE (PART &amp; EQUIPMENT)TYPE M/C PO-611V</v>
      </c>
      <c r="S795" s="25" t="str">
        <f>IF('query (2)'!H795="","",'query (2)'!H795)</f>
        <v>UNIT MACHINE (PART &amp; EQUIPMENT)TYPE M/C PO-611V</v>
      </c>
      <c r="T795" s="24" t="str">
        <f>IF('query (2)'!J795="","",TRIM(UPPER('query (2)'!J795)))</f>
        <v/>
      </c>
      <c r="U795" s="24" t="str">
        <f t="shared" si="87"/>
        <v/>
      </c>
      <c r="V795" s="24" t="str">
        <f>IF('query (2)'!K795="","NOT_SPECIFIED",IFERROR(INDEX(Cleaning_Rules!$B$32:$B$34,MATCH(TRIM(UPPER('query (2)'!K795)),Cleaning_Rules!$A$32:$A$34,0)),"UNKNOWN"))</f>
        <v>NOT_SPECIFIED</v>
      </c>
      <c r="W795" s="24" t="str">
        <f t="shared" si="88"/>
        <v>CH-1103 | FACTORY2 | NB ASSEMBLY1 | NB | ASSEMBLY | 3605-NB1AI | OTHER | UNIT MACHINE (PART &amp; EQUIPMENT)TYPE M/C PO-611V | NOT_SPECIFIED</v>
      </c>
      <c r="X795" s="24" t="str">
        <f t="shared" si="89"/>
        <v/>
      </c>
      <c r="Y795" s="24" t="str">
        <f t="shared" si="90"/>
        <v>MISSING_STATUS; CATEGORY_NOT_USEFUL; MISSING_PRODUCTION_NAME</v>
      </c>
    </row>
    <row r="796" spans="1:25" x14ac:dyDescent="0.3">
      <c r="A796" s="24" t="str">
        <f t="shared" si="84"/>
        <v>CH-1104#0795</v>
      </c>
      <c r="B796" s="24" t="str">
        <f>IF('query (2)'!B796="","",TRIM(UPPER('query (2)'!B796)))</f>
        <v>CH-1104</v>
      </c>
      <c r="C796" s="25" t="str">
        <f>IF('query (2)'!B796="","",'query (2)'!B796)</f>
        <v>CH-1104</v>
      </c>
      <c r="D796" s="24" t="str">
        <f t="shared" si="85"/>
        <v>CH</v>
      </c>
      <c r="E796" s="24">
        <f t="shared" si="86"/>
        <v>1</v>
      </c>
      <c r="F796" s="24">
        <f>IF('query (2)'!A796="","",IFERROR(VALUE('query (2)'!A796),""))</f>
        <v>814</v>
      </c>
      <c r="G796" s="24" t="str">
        <f>IF('query (2)'!C796="","UNKNOWN",IFERROR(INDEX(Cleaning_Rules!$B$15:$B$20,MATCH(TRIM(UPPER('query (2)'!C796)),Cleaning_Rules!$A$15:$A$20,0)),"UNKNOWN"))</f>
        <v>FACTORY2</v>
      </c>
      <c r="H796" s="25" t="str">
        <f>IF('query (2)'!C796="","",'query (2)'!C796)</f>
        <v>FACTORY2</v>
      </c>
      <c r="I796" s="24" t="str" cm="1">
        <f t="array" ref="I796">_xlfn.IFS($G796="UNKNOWN","UNKNOWN",OR($G796="FACTORY1",$G796="FACTORY2",$G796="FACTORY3"),"PLANT",TRUE,"SHARED")</f>
        <v>PLANT</v>
      </c>
      <c r="J796" s="24" t="str">
        <f>IF('query (2)'!D796="","UNKNOWN",IF(COUNTIF(Cleaning_Rules!$A$6:$A$11,TRIM('query (2)'!D796))&gt;0,"UNKNOWN",IFERROR(INDEX(Cleaning_Rules!$B$24:$B$28,MATCH(TRIM(UPPER('query (2)'!D796)),Cleaning_Rules!$A$24:$A$28,0)),TRIM(UPPER('query (2)'!D796)))))</f>
        <v>NB ASSEMBLY1</v>
      </c>
      <c r="K796" s="25" t="str">
        <f>IF('query (2)'!D796="","",'query (2)'!D796)</f>
        <v>NB Assambly1</v>
      </c>
      <c r="L796" s="24" t="str">
        <f>IF($J796="UNKNOWN","",_xlfn.TEXTBEFORE($J796,{"0","1","2","3","4","5","6","7","8","9"," ","-","."},1,,,$J796))</f>
        <v>NB</v>
      </c>
      <c r="M796" s="24" t="str">
        <f>IF('query (2)'!I796&lt;&gt;"",TRIM(UPPER('query (2)'!I796)),IF($L796="","UNKNOWN",$L796))</f>
        <v>NB</v>
      </c>
      <c r="N796" s="24" t="str">
        <f>IF('query (2)'!I796&lt;&gt;"","SOURCE",IF($L796="","UNKNOWN","DERIVED"))</f>
        <v>SOURCE</v>
      </c>
      <c r="O796" s="24" t="str">
        <f>IF('query (2)'!E796="","NOT_SPECIFIED",TRIM(UPPER('query (2)'!E796)))</f>
        <v>ASSEMBLY</v>
      </c>
      <c r="P796" s="24" t="str">
        <f>IF('query (2)'!F796="","",TRIM(UPPER('query (2)'!F796)))</f>
        <v>3605-NB1AI</v>
      </c>
      <c r="Q796" s="24" t="str">
        <f>IF('query (2)'!G796="","UNKNOWN",IFERROR(INDEX(Cleaning_Rules!$B$38:$B$46,MATCH(TRIM(UPPER('query (2)'!G796)),Cleaning_Rules!$A$38:$A$46,0)),"UNKNOWN"))</f>
        <v>OTHER</v>
      </c>
      <c r="R796" s="24" t="str">
        <f>IF('query (2)'!H796="","",TRIM(UPPER('query (2)'!H796)))</f>
        <v>UNIT MACHINE (PART &amp; EQUIPMENT)TYPE M/C PG-610</v>
      </c>
      <c r="S796" s="25" t="str">
        <f>IF('query (2)'!H796="","",'query (2)'!H796)</f>
        <v>UNIT MACHINE (PART &amp; EQUIPMENT)TYPE M/C PG-610</v>
      </c>
      <c r="T796" s="24" t="str">
        <f>IF('query (2)'!J796="","",TRIM(UPPER('query (2)'!J796)))</f>
        <v/>
      </c>
      <c r="U796" s="24" t="str">
        <f t="shared" si="87"/>
        <v/>
      </c>
      <c r="V796" s="24" t="str">
        <f>IF('query (2)'!K796="","NOT_SPECIFIED",IFERROR(INDEX(Cleaning_Rules!$B$32:$B$34,MATCH(TRIM(UPPER('query (2)'!K796)),Cleaning_Rules!$A$32:$A$34,0)),"UNKNOWN"))</f>
        <v>NOT_SPECIFIED</v>
      </c>
      <c r="W796" s="24" t="str">
        <f t="shared" si="88"/>
        <v>CH-1104 | FACTORY2 | NB ASSEMBLY1 | NB | ASSEMBLY | 3605-NB1AI | OTHER | UNIT MACHINE (PART &amp; EQUIPMENT)TYPE M/C PG-610 | NOT_SPECIFIED</v>
      </c>
      <c r="X796" s="24" t="str">
        <f t="shared" si="89"/>
        <v/>
      </c>
      <c r="Y796" s="24" t="str">
        <f t="shared" si="90"/>
        <v>MISSING_STATUS; CATEGORY_NOT_USEFUL; MISSING_PRODUCTION_NAME</v>
      </c>
    </row>
    <row r="797" spans="1:25" x14ac:dyDescent="0.3">
      <c r="A797" s="24" t="str">
        <f t="shared" si="84"/>
        <v>GR-932#0796</v>
      </c>
      <c r="B797" s="24" t="str">
        <f>IF('query (2)'!B797="","",TRIM(UPPER('query (2)'!B797)))</f>
        <v>GR-932</v>
      </c>
      <c r="C797" s="25" t="str">
        <f>IF('query (2)'!B797="","",'query (2)'!B797)</f>
        <v>GR-932</v>
      </c>
      <c r="D797" s="24" t="str">
        <f t="shared" si="85"/>
        <v>GR</v>
      </c>
      <c r="E797" s="24">
        <f t="shared" si="86"/>
        <v>1</v>
      </c>
      <c r="F797" s="24">
        <f>IF('query (2)'!A797="","",IFERROR(VALUE('query (2)'!A797),""))</f>
        <v>815</v>
      </c>
      <c r="G797" s="24" t="str">
        <f>IF('query (2)'!C797="","UNKNOWN",IFERROR(INDEX(Cleaning_Rules!$B$15:$B$20,MATCH(TRIM(UPPER('query (2)'!C797)),Cleaning_Rules!$A$15:$A$20,0)),"UNKNOWN"))</f>
        <v>FACTORY3</v>
      </c>
      <c r="H797" s="25" t="str">
        <f>IF('query (2)'!C797="","",'query (2)'!C797)</f>
        <v>FACTORY3</v>
      </c>
      <c r="I797" s="24" t="str" cm="1">
        <f t="array" ref="I797">_xlfn.IFS($G797="UNKNOWN","UNKNOWN",OR($G797="FACTORY1",$G797="FACTORY2",$G797="FACTORY3"),"PLANT",TRUE,"SHARED")</f>
        <v>PLANT</v>
      </c>
      <c r="J797" s="24" t="str">
        <f>IF('query (2)'!D797="","UNKNOWN",IF(COUNTIF(Cleaning_Rules!$A$6:$A$11,TRIM('query (2)'!D797))&gt;0,"UNKNOWN",IFERROR(INDEX(Cleaning_Rules!$B$24:$B$28,MATCH(TRIM(UPPER('query (2)'!D797)),Cleaning_Rules!$A$24:$A$28,0)),TRIM(UPPER('query (2)'!D797)))))</f>
        <v>KWD4</v>
      </c>
      <c r="K797" s="25" t="str">
        <f>IF('query (2)'!D797="","",'query (2)'!D797)</f>
        <v>KWD4</v>
      </c>
      <c r="L797" s="24" t="str">
        <f>IF($J797="UNKNOWN","",_xlfn.TEXTBEFORE($J797,{"0","1","2","3","4","5","6","7","8","9"," ","-","."},1,,,$J797))</f>
        <v>KWD</v>
      </c>
      <c r="M797" s="24" t="str">
        <f>IF('query (2)'!I797&lt;&gt;"",TRIM(UPPER('query (2)'!I797)),IF($L797="","UNKNOWN",$L797))</f>
        <v>KWD</v>
      </c>
      <c r="N797" s="24" t="str">
        <f>IF('query (2)'!I797&lt;&gt;"","SOURCE",IF($L797="","UNKNOWN","DERIVED"))</f>
        <v>SOURCE</v>
      </c>
      <c r="O797" s="24" t="str">
        <f>IF('query (2)'!E797="","NOT_SPECIFIED",TRIM(UPPER('query (2)'!E797)))</f>
        <v>GRINDING 2</v>
      </c>
      <c r="P797" s="24" t="str">
        <f>IF('query (2)'!F797="","",TRIM(UPPER('query (2)'!F797)))</f>
        <v>1012-KW4G</v>
      </c>
      <c r="Q797" s="24" t="str">
        <f>IF('query (2)'!G797="","UNKNOWN",IFERROR(INDEX(Cleaning_Rules!$B$38:$B$46,MATCH(TRIM(UPPER('query (2)'!G797)),Cleaning_Rules!$A$38:$A$46,0)),"UNKNOWN"))</f>
        <v>GRINDING</v>
      </c>
      <c r="R797" s="24" t="str">
        <f>IF('query (2)'!H797="","",TRIM(UPPER('query (2)'!H797)))</f>
        <v>INNER RING RIB GRINDING MACHINE (OVER HAUL)</v>
      </c>
      <c r="S797" s="25" t="str">
        <f>IF('query (2)'!H797="","",'query (2)'!H797)</f>
        <v>Inner ring rib grinding machine (Over haul)</v>
      </c>
      <c r="T797" s="24" t="str">
        <f>IF('query (2)'!J797="","",TRIM(UPPER('query (2)'!J797)))</f>
        <v>B - RIB GRINDING</v>
      </c>
      <c r="U797" s="24" t="str">
        <f t="shared" si="87"/>
        <v/>
      </c>
      <c r="V797" s="24" t="str">
        <f>IF('query (2)'!K797="","NOT_SPECIFIED",IFERROR(INDEX(Cleaning_Rules!$B$32:$B$34,MATCH(TRIM(UPPER('query (2)'!K797)),Cleaning_Rules!$A$32:$A$34,0)),"UNKNOWN"))</f>
        <v>NOT_SPECIFIED</v>
      </c>
      <c r="W797" s="24" t="str">
        <f t="shared" si="88"/>
        <v>GR-932 | FACTORY3 | KWD4 | KWD | GRINDING 2 | 1012-KW4G | GRINDING | INNER RING RIB GRINDING MACHINE (OVER HAUL) | B - RIB GRINDING | NOT_SPECIFIED</v>
      </c>
      <c r="X797" s="24" t="str">
        <f t="shared" si="89"/>
        <v/>
      </c>
      <c r="Y797" s="24" t="str">
        <f t="shared" si="90"/>
        <v>MISSING_STATUS</v>
      </c>
    </row>
    <row r="798" spans="1:25" x14ac:dyDescent="0.3">
      <c r="A798" s="24" t="str">
        <f t="shared" si="84"/>
        <v>GR-933#0797</v>
      </c>
      <c r="B798" s="24" t="str">
        <f>IF('query (2)'!B798="","",TRIM(UPPER('query (2)'!B798)))</f>
        <v>GR-933</v>
      </c>
      <c r="C798" s="25" t="str">
        <f>IF('query (2)'!B798="","",'query (2)'!B798)</f>
        <v>GR-933</v>
      </c>
      <c r="D798" s="24" t="str">
        <f t="shared" si="85"/>
        <v>GR</v>
      </c>
      <c r="E798" s="24">
        <f t="shared" si="86"/>
        <v>1</v>
      </c>
      <c r="F798" s="24">
        <f>IF('query (2)'!A798="","",IFERROR(VALUE('query (2)'!A798),""))</f>
        <v>816</v>
      </c>
      <c r="G798" s="24" t="str">
        <f>IF('query (2)'!C798="","UNKNOWN",IFERROR(INDEX(Cleaning_Rules!$B$15:$B$20,MATCH(TRIM(UPPER('query (2)'!C798)),Cleaning_Rules!$A$15:$A$20,0)),"UNKNOWN"))</f>
        <v>UNKNOWN</v>
      </c>
      <c r="H798" s="25" t="str">
        <f>IF('query (2)'!C798="","",'query (2)'!C798)</f>
        <v>-</v>
      </c>
      <c r="I798" s="24" t="str" cm="1">
        <f t="array" ref="I798">_xlfn.IFS($G798="UNKNOWN","UNKNOWN",OR($G798="FACTORY1",$G798="FACTORY2",$G798="FACTORY3"),"PLANT",TRUE,"SHARED")</f>
        <v>UNKNOWN</v>
      </c>
      <c r="J798" s="24" t="str">
        <f>IF('query (2)'!D798="","UNKNOWN",IF(COUNTIF(Cleaning_Rules!$A$6:$A$11,TRIM('query (2)'!D798))&gt;0,"UNKNOWN",IFERROR(INDEX(Cleaning_Rules!$B$24:$B$28,MATCH(TRIM(UPPER('query (2)'!D798)),Cleaning_Rules!$A$24:$A$28,0)),TRIM(UPPER('query (2)'!D798)))))</f>
        <v>UNKNOWN</v>
      </c>
      <c r="K798" s="25" t="str">
        <f>IF('query (2)'!D798="","",'query (2)'!D798)</f>
        <v/>
      </c>
      <c r="L798" s="24" t="str">
        <f>IF($J798="UNKNOWN","",_xlfn.TEXTBEFORE($J798,{"0","1","2","3","4","5","6","7","8","9"," ","-","."},1,,,$J798))</f>
        <v/>
      </c>
      <c r="M798" s="24" t="str">
        <f>IF('query (2)'!I798&lt;&gt;"",TRIM(UPPER('query (2)'!I798)),IF($L798="","UNKNOWN",$L798))</f>
        <v>UNKNOWN</v>
      </c>
      <c r="N798" s="24" t="str">
        <f>IF('query (2)'!I798&lt;&gt;"","SOURCE",IF($L798="","UNKNOWN","DERIVED"))</f>
        <v>UNKNOWN</v>
      </c>
      <c r="O798" s="24" t="str">
        <f>IF('query (2)'!E798="","NOT_SPECIFIED",TRIM(UPPER('query (2)'!E798)))</f>
        <v>GRINDING 2</v>
      </c>
      <c r="P798" s="24" t="str">
        <f>IF('query (2)'!F798="","",TRIM(UPPER('query (2)'!F798)))</f>
        <v/>
      </c>
      <c r="Q798" s="24" t="str">
        <f>IF('query (2)'!G798="","UNKNOWN",IFERROR(INDEX(Cleaning_Rules!$B$38:$B$46,MATCH(TRIM(UPPER('query (2)'!G798)),Cleaning_Rules!$A$38:$A$46,0)),"UNKNOWN"))</f>
        <v>GRINDING</v>
      </c>
      <c r="R798" s="24" t="str">
        <f>IF('query (2)'!H798="","",TRIM(UPPER('query (2)'!H798)))</f>
        <v>OUTER RING RACEWAY GRINDING MACHINE (OVER HAUL)</v>
      </c>
      <c r="S798" s="25" t="str">
        <f>IF('query (2)'!H798="","",'query (2)'!H798)</f>
        <v>Outer ring raceway grinding machine (Over haul)</v>
      </c>
      <c r="T798" s="24" t="str">
        <f>IF('query (2)'!J798="","",TRIM(UPPER('query (2)'!J798)))</f>
        <v>A - RACEWAY GRINDING</v>
      </c>
      <c r="U798" s="24" t="str">
        <f t="shared" si="87"/>
        <v/>
      </c>
      <c r="V798" s="24" t="str">
        <f>IF('query (2)'!K798="","NOT_SPECIFIED",IFERROR(INDEX(Cleaning_Rules!$B$32:$B$34,MATCH(TRIM(UPPER('query (2)'!K798)),Cleaning_Rules!$A$32:$A$34,0)),"UNKNOWN"))</f>
        <v>NOT_SPECIFIED</v>
      </c>
      <c r="W798" s="24" t="str">
        <f t="shared" si="88"/>
        <v>GR-933 | UNKNOWN | UNKNOWN | UNKNOWN | GRINDING 2 | GRINDING | OUTER RING RACEWAY GRINDING MACHINE (OVER HAUL) | A - RACEWAY GRINDING | NOT_SPECIFIED</v>
      </c>
      <c r="X798" s="24" t="str">
        <f t="shared" si="89"/>
        <v>MISSING_LOCATION; MISSING_DEPARTMENT; MISSING_SECTION; MISSING_COST_CENTER</v>
      </c>
      <c r="Y798" s="24" t="str">
        <f t="shared" si="90"/>
        <v>MISSING_STATUS</v>
      </c>
    </row>
    <row r="799" spans="1:25" x14ac:dyDescent="0.3">
      <c r="A799" s="24" t="str">
        <f t="shared" si="84"/>
        <v>GR-807#0798</v>
      </c>
      <c r="B799" s="24" t="str">
        <f>IF('query (2)'!B799="","",TRIM(UPPER('query (2)'!B799)))</f>
        <v>GR-807</v>
      </c>
      <c r="C799" s="25" t="str">
        <f>IF('query (2)'!B799="","",'query (2)'!B799)</f>
        <v>GR-807</v>
      </c>
      <c r="D799" s="24" t="str">
        <f t="shared" si="85"/>
        <v>GR</v>
      </c>
      <c r="E799" s="24">
        <f t="shared" si="86"/>
        <v>1</v>
      </c>
      <c r="F799" s="24">
        <f>IF('query (2)'!A799="","",IFERROR(VALUE('query (2)'!A799),""))</f>
        <v>817</v>
      </c>
      <c r="G799" s="24" t="str">
        <f>IF('query (2)'!C799="","UNKNOWN",IFERROR(INDEX(Cleaning_Rules!$B$15:$B$20,MATCH(TRIM(UPPER('query (2)'!C799)),Cleaning_Rules!$A$15:$A$20,0)),"UNKNOWN"))</f>
        <v>FACTORY3</v>
      </c>
      <c r="H799" s="25" t="str">
        <f>IF('query (2)'!C799="","",'query (2)'!C799)</f>
        <v>FACTORY3</v>
      </c>
      <c r="I799" s="24" t="str" cm="1">
        <f t="array" ref="I799">_xlfn.IFS($G799="UNKNOWN","UNKNOWN",OR($G799="FACTORY1",$G799="FACTORY2",$G799="FACTORY3"),"PLANT",TRUE,"SHARED")</f>
        <v>PLANT</v>
      </c>
      <c r="J799" s="24" t="str">
        <f>IF('query (2)'!D799="","UNKNOWN",IF(COUNTIF(Cleaning_Rules!$A$6:$A$11,TRIM('query (2)'!D799))&gt;0,"UNKNOWN",IFERROR(INDEX(Cleaning_Rules!$B$24:$B$28,MATCH(TRIM(UPPER('query (2)'!D799)),Cleaning_Rules!$A$24:$A$28,0)),TRIM(UPPER('query (2)'!D799)))))</f>
        <v>BWD2</v>
      </c>
      <c r="K799" s="25" t="str">
        <f>IF('query (2)'!D799="","",'query (2)'!D799)</f>
        <v>BWD2</v>
      </c>
      <c r="L799" s="24" t="str">
        <f>IF($J799="UNKNOWN","",_xlfn.TEXTBEFORE($J799,{"0","1","2","3","4","5","6","7","8","9"," ","-","."},1,,,$J799))</f>
        <v>BWD</v>
      </c>
      <c r="M799" s="24" t="str">
        <f>IF('query (2)'!I799&lt;&gt;"",TRIM(UPPER('query (2)'!I799)),IF($L799="","UNKNOWN",$L799))</f>
        <v>BWD</v>
      </c>
      <c r="N799" s="24" t="str">
        <f>IF('query (2)'!I799&lt;&gt;"","SOURCE",IF($L799="","UNKNOWN","DERIVED"))</f>
        <v>SOURCE</v>
      </c>
      <c r="O799" s="24" t="str">
        <f>IF('query (2)'!E799="","NOT_SPECIFIED",TRIM(UPPER('query (2)'!E799)))</f>
        <v>GRINDING 2</v>
      </c>
      <c r="P799" s="24" t="str">
        <f>IF('query (2)'!F799="","",TRIM(UPPER('query (2)'!F799)))</f>
        <v>1106-BW2G</v>
      </c>
      <c r="Q799" s="24" t="str">
        <f>IF('query (2)'!G799="","UNKNOWN",IFERROR(INDEX(Cleaning_Rules!$B$38:$B$46,MATCH(TRIM(UPPER('query (2)'!G799)),Cleaning_Rules!$A$38:$A$46,0)),"UNKNOWN"))</f>
        <v>GRINDING</v>
      </c>
      <c r="R799" s="24" t="str">
        <f>IF('query (2)'!H799="","",TRIM(UPPER('query (2)'!H799)))</f>
        <v>OUTER RING RACEWAY GRINDING MACHINE (OVER HAUL)</v>
      </c>
      <c r="S799" s="25" t="str">
        <f>IF('query (2)'!H799="","",'query (2)'!H799)</f>
        <v>Outer ring raceway grinding machine (Over haul)</v>
      </c>
      <c r="T799" s="24" t="str">
        <f>IF('query (2)'!J799="","",TRIM(UPPER('query (2)'!J799)))</f>
        <v>A - RACEWAY GRINDING</v>
      </c>
      <c r="U799" s="24" t="str">
        <f t="shared" si="87"/>
        <v/>
      </c>
      <c r="V799" s="24" t="str">
        <f>IF('query (2)'!K799="","NOT_SPECIFIED",IFERROR(INDEX(Cleaning_Rules!$B$32:$B$34,MATCH(TRIM(UPPER('query (2)'!K799)),Cleaning_Rules!$A$32:$A$34,0)),"UNKNOWN"))</f>
        <v>NOT_SPECIFIED</v>
      </c>
      <c r="W799" s="24" t="str">
        <f t="shared" si="88"/>
        <v>GR-807 | FACTORY3 | BWD2 | BWD | GRINDING 2 | 1106-BW2G | GRINDING | OUTER RING RACEWAY GRINDING MACHINE (OVER HAUL) | A - RACEWAY GRINDING | NOT_SPECIFIED</v>
      </c>
      <c r="X799" s="24" t="str">
        <f t="shared" si="89"/>
        <v/>
      </c>
      <c r="Y799" s="24" t="str">
        <f t="shared" si="90"/>
        <v>MISSING_STATUS</v>
      </c>
    </row>
    <row r="800" spans="1:25" x14ac:dyDescent="0.3">
      <c r="A800" s="24" t="str">
        <f t="shared" si="84"/>
        <v>GR-977#0799</v>
      </c>
      <c r="B800" s="24" t="str">
        <f>IF('query (2)'!B800="","",TRIM(UPPER('query (2)'!B800)))</f>
        <v>GR-977</v>
      </c>
      <c r="C800" s="25" t="str">
        <f>IF('query (2)'!B800="","",'query (2)'!B800)</f>
        <v>GR-977</v>
      </c>
      <c r="D800" s="24" t="str">
        <f t="shared" si="85"/>
        <v>GR</v>
      </c>
      <c r="E800" s="24">
        <f t="shared" si="86"/>
        <v>1</v>
      </c>
      <c r="F800" s="24">
        <f>IF('query (2)'!A800="","",IFERROR(VALUE('query (2)'!A800),""))</f>
        <v>818</v>
      </c>
      <c r="G800" s="24" t="str">
        <f>IF('query (2)'!C800="","UNKNOWN",IFERROR(INDEX(Cleaning_Rules!$B$15:$B$20,MATCH(TRIM(UPPER('query (2)'!C800)),Cleaning_Rules!$A$15:$A$20,0)),"UNKNOWN"))</f>
        <v>UNKNOWN</v>
      </c>
      <c r="H800" s="25" t="str">
        <f>IF('query (2)'!C800="","",'query (2)'!C800)</f>
        <v>-</v>
      </c>
      <c r="I800" s="24" t="str" cm="1">
        <f t="array" ref="I800">_xlfn.IFS($G800="UNKNOWN","UNKNOWN",OR($G800="FACTORY1",$G800="FACTORY2",$G800="FACTORY3"),"PLANT",TRUE,"SHARED")</f>
        <v>UNKNOWN</v>
      </c>
      <c r="J800" s="24" t="str">
        <f>IF('query (2)'!D800="","UNKNOWN",IF(COUNTIF(Cleaning_Rules!$A$6:$A$11,TRIM('query (2)'!D800))&gt;0,"UNKNOWN",IFERROR(INDEX(Cleaning_Rules!$B$24:$B$28,MATCH(TRIM(UPPER('query (2)'!D800)),Cleaning_Rules!$A$24:$A$28,0)),TRIM(UPPER('query (2)'!D800)))))</f>
        <v>UNKNOWN</v>
      </c>
      <c r="K800" s="25" t="str">
        <f>IF('query (2)'!D800="","",'query (2)'!D800)</f>
        <v/>
      </c>
      <c r="L800" s="24" t="str">
        <f>IF($J800="UNKNOWN","",_xlfn.TEXTBEFORE($J800,{"0","1","2","3","4","5","6","7","8","9"," ","-","."},1,,,$J800))</f>
        <v/>
      </c>
      <c r="M800" s="24" t="str">
        <f>IF('query (2)'!I800&lt;&gt;"",TRIM(UPPER('query (2)'!I800)),IF($L800="","UNKNOWN",$L800))</f>
        <v>UNKNOWN</v>
      </c>
      <c r="N800" s="24" t="str">
        <f>IF('query (2)'!I800&lt;&gt;"","SOURCE",IF($L800="","UNKNOWN","DERIVED"))</f>
        <v>UNKNOWN</v>
      </c>
      <c r="O800" s="24" t="str">
        <f>IF('query (2)'!E800="","NOT_SPECIFIED",TRIM(UPPER('query (2)'!E800)))</f>
        <v>GRINDING 2</v>
      </c>
      <c r="P800" s="24" t="str">
        <f>IF('query (2)'!F800="","",TRIM(UPPER('query (2)'!F800)))</f>
        <v/>
      </c>
      <c r="Q800" s="24" t="str">
        <f>IF('query (2)'!G800="","UNKNOWN",IFERROR(INDEX(Cleaning_Rules!$B$38:$B$46,MATCH(TRIM(UPPER('query (2)'!G800)),Cleaning_Rules!$A$38:$A$46,0)),"UNKNOWN"))</f>
        <v>GRINDING</v>
      </c>
      <c r="R800" s="24" t="str">
        <f>IF('query (2)'!H800="","",TRIM(UPPER('query (2)'!H800)))</f>
        <v>INNER RING RACEWAY GRINDING MACHINE (OVER HAUL)</v>
      </c>
      <c r="S800" s="25" t="str">
        <f>IF('query (2)'!H800="","",'query (2)'!H800)</f>
        <v>Inner ring raceway grinding machine (Over haul)</v>
      </c>
      <c r="T800" s="24" t="str">
        <f>IF('query (2)'!J800="","",TRIM(UPPER('query (2)'!J800)))</f>
        <v/>
      </c>
      <c r="U800" s="24" t="str">
        <f t="shared" si="87"/>
        <v/>
      </c>
      <c r="V800" s="24" t="str">
        <f>IF('query (2)'!K800="","NOT_SPECIFIED",IFERROR(INDEX(Cleaning_Rules!$B$32:$B$34,MATCH(TRIM(UPPER('query (2)'!K800)),Cleaning_Rules!$A$32:$A$34,0)),"UNKNOWN"))</f>
        <v>NOT_SPECIFIED</v>
      </c>
      <c r="W800" s="24" t="str">
        <f t="shared" si="88"/>
        <v>GR-977 | UNKNOWN | UNKNOWN | UNKNOWN | GRINDING 2 | GRINDING | INNER RING RACEWAY GRINDING MACHINE (OVER HAUL) | NOT_SPECIFIED</v>
      </c>
      <c r="X800" s="24" t="str">
        <f t="shared" si="89"/>
        <v>MISSING_LOCATION; MISSING_DEPARTMENT; MISSING_SECTION; MISSING_COST_CENTER</v>
      </c>
      <c r="Y800" s="24" t="str">
        <f t="shared" si="90"/>
        <v>MISSING_STATUS; MISSING_PRODUCTION_NAME</v>
      </c>
    </row>
    <row r="801" spans="1:25" x14ac:dyDescent="0.3">
      <c r="A801" s="24" t="str">
        <f t="shared" si="84"/>
        <v>GR-157#0800</v>
      </c>
      <c r="B801" s="24" t="str">
        <f>IF('query (2)'!B801="","",TRIM(UPPER('query (2)'!B801)))</f>
        <v>GR-157</v>
      </c>
      <c r="C801" s="25" t="str">
        <f>IF('query (2)'!B801="","",'query (2)'!B801)</f>
        <v>GR-157</v>
      </c>
      <c r="D801" s="24" t="str">
        <f t="shared" si="85"/>
        <v>GR</v>
      </c>
      <c r="E801" s="24">
        <f t="shared" si="86"/>
        <v>1</v>
      </c>
      <c r="F801" s="24">
        <f>IF('query (2)'!A801="","",IFERROR(VALUE('query (2)'!A801),""))</f>
        <v>819</v>
      </c>
      <c r="G801" s="24" t="str">
        <f>IF('query (2)'!C801="","UNKNOWN",IFERROR(INDEX(Cleaning_Rules!$B$15:$B$20,MATCH(TRIM(UPPER('query (2)'!C801)),Cleaning_Rules!$A$15:$A$20,0)),"UNKNOWN"))</f>
        <v>FACTORY3</v>
      </c>
      <c r="H801" s="25" t="str">
        <f>IF('query (2)'!C801="","",'query (2)'!C801)</f>
        <v>FACTORY3</v>
      </c>
      <c r="I801" s="24" t="str" cm="1">
        <f t="array" ref="I801">_xlfn.IFS($G801="UNKNOWN","UNKNOWN",OR($G801="FACTORY1",$G801="FACTORY2",$G801="FACTORY3"),"PLANT",TRUE,"SHARED")</f>
        <v>PLANT</v>
      </c>
      <c r="J801" s="24" t="str">
        <f>IF('query (2)'!D801="","UNKNOWN",IF(COUNTIF(Cleaning_Rules!$A$6:$A$11,TRIM('query (2)'!D801))&gt;0,"UNKNOWN",IFERROR(INDEX(Cleaning_Rules!$B$24:$B$28,MATCH(TRIM(UPPER('query (2)'!D801)),Cleaning_Rules!$A$24:$A$28,0)),TRIM(UPPER('query (2)'!D801)))))</f>
        <v>BWD2</v>
      </c>
      <c r="K801" s="25" t="str">
        <f>IF('query (2)'!D801="","",'query (2)'!D801)</f>
        <v>BWD2</v>
      </c>
      <c r="L801" s="24" t="str">
        <f>IF($J801="UNKNOWN","",_xlfn.TEXTBEFORE($J801,{"0","1","2","3","4","5","6","7","8","9"," ","-","."},1,,,$J801))</f>
        <v>BWD</v>
      </c>
      <c r="M801" s="24" t="str">
        <f>IF('query (2)'!I801&lt;&gt;"",TRIM(UPPER('query (2)'!I801)),IF($L801="","UNKNOWN",$L801))</f>
        <v>BWD</v>
      </c>
      <c r="N801" s="24" t="str">
        <f>IF('query (2)'!I801&lt;&gt;"","SOURCE",IF($L801="","UNKNOWN","DERIVED"))</f>
        <v>SOURCE</v>
      </c>
      <c r="O801" s="24" t="str">
        <f>IF('query (2)'!E801="","NOT_SPECIFIED",TRIM(UPPER('query (2)'!E801)))</f>
        <v>GRINDING 2</v>
      </c>
      <c r="P801" s="24" t="str">
        <f>IF('query (2)'!F801="","",TRIM(UPPER('query (2)'!F801)))</f>
        <v>1106-BW2G</v>
      </c>
      <c r="Q801" s="24" t="str">
        <f>IF('query (2)'!G801="","UNKNOWN",IFERROR(INDEX(Cleaning_Rules!$B$38:$B$46,MATCH(TRIM(UPPER('query (2)'!G801)),Cleaning_Rules!$A$38:$A$46,0)),"UNKNOWN"))</f>
        <v>OTHER</v>
      </c>
      <c r="R801" s="24" t="str">
        <f>IF('query (2)'!H801="","",TRIM(UPPER('query (2)'!H801)))</f>
        <v>INNER RING BORE GRINDING M/C</v>
      </c>
      <c r="S801" s="25" t="str">
        <f>IF('query (2)'!H801="","",'query (2)'!H801)</f>
        <v>Inner  ring  bore  grinding M/C</v>
      </c>
      <c r="T801" s="24" t="str">
        <f>IF('query (2)'!J801="","",TRIM(UPPER('query (2)'!J801)))</f>
        <v>B - BORE GRINDING</v>
      </c>
      <c r="U801" s="24" t="str">
        <f t="shared" si="87"/>
        <v/>
      </c>
      <c r="V801" s="24" t="str">
        <f>IF('query (2)'!K801="","NOT_SPECIFIED",IFERROR(INDEX(Cleaning_Rules!$B$32:$B$34,MATCH(TRIM(UPPER('query (2)'!K801)),Cleaning_Rules!$A$32:$A$34,0)),"UNKNOWN"))</f>
        <v>NOT_SPECIFIED</v>
      </c>
      <c r="W801" s="24" t="str">
        <f t="shared" si="88"/>
        <v>GR-157 | FACTORY3 | BWD2 | BWD | GRINDING 2 | 1106-BW2G | OTHER | INNER RING BORE GRINDING M/C | B - BORE GRINDING | NOT_SPECIFIED</v>
      </c>
      <c r="X801" s="24" t="str">
        <f t="shared" si="89"/>
        <v/>
      </c>
      <c r="Y801" s="24" t="str">
        <f t="shared" si="90"/>
        <v>MISSING_STATUS; CATEGORY_NOT_USEFUL</v>
      </c>
    </row>
    <row r="802" spans="1:25" x14ac:dyDescent="0.3">
      <c r="A802" s="24" t="str">
        <f t="shared" si="84"/>
        <v>AS-1085#0801</v>
      </c>
      <c r="B802" s="24" t="str">
        <f>IF('query (2)'!B802="","",TRIM(UPPER('query (2)'!B802)))</f>
        <v>AS-1085</v>
      </c>
      <c r="C802" s="25" t="str">
        <f>IF('query (2)'!B802="","",'query (2)'!B802)</f>
        <v>AS-1085</v>
      </c>
      <c r="D802" s="24" t="str">
        <f t="shared" si="85"/>
        <v>AS</v>
      </c>
      <c r="E802" s="24">
        <f t="shared" si="86"/>
        <v>1</v>
      </c>
      <c r="F802" s="24">
        <f>IF('query (2)'!A802="","",IFERROR(VALUE('query (2)'!A802),""))</f>
        <v>821</v>
      </c>
      <c r="G802" s="24" t="str">
        <f>IF('query (2)'!C802="","UNKNOWN",IFERROR(INDEX(Cleaning_Rules!$B$15:$B$20,MATCH(TRIM(UPPER('query (2)'!C802)),Cleaning_Rules!$A$15:$A$20,0)),"UNKNOWN"))</f>
        <v>FACTORY3</v>
      </c>
      <c r="H802" s="25" t="str">
        <f>IF('query (2)'!C802="","",'query (2)'!C802)</f>
        <v>FACTORY3</v>
      </c>
      <c r="I802" s="24" t="str" cm="1">
        <f t="array" ref="I802">_xlfn.IFS($G802="UNKNOWN","UNKNOWN",OR($G802="FACTORY1",$G802="FACTORY2",$G802="FACTORY3"),"PLANT",TRUE,"SHARED")</f>
        <v>PLANT</v>
      </c>
      <c r="J802" s="24" t="str">
        <f>IF('query (2)'!D802="","UNKNOWN",IF(COUNTIF(Cleaning_Rules!$A$6:$A$11,TRIM('query (2)'!D802))&gt;0,"UNKNOWN",IFERROR(INDEX(Cleaning_Rules!$B$24:$B$28,MATCH(TRIM(UPPER('query (2)'!D802)),Cleaning_Rules!$A$24:$A$28,0)),TRIM(UPPER('query (2)'!D802)))))</f>
        <v>HUB3-1</v>
      </c>
      <c r="K802" s="25" t="str">
        <f>IF('query (2)'!D802="","",'query (2)'!D802)</f>
        <v>HUB3-1</v>
      </c>
      <c r="L802" s="24" t="str">
        <f>IF($J802="UNKNOWN","",_xlfn.TEXTBEFORE($J802,{"0","1","2","3","4","5","6","7","8","9"," ","-","."},1,,,$J802))</f>
        <v>HUB</v>
      </c>
      <c r="M802" s="24" t="str">
        <f>IF('query (2)'!I802&lt;&gt;"",TRIM(UPPER('query (2)'!I802)),IF($L802="","UNKNOWN",$L802))</f>
        <v>HUB</v>
      </c>
      <c r="N802" s="24" t="str">
        <f>IF('query (2)'!I802&lt;&gt;"","SOURCE",IF($L802="","UNKNOWN","DERIVED"))</f>
        <v>SOURCE</v>
      </c>
      <c r="O802" s="24" t="str">
        <f>IF('query (2)'!E802="","NOT_SPECIFIED",TRIM(UPPER('query (2)'!E802)))</f>
        <v>ASSEMBLY</v>
      </c>
      <c r="P802" s="24" t="str">
        <f>IF('query (2)'!F802="","",TRIM(UPPER('query (2)'!F802)))</f>
        <v>1815-H31AI</v>
      </c>
      <c r="Q802" s="24" t="str">
        <f>IF('query (2)'!G802="","UNKNOWN",IFERROR(INDEX(Cleaning_Rules!$B$38:$B$46,MATCH(TRIM(UPPER('query (2)'!G802)),Cleaning_Rules!$A$38:$A$46,0)),"UNKNOWN"))</f>
        <v>ASSEMBLY</v>
      </c>
      <c r="R802" s="24" t="str">
        <f>IF('query (2)'!H802="","",TRIM(UPPER('query (2)'!H802)))</f>
        <v>ROBOT WORK TRANSFER</v>
      </c>
      <c r="S802" s="25" t="str">
        <f>IF('query (2)'!H802="","",'query (2)'!H802)</f>
        <v>Robot work transfer</v>
      </c>
      <c r="T802" s="24" t="str">
        <f>IF('query (2)'!J802="","",TRIM(UPPER('query (2)'!J802)))</f>
        <v>ROBOT WORK TRANSFER</v>
      </c>
      <c r="U802" s="24" t="str">
        <f t="shared" si="87"/>
        <v/>
      </c>
      <c r="V802" s="24" t="str">
        <f>IF('query (2)'!K802="","NOT_SPECIFIED",IFERROR(INDEX(Cleaning_Rules!$B$32:$B$34,MATCH(TRIM(UPPER('query (2)'!K802)),Cleaning_Rules!$A$32:$A$34,0)),"UNKNOWN"))</f>
        <v>NOT_SPECIFIED</v>
      </c>
      <c r="W802" s="24" t="str">
        <f t="shared" si="88"/>
        <v>AS-1085 | FACTORY3 | HUB3-1 | HUB | ASSEMBLY | 1815-H31AI | ASSEMBLY | ROBOT WORK TRANSFER | ROBOT WORK TRANSFER | NOT_SPECIFIED</v>
      </c>
      <c r="X802" s="24" t="str">
        <f t="shared" si="89"/>
        <v/>
      </c>
      <c r="Y802" s="24" t="str">
        <f t="shared" si="90"/>
        <v>MISSING_STATUS</v>
      </c>
    </row>
    <row r="803" spans="1:25" x14ac:dyDescent="0.3">
      <c r="A803" s="24" t="str">
        <f t="shared" si="84"/>
        <v>1#0802</v>
      </c>
      <c r="B803" s="24" t="str">
        <f>IF('query (2)'!B803="","",TRIM(UPPER('query (2)'!B803)))</f>
        <v>1</v>
      </c>
      <c r="C803" s="25" t="str">
        <f>IF('query (2)'!B803="","",'query (2)'!B803)</f>
        <v>1</v>
      </c>
      <c r="D803" s="24" t="str">
        <f t="shared" si="85"/>
        <v>NO_PREFIX</v>
      </c>
      <c r="E803" s="24">
        <f t="shared" si="86"/>
        <v>1</v>
      </c>
      <c r="F803" s="24">
        <f>IF('query (2)'!A803="","",IFERROR(VALUE('query (2)'!A803),""))</f>
        <v>822</v>
      </c>
      <c r="G803" s="24" t="str">
        <f>IF('query (2)'!C803="","UNKNOWN",IFERROR(INDEX(Cleaning_Rules!$B$15:$B$20,MATCH(TRIM(UPPER('query (2)'!C803)),Cleaning_Rules!$A$15:$A$20,0)),"UNKNOWN"))</f>
        <v>TOOLING</v>
      </c>
      <c r="H803" s="25" t="str">
        <f>IF('query (2)'!C803="","",'query (2)'!C803)</f>
        <v>TOOLING</v>
      </c>
      <c r="I803" s="24" t="str" cm="1">
        <f t="array" ref="I803">_xlfn.IFS($G803="UNKNOWN","UNKNOWN",OR($G803="FACTORY1",$G803="FACTORY2",$G803="FACTORY3"),"PLANT",TRUE,"SHARED")</f>
        <v>SHARED</v>
      </c>
      <c r="J803" s="24" t="str">
        <f>IF('query (2)'!D803="","UNKNOWN",IF(COUNTIF(Cleaning_Rules!$A$6:$A$11,TRIM('query (2)'!D803))&gt;0,"UNKNOWN",IFERROR(INDEX(Cleaning_Rules!$B$24:$B$28,MATCH(TRIM(UPPER('query (2)'!D803)),Cleaning_Rules!$A$24:$A$28,0)),TRIM(UPPER('query (2)'!D803)))))</f>
        <v>TOOLING ENGINEER</v>
      </c>
      <c r="K803" s="25" t="str">
        <f>IF('query (2)'!D803="","",'query (2)'!D803)</f>
        <v>Tooling Engineer</v>
      </c>
      <c r="L803" s="24" t="str">
        <f>IF($J803="UNKNOWN","",_xlfn.TEXTBEFORE($J803,{"0","1","2","3","4","5","6","7","8","9"," ","-","."},1,,,$J803))</f>
        <v>TOOLING</v>
      </c>
      <c r="M803" s="24" t="str">
        <f>IF('query (2)'!I803&lt;&gt;"",TRIM(UPPER('query (2)'!I803)),IF($L803="","UNKNOWN",$L803))</f>
        <v>TOOLING</v>
      </c>
      <c r="N803" s="24" t="str">
        <f>IF('query (2)'!I803&lt;&gt;"","SOURCE",IF($L803="","UNKNOWN","DERIVED"))</f>
        <v>DERIVED</v>
      </c>
      <c r="O803" s="24" t="str">
        <f>IF('query (2)'!E803="","NOT_SPECIFIED",TRIM(UPPER('query (2)'!E803)))</f>
        <v>GRINDING 2</v>
      </c>
      <c r="P803" s="24" t="str">
        <f>IF('query (2)'!F803="","",TRIM(UPPER('query (2)'!F803)))</f>
        <v>2108-EMTC</v>
      </c>
      <c r="Q803" s="24" t="str">
        <f>IF('query (2)'!G803="","UNKNOWN",IFERROR(INDEX(Cleaning_Rules!$B$38:$B$46,MATCH(TRIM(UPPER('query (2)'!G803)),Cleaning_Rules!$A$38:$A$46,0)),"UNKNOWN"))</f>
        <v>GRINDING</v>
      </c>
      <c r="R803" s="24" t="str">
        <f>IF('query (2)'!H803="","",TRIM(UPPER('query (2)'!H803)))</f>
        <v>OUTER RING RACEWAY GRINDING</v>
      </c>
      <c r="S803" s="25" t="str">
        <f>IF('query (2)'!H803="","",'query (2)'!H803)</f>
        <v>Outer ring raceway Grinding</v>
      </c>
      <c r="T803" s="24" t="str">
        <f>IF('query (2)'!J803="","",TRIM(UPPER('query (2)'!J803)))</f>
        <v>A - RACEWAY GRINDING</v>
      </c>
      <c r="U803" s="24" t="str">
        <f t="shared" si="87"/>
        <v/>
      </c>
      <c r="V803" s="24" t="str">
        <f>IF('query (2)'!K803="","NOT_SPECIFIED",IFERROR(INDEX(Cleaning_Rules!$B$32:$B$34,MATCH(TRIM(UPPER('query (2)'!K803)),Cleaning_Rules!$A$32:$A$34,0)),"UNKNOWN"))</f>
        <v>NOT_SPECIFIED</v>
      </c>
      <c r="W803" s="24" t="str">
        <f t="shared" si="88"/>
        <v>1 | TOOLING | TOOLING ENGINEER | TOOLING | GRINDING 2 | 2108-EMTC | GRINDING | OUTER RING RACEWAY GRINDING | A - RACEWAY GRINDING | NOT_SPECIFIED</v>
      </c>
      <c r="X803" s="24" t="str">
        <f t="shared" si="89"/>
        <v/>
      </c>
      <c r="Y803" s="24" t="str">
        <f t="shared" si="90"/>
        <v>MISSING_STATUS; SECTION_DERIVED</v>
      </c>
    </row>
    <row r="804" spans="1:25" x14ac:dyDescent="0.3">
      <c r="A804" s="24" t="str">
        <f t="shared" si="84"/>
        <v>BP-OR-KWD-45KWD10#0803</v>
      </c>
      <c r="B804" s="24" t="str">
        <f>IF('query (2)'!B804="","",TRIM(UPPER('query (2)'!B804)))</f>
        <v>BP-OR-KWD-45KWD10</v>
      </c>
      <c r="C804" s="25" t="str">
        <f>IF('query (2)'!B804="","",'query (2)'!B804)</f>
        <v>BP-OR-KWD-45KWD10</v>
      </c>
      <c r="D804" s="24" t="str">
        <f t="shared" si="85"/>
        <v>BP</v>
      </c>
      <c r="E804" s="24">
        <f t="shared" si="86"/>
        <v>1</v>
      </c>
      <c r="F804" s="24">
        <f>IF('query (2)'!A804="","",IFERROR(VALUE('query (2)'!A804),""))</f>
        <v>824</v>
      </c>
      <c r="G804" s="24" t="str">
        <f>IF('query (2)'!C804="","UNKNOWN",IFERROR(INDEX(Cleaning_Rules!$B$15:$B$20,MATCH(TRIM(UPPER('query (2)'!C804)),Cleaning_Rules!$A$15:$A$20,0)),"UNKNOWN"))</f>
        <v>TOOLING</v>
      </c>
      <c r="H804" s="25" t="str">
        <f>IF('query (2)'!C804="","",'query (2)'!C804)</f>
        <v>TOOLING</v>
      </c>
      <c r="I804" s="24" t="str" cm="1">
        <f t="array" ref="I804">_xlfn.IFS($G804="UNKNOWN","UNKNOWN",OR($G804="FACTORY1",$G804="FACTORY2",$G804="FACTORY3"),"PLANT",TRUE,"SHARED")</f>
        <v>SHARED</v>
      </c>
      <c r="J804" s="24" t="str">
        <f>IF('query (2)'!D804="","UNKNOWN",IF(COUNTIF(Cleaning_Rules!$A$6:$A$11,TRIM('query (2)'!D804))&gt;0,"UNKNOWN",IFERROR(INDEX(Cleaning_Rules!$B$24:$B$28,MATCH(TRIM(UPPER('query (2)'!D804)),Cleaning_Rules!$A$24:$A$28,0)),TRIM(UPPER('query (2)'!D804)))))</f>
        <v>TOOLING ENGINEER</v>
      </c>
      <c r="K804" s="25" t="str">
        <f>IF('query (2)'!D804="","",'query (2)'!D804)</f>
        <v>Tooling Engineer</v>
      </c>
      <c r="L804" s="24" t="str">
        <f>IF($J804="UNKNOWN","",_xlfn.TEXTBEFORE($J804,{"0","1","2","3","4","5","6","7","8","9"," ","-","."},1,,,$J804))</f>
        <v>TOOLING</v>
      </c>
      <c r="M804" s="24" t="str">
        <f>IF('query (2)'!I804&lt;&gt;"",TRIM(UPPER('query (2)'!I804)),IF($L804="","UNKNOWN",$L804))</f>
        <v>TOOLING</v>
      </c>
      <c r="N804" s="24" t="str">
        <f>IF('query (2)'!I804&lt;&gt;"","SOURCE",IF($L804="","UNKNOWN","DERIVED"))</f>
        <v>DERIVED</v>
      </c>
      <c r="O804" s="24" t="str">
        <f>IF('query (2)'!E804="","NOT_SPECIFIED",TRIM(UPPER('query (2)'!E804)))</f>
        <v>NOT_SPECIFIED</v>
      </c>
      <c r="P804" s="24" t="str">
        <f>IF('query (2)'!F804="","",TRIM(UPPER('query (2)'!F804)))</f>
        <v/>
      </c>
      <c r="Q804" s="24" t="str">
        <f>IF('query (2)'!G804="","UNKNOWN",IFERROR(INDEX(Cleaning_Rules!$B$38:$B$46,MATCH(TRIM(UPPER('query (2)'!G804)),Cleaning_Rules!$A$38:$A$46,0)),"UNKNOWN"))</f>
        <v>TOOL</v>
      </c>
      <c r="R804" s="24" t="str">
        <f>IF('query (2)'!H804="","",TRIM(UPPER('query (2)'!H804)))</f>
        <v>BACKING PLATE</v>
      </c>
      <c r="S804" s="25" t="str">
        <f>IF('query (2)'!H804="","",'query (2)'!H804)</f>
        <v>Backing plate</v>
      </c>
      <c r="T804" s="24" t="str">
        <f>IF('query (2)'!J804="","",TRIM(UPPER('query (2)'!J804)))</f>
        <v/>
      </c>
      <c r="U804" s="24" t="str">
        <f t="shared" si="87"/>
        <v/>
      </c>
      <c r="V804" s="24" t="str">
        <f>IF('query (2)'!K804="","NOT_SPECIFIED",IFERROR(INDEX(Cleaning_Rules!$B$32:$B$34,MATCH(TRIM(UPPER('query (2)'!K804)),Cleaning_Rules!$A$32:$A$34,0)),"UNKNOWN"))</f>
        <v>NOT_SPECIFIED</v>
      </c>
      <c r="W804" s="24" t="str">
        <f t="shared" si="88"/>
        <v>BP-OR-KWD-45KWD10 | TOOLING | TOOLING ENGINEER | TOOLING | NOT_SPECIFIED | TOOL | BACKING PLATE | NOT_SPECIFIED</v>
      </c>
      <c r="X804" s="24" t="str">
        <f t="shared" si="89"/>
        <v>MISSING_RESPONSIBLE; MISSING_COST_CENTER</v>
      </c>
      <c r="Y804" s="24" t="str">
        <f t="shared" si="90"/>
        <v>MISSING_STATUS; MISSING_PRODUCTION_NAME; SECTION_DERIVED</v>
      </c>
    </row>
    <row r="805" spans="1:25" x14ac:dyDescent="0.3">
      <c r="A805" s="24" t="str">
        <f t="shared" si="84"/>
        <v>SU-1130#0804</v>
      </c>
      <c r="B805" s="24" t="str">
        <f>IF('query (2)'!B805="","",TRIM(UPPER('query (2)'!B805)))</f>
        <v>SU-1130</v>
      </c>
      <c r="C805" s="25" t="str">
        <f>IF('query (2)'!B805="","",'query (2)'!B805)</f>
        <v>SU-1130</v>
      </c>
      <c r="D805" s="24" t="str">
        <f t="shared" si="85"/>
        <v>SU</v>
      </c>
      <c r="E805" s="24">
        <f t="shared" si="86"/>
        <v>1</v>
      </c>
      <c r="F805" s="24">
        <f>IF('query (2)'!A805="","",IFERROR(VALUE('query (2)'!A805),""))</f>
        <v>827</v>
      </c>
      <c r="G805" s="24" t="str">
        <f>IF('query (2)'!C805="","UNKNOWN",IFERROR(INDEX(Cleaning_Rules!$B$15:$B$20,MATCH(TRIM(UPPER('query (2)'!C805)),Cleaning_Rules!$A$15:$A$20,0)),"UNKNOWN"))</f>
        <v>FACTORY2</v>
      </c>
      <c r="H805" s="25" t="str">
        <f>IF('query (2)'!C805="","",'query (2)'!C805)</f>
        <v>FACTORY2</v>
      </c>
      <c r="I805" s="24" t="str" cm="1">
        <f t="array" ref="I805">_xlfn.IFS($G805="UNKNOWN","UNKNOWN",OR($G805="FACTORY1",$G805="FACTORY2",$G805="FACTORY3"),"PLANT",TRUE,"SHARED")</f>
        <v>PLANT</v>
      </c>
      <c r="J805" s="24" t="str">
        <f>IF('query (2)'!D805="","UNKNOWN",IF(COUNTIF(Cleaning_Rules!$A$6:$A$11,TRIM('query (2)'!D805))&gt;0,"UNKNOWN",IFERROR(INDEX(Cleaning_Rules!$B$24:$B$28,MATCH(TRIM(UPPER('query (2)'!D805)),Cleaning_Rules!$A$24:$A$28,0)),TRIM(UPPER('query (2)'!D805)))))</f>
        <v>NB GRINDING2</v>
      </c>
      <c r="K805" s="25" t="str">
        <f>IF('query (2)'!D805="","",'query (2)'!D805)</f>
        <v>NB Grinding2</v>
      </c>
      <c r="L805" s="24" t="str">
        <f>IF($J805="UNKNOWN","",_xlfn.TEXTBEFORE($J805,{"0","1","2","3","4","5","6","7","8","9"," ","-","."},1,,,$J805))</f>
        <v>NB</v>
      </c>
      <c r="M805" s="24" t="str">
        <f>IF('query (2)'!I805&lt;&gt;"",TRIM(UPPER('query (2)'!I805)),IF($L805="","UNKNOWN",$L805))</f>
        <v>NB</v>
      </c>
      <c r="N805" s="24" t="str">
        <f>IF('query (2)'!I805&lt;&gt;"","SOURCE",IF($L805="","UNKNOWN","DERIVED"))</f>
        <v>SOURCE</v>
      </c>
      <c r="O805" s="24" t="str">
        <f>IF('query (2)'!E805="","NOT_SPECIFIED",TRIM(UPPER('query (2)'!E805)))</f>
        <v>GRINDING 2</v>
      </c>
      <c r="P805" s="24" t="str">
        <f>IF('query (2)'!F805="","",TRIM(UPPER('query (2)'!F805)))</f>
        <v>3610-NB2GA</v>
      </c>
      <c r="Q805" s="24" t="str">
        <f>IF('query (2)'!G805="","UNKNOWN",IFERROR(INDEX(Cleaning_Rules!$B$38:$B$46,MATCH(TRIM(UPPER('query (2)'!G805)),Cleaning_Rules!$A$38:$A$46,0)),"UNKNOWN"))</f>
        <v>OTHER</v>
      </c>
      <c r="R805" s="24" t="str">
        <f>IF('query (2)'!H805="","",TRIM(UPPER('query (2)'!H805)))</f>
        <v>OUTER RING WORK FEEDER</v>
      </c>
      <c r="S805" s="25" t="str">
        <f>IF('query (2)'!H805="","",'query (2)'!H805)</f>
        <v>OUTER RING WORK FEEDER</v>
      </c>
      <c r="T805" s="24" t="str">
        <f>IF('query (2)'!J805="","",TRIM(UPPER('query (2)'!J805)))</f>
        <v/>
      </c>
      <c r="U805" s="24" t="str">
        <f t="shared" si="87"/>
        <v/>
      </c>
      <c r="V805" s="24" t="str">
        <f>IF('query (2)'!K805="","NOT_SPECIFIED",IFERROR(INDEX(Cleaning_Rules!$B$32:$B$34,MATCH(TRIM(UPPER('query (2)'!K805)),Cleaning_Rules!$A$32:$A$34,0)),"UNKNOWN"))</f>
        <v>NOT_SPECIFIED</v>
      </c>
      <c r="W805" s="24" t="str">
        <f t="shared" si="88"/>
        <v>SU-1130 | FACTORY2 | NB GRINDING2 | NB | GRINDING 2 | 3610-NB2GA | OTHER | OUTER RING WORK FEEDER | NOT_SPECIFIED</v>
      </c>
      <c r="X805" s="24" t="str">
        <f t="shared" si="89"/>
        <v/>
      </c>
      <c r="Y805" s="24" t="str">
        <f t="shared" si="90"/>
        <v>MISSING_STATUS; CATEGORY_NOT_USEFUL; MISSING_PRODUCTION_NAME</v>
      </c>
    </row>
    <row r="806" spans="1:25" x14ac:dyDescent="0.3">
      <c r="A806" s="24" t="str">
        <f t="shared" si="84"/>
        <v>GR-1131#0805</v>
      </c>
      <c r="B806" s="24" t="str">
        <f>IF('query (2)'!B806="","",TRIM(UPPER('query (2)'!B806)))</f>
        <v>GR-1131</v>
      </c>
      <c r="C806" s="25" t="str">
        <f>IF('query (2)'!B806="","",'query (2)'!B806)</f>
        <v>GR-1131</v>
      </c>
      <c r="D806" s="24" t="str">
        <f t="shared" si="85"/>
        <v>GR</v>
      </c>
      <c r="E806" s="24">
        <f t="shared" si="86"/>
        <v>1</v>
      </c>
      <c r="F806" s="24">
        <f>IF('query (2)'!A806="","",IFERROR(VALUE('query (2)'!A806),""))</f>
        <v>828</v>
      </c>
      <c r="G806" s="24" t="str">
        <f>IF('query (2)'!C806="","UNKNOWN",IFERROR(INDEX(Cleaning_Rules!$B$15:$B$20,MATCH(TRIM(UPPER('query (2)'!C806)),Cleaning_Rules!$A$15:$A$20,0)),"UNKNOWN"))</f>
        <v>FACTORY2</v>
      </c>
      <c r="H806" s="25" t="str">
        <f>IF('query (2)'!C806="","",'query (2)'!C806)</f>
        <v>FACTORY2</v>
      </c>
      <c r="I806" s="24" t="str" cm="1">
        <f t="array" ref="I806">_xlfn.IFS($G806="UNKNOWN","UNKNOWN",OR($G806="FACTORY1",$G806="FACTORY2",$G806="FACTORY3"),"PLANT",TRUE,"SHARED")</f>
        <v>PLANT</v>
      </c>
      <c r="J806" s="24" t="str">
        <f>IF('query (2)'!D806="","UNKNOWN",IF(COUNTIF(Cleaning_Rules!$A$6:$A$11,TRIM('query (2)'!D806))&gt;0,"UNKNOWN",IFERROR(INDEX(Cleaning_Rules!$B$24:$B$28,MATCH(TRIM(UPPER('query (2)'!D806)),Cleaning_Rules!$A$24:$A$28,0)),TRIM(UPPER('query (2)'!D806)))))</f>
        <v>NB GRINDING2</v>
      </c>
      <c r="K806" s="25" t="str">
        <f>IF('query (2)'!D806="","",'query (2)'!D806)</f>
        <v>NB Grinding2</v>
      </c>
      <c r="L806" s="24" t="str">
        <f>IF($J806="UNKNOWN","",_xlfn.TEXTBEFORE($J806,{"0","1","2","3","4","5","6","7","8","9"," ","-","."},1,,,$J806))</f>
        <v>NB</v>
      </c>
      <c r="M806" s="24" t="str">
        <f>IF('query (2)'!I806&lt;&gt;"",TRIM(UPPER('query (2)'!I806)),IF($L806="","UNKNOWN",$L806))</f>
        <v>NB</v>
      </c>
      <c r="N806" s="24" t="str">
        <f>IF('query (2)'!I806&lt;&gt;"","SOURCE",IF($L806="","UNKNOWN","DERIVED"))</f>
        <v>SOURCE</v>
      </c>
      <c r="O806" s="24" t="str">
        <f>IF('query (2)'!E806="","NOT_SPECIFIED",TRIM(UPPER('query (2)'!E806)))</f>
        <v>GRINDING 2</v>
      </c>
      <c r="P806" s="24" t="str">
        <f>IF('query (2)'!F806="","",TRIM(UPPER('query (2)'!F806)))</f>
        <v>3610-NB2GA</v>
      </c>
      <c r="Q806" s="24" t="str">
        <f>IF('query (2)'!G806="","UNKNOWN",IFERROR(INDEX(Cleaning_Rules!$B$38:$B$46,MATCH(TRIM(UPPER('query (2)'!G806)),Cleaning_Rules!$A$38:$A$46,0)),"UNKNOWN"))</f>
        <v>GRINDING</v>
      </c>
      <c r="R806" s="24" t="str">
        <f>IF('query (2)'!H806="","",TRIM(UPPER('query (2)'!H806)))</f>
        <v>OUTER RING RACEWAY GRINDING MACHINE</v>
      </c>
      <c r="S806" s="25" t="str">
        <f>IF('query (2)'!H806="","",'query (2)'!H806)</f>
        <v>OUTER RING RACEWAY GRINDING MACHINE</v>
      </c>
      <c r="T806" s="24" t="str">
        <f>IF('query (2)'!J806="","",TRIM(UPPER('query (2)'!J806)))</f>
        <v>A - RACEWAY GRINDING</v>
      </c>
      <c r="U806" s="24" t="str">
        <f t="shared" si="87"/>
        <v/>
      </c>
      <c r="V806" s="24" t="str">
        <f>IF('query (2)'!K806="","NOT_SPECIFIED",IFERROR(INDEX(Cleaning_Rules!$B$32:$B$34,MATCH(TRIM(UPPER('query (2)'!K806)),Cleaning_Rules!$A$32:$A$34,0)),"UNKNOWN"))</f>
        <v>NOT_SPECIFIED</v>
      </c>
      <c r="W806" s="24" t="str">
        <f t="shared" si="88"/>
        <v>GR-1131 | FACTORY2 | NB GRINDING2 | NB | GRINDING 2 | 3610-NB2GA | GRINDING | OUTER RING RACEWAY GRINDING MACHINE | A - RACEWAY GRINDING | NOT_SPECIFIED</v>
      </c>
      <c r="X806" s="24" t="str">
        <f t="shared" si="89"/>
        <v/>
      </c>
      <c r="Y806" s="24" t="str">
        <f t="shared" si="90"/>
        <v>MISSING_STATUS</v>
      </c>
    </row>
    <row r="807" spans="1:25" x14ac:dyDescent="0.3">
      <c r="A807" s="24" t="str">
        <f t="shared" si="84"/>
        <v>GR-1132#0806</v>
      </c>
      <c r="B807" s="24" t="str">
        <f>IF('query (2)'!B807="","",TRIM(UPPER('query (2)'!B807)))</f>
        <v>GR-1132</v>
      </c>
      <c r="C807" s="25" t="str">
        <f>IF('query (2)'!B807="","",'query (2)'!B807)</f>
        <v>GR-1132</v>
      </c>
      <c r="D807" s="24" t="str">
        <f t="shared" si="85"/>
        <v>GR</v>
      </c>
      <c r="E807" s="24">
        <f t="shared" si="86"/>
        <v>1</v>
      </c>
      <c r="F807" s="24">
        <f>IF('query (2)'!A807="","",IFERROR(VALUE('query (2)'!A807),""))</f>
        <v>829</v>
      </c>
      <c r="G807" s="24" t="str">
        <f>IF('query (2)'!C807="","UNKNOWN",IFERROR(INDEX(Cleaning_Rules!$B$15:$B$20,MATCH(TRIM(UPPER('query (2)'!C807)),Cleaning_Rules!$A$15:$A$20,0)),"UNKNOWN"))</f>
        <v>FACTORY2</v>
      </c>
      <c r="H807" s="25" t="str">
        <f>IF('query (2)'!C807="","",'query (2)'!C807)</f>
        <v>FACTORY2</v>
      </c>
      <c r="I807" s="24" t="str" cm="1">
        <f t="array" ref="I807">_xlfn.IFS($G807="UNKNOWN","UNKNOWN",OR($G807="FACTORY1",$G807="FACTORY2",$G807="FACTORY3"),"PLANT",TRUE,"SHARED")</f>
        <v>PLANT</v>
      </c>
      <c r="J807" s="24" t="str">
        <f>IF('query (2)'!D807="","UNKNOWN",IF(COUNTIF(Cleaning_Rules!$A$6:$A$11,TRIM('query (2)'!D807))&gt;0,"UNKNOWN",IFERROR(INDEX(Cleaning_Rules!$B$24:$B$28,MATCH(TRIM(UPPER('query (2)'!D807)),Cleaning_Rules!$A$24:$A$28,0)),TRIM(UPPER('query (2)'!D807)))))</f>
        <v>NB GRINDING2</v>
      </c>
      <c r="K807" s="25" t="str">
        <f>IF('query (2)'!D807="","",'query (2)'!D807)</f>
        <v>NB Grinding2</v>
      </c>
      <c r="L807" s="24" t="str">
        <f>IF($J807="UNKNOWN","",_xlfn.TEXTBEFORE($J807,{"0","1","2","3","4","5","6","7","8","9"," ","-","."},1,,,$J807))</f>
        <v>NB</v>
      </c>
      <c r="M807" s="24" t="str">
        <f>IF('query (2)'!I807&lt;&gt;"",TRIM(UPPER('query (2)'!I807)),IF($L807="","UNKNOWN",$L807))</f>
        <v>NB</v>
      </c>
      <c r="N807" s="24" t="str">
        <f>IF('query (2)'!I807&lt;&gt;"","SOURCE",IF($L807="","UNKNOWN","DERIVED"))</f>
        <v>SOURCE</v>
      </c>
      <c r="O807" s="24" t="str">
        <f>IF('query (2)'!E807="","NOT_SPECIFIED",TRIM(UPPER('query (2)'!E807)))</f>
        <v>GRINDING 2</v>
      </c>
      <c r="P807" s="24" t="str">
        <f>IF('query (2)'!F807="","",TRIM(UPPER('query (2)'!F807)))</f>
        <v>3610-NB2GA</v>
      </c>
      <c r="Q807" s="24" t="str">
        <f>IF('query (2)'!G807="","UNKNOWN",IFERROR(INDEX(Cleaning_Rules!$B$38:$B$46,MATCH(TRIM(UPPER('query (2)'!G807)),Cleaning_Rules!$A$38:$A$46,0)),"UNKNOWN"))</f>
        <v>GRINDING</v>
      </c>
      <c r="R807" s="24" t="str">
        <f>IF('query (2)'!H807="","",TRIM(UPPER('query (2)'!H807)))</f>
        <v>OUTER RING RACEWAY SUPERFINISH MACHINE</v>
      </c>
      <c r="S807" s="25" t="str">
        <f>IF('query (2)'!H807="","",'query (2)'!H807)</f>
        <v>OUTER RING RACEWAY SUPERFINISH MACHINE</v>
      </c>
      <c r="T807" s="24" t="str">
        <f>IF('query (2)'!J807="","",TRIM(UPPER('query (2)'!J807)))</f>
        <v>A - RACEWAY SUPER FINISH</v>
      </c>
      <c r="U807" s="24" t="str">
        <f t="shared" si="87"/>
        <v/>
      </c>
      <c r="V807" s="24" t="str">
        <f>IF('query (2)'!K807="","NOT_SPECIFIED",IFERROR(INDEX(Cleaning_Rules!$B$32:$B$34,MATCH(TRIM(UPPER('query (2)'!K807)),Cleaning_Rules!$A$32:$A$34,0)),"UNKNOWN"))</f>
        <v>NOT_SPECIFIED</v>
      </c>
      <c r="W807" s="24" t="str">
        <f t="shared" si="88"/>
        <v>GR-1132 | FACTORY2 | NB GRINDING2 | NB | GRINDING 2 | 3610-NB2GA | GRINDING | OUTER RING RACEWAY SUPERFINISH MACHINE | A - RACEWAY SUPER FINISH | NOT_SPECIFIED</v>
      </c>
      <c r="X807" s="24" t="str">
        <f t="shared" si="89"/>
        <v/>
      </c>
      <c r="Y807" s="24" t="str">
        <f t="shared" si="90"/>
        <v>MISSING_STATUS</v>
      </c>
    </row>
    <row r="808" spans="1:25" x14ac:dyDescent="0.3">
      <c r="A808" s="24" t="str">
        <f t="shared" si="84"/>
        <v>SU-1133#0807</v>
      </c>
      <c r="B808" s="24" t="str">
        <f>IF('query (2)'!B808="","",TRIM(UPPER('query (2)'!B808)))</f>
        <v>SU-1133</v>
      </c>
      <c r="C808" s="25" t="str">
        <f>IF('query (2)'!B808="","",'query (2)'!B808)</f>
        <v>SU-1133</v>
      </c>
      <c r="D808" s="24" t="str">
        <f t="shared" si="85"/>
        <v>SU</v>
      </c>
      <c r="E808" s="24">
        <f t="shared" si="86"/>
        <v>1</v>
      </c>
      <c r="F808" s="24">
        <f>IF('query (2)'!A808="","",IFERROR(VALUE('query (2)'!A808),""))</f>
        <v>830</v>
      </c>
      <c r="G808" s="24" t="str">
        <f>IF('query (2)'!C808="","UNKNOWN",IFERROR(INDEX(Cleaning_Rules!$B$15:$B$20,MATCH(TRIM(UPPER('query (2)'!C808)),Cleaning_Rules!$A$15:$A$20,0)),"UNKNOWN"))</f>
        <v>FACTORY2</v>
      </c>
      <c r="H808" s="25" t="str">
        <f>IF('query (2)'!C808="","",'query (2)'!C808)</f>
        <v>FACTORY2</v>
      </c>
      <c r="I808" s="24" t="str" cm="1">
        <f t="array" ref="I808">_xlfn.IFS($G808="UNKNOWN","UNKNOWN",OR($G808="FACTORY1",$G808="FACTORY2",$G808="FACTORY3"),"PLANT",TRUE,"SHARED")</f>
        <v>PLANT</v>
      </c>
      <c r="J808" s="24" t="str">
        <f>IF('query (2)'!D808="","UNKNOWN",IF(COUNTIF(Cleaning_Rules!$A$6:$A$11,TRIM('query (2)'!D808))&gt;0,"UNKNOWN",IFERROR(INDEX(Cleaning_Rules!$B$24:$B$28,MATCH(TRIM(UPPER('query (2)'!D808)),Cleaning_Rules!$A$24:$A$28,0)),TRIM(UPPER('query (2)'!D808)))))</f>
        <v>NB GRINDING2</v>
      </c>
      <c r="K808" s="25" t="str">
        <f>IF('query (2)'!D808="","",'query (2)'!D808)</f>
        <v>NB Grinding2</v>
      </c>
      <c r="L808" s="24" t="str">
        <f>IF($J808="UNKNOWN","",_xlfn.TEXTBEFORE($J808,{"0","1","2","3","4","5","6","7","8","9"," ","-","."},1,,,$J808))</f>
        <v>NB</v>
      </c>
      <c r="M808" s="24" t="str">
        <f>IF('query (2)'!I808&lt;&gt;"",TRIM(UPPER('query (2)'!I808)),IF($L808="","UNKNOWN",$L808))</f>
        <v>NB</v>
      </c>
      <c r="N808" s="24" t="str">
        <f>IF('query (2)'!I808&lt;&gt;"","SOURCE",IF($L808="","UNKNOWN","DERIVED"))</f>
        <v>SOURCE</v>
      </c>
      <c r="O808" s="24" t="str">
        <f>IF('query (2)'!E808="","NOT_SPECIFIED",TRIM(UPPER('query (2)'!E808)))</f>
        <v>GRINDING 2</v>
      </c>
      <c r="P808" s="24" t="str">
        <f>IF('query (2)'!F808="","",TRIM(UPPER('query (2)'!F808)))</f>
        <v>3610-NB2GA</v>
      </c>
      <c r="Q808" s="24" t="str">
        <f>IF('query (2)'!G808="","UNKNOWN",IFERROR(INDEX(Cleaning_Rules!$B$38:$B$46,MATCH(TRIM(UPPER('query (2)'!G808)),Cleaning_Rules!$A$38:$A$46,0)),"UNKNOWN"))</f>
        <v>SUPPORT</v>
      </c>
      <c r="R808" s="24" t="str">
        <f>IF('query (2)'!H808="","",TRIM(UPPER('query (2)'!H808)))</f>
        <v>INNER RING WORK FEEDER</v>
      </c>
      <c r="S808" s="25" t="str">
        <f>IF('query (2)'!H808="","",'query (2)'!H808)</f>
        <v>INNER RING WORK FEEDER</v>
      </c>
      <c r="T808" s="24" t="str">
        <f>IF('query (2)'!J808="","",TRIM(UPPER('query (2)'!J808)))</f>
        <v/>
      </c>
      <c r="U808" s="24" t="str">
        <f t="shared" si="87"/>
        <v/>
      </c>
      <c r="V808" s="24" t="str">
        <f>IF('query (2)'!K808="","NOT_SPECIFIED",IFERROR(INDEX(Cleaning_Rules!$B$32:$B$34,MATCH(TRIM(UPPER('query (2)'!K808)),Cleaning_Rules!$A$32:$A$34,0)),"UNKNOWN"))</f>
        <v>NOT_SPECIFIED</v>
      </c>
      <c r="W808" s="24" t="str">
        <f t="shared" si="88"/>
        <v>SU-1133 | FACTORY2 | NB GRINDING2 | NB | GRINDING 2 | 3610-NB2GA | SUPPORT | INNER RING WORK FEEDER | NOT_SPECIFIED</v>
      </c>
      <c r="X808" s="24" t="str">
        <f t="shared" si="89"/>
        <v/>
      </c>
      <c r="Y808" s="24" t="str">
        <f t="shared" si="90"/>
        <v>MISSING_STATUS; MISSING_PRODUCTION_NAME</v>
      </c>
    </row>
    <row r="809" spans="1:25" x14ac:dyDescent="0.3">
      <c r="A809" s="24" t="str">
        <f t="shared" si="84"/>
        <v>GR-1134#0808</v>
      </c>
      <c r="B809" s="24" t="str">
        <f>IF('query (2)'!B809="","",TRIM(UPPER('query (2)'!B809)))</f>
        <v>GR-1134</v>
      </c>
      <c r="C809" s="25" t="str">
        <f>IF('query (2)'!B809="","",'query (2)'!B809)</f>
        <v>GR-1134</v>
      </c>
      <c r="D809" s="24" t="str">
        <f t="shared" si="85"/>
        <v>GR</v>
      </c>
      <c r="E809" s="24">
        <f t="shared" si="86"/>
        <v>1</v>
      </c>
      <c r="F809" s="24">
        <f>IF('query (2)'!A809="","",IFERROR(VALUE('query (2)'!A809),""))</f>
        <v>831</v>
      </c>
      <c r="G809" s="24" t="str">
        <f>IF('query (2)'!C809="","UNKNOWN",IFERROR(INDEX(Cleaning_Rules!$B$15:$B$20,MATCH(TRIM(UPPER('query (2)'!C809)),Cleaning_Rules!$A$15:$A$20,0)),"UNKNOWN"))</f>
        <v>FACTORY2</v>
      </c>
      <c r="H809" s="25" t="str">
        <f>IF('query (2)'!C809="","",'query (2)'!C809)</f>
        <v>FACTORY2</v>
      </c>
      <c r="I809" s="24" t="str" cm="1">
        <f t="array" ref="I809">_xlfn.IFS($G809="UNKNOWN","UNKNOWN",OR($G809="FACTORY1",$G809="FACTORY2",$G809="FACTORY3"),"PLANT",TRUE,"SHARED")</f>
        <v>PLANT</v>
      </c>
      <c r="J809" s="24" t="str">
        <f>IF('query (2)'!D809="","UNKNOWN",IF(COUNTIF(Cleaning_Rules!$A$6:$A$11,TRIM('query (2)'!D809))&gt;0,"UNKNOWN",IFERROR(INDEX(Cleaning_Rules!$B$24:$B$28,MATCH(TRIM(UPPER('query (2)'!D809)),Cleaning_Rules!$A$24:$A$28,0)),TRIM(UPPER('query (2)'!D809)))))</f>
        <v>NB GRINDING2</v>
      </c>
      <c r="K809" s="25" t="str">
        <f>IF('query (2)'!D809="","",'query (2)'!D809)</f>
        <v>NB Grinding2</v>
      </c>
      <c r="L809" s="24" t="str">
        <f>IF($J809="UNKNOWN","",_xlfn.TEXTBEFORE($J809,{"0","1","2","3","4","5","6","7","8","9"," ","-","."},1,,,$J809))</f>
        <v>NB</v>
      </c>
      <c r="M809" s="24" t="str">
        <f>IF('query (2)'!I809&lt;&gt;"",TRIM(UPPER('query (2)'!I809)),IF($L809="","UNKNOWN",$L809))</f>
        <v>NB</v>
      </c>
      <c r="N809" s="24" t="str">
        <f>IF('query (2)'!I809&lt;&gt;"","SOURCE",IF($L809="","UNKNOWN","DERIVED"))</f>
        <v>SOURCE</v>
      </c>
      <c r="O809" s="24" t="str">
        <f>IF('query (2)'!E809="","NOT_SPECIFIED",TRIM(UPPER('query (2)'!E809)))</f>
        <v>GRINDING 2</v>
      </c>
      <c r="P809" s="24" t="str">
        <f>IF('query (2)'!F809="","",TRIM(UPPER('query (2)'!F809)))</f>
        <v>3610-NB2GA</v>
      </c>
      <c r="Q809" s="24" t="str">
        <f>IF('query (2)'!G809="","UNKNOWN",IFERROR(INDEX(Cleaning_Rules!$B$38:$B$46,MATCH(TRIM(UPPER('query (2)'!G809)),Cleaning_Rules!$A$38:$A$46,0)),"UNKNOWN"))</f>
        <v>GRINDING</v>
      </c>
      <c r="R809" s="24" t="str">
        <f>IF('query (2)'!H809="","",TRIM(UPPER('query (2)'!H809)))</f>
        <v>INNER RING RACEWAY GRINDING MACHINE</v>
      </c>
      <c r="S809" s="25" t="str">
        <f>IF('query (2)'!H809="","",'query (2)'!H809)</f>
        <v>INNER RING RACEWAY GRINDING MACHINE</v>
      </c>
      <c r="T809" s="24" t="str">
        <f>IF('query (2)'!J809="","",TRIM(UPPER('query (2)'!J809)))</f>
        <v>B - RACEWAY GRINDING</v>
      </c>
      <c r="U809" s="24" t="str">
        <f t="shared" si="87"/>
        <v/>
      </c>
      <c r="V809" s="24" t="str">
        <f>IF('query (2)'!K809="","NOT_SPECIFIED",IFERROR(INDEX(Cleaning_Rules!$B$32:$B$34,MATCH(TRIM(UPPER('query (2)'!K809)),Cleaning_Rules!$A$32:$A$34,0)),"UNKNOWN"))</f>
        <v>NOT_SPECIFIED</v>
      </c>
      <c r="W809" s="24" t="str">
        <f t="shared" si="88"/>
        <v>GR-1134 | FACTORY2 | NB GRINDING2 | NB | GRINDING 2 | 3610-NB2GA | GRINDING | INNER RING RACEWAY GRINDING MACHINE | B - RACEWAY GRINDING | NOT_SPECIFIED</v>
      </c>
      <c r="X809" s="24" t="str">
        <f t="shared" si="89"/>
        <v/>
      </c>
      <c r="Y809" s="24" t="str">
        <f t="shared" si="90"/>
        <v>MISSING_STATUS</v>
      </c>
    </row>
    <row r="810" spans="1:25" x14ac:dyDescent="0.3">
      <c r="A810" s="24" t="str">
        <f t="shared" si="84"/>
        <v>GR-1135#0809</v>
      </c>
      <c r="B810" s="24" t="str">
        <f>IF('query (2)'!B810="","",TRIM(UPPER('query (2)'!B810)))</f>
        <v>GR-1135</v>
      </c>
      <c r="C810" s="25" t="str">
        <f>IF('query (2)'!B810="","",'query (2)'!B810)</f>
        <v>GR-1135</v>
      </c>
      <c r="D810" s="24" t="str">
        <f t="shared" si="85"/>
        <v>GR</v>
      </c>
      <c r="E810" s="24">
        <f t="shared" si="86"/>
        <v>1</v>
      </c>
      <c r="F810" s="24">
        <f>IF('query (2)'!A810="","",IFERROR(VALUE('query (2)'!A810),""))</f>
        <v>832</v>
      </c>
      <c r="G810" s="24" t="str">
        <f>IF('query (2)'!C810="","UNKNOWN",IFERROR(INDEX(Cleaning_Rules!$B$15:$B$20,MATCH(TRIM(UPPER('query (2)'!C810)),Cleaning_Rules!$A$15:$A$20,0)),"UNKNOWN"))</f>
        <v>FACTORY2</v>
      </c>
      <c r="H810" s="25" t="str">
        <f>IF('query (2)'!C810="","",'query (2)'!C810)</f>
        <v>FACTORY2</v>
      </c>
      <c r="I810" s="24" t="str" cm="1">
        <f t="array" ref="I810">_xlfn.IFS($G810="UNKNOWN","UNKNOWN",OR($G810="FACTORY1",$G810="FACTORY2",$G810="FACTORY3"),"PLANT",TRUE,"SHARED")</f>
        <v>PLANT</v>
      </c>
      <c r="J810" s="24" t="str">
        <f>IF('query (2)'!D810="","UNKNOWN",IF(COUNTIF(Cleaning_Rules!$A$6:$A$11,TRIM('query (2)'!D810))&gt;0,"UNKNOWN",IFERROR(INDEX(Cleaning_Rules!$B$24:$B$28,MATCH(TRIM(UPPER('query (2)'!D810)),Cleaning_Rules!$A$24:$A$28,0)),TRIM(UPPER('query (2)'!D810)))))</f>
        <v>NB GRINDING2</v>
      </c>
      <c r="K810" s="25" t="str">
        <f>IF('query (2)'!D810="","",'query (2)'!D810)</f>
        <v>NB Grinding2</v>
      </c>
      <c r="L810" s="24" t="str">
        <f>IF($J810="UNKNOWN","",_xlfn.TEXTBEFORE($J810,{"0","1","2","3","4","5","6","7","8","9"," ","-","."},1,,,$J810))</f>
        <v>NB</v>
      </c>
      <c r="M810" s="24" t="str">
        <f>IF('query (2)'!I810&lt;&gt;"",TRIM(UPPER('query (2)'!I810)),IF($L810="","UNKNOWN",$L810))</f>
        <v>NB</v>
      </c>
      <c r="N810" s="24" t="str">
        <f>IF('query (2)'!I810&lt;&gt;"","SOURCE",IF($L810="","UNKNOWN","DERIVED"))</f>
        <v>SOURCE</v>
      </c>
      <c r="O810" s="24" t="str">
        <f>IF('query (2)'!E810="","NOT_SPECIFIED",TRIM(UPPER('query (2)'!E810)))</f>
        <v>GRINDING 2</v>
      </c>
      <c r="P810" s="24" t="str">
        <f>IF('query (2)'!F810="","",TRIM(UPPER('query (2)'!F810)))</f>
        <v>3610-NB2GA</v>
      </c>
      <c r="Q810" s="24" t="str">
        <f>IF('query (2)'!G810="","UNKNOWN",IFERROR(INDEX(Cleaning_Rules!$B$38:$B$46,MATCH(TRIM(UPPER('query (2)'!G810)),Cleaning_Rules!$A$38:$A$46,0)),"UNKNOWN"))</f>
        <v>GRINDING</v>
      </c>
      <c r="R810" s="24" t="str">
        <f>IF('query (2)'!H810="","",TRIM(UPPER('query (2)'!H810)))</f>
        <v>INNER RING BORE GRINDING MACHINE</v>
      </c>
      <c r="S810" s="25" t="str">
        <f>IF('query (2)'!H810="","",'query (2)'!H810)</f>
        <v>INNER RING BORE GRINDING MACHINE</v>
      </c>
      <c r="T810" s="24" t="str">
        <f>IF('query (2)'!J810="","",TRIM(UPPER('query (2)'!J810)))</f>
        <v/>
      </c>
      <c r="U810" s="24" t="str">
        <f t="shared" si="87"/>
        <v/>
      </c>
      <c r="V810" s="24" t="str">
        <f>IF('query (2)'!K810="","NOT_SPECIFIED",IFERROR(INDEX(Cleaning_Rules!$B$32:$B$34,MATCH(TRIM(UPPER('query (2)'!K810)),Cleaning_Rules!$A$32:$A$34,0)),"UNKNOWN"))</f>
        <v>NOT_SPECIFIED</v>
      </c>
      <c r="W810" s="24" t="str">
        <f t="shared" si="88"/>
        <v>GR-1135 | FACTORY2 | NB GRINDING2 | NB | GRINDING 2 | 3610-NB2GA | GRINDING | INNER RING BORE GRINDING MACHINE | NOT_SPECIFIED</v>
      </c>
      <c r="X810" s="24" t="str">
        <f t="shared" si="89"/>
        <v/>
      </c>
      <c r="Y810" s="24" t="str">
        <f t="shared" si="90"/>
        <v>MISSING_STATUS; MISSING_PRODUCTION_NAME</v>
      </c>
    </row>
    <row r="811" spans="1:25" x14ac:dyDescent="0.3">
      <c r="A811" s="24" t="str">
        <f t="shared" si="84"/>
        <v>CH-1136#0810</v>
      </c>
      <c r="B811" s="24" t="str">
        <f>IF('query (2)'!B811="","",TRIM(UPPER('query (2)'!B811)))</f>
        <v>CH-1136</v>
      </c>
      <c r="C811" s="25" t="str">
        <f>IF('query (2)'!B811="","",'query (2)'!B811)</f>
        <v>CH-1136</v>
      </c>
      <c r="D811" s="24" t="str">
        <f t="shared" si="85"/>
        <v>CH</v>
      </c>
      <c r="E811" s="24">
        <f t="shared" si="86"/>
        <v>1</v>
      </c>
      <c r="F811" s="24">
        <f>IF('query (2)'!A811="","",IFERROR(VALUE('query (2)'!A811),""))</f>
        <v>833</v>
      </c>
      <c r="G811" s="24" t="str">
        <f>IF('query (2)'!C811="","UNKNOWN",IFERROR(INDEX(Cleaning_Rules!$B$15:$B$20,MATCH(TRIM(UPPER('query (2)'!C811)),Cleaning_Rules!$A$15:$A$20,0)),"UNKNOWN"))</f>
        <v>FACTORY2</v>
      </c>
      <c r="H811" s="25" t="str">
        <f>IF('query (2)'!C811="","",'query (2)'!C811)</f>
        <v>FACTORY2</v>
      </c>
      <c r="I811" s="24" t="str" cm="1">
        <f t="array" ref="I811">_xlfn.IFS($G811="UNKNOWN","UNKNOWN",OR($G811="FACTORY1",$G811="FACTORY2",$G811="FACTORY3"),"PLANT",TRUE,"SHARED")</f>
        <v>PLANT</v>
      </c>
      <c r="J811" s="24" t="str">
        <f>IF('query (2)'!D811="","UNKNOWN",IF(COUNTIF(Cleaning_Rules!$A$6:$A$11,TRIM('query (2)'!D811))&gt;0,"UNKNOWN",IFERROR(INDEX(Cleaning_Rules!$B$24:$B$28,MATCH(TRIM(UPPER('query (2)'!D811)),Cleaning_Rules!$A$24:$A$28,0)),TRIM(UPPER('query (2)'!D811)))))</f>
        <v>NB GRINDING2</v>
      </c>
      <c r="K811" s="25" t="str">
        <f>IF('query (2)'!D811="","",'query (2)'!D811)</f>
        <v>NB Grinding2</v>
      </c>
      <c r="L811" s="24" t="str">
        <f>IF($J811="UNKNOWN","",_xlfn.TEXTBEFORE($J811,{"0","1","2","3","4","5","6","7","8","9"," ","-","."},1,,,$J811))</f>
        <v>NB</v>
      </c>
      <c r="M811" s="24" t="str">
        <f>IF('query (2)'!I811&lt;&gt;"",TRIM(UPPER('query (2)'!I811)),IF($L811="","UNKNOWN",$L811))</f>
        <v>NB</v>
      </c>
      <c r="N811" s="24" t="str">
        <f>IF('query (2)'!I811&lt;&gt;"","SOURCE",IF($L811="","UNKNOWN","DERIVED"))</f>
        <v>SOURCE</v>
      </c>
      <c r="O811" s="24" t="str">
        <f>IF('query (2)'!E811="","NOT_SPECIFIED",TRIM(UPPER('query (2)'!E811)))</f>
        <v>GRINDING 2</v>
      </c>
      <c r="P811" s="24" t="str">
        <f>IF('query (2)'!F811="","",TRIM(UPPER('query (2)'!F811)))</f>
        <v>3610-NB2GA</v>
      </c>
      <c r="Q811" s="24" t="str">
        <f>IF('query (2)'!G811="","UNKNOWN",IFERROR(INDEX(Cleaning_Rules!$B$38:$B$46,MATCH(TRIM(UPPER('query (2)'!G811)),Cleaning_Rules!$A$38:$A$46,0)),"UNKNOWN"))</f>
        <v>CHECK</v>
      </c>
      <c r="R811" s="24" t="str">
        <f>IF('query (2)'!H811="","",TRIM(UPPER('query (2)'!H811)))</f>
        <v>INNER RING BORE INSPECTION EQUIPMENT</v>
      </c>
      <c r="S811" s="25" t="str">
        <f>IF('query (2)'!H811="","",'query (2)'!H811)</f>
        <v>INNER RING BORE INSPECTION EQUIPMENT</v>
      </c>
      <c r="T811" s="24" t="str">
        <f>IF('query (2)'!J811="","",TRIM(UPPER('query (2)'!J811)))</f>
        <v/>
      </c>
      <c r="U811" s="24" t="str">
        <f t="shared" si="87"/>
        <v/>
      </c>
      <c r="V811" s="24" t="str">
        <f>IF('query (2)'!K811="","NOT_SPECIFIED",IFERROR(INDEX(Cleaning_Rules!$B$32:$B$34,MATCH(TRIM(UPPER('query (2)'!K811)),Cleaning_Rules!$A$32:$A$34,0)),"UNKNOWN"))</f>
        <v>NOT_SPECIFIED</v>
      </c>
      <c r="W811" s="24" t="str">
        <f t="shared" si="88"/>
        <v>CH-1136 | FACTORY2 | NB GRINDING2 | NB | GRINDING 2 | 3610-NB2GA | CHECK | INNER RING BORE INSPECTION EQUIPMENT | NOT_SPECIFIED</v>
      </c>
      <c r="X811" s="24" t="str">
        <f t="shared" si="89"/>
        <v/>
      </c>
      <c r="Y811" s="24" t="str">
        <f t="shared" si="90"/>
        <v>MISSING_STATUS; MISSING_PRODUCTION_NAME</v>
      </c>
    </row>
    <row r="812" spans="1:25" x14ac:dyDescent="0.3">
      <c r="A812" s="24" t="str">
        <f t="shared" si="84"/>
        <v>GR-1137#0811</v>
      </c>
      <c r="B812" s="24" t="str">
        <f>IF('query (2)'!B812="","",TRIM(UPPER('query (2)'!B812)))</f>
        <v>GR-1137</v>
      </c>
      <c r="C812" s="25" t="str">
        <f>IF('query (2)'!B812="","",'query (2)'!B812)</f>
        <v>GR-1137</v>
      </c>
      <c r="D812" s="24" t="str">
        <f t="shared" si="85"/>
        <v>GR</v>
      </c>
      <c r="E812" s="24">
        <f t="shared" si="86"/>
        <v>1</v>
      </c>
      <c r="F812" s="24">
        <f>IF('query (2)'!A812="","",IFERROR(VALUE('query (2)'!A812),""))</f>
        <v>834</v>
      </c>
      <c r="G812" s="24" t="str">
        <f>IF('query (2)'!C812="","UNKNOWN",IFERROR(INDEX(Cleaning_Rules!$B$15:$B$20,MATCH(TRIM(UPPER('query (2)'!C812)),Cleaning_Rules!$A$15:$A$20,0)),"UNKNOWN"))</f>
        <v>FACTORY2</v>
      </c>
      <c r="H812" s="25" t="str">
        <f>IF('query (2)'!C812="","",'query (2)'!C812)</f>
        <v>FACTORY2</v>
      </c>
      <c r="I812" s="24" t="str" cm="1">
        <f t="array" ref="I812">_xlfn.IFS($G812="UNKNOWN","UNKNOWN",OR($G812="FACTORY1",$G812="FACTORY2",$G812="FACTORY3"),"PLANT",TRUE,"SHARED")</f>
        <v>PLANT</v>
      </c>
      <c r="J812" s="24" t="str">
        <f>IF('query (2)'!D812="","UNKNOWN",IF(COUNTIF(Cleaning_Rules!$A$6:$A$11,TRIM('query (2)'!D812))&gt;0,"UNKNOWN",IFERROR(INDEX(Cleaning_Rules!$B$24:$B$28,MATCH(TRIM(UPPER('query (2)'!D812)),Cleaning_Rules!$A$24:$A$28,0)),TRIM(UPPER('query (2)'!D812)))))</f>
        <v>NB GRINDING2</v>
      </c>
      <c r="K812" s="25" t="str">
        <f>IF('query (2)'!D812="","",'query (2)'!D812)</f>
        <v>NB Grinding2</v>
      </c>
      <c r="L812" s="24" t="str">
        <f>IF($J812="UNKNOWN","",_xlfn.TEXTBEFORE($J812,{"0","1","2","3","4","5","6","7","8","9"," ","-","."},1,,,$J812))</f>
        <v>NB</v>
      </c>
      <c r="M812" s="24" t="str">
        <f>IF('query (2)'!I812&lt;&gt;"",TRIM(UPPER('query (2)'!I812)),IF($L812="","UNKNOWN",$L812))</f>
        <v>NB</v>
      </c>
      <c r="N812" s="24" t="str">
        <f>IF('query (2)'!I812&lt;&gt;"","SOURCE",IF($L812="","UNKNOWN","DERIVED"))</f>
        <v>SOURCE</v>
      </c>
      <c r="O812" s="24" t="str">
        <f>IF('query (2)'!E812="","NOT_SPECIFIED",TRIM(UPPER('query (2)'!E812)))</f>
        <v>GRINDING 2</v>
      </c>
      <c r="P812" s="24" t="str">
        <f>IF('query (2)'!F812="","",TRIM(UPPER('query (2)'!F812)))</f>
        <v>3610-NB2GA</v>
      </c>
      <c r="Q812" s="24" t="str">
        <f>IF('query (2)'!G812="","UNKNOWN",IFERROR(INDEX(Cleaning_Rules!$B$38:$B$46,MATCH(TRIM(UPPER('query (2)'!G812)),Cleaning_Rules!$A$38:$A$46,0)),"UNKNOWN"))</f>
        <v>GRINDING</v>
      </c>
      <c r="R812" s="24" t="str">
        <f>IF('query (2)'!H812="","",TRIM(UPPER('query (2)'!H812)))</f>
        <v>INNER RING RACEWAY SUPERFINISH MACHINE</v>
      </c>
      <c r="S812" s="25" t="str">
        <f>IF('query (2)'!H812="","",'query (2)'!H812)</f>
        <v>INNER RING RACEWAY SUPERFINISH MACHINE</v>
      </c>
      <c r="T812" s="24" t="str">
        <f>IF('query (2)'!J812="","",TRIM(UPPER('query (2)'!J812)))</f>
        <v/>
      </c>
      <c r="U812" s="24" t="str">
        <f t="shared" si="87"/>
        <v/>
      </c>
      <c r="V812" s="24" t="str">
        <f>IF('query (2)'!K812="","NOT_SPECIFIED",IFERROR(INDEX(Cleaning_Rules!$B$32:$B$34,MATCH(TRIM(UPPER('query (2)'!K812)),Cleaning_Rules!$A$32:$A$34,0)),"UNKNOWN"))</f>
        <v>NOT_SPECIFIED</v>
      </c>
      <c r="W812" s="24" t="str">
        <f t="shared" si="88"/>
        <v>GR-1137 | FACTORY2 | NB GRINDING2 | NB | GRINDING 2 | 3610-NB2GA | GRINDING | INNER RING RACEWAY SUPERFINISH MACHINE | NOT_SPECIFIED</v>
      </c>
      <c r="X812" s="24" t="str">
        <f t="shared" si="89"/>
        <v/>
      </c>
      <c r="Y812" s="24" t="str">
        <f t="shared" si="90"/>
        <v>MISSING_STATUS; MISSING_PRODUCTION_NAME</v>
      </c>
    </row>
    <row r="813" spans="1:25" x14ac:dyDescent="0.3">
      <c r="A813" s="24" t="str">
        <f t="shared" si="84"/>
        <v>GR-1138#0812</v>
      </c>
      <c r="B813" s="24" t="str">
        <f>IF('query (2)'!B813="","",TRIM(UPPER('query (2)'!B813)))</f>
        <v>GR-1138</v>
      </c>
      <c r="C813" s="25" t="str">
        <f>IF('query (2)'!B813="","",'query (2)'!B813)</f>
        <v>GR-1138</v>
      </c>
      <c r="D813" s="24" t="str">
        <f t="shared" si="85"/>
        <v>GR</v>
      </c>
      <c r="E813" s="24">
        <f t="shared" si="86"/>
        <v>1</v>
      </c>
      <c r="F813" s="24">
        <f>IF('query (2)'!A813="","",IFERROR(VALUE('query (2)'!A813),""))</f>
        <v>835</v>
      </c>
      <c r="G813" s="24" t="str">
        <f>IF('query (2)'!C813="","UNKNOWN",IFERROR(INDEX(Cleaning_Rules!$B$15:$B$20,MATCH(TRIM(UPPER('query (2)'!C813)),Cleaning_Rules!$A$15:$A$20,0)),"UNKNOWN"))</f>
        <v>FACTORY2</v>
      </c>
      <c r="H813" s="25" t="str">
        <f>IF('query (2)'!C813="","",'query (2)'!C813)</f>
        <v>FACTORY2</v>
      </c>
      <c r="I813" s="24" t="str" cm="1">
        <f t="array" ref="I813">_xlfn.IFS($G813="UNKNOWN","UNKNOWN",OR($G813="FACTORY1",$G813="FACTORY2",$G813="FACTORY3"),"PLANT",TRUE,"SHARED")</f>
        <v>PLANT</v>
      </c>
      <c r="J813" s="24" t="str">
        <f>IF('query (2)'!D813="","UNKNOWN",IF(COUNTIF(Cleaning_Rules!$A$6:$A$11,TRIM('query (2)'!D813))&gt;0,"UNKNOWN",IFERROR(INDEX(Cleaning_Rules!$B$24:$B$28,MATCH(TRIM(UPPER('query (2)'!D813)),Cleaning_Rules!$A$24:$A$28,0)),TRIM(UPPER('query (2)'!D813)))))</f>
        <v>CR1</v>
      </c>
      <c r="K813" s="25" t="str">
        <f>IF('query (2)'!D813="","",'query (2)'!D813)</f>
        <v>CR1</v>
      </c>
      <c r="L813" s="24" t="str">
        <f>IF($J813="UNKNOWN","",_xlfn.TEXTBEFORE($J813,{"0","1","2","3","4","5","6","7","8","9"," ","-","."},1,,,$J813))</f>
        <v>CR</v>
      </c>
      <c r="M813" s="24" t="str">
        <f>IF('query (2)'!I813&lt;&gt;"",TRIM(UPPER('query (2)'!I813)),IF($L813="","UNKNOWN",$L813))</f>
        <v>CR</v>
      </c>
      <c r="N813" s="24" t="str">
        <f>IF('query (2)'!I813&lt;&gt;"","SOURCE",IF($L813="","UNKNOWN","DERIVED"))</f>
        <v>SOURCE</v>
      </c>
      <c r="O813" s="24" t="str">
        <f>IF('query (2)'!E813="","NOT_SPECIFIED",TRIM(UPPER('query (2)'!E813)))</f>
        <v>GRINDING 2</v>
      </c>
      <c r="P813" s="24" t="str">
        <f>IF('query (2)'!F813="","",TRIM(UPPER('query (2)'!F813)))</f>
        <v>1608-CR1G</v>
      </c>
      <c r="Q813" s="24" t="str">
        <f>IF('query (2)'!G813="","UNKNOWN",IFERROR(INDEX(Cleaning_Rules!$B$38:$B$46,MATCH(TRIM(UPPER('query (2)'!G813)),Cleaning_Rules!$A$38:$A$46,0)),"UNKNOWN"))</f>
        <v>GRINDING</v>
      </c>
      <c r="R813" s="24" t="str">
        <f>IF('query (2)'!H813="","",TRIM(UPPER('query (2)'!H813)))</f>
        <v>OUTER RING RACEWAY GRINDING MACHINE</v>
      </c>
      <c r="S813" s="25" t="str">
        <f>IF('query (2)'!H813="","",'query (2)'!H813)</f>
        <v>Outer ring raceway grinding machine</v>
      </c>
      <c r="T813" s="24" t="str">
        <f>IF('query (2)'!J813="","",TRIM(UPPER('query (2)'!J813)))</f>
        <v>A - RACEWAY GRINDING</v>
      </c>
      <c r="U813" s="24" t="str">
        <f t="shared" si="87"/>
        <v/>
      </c>
      <c r="V813" s="24" t="str">
        <f>IF('query (2)'!K813="","NOT_SPECIFIED",IFERROR(INDEX(Cleaning_Rules!$B$32:$B$34,MATCH(TRIM(UPPER('query (2)'!K813)),Cleaning_Rules!$A$32:$A$34,0)),"UNKNOWN"))</f>
        <v>NOT_SPECIFIED</v>
      </c>
      <c r="W813" s="24" t="str">
        <f t="shared" si="88"/>
        <v>GR-1138 | FACTORY2 | CR1 | CR | GRINDING 2 | 1608-CR1G | GRINDING | OUTER RING RACEWAY GRINDING MACHINE | A - RACEWAY GRINDING | NOT_SPECIFIED</v>
      </c>
      <c r="X813" s="24" t="str">
        <f t="shared" si="89"/>
        <v/>
      </c>
      <c r="Y813" s="24" t="str">
        <f t="shared" si="90"/>
        <v>MISSING_STATUS</v>
      </c>
    </row>
    <row r="814" spans="1:25" x14ac:dyDescent="0.3">
      <c r="A814" s="24" t="str">
        <f t="shared" si="84"/>
        <v>DE-1139#0813</v>
      </c>
      <c r="B814" s="24" t="str">
        <f>IF('query (2)'!B814="","",TRIM(UPPER('query (2)'!B814)))</f>
        <v>DE-1139</v>
      </c>
      <c r="C814" s="25" t="str">
        <f>IF('query (2)'!B814="","",'query (2)'!B814)</f>
        <v>DE-1139</v>
      </c>
      <c r="D814" s="24" t="str">
        <f t="shared" si="85"/>
        <v>DE</v>
      </c>
      <c r="E814" s="24">
        <f t="shared" si="86"/>
        <v>1</v>
      </c>
      <c r="F814" s="24">
        <f>IF('query (2)'!A814="","",IFERROR(VALUE('query (2)'!A814),""))</f>
        <v>836</v>
      </c>
      <c r="G814" s="24" t="str">
        <f>IF('query (2)'!C814="","UNKNOWN",IFERROR(INDEX(Cleaning_Rules!$B$15:$B$20,MATCH(TRIM(UPPER('query (2)'!C814)),Cleaning_Rules!$A$15:$A$20,0)),"UNKNOWN"))</f>
        <v>FACTORY2</v>
      </c>
      <c r="H814" s="25" t="str">
        <f>IF('query (2)'!C814="","",'query (2)'!C814)</f>
        <v>FACTORY2</v>
      </c>
      <c r="I814" s="24" t="str" cm="1">
        <f t="array" ref="I814">_xlfn.IFS($G814="UNKNOWN","UNKNOWN",OR($G814="FACTORY1",$G814="FACTORY2",$G814="FACTORY3"),"PLANT",TRUE,"SHARED")</f>
        <v>PLANT</v>
      </c>
      <c r="J814" s="24" t="str">
        <f>IF('query (2)'!D814="","UNKNOWN",IF(COUNTIF(Cleaning_Rules!$A$6:$A$11,TRIM('query (2)'!D814))&gt;0,"UNKNOWN",IFERROR(INDEX(Cleaning_Rules!$B$24:$B$28,MATCH(TRIM(UPPER('query (2)'!D814)),Cleaning_Rules!$A$24:$A$28,0)),TRIM(UPPER('query (2)'!D814)))))</f>
        <v>CR1</v>
      </c>
      <c r="K814" s="25" t="str">
        <f>IF('query (2)'!D814="","",'query (2)'!D814)</f>
        <v>CR1</v>
      </c>
      <c r="L814" s="24" t="str">
        <f>IF($J814="UNKNOWN","",_xlfn.TEXTBEFORE($J814,{"0","1","2","3","4","5","6","7","8","9"," ","-","."},1,,,$J814))</f>
        <v>CR</v>
      </c>
      <c r="M814" s="24" t="str">
        <f>IF('query (2)'!I814&lt;&gt;"",TRIM(UPPER('query (2)'!I814)),IF($L814="","UNKNOWN",$L814))</f>
        <v>CR</v>
      </c>
      <c r="N814" s="24" t="str">
        <f>IF('query (2)'!I814&lt;&gt;"","SOURCE",IF($L814="","UNKNOWN","DERIVED"))</f>
        <v>SOURCE</v>
      </c>
      <c r="O814" s="24" t="str">
        <f>IF('query (2)'!E814="","NOT_SPECIFIED",TRIM(UPPER('query (2)'!E814)))</f>
        <v>GRINDING 2</v>
      </c>
      <c r="P814" s="24" t="str">
        <f>IF('query (2)'!F814="","",TRIM(UPPER('query (2)'!F814)))</f>
        <v>1608-CR1G</v>
      </c>
      <c r="Q814" s="24" t="str">
        <f>IF('query (2)'!G814="","UNKNOWN",IFERROR(INDEX(Cleaning_Rules!$B$38:$B$46,MATCH(TRIM(UPPER('query (2)'!G814)),Cleaning_Rules!$A$38:$A$46,0)),"UNKNOWN"))</f>
        <v>DEMAGNETIZING MACHINE</v>
      </c>
      <c r="R814" s="24" t="str">
        <f>IF('query (2)'!H814="","",TRIM(UPPER('query (2)'!H814)))</f>
        <v>DEMAGNETIZING FOR OUTER RING</v>
      </c>
      <c r="S814" s="25" t="str">
        <f>IF('query (2)'!H814="","",'query (2)'!H814)</f>
        <v>Demagnetizing for outer ring</v>
      </c>
      <c r="T814" s="24" t="str">
        <f>IF('query (2)'!J814="","",TRIM(UPPER('query (2)'!J814)))</f>
        <v>A - DEMAGNETIZING</v>
      </c>
      <c r="U814" s="24" t="str">
        <f t="shared" si="87"/>
        <v/>
      </c>
      <c r="V814" s="24" t="str">
        <f>IF('query (2)'!K814="","NOT_SPECIFIED",IFERROR(INDEX(Cleaning_Rules!$B$32:$B$34,MATCH(TRIM(UPPER('query (2)'!K814)),Cleaning_Rules!$A$32:$A$34,0)),"UNKNOWN"))</f>
        <v>NOT_SPECIFIED</v>
      </c>
      <c r="W814" s="24" t="str">
        <f t="shared" si="88"/>
        <v>DE-1139 | FACTORY2 | CR1 | CR | GRINDING 2 | 1608-CR1G | DEMAGNETIZING MACHINE | DEMAGNETIZING FOR OUTER RING | A - DEMAGNETIZING | NOT_SPECIFIED</v>
      </c>
      <c r="X814" s="24" t="str">
        <f t="shared" si="89"/>
        <v/>
      </c>
      <c r="Y814" s="24" t="str">
        <f t="shared" si="90"/>
        <v>MISSING_STATUS</v>
      </c>
    </row>
    <row r="815" spans="1:25" x14ac:dyDescent="0.3">
      <c r="A815" s="24" t="str">
        <f t="shared" si="84"/>
        <v>GR-1140#0814</v>
      </c>
      <c r="B815" s="24" t="str">
        <f>IF('query (2)'!B815="","",TRIM(UPPER('query (2)'!B815)))</f>
        <v>GR-1140</v>
      </c>
      <c r="C815" s="25" t="str">
        <f>IF('query (2)'!B815="","",'query (2)'!B815)</f>
        <v>GR-1140</v>
      </c>
      <c r="D815" s="24" t="str">
        <f t="shared" si="85"/>
        <v>GR</v>
      </c>
      <c r="E815" s="24">
        <f t="shared" si="86"/>
        <v>1</v>
      </c>
      <c r="F815" s="24">
        <f>IF('query (2)'!A815="","",IFERROR(VALUE('query (2)'!A815),""))</f>
        <v>837</v>
      </c>
      <c r="G815" s="24" t="str">
        <f>IF('query (2)'!C815="","UNKNOWN",IFERROR(INDEX(Cleaning_Rules!$B$15:$B$20,MATCH(TRIM(UPPER('query (2)'!C815)),Cleaning_Rules!$A$15:$A$20,0)),"UNKNOWN"))</f>
        <v>FACTORY2</v>
      </c>
      <c r="H815" s="25" t="str">
        <f>IF('query (2)'!C815="","",'query (2)'!C815)</f>
        <v>FACTORY2</v>
      </c>
      <c r="I815" s="24" t="str" cm="1">
        <f t="array" ref="I815">_xlfn.IFS($G815="UNKNOWN","UNKNOWN",OR($G815="FACTORY1",$G815="FACTORY2",$G815="FACTORY3"),"PLANT",TRUE,"SHARED")</f>
        <v>PLANT</v>
      </c>
      <c r="J815" s="24" t="str">
        <f>IF('query (2)'!D815="","UNKNOWN",IF(COUNTIF(Cleaning_Rules!$A$6:$A$11,TRIM('query (2)'!D815))&gt;0,"UNKNOWN",IFERROR(INDEX(Cleaning_Rules!$B$24:$B$28,MATCH(TRIM(UPPER('query (2)'!D815)),Cleaning_Rules!$A$24:$A$28,0)),TRIM(UPPER('query (2)'!D815)))))</f>
        <v>CR1</v>
      </c>
      <c r="K815" s="25" t="str">
        <f>IF('query (2)'!D815="","",'query (2)'!D815)</f>
        <v>CR1</v>
      </c>
      <c r="L815" s="24" t="str">
        <f>IF($J815="UNKNOWN","",_xlfn.TEXTBEFORE($J815,{"0","1","2","3","4","5","6","7","8","9"," ","-","."},1,,,$J815))</f>
        <v>CR</v>
      </c>
      <c r="M815" s="24" t="str">
        <f>IF('query (2)'!I815&lt;&gt;"",TRIM(UPPER('query (2)'!I815)),IF($L815="","UNKNOWN",$L815))</f>
        <v>CR</v>
      </c>
      <c r="N815" s="24" t="str">
        <f>IF('query (2)'!I815&lt;&gt;"","SOURCE",IF($L815="","UNKNOWN","DERIVED"))</f>
        <v>SOURCE</v>
      </c>
      <c r="O815" s="24" t="str">
        <f>IF('query (2)'!E815="","NOT_SPECIFIED",TRIM(UPPER('query (2)'!E815)))</f>
        <v>GRINDING 2</v>
      </c>
      <c r="P815" s="24" t="str">
        <f>IF('query (2)'!F815="","",TRIM(UPPER('query (2)'!F815)))</f>
        <v>1608-CR1G</v>
      </c>
      <c r="Q815" s="24" t="str">
        <f>IF('query (2)'!G815="","UNKNOWN",IFERROR(INDEX(Cleaning_Rules!$B$38:$B$46,MATCH(TRIM(UPPER('query (2)'!G815)),Cleaning_Rules!$A$38:$A$46,0)),"UNKNOWN"))</f>
        <v>GRINDING</v>
      </c>
      <c r="R815" s="24" t="str">
        <f>IF('query (2)'!H815="","",TRIM(UPPER('query (2)'!H815)))</f>
        <v>OUTER RING RACEWAY SUPER FINISH MACHINE</v>
      </c>
      <c r="S815" s="25" t="str">
        <f>IF('query (2)'!H815="","",'query (2)'!H815)</f>
        <v>Outer ring raceway super finish machine</v>
      </c>
      <c r="T815" s="24" t="str">
        <f>IF('query (2)'!J815="","",TRIM(UPPER('query (2)'!J815)))</f>
        <v>A - RACEWAY SUPER FINISH</v>
      </c>
      <c r="U815" s="24" t="str">
        <f t="shared" si="87"/>
        <v/>
      </c>
      <c r="V815" s="24" t="str">
        <f>IF('query (2)'!K815="","NOT_SPECIFIED",IFERROR(INDEX(Cleaning_Rules!$B$32:$B$34,MATCH(TRIM(UPPER('query (2)'!K815)),Cleaning_Rules!$A$32:$A$34,0)),"UNKNOWN"))</f>
        <v>NOT_SPECIFIED</v>
      </c>
      <c r="W815" s="24" t="str">
        <f t="shared" si="88"/>
        <v>GR-1140 | FACTORY2 | CR1 | CR | GRINDING 2 | 1608-CR1G | GRINDING | OUTER RING RACEWAY SUPER FINISH MACHINE | A - RACEWAY SUPER FINISH | NOT_SPECIFIED</v>
      </c>
      <c r="X815" s="24" t="str">
        <f t="shared" si="89"/>
        <v/>
      </c>
      <c r="Y815" s="24" t="str">
        <f t="shared" si="90"/>
        <v>MISSING_STATUS</v>
      </c>
    </row>
    <row r="816" spans="1:25" x14ac:dyDescent="0.3">
      <c r="A816" s="24" t="str">
        <f t="shared" si="84"/>
        <v>GR-1141#0815</v>
      </c>
      <c r="B816" s="24" t="str">
        <f>IF('query (2)'!B816="","",TRIM(UPPER('query (2)'!B816)))</f>
        <v>GR-1141</v>
      </c>
      <c r="C816" s="25" t="str">
        <f>IF('query (2)'!B816="","",'query (2)'!B816)</f>
        <v>GR-1141</v>
      </c>
      <c r="D816" s="24" t="str">
        <f t="shared" si="85"/>
        <v>GR</v>
      </c>
      <c r="E816" s="24">
        <f t="shared" si="86"/>
        <v>1</v>
      </c>
      <c r="F816" s="24">
        <f>IF('query (2)'!A816="","",IFERROR(VALUE('query (2)'!A816),""))</f>
        <v>838</v>
      </c>
      <c r="G816" s="24" t="str">
        <f>IF('query (2)'!C816="","UNKNOWN",IFERROR(INDEX(Cleaning_Rules!$B$15:$B$20,MATCH(TRIM(UPPER('query (2)'!C816)),Cleaning_Rules!$A$15:$A$20,0)),"UNKNOWN"))</f>
        <v>FACTORY2</v>
      </c>
      <c r="H816" s="25" t="str">
        <f>IF('query (2)'!C816="","",'query (2)'!C816)</f>
        <v>FACTORY2</v>
      </c>
      <c r="I816" s="24" t="str" cm="1">
        <f t="array" ref="I816">_xlfn.IFS($G816="UNKNOWN","UNKNOWN",OR($G816="FACTORY1",$G816="FACTORY2",$G816="FACTORY3"),"PLANT",TRUE,"SHARED")</f>
        <v>PLANT</v>
      </c>
      <c r="J816" s="24" t="str">
        <f>IF('query (2)'!D816="","UNKNOWN",IF(COUNTIF(Cleaning_Rules!$A$6:$A$11,TRIM('query (2)'!D816))&gt;0,"UNKNOWN",IFERROR(INDEX(Cleaning_Rules!$B$24:$B$28,MATCH(TRIM(UPPER('query (2)'!D816)),Cleaning_Rules!$A$24:$A$28,0)),TRIM(UPPER('query (2)'!D816)))))</f>
        <v>CR1</v>
      </c>
      <c r="K816" s="25" t="str">
        <f>IF('query (2)'!D816="","",'query (2)'!D816)</f>
        <v>CR1</v>
      </c>
      <c r="L816" s="24" t="str">
        <f>IF($J816="UNKNOWN","",_xlfn.TEXTBEFORE($J816,{"0","1","2","3","4","5","6","7","8","9"," ","-","."},1,,,$J816))</f>
        <v>CR</v>
      </c>
      <c r="M816" s="24" t="str">
        <f>IF('query (2)'!I816&lt;&gt;"",TRIM(UPPER('query (2)'!I816)),IF($L816="","UNKNOWN",$L816))</f>
        <v>CR</v>
      </c>
      <c r="N816" s="24" t="str">
        <f>IF('query (2)'!I816&lt;&gt;"","SOURCE",IF($L816="","UNKNOWN","DERIVED"))</f>
        <v>SOURCE</v>
      </c>
      <c r="O816" s="24" t="str">
        <f>IF('query (2)'!E816="","NOT_SPECIFIED",TRIM(UPPER('query (2)'!E816)))</f>
        <v>GRINDING 2</v>
      </c>
      <c r="P816" s="24" t="str">
        <f>IF('query (2)'!F816="","",TRIM(UPPER('query (2)'!F816)))</f>
        <v>1608-CR1G</v>
      </c>
      <c r="Q816" s="24" t="str">
        <f>IF('query (2)'!G816="","UNKNOWN",IFERROR(INDEX(Cleaning_Rules!$B$38:$B$46,MATCH(TRIM(UPPER('query (2)'!G816)),Cleaning_Rules!$A$38:$A$46,0)),"UNKNOWN"))</f>
        <v>GRINDING</v>
      </c>
      <c r="R816" s="24" t="str">
        <f>IF('query (2)'!H816="","",TRIM(UPPER('query (2)'!H816)))</f>
        <v>INNER RING RACEWAY GRINDING MACHINE</v>
      </c>
      <c r="S816" s="25" t="str">
        <f>IF('query (2)'!H816="","",'query (2)'!H816)</f>
        <v>Inner ring raceway grinding machine</v>
      </c>
      <c r="T816" s="24" t="str">
        <f>IF('query (2)'!J816="","",TRIM(UPPER('query (2)'!J816)))</f>
        <v>B - RACEWAY GRINDING</v>
      </c>
      <c r="U816" s="24" t="str">
        <f t="shared" si="87"/>
        <v/>
      </c>
      <c r="V816" s="24" t="str">
        <f>IF('query (2)'!K816="","NOT_SPECIFIED",IFERROR(INDEX(Cleaning_Rules!$B$32:$B$34,MATCH(TRIM(UPPER('query (2)'!K816)),Cleaning_Rules!$A$32:$A$34,0)),"UNKNOWN"))</f>
        <v>NOT_SPECIFIED</v>
      </c>
      <c r="W816" s="24" t="str">
        <f t="shared" si="88"/>
        <v>GR-1141 | FACTORY2 | CR1 | CR | GRINDING 2 | 1608-CR1G | GRINDING | INNER RING RACEWAY GRINDING MACHINE | B - RACEWAY GRINDING | NOT_SPECIFIED</v>
      </c>
      <c r="X816" s="24" t="str">
        <f t="shared" si="89"/>
        <v/>
      </c>
      <c r="Y816" s="24" t="str">
        <f t="shared" si="90"/>
        <v>MISSING_STATUS</v>
      </c>
    </row>
    <row r="817" spans="1:25" x14ac:dyDescent="0.3">
      <c r="A817" s="24" t="str">
        <f t="shared" si="84"/>
        <v>DE-1142#0816</v>
      </c>
      <c r="B817" s="24" t="str">
        <f>IF('query (2)'!B817="","",TRIM(UPPER('query (2)'!B817)))</f>
        <v>DE-1142</v>
      </c>
      <c r="C817" s="25" t="str">
        <f>IF('query (2)'!B817="","",'query (2)'!B817)</f>
        <v>DE-1142</v>
      </c>
      <c r="D817" s="24" t="str">
        <f t="shared" si="85"/>
        <v>DE</v>
      </c>
      <c r="E817" s="24">
        <f t="shared" si="86"/>
        <v>1</v>
      </c>
      <c r="F817" s="24">
        <f>IF('query (2)'!A817="","",IFERROR(VALUE('query (2)'!A817),""))</f>
        <v>839</v>
      </c>
      <c r="G817" s="24" t="str">
        <f>IF('query (2)'!C817="","UNKNOWN",IFERROR(INDEX(Cleaning_Rules!$B$15:$B$20,MATCH(TRIM(UPPER('query (2)'!C817)),Cleaning_Rules!$A$15:$A$20,0)),"UNKNOWN"))</f>
        <v>FACTORY2</v>
      </c>
      <c r="H817" s="25" t="str">
        <f>IF('query (2)'!C817="","",'query (2)'!C817)</f>
        <v>FACTORY2</v>
      </c>
      <c r="I817" s="24" t="str" cm="1">
        <f t="array" ref="I817">_xlfn.IFS($G817="UNKNOWN","UNKNOWN",OR($G817="FACTORY1",$G817="FACTORY2",$G817="FACTORY3"),"PLANT",TRUE,"SHARED")</f>
        <v>PLANT</v>
      </c>
      <c r="J817" s="24" t="str">
        <f>IF('query (2)'!D817="","UNKNOWN",IF(COUNTIF(Cleaning_Rules!$A$6:$A$11,TRIM('query (2)'!D817))&gt;0,"UNKNOWN",IFERROR(INDEX(Cleaning_Rules!$B$24:$B$28,MATCH(TRIM(UPPER('query (2)'!D817)),Cleaning_Rules!$A$24:$A$28,0)),TRIM(UPPER('query (2)'!D817)))))</f>
        <v>CR1</v>
      </c>
      <c r="K817" s="25" t="str">
        <f>IF('query (2)'!D817="","",'query (2)'!D817)</f>
        <v>CR1</v>
      </c>
      <c r="L817" s="24" t="str">
        <f>IF($J817="UNKNOWN","",_xlfn.TEXTBEFORE($J817,{"0","1","2","3","4","5","6","7","8","9"," ","-","."},1,,,$J817))</f>
        <v>CR</v>
      </c>
      <c r="M817" s="24" t="str">
        <f>IF('query (2)'!I817&lt;&gt;"",TRIM(UPPER('query (2)'!I817)),IF($L817="","UNKNOWN",$L817))</f>
        <v>CR</v>
      </c>
      <c r="N817" s="24" t="str">
        <f>IF('query (2)'!I817&lt;&gt;"","SOURCE",IF($L817="","UNKNOWN","DERIVED"))</f>
        <v>SOURCE</v>
      </c>
      <c r="O817" s="24" t="str">
        <f>IF('query (2)'!E817="","NOT_SPECIFIED",TRIM(UPPER('query (2)'!E817)))</f>
        <v>GRINDING 2</v>
      </c>
      <c r="P817" s="24" t="str">
        <f>IF('query (2)'!F817="","",TRIM(UPPER('query (2)'!F817)))</f>
        <v>1608-CR1G</v>
      </c>
      <c r="Q817" s="24" t="str">
        <f>IF('query (2)'!G817="","UNKNOWN",IFERROR(INDEX(Cleaning_Rules!$B$38:$B$46,MATCH(TRIM(UPPER('query (2)'!G817)),Cleaning_Rules!$A$38:$A$46,0)),"UNKNOWN"))</f>
        <v>DEMAGNETIZING MACHINE</v>
      </c>
      <c r="R817" s="24" t="str">
        <f>IF('query (2)'!H817="","",TRIM(UPPER('query (2)'!H817)))</f>
        <v>DEMAGNETIZING FOR INNER RING</v>
      </c>
      <c r="S817" s="25" t="str">
        <f>IF('query (2)'!H817="","",'query (2)'!H817)</f>
        <v>Demagnetizing for inner ring</v>
      </c>
      <c r="T817" s="24" t="str">
        <f>IF('query (2)'!J817="","",TRIM(UPPER('query (2)'!J817)))</f>
        <v>B - DEMAGNETIZING</v>
      </c>
      <c r="U817" s="24" t="str">
        <f t="shared" si="87"/>
        <v/>
      </c>
      <c r="V817" s="24" t="str">
        <f>IF('query (2)'!K817="","NOT_SPECIFIED",IFERROR(INDEX(Cleaning_Rules!$B$32:$B$34,MATCH(TRIM(UPPER('query (2)'!K817)),Cleaning_Rules!$A$32:$A$34,0)),"UNKNOWN"))</f>
        <v>NOT_SPECIFIED</v>
      </c>
      <c r="W817" s="24" t="str">
        <f t="shared" si="88"/>
        <v>DE-1142 | FACTORY2 | CR1 | CR | GRINDING 2 | 1608-CR1G | DEMAGNETIZING MACHINE | DEMAGNETIZING FOR INNER RING | B - DEMAGNETIZING | NOT_SPECIFIED</v>
      </c>
      <c r="X817" s="24" t="str">
        <f t="shared" si="89"/>
        <v/>
      </c>
      <c r="Y817" s="24" t="str">
        <f t="shared" si="90"/>
        <v>MISSING_STATUS</v>
      </c>
    </row>
    <row r="818" spans="1:25" x14ac:dyDescent="0.3">
      <c r="A818" s="24" t="str">
        <f t="shared" si="84"/>
        <v>GR-1143#0817</v>
      </c>
      <c r="B818" s="24" t="str">
        <f>IF('query (2)'!B818="","",TRIM(UPPER('query (2)'!B818)))</f>
        <v>GR-1143</v>
      </c>
      <c r="C818" s="25" t="str">
        <f>IF('query (2)'!B818="","",'query (2)'!B818)</f>
        <v>GR-1143</v>
      </c>
      <c r="D818" s="24" t="str">
        <f t="shared" si="85"/>
        <v>GR</v>
      </c>
      <c r="E818" s="24">
        <f t="shared" si="86"/>
        <v>1</v>
      </c>
      <c r="F818" s="24">
        <f>IF('query (2)'!A818="","",IFERROR(VALUE('query (2)'!A818),""))</f>
        <v>840</v>
      </c>
      <c r="G818" s="24" t="str">
        <f>IF('query (2)'!C818="","UNKNOWN",IFERROR(INDEX(Cleaning_Rules!$B$15:$B$20,MATCH(TRIM(UPPER('query (2)'!C818)),Cleaning_Rules!$A$15:$A$20,0)),"UNKNOWN"))</f>
        <v>FACTORY2</v>
      </c>
      <c r="H818" s="25" t="str">
        <f>IF('query (2)'!C818="","",'query (2)'!C818)</f>
        <v>FACTORY2</v>
      </c>
      <c r="I818" s="24" t="str" cm="1">
        <f t="array" ref="I818">_xlfn.IFS($G818="UNKNOWN","UNKNOWN",OR($G818="FACTORY1",$G818="FACTORY2",$G818="FACTORY3"),"PLANT",TRUE,"SHARED")</f>
        <v>PLANT</v>
      </c>
      <c r="J818" s="24" t="str">
        <f>IF('query (2)'!D818="","UNKNOWN",IF(COUNTIF(Cleaning_Rules!$A$6:$A$11,TRIM('query (2)'!D818))&gt;0,"UNKNOWN",IFERROR(INDEX(Cleaning_Rules!$B$24:$B$28,MATCH(TRIM(UPPER('query (2)'!D818)),Cleaning_Rules!$A$24:$A$28,0)),TRIM(UPPER('query (2)'!D818)))))</f>
        <v>CR1</v>
      </c>
      <c r="K818" s="25" t="str">
        <f>IF('query (2)'!D818="","",'query (2)'!D818)</f>
        <v>CR1</v>
      </c>
      <c r="L818" s="24" t="str">
        <f>IF($J818="UNKNOWN","",_xlfn.TEXTBEFORE($J818,{"0","1","2","3","4","5","6","7","8","9"," ","-","."},1,,,$J818))</f>
        <v>CR</v>
      </c>
      <c r="M818" s="24" t="str">
        <f>IF('query (2)'!I818&lt;&gt;"",TRIM(UPPER('query (2)'!I818)),IF($L818="","UNKNOWN",$L818))</f>
        <v>CR</v>
      </c>
      <c r="N818" s="24" t="str">
        <f>IF('query (2)'!I818&lt;&gt;"","SOURCE",IF($L818="","UNKNOWN","DERIVED"))</f>
        <v>SOURCE</v>
      </c>
      <c r="O818" s="24" t="str">
        <f>IF('query (2)'!E818="","NOT_SPECIFIED",TRIM(UPPER('query (2)'!E818)))</f>
        <v>GRINDING 2</v>
      </c>
      <c r="P818" s="24" t="str">
        <f>IF('query (2)'!F818="","",TRIM(UPPER('query (2)'!F818)))</f>
        <v>1608-CR1G</v>
      </c>
      <c r="Q818" s="24" t="str">
        <f>IF('query (2)'!G818="","UNKNOWN",IFERROR(INDEX(Cleaning_Rules!$B$38:$B$46,MATCH(TRIM(UPPER('query (2)'!G818)),Cleaning_Rules!$A$38:$A$46,0)),"UNKNOWN"))</f>
        <v>GRINDING</v>
      </c>
      <c r="R818" s="24" t="str">
        <f>IF('query (2)'!H818="","",TRIM(UPPER('query (2)'!H818)))</f>
        <v>INNER RING RACEWAY SUPER FINISH MACHINE</v>
      </c>
      <c r="S818" s="25" t="str">
        <f>IF('query (2)'!H818="","",'query (2)'!H818)</f>
        <v>Inner ring raceway super finish machine</v>
      </c>
      <c r="T818" s="24" t="str">
        <f>IF('query (2)'!J818="","",TRIM(UPPER('query (2)'!J818)))</f>
        <v>B - RACEWAY SUPER FINISH</v>
      </c>
      <c r="U818" s="24" t="str">
        <f t="shared" si="87"/>
        <v/>
      </c>
      <c r="V818" s="24" t="str">
        <f>IF('query (2)'!K818="","NOT_SPECIFIED",IFERROR(INDEX(Cleaning_Rules!$B$32:$B$34,MATCH(TRIM(UPPER('query (2)'!K818)),Cleaning_Rules!$A$32:$A$34,0)),"UNKNOWN"))</f>
        <v>NOT_SPECIFIED</v>
      </c>
      <c r="W818" s="24" t="str">
        <f t="shared" si="88"/>
        <v>GR-1143 | FACTORY2 | CR1 | CR | GRINDING 2 | 1608-CR1G | GRINDING | INNER RING RACEWAY SUPER FINISH MACHINE | B - RACEWAY SUPER FINISH | NOT_SPECIFIED</v>
      </c>
      <c r="X818" s="24" t="str">
        <f t="shared" si="89"/>
        <v/>
      </c>
      <c r="Y818" s="24" t="str">
        <f t="shared" si="90"/>
        <v>MISSING_STATUS</v>
      </c>
    </row>
    <row r="819" spans="1:25" x14ac:dyDescent="0.3">
      <c r="A819" s="24" t="str">
        <f t="shared" si="84"/>
        <v>WA-1144#0818</v>
      </c>
      <c r="B819" s="24" t="str">
        <f>IF('query (2)'!B819="","",TRIM(UPPER('query (2)'!B819)))</f>
        <v>WA-1144</v>
      </c>
      <c r="C819" s="25" t="str">
        <f>IF('query (2)'!B819="","",'query (2)'!B819)</f>
        <v>WA-1144</v>
      </c>
      <c r="D819" s="24" t="str">
        <f t="shared" si="85"/>
        <v>WA</v>
      </c>
      <c r="E819" s="24">
        <f t="shared" si="86"/>
        <v>1</v>
      </c>
      <c r="F819" s="24">
        <f>IF('query (2)'!A819="","",IFERROR(VALUE('query (2)'!A819),""))</f>
        <v>841</v>
      </c>
      <c r="G819" s="24" t="str">
        <f>IF('query (2)'!C819="","UNKNOWN",IFERROR(INDEX(Cleaning_Rules!$B$15:$B$20,MATCH(TRIM(UPPER('query (2)'!C819)),Cleaning_Rules!$A$15:$A$20,0)),"UNKNOWN"))</f>
        <v>FACTORY2</v>
      </c>
      <c r="H819" s="25" t="str">
        <f>IF('query (2)'!C819="","",'query (2)'!C819)</f>
        <v>FACTORY2</v>
      </c>
      <c r="I819" s="24" t="str" cm="1">
        <f t="array" ref="I819">_xlfn.IFS($G819="UNKNOWN","UNKNOWN",OR($G819="FACTORY1",$G819="FACTORY2",$G819="FACTORY3"),"PLANT",TRUE,"SHARED")</f>
        <v>PLANT</v>
      </c>
      <c r="J819" s="24" t="str">
        <f>IF('query (2)'!D819="","UNKNOWN",IF(COUNTIF(Cleaning_Rules!$A$6:$A$11,TRIM('query (2)'!D819))&gt;0,"UNKNOWN",IFERROR(INDEX(Cleaning_Rules!$B$24:$B$28,MATCH(TRIM(UPPER('query (2)'!D819)),Cleaning_Rules!$A$24:$A$28,0)),TRIM(UPPER('query (2)'!D819)))))</f>
        <v>CR1</v>
      </c>
      <c r="K819" s="25" t="str">
        <f>IF('query (2)'!D819="","",'query (2)'!D819)</f>
        <v>CR1</v>
      </c>
      <c r="L819" s="24" t="str">
        <f>IF($J819="UNKNOWN","",_xlfn.TEXTBEFORE($J819,{"0","1","2","3","4","5","6","7","8","9"," ","-","."},1,,,$J819))</f>
        <v>CR</v>
      </c>
      <c r="M819" s="24" t="str">
        <f>IF('query (2)'!I819&lt;&gt;"",TRIM(UPPER('query (2)'!I819)),IF($L819="","UNKNOWN",$L819))</f>
        <v>CR</v>
      </c>
      <c r="N819" s="24" t="str">
        <f>IF('query (2)'!I819&lt;&gt;"","SOURCE",IF($L819="","UNKNOWN","DERIVED"))</f>
        <v>SOURCE</v>
      </c>
      <c r="O819" s="24" t="str">
        <f>IF('query (2)'!E819="","NOT_SPECIFIED",TRIM(UPPER('query (2)'!E819)))</f>
        <v>GRINDING 2</v>
      </c>
      <c r="P819" s="24" t="str">
        <f>IF('query (2)'!F819="","",TRIM(UPPER('query (2)'!F819)))</f>
        <v>1608-CR1G</v>
      </c>
      <c r="Q819" s="24" t="str">
        <f>IF('query (2)'!G819="","UNKNOWN",IFERROR(INDEX(Cleaning_Rules!$B$38:$B$46,MATCH(TRIM(UPPER('query (2)'!G819)),Cleaning_Rules!$A$38:$A$46,0)),"UNKNOWN"))</f>
        <v>WASHER</v>
      </c>
      <c r="R819" s="24" t="str">
        <f>IF('query (2)'!H819="","",TRIM(UPPER('query (2)'!H819)))</f>
        <v>PART WASHING</v>
      </c>
      <c r="S819" s="25" t="str">
        <f>IF('query (2)'!H819="","",'query (2)'!H819)</f>
        <v>Part washing</v>
      </c>
      <c r="T819" s="24" t="str">
        <f>IF('query (2)'!J819="","",TRIM(UPPER('query (2)'!J819)))</f>
        <v>A&amp;B - PART WASH EQUIPMENT</v>
      </c>
      <c r="U819" s="24" t="str">
        <f t="shared" si="87"/>
        <v/>
      </c>
      <c r="V819" s="24" t="str">
        <f>IF('query (2)'!K819="","NOT_SPECIFIED",IFERROR(INDEX(Cleaning_Rules!$B$32:$B$34,MATCH(TRIM(UPPER('query (2)'!K819)),Cleaning_Rules!$A$32:$A$34,0)),"UNKNOWN"))</f>
        <v>NOT_SPECIFIED</v>
      </c>
      <c r="W819" s="24" t="str">
        <f t="shared" si="88"/>
        <v>WA-1144 | FACTORY2 | CR1 | CR | GRINDING 2 | 1608-CR1G | WASHER | PART WASHING | A&amp;B - PART WASH EQUIPMENT | NOT_SPECIFIED</v>
      </c>
      <c r="X819" s="24" t="str">
        <f t="shared" si="89"/>
        <v/>
      </c>
      <c r="Y819" s="24" t="str">
        <f t="shared" si="90"/>
        <v>MISSING_STATUS</v>
      </c>
    </row>
    <row r="820" spans="1:25" x14ac:dyDescent="0.3">
      <c r="A820" s="24" t="str">
        <f t="shared" si="84"/>
        <v>CH-1145#0819</v>
      </c>
      <c r="B820" s="24" t="str">
        <f>IF('query (2)'!B820="","",TRIM(UPPER('query (2)'!B820)))</f>
        <v>CH-1145</v>
      </c>
      <c r="C820" s="25" t="str">
        <f>IF('query (2)'!B820="","",'query (2)'!B820)</f>
        <v>CH-1145</v>
      </c>
      <c r="D820" s="24" t="str">
        <f t="shared" si="85"/>
        <v>CH</v>
      </c>
      <c r="E820" s="24">
        <f t="shared" si="86"/>
        <v>1</v>
      </c>
      <c r="F820" s="24">
        <f>IF('query (2)'!A820="","",IFERROR(VALUE('query (2)'!A820),""))</f>
        <v>842</v>
      </c>
      <c r="G820" s="24" t="str">
        <f>IF('query (2)'!C820="","UNKNOWN",IFERROR(INDEX(Cleaning_Rules!$B$15:$B$20,MATCH(TRIM(UPPER('query (2)'!C820)),Cleaning_Rules!$A$15:$A$20,0)),"UNKNOWN"))</f>
        <v>FACTORY2</v>
      </c>
      <c r="H820" s="25" t="str">
        <f>IF('query (2)'!C820="","",'query (2)'!C820)</f>
        <v>FACTORY2</v>
      </c>
      <c r="I820" s="24" t="str" cm="1">
        <f t="array" ref="I820">_xlfn.IFS($G820="UNKNOWN","UNKNOWN",OR($G820="FACTORY1",$G820="FACTORY2",$G820="FACTORY3"),"PLANT",TRUE,"SHARED")</f>
        <v>PLANT</v>
      </c>
      <c r="J820" s="24" t="str">
        <f>IF('query (2)'!D820="","UNKNOWN",IF(COUNTIF(Cleaning_Rules!$A$6:$A$11,TRIM('query (2)'!D820))&gt;0,"UNKNOWN",IFERROR(INDEX(Cleaning_Rules!$B$24:$B$28,MATCH(TRIM(UPPER('query (2)'!D820)),Cleaning_Rules!$A$24:$A$28,0)),TRIM(UPPER('query (2)'!D820)))))</f>
        <v>CR1</v>
      </c>
      <c r="K820" s="25" t="str">
        <f>IF('query (2)'!D820="","",'query (2)'!D820)</f>
        <v>CR1</v>
      </c>
      <c r="L820" s="24" t="str">
        <f>IF($J820="UNKNOWN","",_xlfn.TEXTBEFORE($J820,{"0","1","2","3","4","5","6","7","8","9"," ","-","."},1,,,$J820))</f>
        <v>CR</v>
      </c>
      <c r="M820" s="24" t="str">
        <f>IF('query (2)'!I820&lt;&gt;"",TRIM(UPPER('query (2)'!I820)),IF($L820="","UNKNOWN",$L820))</f>
        <v>CR</v>
      </c>
      <c r="N820" s="24" t="str">
        <f>IF('query (2)'!I820&lt;&gt;"","SOURCE",IF($L820="","UNKNOWN","DERIVED"))</f>
        <v>SOURCE</v>
      </c>
      <c r="O820" s="24" t="str">
        <f>IF('query (2)'!E820="","NOT_SPECIFIED",TRIM(UPPER('query (2)'!E820)))</f>
        <v>GRINDING 2</v>
      </c>
      <c r="P820" s="24" t="str">
        <f>IF('query (2)'!F820="","",TRIM(UPPER('query (2)'!F820)))</f>
        <v>1608-CR1G</v>
      </c>
      <c r="Q820" s="24" t="str">
        <f>IF('query (2)'!G820="","UNKNOWN",IFERROR(INDEX(Cleaning_Rules!$B$38:$B$46,MATCH(TRIM(UPPER('query (2)'!G820)),Cleaning_Rules!$A$38:$A$46,0)),"UNKNOWN"))</f>
        <v>CHECK</v>
      </c>
      <c r="R820" s="24" t="str">
        <f>IF('query (2)'!H820="","",TRIM(UPPER('query (2)'!H820)))</f>
        <v>OUTER/INNER E.C.T.</v>
      </c>
      <c r="S820" s="25" t="str">
        <f>IF('query (2)'!H820="","",'query (2)'!H820)</f>
        <v>Outer/Inner E.C.T.</v>
      </c>
      <c r="T820" s="24" t="str">
        <f>IF('query (2)'!J820="","",TRIM(UPPER('query (2)'!J820)))</f>
        <v>A&amp;B - E.C.T.</v>
      </c>
      <c r="U820" s="24" t="str">
        <f t="shared" si="87"/>
        <v/>
      </c>
      <c r="V820" s="24" t="str">
        <f>IF('query (2)'!K820="","NOT_SPECIFIED",IFERROR(INDEX(Cleaning_Rules!$B$32:$B$34,MATCH(TRIM(UPPER('query (2)'!K820)),Cleaning_Rules!$A$32:$A$34,0)),"UNKNOWN"))</f>
        <v>NOT_SPECIFIED</v>
      </c>
      <c r="W820" s="24" t="str">
        <f t="shared" si="88"/>
        <v>CH-1145 | FACTORY2 | CR1 | CR | GRINDING 2 | 1608-CR1G | CHECK | OUTER/INNER E.C.T. | A&amp;B - E.C.T. | NOT_SPECIFIED</v>
      </c>
      <c r="X820" s="24" t="str">
        <f t="shared" si="89"/>
        <v/>
      </c>
      <c r="Y820" s="24" t="str">
        <f t="shared" si="90"/>
        <v>MISSING_STATUS</v>
      </c>
    </row>
    <row r="821" spans="1:25" x14ac:dyDescent="0.3">
      <c r="A821" s="24" t="str">
        <f t="shared" si="84"/>
        <v>AS-1146#0820</v>
      </c>
      <c r="B821" s="24" t="str">
        <f>IF('query (2)'!B821="","",TRIM(UPPER('query (2)'!B821)))</f>
        <v>AS-1146</v>
      </c>
      <c r="C821" s="25" t="str">
        <f>IF('query (2)'!B821="","",'query (2)'!B821)</f>
        <v>AS-1146</v>
      </c>
      <c r="D821" s="24" t="str">
        <f t="shared" si="85"/>
        <v>AS</v>
      </c>
      <c r="E821" s="24">
        <f t="shared" si="86"/>
        <v>1</v>
      </c>
      <c r="F821" s="24">
        <f>IF('query (2)'!A821="","",IFERROR(VALUE('query (2)'!A821),""))</f>
        <v>843</v>
      </c>
      <c r="G821" s="24" t="str">
        <f>IF('query (2)'!C821="","UNKNOWN",IFERROR(INDEX(Cleaning_Rules!$B$15:$B$20,MATCH(TRIM(UPPER('query (2)'!C821)),Cleaning_Rules!$A$15:$A$20,0)),"UNKNOWN"))</f>
        <v>FACTORY2</v>
      </c>
      <c r="H821" s="25" t="str">
        <f>IF('query (2)'!C821="","",'query (2)'!C821)</f>
        <v>FACTORY2</v>
      </c>
      <c r="I821" s="24" t="str" cm="1">
        <f t="array" ref="I821">_xlfn.IFS($G821="UNKNOWN","UNKNOWN",OR($G821="FACTORY1",$G821="FACTORY2",$G821="FACTORY3"),"PLANT",TRUE,"SHARED")</f>
        <v>PLANT</v>
      </c>
      <c r="J821" s="24" t="str">
        <f>IF('query (2)'!D821="","UNKNOWN",IF(COUNTIF(Cleaning_Rules!$A$6:$A$11,TRIM('query (2)'!D821))&gt;0,"UNKNOWN",IFERROR(INDEX(Cleaning_Rules!$B$24:$B$28,MATCH(TRIM(UPPER('query (2)'!D821)),Cleaning_Rules!$A$24:$A$28,0)),TRIM(UPPER('query (2)'!D821)))))</f>
        <v>CR1</v>
      </c>
      <c r="K821" s="25" t="str">
        <f>IF('query (2)'!D821="","",'query (2)'!D821)</f>
        <v>CR1</v>
      </c>
      <c r="L821" s="24" t="str">
        <f>IF($J821="UNKNOWN","",_xlfn.TEXTBEFORE($J821,{"0","1","2","3","4","5","6","7","8","9"," ","-","."},1,,,$J821))</f>
        <v>CR</v>
      </c>
      <c r="M821" s="24" t="str">
        <f>IF('query (2)'!I821&lt;&gt;"",TRIM(UPPER('query (2)'!I821)),IF($L821="","UNKNOWN",$L821))</f>
        <v>CR</v>
      </c>
      <c r="N821" s="24" t="str">
        <f>IF('query (2)'!I821&lt;&gt;"","SOURCE",IF($L821="","UNKNOWN","DERIVED"))</f>
        <v>SOURCE</v>
      </c>
      <c r="O821" s="24" t="str">
        <f>IF('query (2)'!E821="","NOT_SPECIFIED",TRIM(UPPER('query (2)'!E821)))</f>
        <v>ASSEMBLY</v>
      </c>
      <c r="P821" s="24" t="str">
        <f>IF('query (2)'!F821="","",TRIM(UPPER('query (2)'!F821)))</f>
        <v>1609-CR1AI</v>
      </c>
      <c r="Q821" s="24" t="str">
        <f>IF('query (2)'!G821="","UNKNOWN",IFERROR(INDEX(Cleaning_Rules!$B$38:$B$46,MATCH(TRIM(UPPER('query (2)'!G821)),Cleaning_Rules!$A$38:$A$46,0)),"UNKNOWN"))</f>
        <v>ASSEMBLY</v>
      </c>
      <c r="R821" s="24" t="str">
        <f>IF('query (2)'!H821="","",TRIM(UPPER('query (2)'!H821)))</f>
        <v>MATCHING &amp; BALL FILLING</v>
      </c>
      <c r="S821" s="25" t="str">
        <f>IF('query (2)'!H821="","",'query (2)'!H821)</f>
        <v>Matching &amp; Ball filling</v>
      </c>
      <c r="T821" s="24" t="str">
        <f>IF('query (2)'!J821="","",TRIM(UPPER('query (2)'!J821)))</f>
        <v>MATCHING</v>
      </c>
      <c r="U821" s="24" t="str">
        <f t="shared" si="87"/>
        <v/>
      </c>
      <c r="V821" s="24" t="str">
        <f>IF('query (2)'!K821="","NOT_SPECIFIED",IFERROR(INDEX(Cleaning_Rules!$B$32:$B$34,MATCH(TRIM(UPPER('query (2)'!K821)),Cleaning_Rules!$A$32:$A$34,0)),"UNKNOWN"))</f>
        <v>NOT_SPECIFIED</v>
      </c>
      <c r="W821" s="24" t="str">
        <f t="shared" si="88"/>
        <v>AS-1146 | FACTORY2 | CR1 | CR | ASSEMBLY | 1609-CR1AI | ASSEMBLY | MATCHING &amp; BALL FILLING | MATCHING | NOT_SPECIFIED</v>
      </c>
      <c r="X821" s="24" t="str">
        <f t="shared" si="89"/>
        <v/>
      </c>
      <c r="Y821" s="24" t="str">
        <f t="shared" si="90"/>
        <v>MISSING_STATUS</v>
      </c>
    </row>
    <row r="822" spans="1:25" x14ac:dyDescent="0.3">
      <c r="A822" s="24" t="str">
        <f t="shared" si="84"/>
        <v>AS-1147#0821</v>
      </c>
      <c r="B822" s="24" t="str">
        <f>IF('query (2)'!B822="","",TRIM(UPPER('query (2)'!B822)))</f>
        <v>AS-1147</v>
      </c>
      <c r="C822" s="25" t="str">
        <f>IF('query (2)'!B822="","",'query (2)'!B822)</f>
        <v>AS-1147</v>
      </c>
      <c r="D822" s="24" t="str">
        <f t="shared" si="85"/>
        <v>AS</v>
      </c>
      <c r="E822" s="24">
        <f t="shared" si="86"/>
        <v>1</v>
      </c>
      <c r="F822" s="24">
        <f>IF('query (2)'!A822="","",IFERROR(VALUE('query (2)'!A822),""))</f>
        <v>844</v>
      </c>
      <c r="G822" s="24" t="str">
        <f>IF('query (2)'!C822="","UNKNOWN",IFERROR(INDEX(Cleaning_Rules!$B$15:$B$20,MATCH(TRIM(UPPER('query (2)'!C822)),Cleaning_Rules!$A$15:$A$20,0)),"UNKNOWN"))</f>
        <v>FACTORY2</v>
      </c>
      <c r="H822" s="25" t="str">
        <f>IF('query (2)'!C822="","",'query (2)'!C822)</f>
        <v>FACTORY2</v>
      </c>
      <c r="I822" s="24" t="str" cm="1">
        <f t="array" ref="I822">_xlfn.IFS($G822="UNKNOWN","UNKNOWN",OR($G822="FACTORY1",$G822="FACTORY2",$G822="FACTORY3"),"PLANT",TRUE,"SHARED")</f>
        <v>PLANT</v>
      </c>
      <c r="J822" s="24" t="str">
        <f>IF('query (2)'!D822="","UNKNOWN",IF(COUNTIF(Cleaning_Rules!$A$6:$A$11,TRIM('query (2)'!D822))&gt;0,"UNKNOWN",IFERROR(INDEX(Cleaning_Rules!$B$24:$B$28,MATCH(TRIM(UPPER('query (2)'!D822)),Cleaning_Rules!$A$24:$A$28,0)),TRIM(UPPER('query (2)'!D822)))))</f>
        <v>CR1</v>
      </c>
      <c r="K822" s="25" t="str">
        <f>IF('query (2)'!D822="","",'query (2)'!D822)</f>
        <v>CR1</v>
      </c>
      <c r="L822" s="24" t="str">
        <f>IF($J822="UNKNOWN","",_xlfn.TEXTBEFORE($J822,{"0","1","2","3","4","5","6","7","8","9"," ","-","."},1,,,$J822))</f>
        <v>CR</v>
      </c>
      <c r="M822" s="24" t="str">
        <f>IF('query (2)'!I822&lt;&gt;"",TRIM(UPPER('query (2)'!I822)),IF($L822="","UNKNOWN",$L822))</f>
        <v>CR</v>
      </c>
      <c r="N822" s="24" t="str">
        <f>IF('query (2)'!I822&lt;&gt;"","SOURCE",IF($L822="","UNKNOWN","DERIVED"))</f>
        <v>SOURCE</v>
      </c>
      <c r="O822" s="24" t="str">
        <f>IF('query (2)'!E822="","NOT_SPECIFIED",TRIM(UPPER('query (2)'!E822)))</f>
        <v>ASSEMBLY</v>
      </c>
      <c r="P822" s="24" t="str">
        <f>IF('query (2)'!F822="","",TRIM(UPPER('query (2)'!F822)))</f>
        <v>1609-CR1AI</v>
      </c>
      <c r="Q822" s="24" t="str">
        <f>IF('query (2)'!G822="","UNKNOWN",IFERROR(INDEX(Cleaning_Rules!$B$38:$B$46,MATCH(TRIM(UPPER('query (2)'!G822)),Cleaning_Rules!$A$38:$A$46,0)),"UNKNOWN"))</f>
        <v>ASSEMBLY</v>
      </c>
      <c r="R822" s="24" t="str">
        <f>IF('query (2)'!H822="","",TRIM(UPPER('query (2)'!H822)))</f>
        <v>ACD. ASSEMBLY+BALL HOPPER</v>
      </c>
      <c r="S822" s="25" t="str">
        <f>IF('query (2)'!H822="","",'query (2)'!H822)</f>
        <v>ACD. Assembly+Ball hopper</v>
      </c>
      <c r="T822" s="24" t="str">
        <f>IF('query (2)'!J822="","",TRIM(UPPER('query (2)'!J822)))</f>
        <v>ACD ASSEMBLY</v>
      </c>
      <c r="U822" s="24" t="str">
        <f t="shared" si="87"/>
        <v/>
      </c>
      <c r="V822" s="24" t="str">
        <f>IF('query (2)'!K822="","NOT_SPECIFIED",IFERROR(INDEX(Cleaning_Rules!$B$32:$B$34,MATCH(TRIM(UPPER('query (2)'!K822)),Cleaning_Rules!$A$32:$A$34,0)),"UNKNOWN"))</f>
        <v>NOT_SPECIFIED</v>
      </c>
      <c r="W822" s="24" t="str">
        <f t="shared" si="88"/>
        <v>AS-1147 | FACTORY2 | CR1 | CR | ASSEMBLY | 1609-CR1AI | ASSEMBLY | ACD. ASSEMBLY+BALL HOPPER | ACD ASSEMBLY | NOT_SPECIFIED</v>
      </c>
      <c r="X822" s="24" t="str">
        <f t="shared" si="89"/>
        <v/>
      </c>
      <c r="Y822" s="24" t="str">
        <f t="shared" si="90"/>
        <v>MISSING_STATUS</v>
      </c>
    </row>
    <row r="823" spans="1:25" x14ac:dyDescent="0.3">
      <c r="A823" s="24" t="str">
        <f t="shared" si="84"/>
        <v>WA-1148#0822</v>
      </c>
      <c r="B823" s="24" t="str">
        <f>IF('query (2)'!B823="","",TRIM(UPPER('query (2)'!B823)))</f>
        <v>WA-1148</v>
      </c>
      <c r="C823" s="25" t="str">
        <f>IF('query (2)'!B823="","",'query (2)'!B823)</f>
        <v>WA-1148</v>
      </c>
      <c r="D823" s="24" t="str">
        <f t="shared" si="85"/>
        <v>WA</v>
      </c>
      <c r="E823" s="24">
        <f t="shared" si="86"/>
        <v>1</v>
      </c>
      <c r="F823" s="24">
        <f>IF('query (2)'!A823="","",IFERROR(VALUE('query (2)'!A823),""))</f>
        <v>845</v>
      </c>
      <c r="G823" s="24" t="str">
        <f>IF('query (2)'!C823="","UNKNOWN",IFERROR(INDEX(Cleaning_Rules!$B$15:$B$20,MATCH(TRIM(UPPER('query (2)'!C823)),Cleaning_Rules!$A$15:$A$20,0)),"UNKNOWN"))</f>
        <v>FACTORY2</v>
      </c>
      <c r="H823" s="25" t="str">
        <f>IF('query (2)'!C823="","",'query (2)'!C823)</f>
        <v>FACTORY2</v>
      </c>
      <c r="I823" s="24" t="str" cm="1">
        <f t="array" ref="I823">_xlfn.IFS($G823="UNKNOWN","UNKNOWN",OR($G823="FACTORY1",$G823="FACTORY2",$G823="FACTORY3"),"PLANT",TRUE,"SHARED")</f>
        <v>PLANT</v>
      </c>
      <c r="J823" s="24" t="str">
        <f>IF('query (2)'!D823="","UNKNOWN",IF(COUNTIF(Cleaning_Rules!$A$6:$A$11,TRIM('query (2)'!D823))&gt;0,"UNKNOWN",IFERROR(INDEX(Cleaning_Rules!$B$24:$B$28,MATCH(TRIM(UPPER('query (2)'!D823)),Cleaning_Rules!$A$24:$A$28,0)),TRIM(UPPER('query (2)'!D823)))))</f>
        <v>CR1</v>
      </c>
      <c r="K823" s="25" t="str">
        <f>IF('query (2)'!D823="","",'query (2)'!D823)</f>
        <v>CR1</v>
      </c>
      <c r="L823" s="24" t="str">
        <f>IF($J823="UNKNOWN","",_xlfn.TEXTBEFORE($J823,{"0","1","2","3","4","5","6","7","8","9"," ","-","."},1,,,$J823))</f>
        <v>CR</v>
      </c>
      <c r="M823" s="24" t="str">
        <f>IF('query (2)'!I823&lt;&gt;"",TRIM(UPPER('query (2)'!I823)),IF($L823="","UNKNOWN",$L823))</f>
        <v>CR</v>
      </c>
      <c r="N823" s="24" t="str">
        <f>IF('query (2)'!I823&lt;&gt;"","SOURCE",IF($L823="","UNKNOWN","DERIVED"))</f>
        <v>SOURCE</v>
      </c>
      <c r="O823" s="24" t="str">
        <f>IF('query (2)'!E823="","NOT_SPECIFIED",TRIM(UPPER('query (2)'!E823)))</f>
        <v>ASSEMBLY</v>
      </c>
      <c r="P823" s="24" t="str">
        <f>IF('query (2)'!F823="","",TRIM(UPPER('query (2)'!F823)))</f>
        <v>1609-CR1AI</v>
      </c>
      <c r="Q823" s="24" t="str">
        <f>IF('query (2)'!G823="","UNKNOWN",IFERROR(INDEX(Cleaning_Rules!$B$38:$B$46,MATCH(TRIM(UPPER('query (2)'!G823)),Cleaning_Rules!$A$38:$A$46,0)),"UNKNOWN"))</f>
        <v>WASHER</v>
      </c>
      <c r="R823" s="24" t="str">
        <f>IF('query (2)'!H823="","",TRIM(UPPER('query (2)'!H823)))</f>
        <v>DEOILER</v>
      </c>
      <c r="S823" s="25" t="str">
        <f>IF('query (2)'!H823="","",'query (2)'!H823)</f>
        <v>Deoiler</v>
      </c>
      <c r="T823" s="24" t="str">
        <f>IF('query (2)'!J823="","",TRIM(UPPER('query (2)'!J823)))</f>
        <v>DEOILER</v>
      </c>
      <c r="U823" s="24" t="str">
        <f t="shared" si="87"/>
        <v/>
      </c>
      <c r="V823" s="24" t="str">
        <f>IF('query (2)'!K823="","NOT_SPECIFIED",IFERROR(INDEX(Cleaning_Rules!$B$32:$B$34,MATCH(TRIM(UPPER('query (2)'!K823)),Cleaning_Rules!$A$32:$A$34,0)),"UNKNOWN"))</f>
        <v>NOT_SPECIFIED</v>
      </c>
      <c r="W823" s="24" t="str">
        <f t="shared" si="88"/>
        <v>WA-1148 | FACTORY2 | CR1 | CR | ASSEMBLY | 1609-CR1AI | WASHER | DEOILER | DEOILER | NOT_SPECIFIED</v>
      </c>
      <c r="X823" s="24" t="str">
        <f t="shared" si="89"/>
        <v/>
      </c>
      <c r="Y823" s="24" t="str">
        <f t="shared" si="90"/>
        <v>MISSING_STATUS</v>
      </c>
    </row>
    <row r="824" spans="1:25" x14ac:dyDescent="0.3">
      <c r="A824" s="24" t="str">
        <f t="shared" si="84"/>
        <v>AS-1149#0823</v>
      </c>
      <c r="B824" s="24" t="str">
        <f>IF('query (2)'!B824="","",TRIM(UPPER('query (2)'!B824)))</f>
        <v>AS-1149</v>
      </c>
      <c r="C824" s="25" t="str">
        <f>IF('query (2)'!B824="","",'query (2)'!B824)</f>
        <v>AS-1149</v>
      </c>
      <c r="D824" s="24" t="str">
        <f t="shared" si="85"/>
        <v>AS</v>
      </c>
      <c r="E824" s="24">
        <f t="shared" si="86"/>
        <v>1</v>
      </c>
      <c r="F824" s="24">
        <f>IF('query (2)'!A824="","",IFERROR(VALUE('query (2)'!A824),""))</f>
        <v>846</v>
      </c>
      <c r="G824" s="24" t="str">
        <f>IF('query (2)'!C824="","UNKNOWN",IFERROR(INDEX(Cleaning_Rules!$B$15:$B$20,MATCH(TRIM(UPPER('query (2)'!C824)),Cleaning_Rules!$A$15:$A$20,0)),"UNKNOWN"))</f>
        <v>FACTORY2</v>
      </c>
      <c r="H824" s="25" t="str">
        <f>IF('query (2)'!C824="","",'query (2)'!C824)</f>
        <v>FACTORY2</v>
      </c>
      <c r="I824" s="24" t="str" cm="1">
        <f t="array" ref="I824">_xlfn.IFS($G824="UNKNOWN","UNKNOWN",OR($G824="FACTORY1",$G824="FACTORY2",$G824="FACTORY3"),"PLANT",TRUE,"SHARED")</f>
        <v>PLANT</v>
      </c>
      <c r="J824" s="24" t="str">
        <f>IF('query (2)'!D824="","UNKNOWN",IF(COUNTIF(Cleaning_Rules!$A$6:$A$11,TRIM('query (2)'!D824))&gt;0,"UNKNOWN",IFERROR(INDEX(Cleaning_Rules!$B$24:$B$28,MATCH(TRIM(UPPER('query (2)'!D824)),Cleaning_Rules!$A$24:$A$28,0)),TRIM(UPPER('query (2)'!D824)))))</f>
        <v>CR1</v>
      </c>
      <c r="K824" s="25" t="str">
        <f>IF('query (2)'!D824="","",'query (2)'!D824)</f>
        <v>CR1</v>
      </c>
      <c r="L824" s="24" t="str">
        <f>IF($J824="UNKNOWN","",_xlfn.TEXTBEFORE($J824,{"0","1","2","3","4","5","6","7","8","9"," ","-","."},1,,,$J824))</f>
        <v>CR</v>
      </c>
      <c r="M824" s="24" t="str">
        <f>IF('query (2)'!I824&lt;&gt;"",TRIM(UPPER('query (2)'!I824)),IF($L824="","UNKNOWN",$L824))</f>
        <v>CR</v>
      </c>
      <c r="N824" s="24" t="str">
        <f>IF('query (2)'!I824&lt;&gt;"","SOURCE",IF($L824="","UNKNOWN","DERIVED"))</f>
        <v>SOURCE</v>
      </c>
      <c r="O824" s="24" t="str">
        <f>IF('query (2)'!E824="","NOT_SPECIFIED",TRIM(UPPER('query (2)'!E824)))</f>
        <v>ASSEMBLY</v>
      </c>
      <c r="P824" s="24" t="str">
        <f>IF('query (2)'!F824="","",TRIM(UPPER('query (2)'!F824)))</f>
        <v>1609-CR1AI</v>
      </c>
      <c r="Q824" s="24" t="str">
        <f>IF('query (2)'!G824="","UNKNOWN",IFERROR(INDEX(Cleaning_Rules!$B$38:$B$46,MATCH(TRIM(UPPER('query (2)'!G824)),Cleaning_Rules!$A$38:$A$46,0)),"UNKNOWN"))</f>
        <v>ASSEMBLY</v>
      </c>
      <c r="R824" s="24" t="str">
        <f>IF('query (2)'!H824="","",TRIM(UPPER('query (2)'!H824)))</f>
        <v>SEAL PRESS NO.1</v>
      </c>
      <c r="S824" s="25" t="str">
        <f>IF('query (2)'!H824="","",'query (2)'!H824)</f>
        <v>Seal press No.1</v>
      </c>
      <c r="T824" s="24" t="str">
        <f>IF('query (2)'!J824="","",TRIM(UPPER('query (2)'!J824)))</f>
        <v>SEAL S1</v>
      </c>
      <c r="U824" s="24" t="str">
        <f t="shared" si="87"/>
        <v/>
      </c>
      <c r="V824" s="24" t="str">
        <f>IF('query (2)'!K824="","NOT_SPECIFIED",IFERROR(INDEX(Cleaning_Rules!$B$32:$B$34,MATCH(TRIM(UPPER('query (2)'!K824)),Cleaning_Rules!$A$32:$A$34,0)),"UNKNOWN"))</f>
        <v>NOT_SPECIFIED</v>
      </c>
      <c r="W824" s="24" t="str">
        <f t="shared" si="88"/>
        <v>AS-1149 | FACTORY2 | CR1 | CR | ASSEMBLY | 1609-CR1AI | ASSEMBLY | SEAL PRESS NO.1 | SEAL S1 | NOT_SPECIFIED</v>
      </c>
      <c r="X824" s="24" t="str">
        <f t="shared" si="89"/>
        <v/>
      </c>
      <c r="Y824" s="24" t="str">
        <f t="shared" si="90"/>
        <v>MISSING_STATUS</v>
      </c>
    </row>
    <row r="825" spans="1:25" x14ac:dyDescent="0.3">
      <c r="A825" s="24" t="str">
        <f t="shared" si="84"/>
        <v>AS-1150#0824</v>
      </c>
      <c r="B825" s="24" t="str">
        <f>IF('query (2)'!B825="","",TRIM(UPPER('query (2)'!B825)))</f>
        <v>AS-1150</v>
      </c>
      <c r="C825" s="25" t="str">
        <f>IF('query (2)'!B825="","",'query (2)'!B825)</f>
        <v>AS-1150</v>
      </c>
      <c r="D825" s="24" t="str">
        <f t="shared" si="85"/>
        <v>AS</v>
      </c>
      <c r="E825" s="24">
        <f t="shared" si="86"/>
        <v>1</v>
      </c>
      <c r="F825" s="24">
        <f>IF('query (2)'!A825="","",IFERROR(VALUE('query (2)'!A825),""))</f>
        <v>847</v>
      </c>
      <c r="G825" s="24" t="str">
        <f>IF('query (2)'!C825="","UNKNOWN",IFERROR(INDEX(Cleaning_Rules!$B$15:$B$20,MATCH(TRIM(UPPER('query (2)'!C825)),Cleaning_Rules!$A$15:$A$20,0)),"UNKNOWN"))</f>
        <v>FACTORY2</v>
      </c>
      <c r="H825" s="25" t="str">
        <f>IF('query (2)'!C825="","",'query (2)'!C825)</f>
        <v>FACTORY2</v>
      </c>
      <c r="I825" s="24" t="str" cm="1">
        <f t="array" ref="I825">_xlfn.IFS($G825="UNKNOWN","UNKNOWN",OR($G825="FACTORY1",$G825="FACTORY2",$G825="FACTORY3"),"PLANT",TRUE,"SHARED")</f>
        <v>PLANT</v>
      </c>
      <c r="J825" s="24" t="str">
        <f>IF('query (2)'!D825="","UNKNOWN",IF(COUNTIF(Cleaning_Rules!$A$6:$A$11,TRIM('query (2)'!D825))&gt;0,"UNKNOWN",IFERROR(INDEX(Cleaning_Rules!$B$24:$B$28,MATCH(TRIM(UPPER('query (2)'!D825)),Cleaning_Rules!$A$24:$A$28,0)),TRIM(UPPER('query (2)'!D825)))))</f>
        <v>CR1</v>
      </c>
      <c r="K825" s="25" t="str">
        <f>IF('query (2)'!D825="","",'query (2)'!D825)</f>
        <v>CR1</v>
      </c>
      <c r="L825" s="24" t="str">
        <f>IF($J825="UNKNOWN","",_xlfn.TEXTBEFORE($J825,{"0","1","2","3","4","5","6","7","8","9"," ","-","."},1,,,$J825))</f>
        <v>CR</v>
      </c>
      <c r="M825" s="24" t="str">
        <f>IF('query (2)'!I825&lt;&gt;"",TRIM(UPPER('query (2)'!I825)),IF($L825="","UNKNOWN",$L825))</f>
        <v>CR</v>
      </c>
      <c r="N825" s="24" t="str">
        <f>IF('query (2)'!I825&lt;&gt;"","SOURCE",IF($L825="","UNKNOWN","DERIVED"))</f>
        <v>SOURCE</v>
      </c>
      <c r="O825" s="24" t="str">
        <f>IF('query (2)'!E825="","NOT_SPECIFIED",TRIM(UPPER('query (2)'!E825)))</f>
        <v>ASSEMBLY</v>
      </c>
      <c r="P825" s="24" t="str">
        <f>IF('query (2)'!F825="","",TRIM(UPPER('query (2)'!F825)))</f>
        <v>1609-CR1AI</v>
      </c>
      <c r="Q825" s="24" t="str">
        <f>IF('query (2)'!G825="","UNKNOWN",IFERROR(INDEX(Cleaning_Rules!$B$38:$B$46,MATCH(TRIM(UPPER('query (2)'!G825)),Cleaning_Rules!$A$38:$A$46,0)),"UNKNOWN"))</f>
        <v>ASSEMBLY</v>
      </c>
      <c r="R825" s="24" t="str">
        <f>IF('query (2)'!H825="","",TRIM(UPPER('query (2)'!H825)))</f>
        <v>SHRINK FITTING</v>
      </c>
      <c r="S825" s="25" t="str">
        <f>IF('query (2)'!H825="","",'query (2)'!H825)</f>
        <v>Shrink fitting</v>
      </c>
      <c r="T825" s="24" t="str">
        <f>IF('query (2)'!J825="","",TRIM(UPPER('query (2)'!J825)))</f>
        <v>SHRINK FITTING</v>
      </c>
      <c r="U825" s="24" t="str">
        <f t="shared" si="87"/>
        <v/>
      </c>
      <c r="V825" s="24" t="str">
        <f>IF('query (2)'!K825="","NOT_SPECIFIED",IFERROR(INDEX(Cleaning_Rules!$B$32:$B$34,MATCH(TRIM(UPPER('query (2)'!K825)),Cleaning_Rules!$A$32:$A$34,0)),"UNKNOWN"))</f>
        <v>NOT_SPECIFIED</v>
      </c>
      <c r="W825" s="24" t="str">
        <f t="shared" si="88"/>
        <v>AS-1150 | FACTORY2 | CR1 | CR | ASSEMBLY | 1609-CR1AI | ASSEMBLY | SHRINK FITTING | SHRINK FITTING | NOT_SPECIFIED</v>
      </c>
      <c r="X825" s="24" t="str">
        <f t="shared" si="89"/>
        <v/>
      </c>
      <c r="Y825" s="24" t="str">
        <f t="shared" si="90"/>
        <v>MISSING_STATUS</v>
      </c>
    </row>
    <row r="826" spans="1:25" x14ac:dyDescent="0.3">
      <c r="A826" s="24" t="str">
        <f t="shared" si="84"/>
        <v>AS-1151#0825</v>
      </c>
      <c r="B826" s="24" t="str">
        <f>IF('query (2)'!B826="","",TRIM(UPPER('query (2)'!B826)))</f>
        <v>AS-1151</v>
      </c>
      <c r="C826" s="25" t="str">
        <f>IF('query (2)'!B826="","",'query (2)'!B826)</f>
        <v>AS-1151</v>
      </c>
      <c r="D826" s="24" t="str">
        <f t="shared" si="85"/>
        <v>AS</v>
      </c>
      <c r="E826" s="24">
        <f t="shared" si="86"/>
        <v>1</v>
      </c>
      <c r="F826" s="24">
        <f>IF('query (2)'!A826="","",IFERROR(VALUE('query (2)'!A826),""))</f>
        <v>848</v>
      </c>
      <c r="G826" s="24" t="str">
        <f>IF('query (2)'!C826="","UNKNOWN",IFERROR(INDEX(Cleaning_Rules!$B$15:$B$20,MATCH(TRIM(UPPER('query (2)'!C826)),Cleaning_Rules!$A$15:$A$20,0)),"UNKNOWN"))</f>
        <v>FACTORY2</v>
      </c>
      <c r="H826" s="25" t="str">
        <f>IF('query (2)'!C826="","",'query (2)'!C826)</f>
        <v>FACTORY2</v>
      </c>
      <c r="I826" s="24" t="str" cm="1">
        <f t="array" ref="I826">_xlfn.IFS($G826="UNKNOWN","UNKNOWN",OR($G826="FACTORY1",$G826="FACTORY2",$G826="FACTORY3"),"PLANT",TRUE,"SHARED")</f>
        <v>PLANT</v>
      </c>
      <c r="J826" s="24" t="str">
        <f>IF('query (2)'!D826="","UNKNOWN",IF(COUNTIF(Cleaning_Rules!$A$6:$A$11,TRIM('query (2)'!D826))&gt;0,"UNKNOWN",IFERROR(INDEX(Cleaning_Rules!$B$24:$B$28,MATCH(TRIM(UPPER('query (2)'!D826)),Cleaning_Rules!$A$24:$A$28,0)),TRIM(UPPER('query (2)'!D826)))))</f>
        <v>CR1</v>
      </c>
      <c r="K826" s="25" t="str">
        <f>IF('query (2)'!D826="","",'query (2)'!D826)</f>
        <v>CR1</v>
      </c>
      <c r="L826" s="24" t="str">
        <f>IF($J826="UNKNOWN","",_xlfn.TEXTBEFORE($J826,{"0","1","2","3","4","5","6","7","8","9"," ","-","."},1,,,$J826))</f>
        <v>CR</v>
      </c>
      <c r="M826" s="24" t="str">
        <f>IF('query (2)'!I826&lt;&gt;"",TRIM(UPPER('query (2)'!I826)),IF($L826="","UNKNOWN",$L826))</f>
        <v>CR</v>
      </c>
      <c r="N826" s="24" t="str">
        <f>IF('query (2)'!I826&lt;&gt;"","SOURCE",IF($L826="","UNKNOWN","DERIVED"))</f>
        <v>SOURCE</v>
      </c>
      <c r="O826" s="24" t="str">
        <f>IF('query (2)'!E826="","NOT_SPECIFIED",TRIM(UPPER('query (2)'!E826)))</f>
        <v>ASSEMBLY</v>
      </c>
      <c r="P826" s="24" t="str">
        <f>IF('query (2)'!F826="","",TRIM(UPPER('query (2)'!F826)))</f>
        <v>1609-CR1AI</v>
      </c>
      <c r="Q826" s="24" t="str">
        <f>IF('query (2)'!G826="","UNKNOWN",IFERROR(INDEX(Cleaning_Rules!$B$38:$B$46,MATCH(TRIM(UPPER('query (2)'!G826)),Cleaning_Rules!$A$38:$A$46,0)),"UNKNOWN"))</f>
        <v>ASSEMBLY</v>
      </c>
      <c r="R826" s="24" t="str">
        <f>IF('query (2)'!H826="","",TRIM(UPPER('query (2)'!H826)))</f>
        <v>GREASE INJECTION</v>
      </c>
      <c r="S826" s="25" t="str">
        <f>IF('query (2)'!H826="","",'query (2)'!H826)</f>
        <v>Grease injection</v>
      </c>
      <c r="T826" s="24" t="str">
        <f>IF('query (2)'!J826="","",TRIM(UPPER('query (2)'!J826)))</f>
        <v>GREASE INJECTION</v>
      </c>
      <c r="U826" s="24" t="str">
        <f t="shared" si="87"/>
        <v/>
      </c>
      <c r="V826" s="24" t="str">
        <f>IF('query (2)'!K826="","NOT_SPECIFIED",IFERROR(INDEX(Cleaning_Rules!$B$32:$B$34,MATCH(TRIM(UPPER('query (2)'!K826)),Cleaning_Rules!$A$32:$A$34,0)),"UNKNOWN"))</f>
        <v>NOT_SPECIFIED</v>
      </c>
      <c r="W826" s="24" t="str">
        <f t="shared" si="88"/>
        <v>AS-1151 | FACTORY2 | CR1 | CR | ASSEMBLY | 1609-CR1AI | ASSEMBLY | GREASE INJECTION | GREASE INJECTION | NOT_SPECIFIED</v>
      </c>
      <c r="X826" s="24" t="str">
        <f t="shared" si="89"/>
        <v/>
      </c>
      <c r="Y826" s="24" t="str">
        <f t="shared" si="90"/>
        <v>MISSING_STATUS</v>
      </c>
    </row>
    <row r="827" spans="1:25" x14ac:dyDescent="0.3">
      <c r="A827" s="24" t="str">
        <f t="shared" si="84"/>
        <v>AS-1152#0826</v>
      </c>
      <c r="B827" s="24" t="str">
        <f>IF('query (2)'!B827="","",TRIM(UPPER('query (2)'!B827)))</f>
        <v>AS-1152</v>
      </c>
      <c r="C827" s="25" t="str">
        <f>IF('query (2)'!B827="","",'query (2)'!B827)</f>
        <v>AS-1152</v>
      </c>
      <c r="D827" s="24" t="str">
        <f t="shared" si="85"/>
        <v>AS</v>
      </c>
      <c r="E827" s="24">
        <f t="shared" si="86"/>
        <v>1</v>
      </c>
      <c r="F827" s="24">
        <f>IF('query (2)'!A827="","",IFERROR(VALUE('query (2)'!A827),""))</f>
        <v>849</v>
      </c>
      <c r="G827" s="24" t="str">
        <f>IF('query (2)'!C827="","UNKNOWN",IFERROR(INDEX(Cleaning_Rules!$B$15:$B$20,MATCH(TRIM(UPPER('query (2)'!C827)),Cleaning_Rules!$A$15:$A$20,0)),"UNKNOWN"))</f>
        <v>FACTORY2</v>
      </c>
      <c r="H827" s="25" t="str">
        <f>IF('query (2)'!C827="","",'query (2)'!C827)</f>
        <v>FACTORY2</v>
      </c>
      <c r="I827" s="24" t="str" cm="1">
        <f t="array" ref="I827">_xlfn.IFS($G827="UNKNOWN","UNKNOWN",OR($G827="FACTORY1",$G827="FACTORY2",$G827="FACTORY3"),"PLANT",TRUE,"SHARED")</f>
        <v>PLANT</v>
      </c>
      <c r="J827" s="24" t="str">
        <f>IF('query (2)'!D827="","UNKNOWN",IF(COUNTIF(Cleaning_Rules!$A$6:$A$11,TRIM('query (2)'!D827))&gt;0,"UNKNOWN",IFERROR(INDEX(Cleaning_Rules!$B$24:$B$28,MATCH(TRIM(UPPER('query (2)'!D827)),Cleaning_Rules!$A$24:$A$28,0)),TRIM(UPPER('query (2)'!D827)))))</f>
        <v>CR1</v>
      </c>
      <c r="K827" s="25" t="str">
        <f>IF('query (2)'!D827="","",'query (2)'!D827)</f>
        <v>CR1</v>
      </c>
      <c r="L827" s="24" t="str">
        <f>IF($J827="UNKNOWN","",_xlfn.TEXTBEFORE($J827,{"0","1","2","3","4","5","6","7","8","9"," ","-","."},1,,,$J827))</f>
        <v>CR</v>
      </c>
      <c r="M827" s="24" t="str">
        <f>IF('query (2)'!I827&lt;&gt;"",TRIM(UPPER('query (2)'!I827)),IF($L827="","UNKNOWN",$L827))</f>
        <v>CR</v>
      </c>
      <c r="N827" s="24" t="str">
        <f>IF('query (2)'!I827&lt;&gt;"","SOURCE",IF($L827="","UNKNOWN","DERIVED"))</f>
        <v>SOURCE</v>
      </c>
      <c r="O827" s="24" t="str">
        <f>IF('query (2)'!E827="","NOT_SPECIFIED",TRIM(UPPER('query (2)'!E827)))</f>
        <v>ASSEMBLY</v>
      </c>
      <c r="P827" s="24" t="str">
        <f>IF('query (2)'!F827="","",TRIM(UPPER('query (2)'!F827)))</f>
        <v>1609-CR1AI</v>
      </c>
      <c r="Q827" s="24" t="str">
        <f>IF('query (2)'!G827="","UNKNOWN",IFERROR(INDEX(Cleaning_Rules!$B$38:$B$46,MATCH(TRIM(UPPER('query (2)'!G827)),Cleaning_Rules!$A$38:$A$46,0)),"UNKNOWN"))</f>
        <v>ASSEMBLY</v>
      </c>
      <c r="R827" s="24" t="str">
        <f>IF('query (2)'!H827="","",TRIM(UPPER('query (2)'!H827)))</f>
        <v>SEAL PRESS NO.2</v>
      </c>
      <c r="S827" s="25" t="str">
        <f>IF('query (2)'!H827="","",'query (2)'!H827)</f>
        <v>Seal press No.2</v>
      </c>
      <c r="T827" s="24" t="str">
        <f>IF('query (2)'!J827="","",TRIM(UPPER('query (2)'!J827)))</f>
        <v>SEAL S3 PRESS</v>
      </c>
      <c r="U827" s="24" t="str">
        <f t="shared" si="87"/>
        <v/>
      </c>
      <c r="V827" s="24" t="str">
        <f>IF('query (2)'!K827="","NOT_SPECIFIED",IFERROR(INDEX(Cleaning_Rules!$B$32:$B$34,MATCH(TRIM(UPPER('query (2)'!K827)),Cleaning_Rules!$A$32:$A$34,0)),"UNKNOWN"))</f>
        <v>NOT_SPECIFIED</v>
      </c>
      <c r="W827" s="24" t="str">
        <f t="shared" si="88"/>
        <v>AS-1152 | FACTORY2 | CR1 | CR | ASSEMBLY | 1609-CR1AI | ASSEMBLY | SEAL PRESS NO.2 | SEAL S3 PRESS | NOT_SPECIFIED</v>
      </c>
      <c r="X827" s="24" t="str">
        <f t="shared" si="89"/>
        <v/>
      </c>
      <c r="Y827" s="24" t="str">
        <f t="shared" si="90"/>
        <v>MISSING_STATUS</v>
      </c>
    </row>
    <row r="828" spans="1:25" x14ac:dyDescent="0.3">
      <c r="A828" s="24" t="str">
        <f t="shared" si="84"/>
        <v>CH-1153#0827</v>
      </c>
      <c r="B828" s="24" t="str">
        <f>IF('query (2)'!B828="","",TRIM(UPPER('query (2)'!B828)))</f>
        <v>CH-1153</v>
      </c>
      <c r="C828" s="25" t="str">
        <f>IF('query (2)'!B828="","",'query (2)'!B828)</f>
        <v>CH-1153</v>
      </c>
      <c r="D828" s="24" t="str">
        <f t="shared" si="85"/>
        <v>CH</v>
      </c>
      <c r="E828" s="24">
        <f t="shared" si="86"/>
        <v>1</v>
      </c>
      <c r="F828" s="24">
        <f>IF('query (2)'!A828="","",IFERROR(VALUE('query (2)'!A828),""))</f>
        <v>850</v>
      </c>
      <c r="G828" s="24" t="str">
        <f>IF('query (2)'!C828="","UNKNOWN",IFERROR(INDEX(Cleaning_Rules!$B$15:$B$20,MATCH(TRIM(UPPER('query (2)'!C828)),Cleaning_Rules!$A$15:$A$20,0)),"UNKNOWN"))</f>
        <v>FACTORY2</v>
      </c>
      <c r="H828" s="25" t="str">
        <f>IF('query (2)'!C828="","",'query (2)'!C828)</f>
        <v>FACTORY2</v>
      </c>
      <c r="I828" s="24" t="str" cm="1">
        <f t="array" ref="I828">_xlfn.IFS($G828="UNKNOWN","UNKNOWN",OR($G828="FACTORY1",$G828="FACTORY2",$G828="FACTORY3"),"PLANT",TRUE,"SHARED")</f>
        <v>PLANT</v>
      </c>
      <c r="J828" s="24" t="str">
        <f>IF('query (2)'!D828="","UNKNOWN",IF(COUNTIF(Cleaning_Rules!$A$6:$A$11,TRIM('query (2)'!D828))&gt;0,"UNKNOWN",IFERROR(INDEX(Cleaning_Rules!$B$24:$B$28,MATCH(TRIM(UPPER('query (2)'!D828)),Cleaning_Rules!$A$24:$A$28,0)),TRIM(UPPER('query (2)'!D828)))))</f>
        <v>CR1</v>
      </c>
      <c r="K828" s="25" t="str">
        <f>IF('query (2)'!D828="","",'query (2)'!D828)</f>
        <v>CR1</v>
      </c>
      <c r="L828" s="24" t="str">
        <f>IF($J828="UNKNOWN","",_xlfn.TEXTBEFORE($J828,{"0","1","2","3","4","5","6","7","8","9"," ","-","."},1,,,$J828))</f>
        <v>CR</v>
      </c>
      <c r="M828" s="24" t="str">
        <f>IF('query (2)'!I828&lt;&gt;"",TRIM(UPPER('query (2)'!I828)),IF($L828="","UNKNOWN",$L828))</f>
        <v>CR</v>
      </c>
      <c r="N828" s="24" t="str">
        <f>IF('query (2)'!I828&lt;&gt;"","SOURCE",IF($L828="","UNKNOWN","DERIVED"))</f>
        <v>SOURCE</v>
      </c>
      <c r="O828" s="24" t="str">
        <f>IF('query (2)'!E828="","NOT_SPECIFIED",TRIM(UPPER('query (2)'!E828)))</f>
        <v>ASSEMBLY</v>
      </c>
      <c r="P828" s="24" t="str">
        <f>IF('query (2)'!F828="","",TRIM(UPPER('query (2)'!F828)))</f>
        <v>1609-CR1AI</v>
      </c>
      <c r="Q828" s="24" t="str">
        <f>IF('query (2)'!G828="","UNKNOWN",IFERROR(INDEX(Cleaning_Rules!$B$38:$B$46,MATCH(TRIM(UPPER('query (2)'!G828)),Cleaning_Rules!$A$38:$A$46,0)),"UNKNOWN"))</f>
        <v>CHECK</v>
      </c>
      <c r="R828" s="24" t="str">
        <f>IF('query (2)'!H828="","",TRIM(UPPER('query (2)'!H828)))</f>
        <v>SEAL POSITION CHECK</v>
      </c>
      <c r="S828" s="25" t="str">
        <f>IF('query (2)'!H828="","",'query (2)'!H828)</f>
        <v>Seal position check</v>
      </c>
      <c r="T828" s="24" t="str">
        <f>IF('query (2)'!J828="","",TRIM(UPPER('query (2)'!J828)))</f>
        <v>SEAL S3 CHECK</v>
      </c>
      <c r="U828" s="24" t="str">
        <f t="shared" si="87"/>
        <v/>
      </c>
      <c r="V828" s="24" t="str">
        <f>IF('query (2)'!K828="","NOT_SPECIFIED",IFERROR(INDEX(Cleaning_Rules!$B$32:$B$34,MATCH(TRIM(UPPER('query (2)'!K828)),Cleaning_Rules!$A$32:$A$34,0)),"UNKNOWN"))</f>
        <v>NOT_SPECIFIED</v>
      </c>
      <c r="W828" s="24" t="str">
        <f t="shared" si="88"/>
        <v>CH-1153 | FACTORY2 | CR1 | CR | ASSEMBLY | 1609-CR1AI | CHECK | SEAL POSITION CHECK | SEAL S3 CHECK | NOT_SPECIFIED</v>
      </c>
      <c r="X828" s="24" t="str">
        <f t="shared" si="89"/>
        <v/>
      </c>
      <c r="Y828" s="24" t="str">
        <f t="shared" si="90"/>
        <v>MISSING_STATUS</v>
      </c>
    </row>
    <row r="829" spans="1:25" x14ac:dyDescent="0.3">
      <c r="A829" s="24" t="str">
        <f t="shared" si="84"/>
        <v>CH-1154#0828</v>
      </c>
      <c r="B829" s="24" t="str">
        <f>IF('query (2)'!B829="","",TRIM(UPPER('query (2)'!B829)))</f>
        <v>CH-1154</v>
      </c>
      <c r="C829" s="25" t="str">
        <f>IF('query (2)'!B829="","",'query (2)'!B829)</f>
        <v>CH-1154</v>
      </c>
      <c r="D829" s="24" t="str">
        <f t="shared" si="85"/>
        <v>CH</v>
      </c>
      <c r="E829" s="24">
        <f t="shared" si="86"/>
        <v>1</v>
      </c>
      <c r="F829" s="24">
        <f>IF('query (2)'!A829="","",IFERROR(VALUE('query (2)'!A829),""))</f>
        <v>851</v>
      </c>
      <c r="G829" s="24" t="str">
        <f>IF('query (2)'!C829="","UNKNOWN",IFERROR(INDEX(Cleaning_Rules!$B$15:$B$20,MATCH(TRIM(UPPER('query (2)'!C829)),Cleaning_Rules!$A$15:$A$20,0)),"UNKNOWN"))</f>
        <v>FACTORY2</v>
      </c>
      <c r="H829" s="25" t="str">
        <f>IF('query (2)'!C829="","",'query (2)'!C829)</f>
        <v>FACTORY2</v>
      </c>
      <c r="I829" s="24" t="str" cm="1">
        <f t="array" ref="I829">_xlfn.IFS($G829="UNKNOWN","UNKNOWN",OR($G829="FACTORY1",$G829="FACTORY2",$G829="FACTORY3"),"PLANT",TRUE,"SHARED")</f>
        <v>PLANT</v>
      </c>
      <c r="J829" s="24" t="str">
        <f>IF('query (2)'!D829="","UNKNOWN",IF(COUNTIF(Cleaning_Rules!$A$6:$A$11,TRIM('query (2)'!D829))&gt;0,"UNKNOWN",IFERROR(INDEX(Cleaning_Rules!$B$24:$B$28,MATCH(TRIM(UPPER('query (2)'!D829)),Cleaning_Rules!$A$24:$A$28,0)),TRIM(UPPER('query (2)'!D829)))))</f>
        <v>CR1</v>
      </c>
      <c r="K829" s="25" t="str">
        <f>IF('query (2)'!D829="","",'query (2)'!D829)</f>
        <v>CR1</v>
      </c>
      <c r="L829" s="24" t="str">
        <f>IF($J829="UNKNOWN","",_xlfn.TEXTBEFORE($J829,{"0","1","2","3","4","5","6","7","8","9"," ","-","."},1,,,$J829))</f>
        <v>CR</v>
      </c>
      <c r="M829" s="24" t="str">
        <f>IF('query (2)'!I829&lt;&gt;"",TRIM(UPPER('query (2)'!I829)),IF($L829="","UNKNOWN",$L829))</f>
        <v>CR</v>
      </c>
      <c r="N829" s="24" t="str">
        <f>IF('query (2)'!I829&lt;&gt;"","SOURCE",IF($L829="","UNKNOWN","DERIVED"))</f>
        <v>SOURCE</v>
      </c>
      <c r="O829" s="24" t="str">
        <f>IF('query (2)'!E829="","NOT_SPECIFIED",TRIM(UPPER('query (2)'!E829)))</f>
        <v>ASSEMBLY</v>
      </c>
      <c r="P829" s="24" t="str">
        <f>IF('query (2)'!F829="","",TRIM(UPPER('query (2)'!F829)))</f>
        <v>1609-CR1AI</v>
      </c>
      <c r="Q829" s="24" t="str">
        <f>IF('query (2)'!G829="","UNKNOWN",IFERROR(INDEX(Cleaning_Rules!$B$38:$B$46,MATCH(TRIM(UPPER('query (2)'!G829)),Cleaning_Rules!$A$38:$A$46,0)),"UNKNOWN"))</f>
        <v>CHECK</v>
      </c>
      <c r="R829" s="24" t="str">
        <f>IF('query (2)'!H829="","",TRIM(UPPER('query (2)'!H829)))</f>
        <v>NOISE INSPECTION</v>
      </c>
      <c r="S829" s="25" t="str">
        <f>IF('query (2)'!H829="","",'query (2)'!H829)</f>
        <v>Noise inspection</v>
      </c>
      <c r="T829" s="24" t="str">
        <f>IF('query (2)'!J829="","",TRIM(UPPER('query (2)'!J829)))</f>
        <v>NOISE INSPECTION AUTO</v>
      </c>
      <c r="U829" s="24" t="str">
        <f t="shared" si="87"/>
        <v/>
      </c>
      <c r="V829" s="24" t="str">
        <f>IF('query (2)'!K829="","NOT_SPECIFIED",IFERROR(INDEX(Cleaning_Rules!$B$32:$B$34,MATCH(TRIM(UPPER('query (2)'!K829)),Cleaning_Rules!$A$32:$A$34,0)),"UNKNOWN"))</f>
        <v>NOT_SPECIFIED</v>
      </c>
      <c r="W829" s="24" t="str">
        <f t="shared" si="88"/>
        <v>CH-1154 | FACTORY2 | CR1 | CR | ASSEMBLY | 1609-CR1AI | CHECK | NOISE INSPECTION | NOISE INSPECTION AUTO | NOT_SPECIFIED</v>
      </c>
      <c r="X829" s="24" t="str">
        <f t="shared" si="89"/>
        <v/>
      </c>
      <c r="Y829" s="24" t="str">
        <f t="shared" si="90"/>
        <v>MISSING_STATUS</v>
      </c>
    </row>
    <row r="830" spans="1:25" x14ac:dyDescent="0.3">
      <c r="A830" s="24" t="str">
        <f t="shared" si="84"/>
        <v>CH-1155#0829</v>
      </c>
      <c r="B830" s="24" t="str">
        <f>IF('query (2)'!B830="","",TRIM(UPPER('query (2)'!B830)))</f>
        <v>CH-1155</v>
      </c>
      <c r="C830" s="25" t="str">
        <f>IF('query (2)'!B830="","",'query (2)'!B830)</f>
        <v>CH-1155</v>
      </c>
      <c r="D830" s="24" t="str">
        <f t="shared" si="85"/>
        <v>CH</v>
      </c>
      <c r="E830" s="24">
        <f t="shared" si="86"/>
        <v>1</v>
      </c>
      <c r="F830" s="24">
        <f>IF('query (2)'!A830="","",IFERROR(VALUE('query (2)'!A830),""))</f>
        <v>852</v>
      </c>
      <c r="G830" s="24" t="str">
        <f>IF('query (2)'!C830="","UNKNOWN",IFERROR(INDEX(Cleaning_Rules!$B$15:$B$20,MATCH(TRIM(UPPER('query (2)'!C830)),Cleaning_Rules!$A$15:$A$20,0)),"UNKNOWN"))</f>
        <v>FACTORY2</v>
      </c>
      <c r="H830" s="25" t="str">
        <f>IF('query (2)'!C830="","",'query (2)'!C830)</f>
        <v>FACTORY2</v>
      </c>
      <c r="I830" s="24" t="str" cm="1">
        <f t="array" ref="I830">_xlfn.IFS($G830="UNKNOWN","UNKNOWN",OR($G830="FACTORY1",$G830="FACTORY2",$G830="FACTORY3"),"PLANT",TRUE,"SHARED")</f>
        <v>PLANT</v>
      </c>
      <c r="J830" s="24" t="str">
        <f>IF('query (2)'!D830="","UNKNOWN",IF(COUNTIF(Cleaning_Rules!$A$6:$A$11,TRIM('query (2)'!D830))&gt;0,"UNKNOWN",IFERROR(INDEX(Cleaning_Rules!$B$24:$B$28,MATCH(TRIM(UPPER('query (2)'!D830)),Cleaning_Rules!$A$24:$A$28,0)),TRIM(UPPER('query (2)'!D830)))))</f>
        <v>TP3</v>
      </c>
      <c r="K830" s="25" t="str">
        <f>IF('query (2)'!D830="","",'query (2)'!D830)</f>
        <v>TP3</v>
      </c>
      <c r="L830" s="24" t="str">
        <f>IF($J830="UNKNOWN","",_xlfn.TEXTBEFORE($J830,{"0","1","2","3","4","5","6","7","8","9"," ","-","."},1,,,$J830))</f>
        <v>TP</v>
      </c>
      <c r="M830" s="24" t="str">
        <f>IF('query (2)'!I830&lt;&gt;"",TRIM(UPPER('query (2)'!I830)),IF($L830="","UNKNOWN",$L830))</f>
        <v>TP</v>
      </c>
      <c r="N830" s="24" t="str">
        <f>IF('query (2)'!I830&lt;&gt;"","SOURCE",IF($L830="","UNKNOWN","DERIVED"))</f>
        <v>SOURCE</v>
      </c>
      <c r="O830" s="24" t="str">
        <f>IF('query (2)'!E830="","NOT_SPECIFIED",TRIM(UPPER('query (2)'!E830)))</f>
        <v>ASSEMBLY</v>
      </c>
      <c r="P830" s="24" t="str">
        <f>IF('query (2)'!F830="","",TRIM(UPPER('query (2)'!F830)))</f>
        <v>1700-TP</v>
      </c>
      <c r="Q830" s="24" t="str">
        <f>IF('query (2)'!G830="","UNKNOWN",IFERROR(INDEX(Cleaning_Rules!$B$38:$B$46,MATCH(TRIM(UPPER('query (2)'!G830)),Cleaning_Rules!$A$38:$A$46,0)),"UNKNOWN"))</f>
        <v>CHECK</v>
      </c>
      <c r="R830" s="24" t="str">
        <f>IF('query (2)'!H830="","",TRIM(UPPER('query (2)'!H830)))</f>
        <v>NOISE MANUAL INSPECTION</v>
      </c>
      <c r="S830" s="25" t="str">
        <f>IF('query (2)'!H830="","",'query (2)'!H830)</f>
        <v>Noise manual inspection</v>
      </c>
      <c r="T830" s="24" t="str">
        <f>IF('query (2)'!J830="","",TRIM(UPPER('query (2)'!J830)))</f>
        <v>NOISE INSPECTION MANUAL</v>
      </c>
      <c r="U830" s="24" t="str">
        <f t="shared" si="87"/>
        <v/>
      </c>
      <c r="V830" s="24" t="str">
        <f>IF('query (2)'!K830="","NOT_SPECIFIED",IFERROR(INDEX(Cleaning_Rules!$B$32:$B$34,MATCH(TRIM(UPPER('query (2)'!K830)),Cleaning_Rules!$A$32:$A$34,0)),"UNKNOWN"))</f>
        <v>NOT_SPECIFIED</v>
      </c>
      <c r="W830" s="24" t="str">
        <f t="shared" si="88"/>
        <v>CH-1155 | FACTORY2 | TP3 | TP | ASSEMBLY | 1700-TP | CHECK | NOISE MANUAL INSPECTION | NOISE INSPECTION MANUAL | NOT_SPECIFIED</v>
      </c>
      <c r="X830" s="24" t="str">
        <f t="shared" si="89"/>
        <v/>
      </c>
      <c r="Y830" s="24" t="str">
        <f t="shared" si="90"/>
        <v>MISSING_STATUS</v>
      </c>
    </row>
    <row r="831" spans="1:25" x14ac:dyDescent="0.3">
      <c r="A831" s="24" t="str">
        <f t="shared" si="84"/>
        <v>CH-1156#0830</v>
      </c>
      <c r="B831" s="24" t="str">
        <f>IF('query (2)'!B831="","",TRIM(UPPER('query (2)'!B831)))</f>
        <v>CH-1156</v>
      </c>
      <c r="C831" s="25" t="str">
        <f>IF('query (2)'!B831="","",'query (2)'!B831)</f>
        <v>CH-1156</v>
      </c>
      <c r="D831" s="24" t="str">
        <f t="shared" si="85"/>
        <v>CH</v>
      </c>
      <c r="E831" s="24">
        <f t="shared" si="86"/>
        <v>1</v>
      </c>
      <c r="F831" s="24">
        <f>IF('query (2)'!A831="","",IFERROR(VALUE('query (2)'!A831),""))</f>
        <v>853</v>
      </c>
      <c r="G831" s="24" t="str">
        <f>IF('query (2)'!C831="","UNKNOWN",IFERROR(INDEX(Cleaning_Rules!$B$15:$B$20,MATCH(TRIM(UPPER('query (2)'!C831)),Cleaning_Rules!$A$15:$A$20,0)),"UNKNOWN"))</f>
        <v>FACTORY2</v>
      </c>
      <c r="H831" s="25" t="str">
        <f>IF('query (2)'!C831="","",'query (2)'!C831)</f>
        <v>FACTORY2</v>
      </c>
      <c r="I831" s="24" t="str" cm="1">
        <f t="array" ref="I831">_xlfn.IFS($G831="UNKNOWN","UNKNOWN",OR($G831="FACTORY1",$G831="FACTORY2",$G831="FACTORY3"),"PLANT",TRUE,"SHARED")</f>
        <v>PLANT</v>
      </c>
      <c r="J831" s="24" t="str">
        <f>IF('query (2)'!D831="","UNKNOWN",IF(COUNTIF(Cleaning_Rules!$A$6:$A$11,TRIM('query (2)'!D831))&gt;0,"UNKNOWN",IFERROR(INDEX(Cleaning_Rules!$B$24:$B$28,MATCH(TRIM(UPPER('query (2)'!D831)),Cleaning_Rules!$A$24:$A$28,0)),TRIM(UPPER('query (2)'!D831)))))</f>
        <v>CR1</v>
      </c>
      <c r="K831" s="25" t="str">
        <f>IF('query (2)'!D831="","",'query (2)'!D831)</f>
        <v>CR1</v>
      </c>
      <c r="L831" s="24" t="str">
        <f>IF($J831="UNKNOWN","",_xlfn.TEXTBEFORE($J831,{"0","1","2","3","4","5","6","7","8","9"," ","-","."},1,,,$J831))</f>
        <v>CR</v>
      </c>
      <c r="M831" s="24" t="str">
        <f>IF('query (2)'!I831&lt;&gt;"",TRIM(UPPER('query (2)'!I831)),IF($L831="","UNKNOWN",$L831))</f>
        <v>CR</v>
      </c>
      <c r="N831" s="24" t="str">
        <f>IF('query (2)'!I831&lt;&gt;"","SOURCE",IF($L831="","UNKNOWN","DERIVED"))</f>
        <v>SOURCE</v>
      </c>
      <c r="O831" s="24" t="str">
        <f>IF('query (2)'!E831="","NOT_SPECIFIED",TRIM(UPPER('query (2)'!E831)))</f>
        <v>ASSEMBLY</v>
      </c>
      <c r="P831" s="24" t="str">
        <f>IF('query (2)'!F831="","",TRIM(UPPER('query (2)'!F831)))</f>
        <v>1609-CR1AI</v>
      </c>
      <c r="Q831" s="24" t="str">
        <f>IF('query (2)'!G831="","UNKNOWN",IFERROR(INDEX(Cleaning_Rules!$B$38:$B$46,MATCH(TRIM(UPPER('query (2)'!G831)),Cleaning_Rules!$A$38:$A$46,0)),"UNKNOWN"))</f>
        <v>CHECK</v>
      </c>
      <c r="R831" s="24" t="str">
        <f>IF('query (2)'!H831="","",TRIM(UPPER('query (2)'!H831)))</f>
        <v>WEIGHT CHECKER</v>
      </c>
      <c r="S831" s="25" t="str">
        <f>IF('query (2)'!H831="","",'query (2)'!H831)</f>
        <v>Weight checker</v>
      </c>
      <c r="T831" s="24" t="str">
        <f>IF('query (2)'!J831="","",TRIM(UPPER('query (2)'!J831)))</f>
        <v>WEIGHT CHECKER</v>
      </c>
      <c r="U831" s="24" t="str">
        <f t="shared" si="87"/>
        <v/>
      </c>
      <c r="V831" s="24" t="str">
        <f>IF('query (2)'!K831="","NOT_SPECIFIED",IFERROR(INDEX(Cleaning_Rules!$B$32:$B$34,MATCH(TRIM(UPPER('query (2)'!K831)),Cleaning_Rules!$A$32:$A$34,0)),"UNKNOWN"))</f>
        <v>NOT_SPECIFIED</v>
      </c>
      <c r="W831" s="24" t="str">
        <f t="shared" si="88"/>
        <v>CH-1156 | FACTORY2 | CR1 | CR | ASSEMBLY | 1609-CR1AI | CHECK | WEIGHT CHECKER | WEIGHT CHECKER | NOT_SPECIFIED</v>
      </c>
      <c r="X831" s="24" t="str">
        <f t="shared" si="89"/>
        <v/>
      </c>
      <c r="Y831" s="24" t="str">
        <f t="shared" si="90"/>
        <v>MISSING_STATUS</v>
      </c>
    </row>
    <row r="832" spans="1:25" x14ac:dyDescent="0.3">
      <c r="A832" s="24" t="str">
        <f t="shared" si="84"/>
        <v>CH-1157#0831</v>
      </c>
      <c r="B832" s="24" t="str">
        <f>IF('query (2)'!B832="","",TRIM(UPPER('query (2)'!B832)))</f>
        <v>CH-1157</v>
      </c>
      <c r="C832" s="25" t="str">
        <f>IF('query (2)'!B832="","",'query (2)'!B832)</f>
        <v>CH-1157</v>
      </c>
      <c r="D832" s="24" t="str">
        <f t="shared" si="85"/>
        <v>CH</v>
      </c>
      <c r="E832" s="24">
        <f t="shared" si="86"/>
        <v>1</v>
      </c>
      <c r="F832" s="24">
        <f>IF('query (2)'!A832="","",IFERROR(VALUE('query (2)'!A832),""))</f>
        <v>854</v>
      </c>
      <c r="G832" s="24" t="str">
        <f>IF('query (2)'!C832="","UNKNOWN",IFERROR(INDEX(Cleaning_Rules!$B$15:$B$20,MATCH(TRIM(UPPER('query (2)'!C832)),Cleaning_Rules!$A$15:$A$20,0)),"UNKNOWN"))</f>
        <v>FACTORY2</v>
      </c>
      <c r="H832" s="25" t="str">
        <f>IF('query (2)'!C832="","",'query (2)'!C832)</f>
        <v>FACTORY2</v>
      </c>
      <c r="I832" s="24" t="str" cm="1">
        <f t="array" ref="I832">_xlfn.IFS($G832="UNKNOWN","UNKNOWN",OR($G832="FACTORY1",$G832="FACTORY2",$G832="FACTORY3"),"PLANT",TRUE,"SHARED")</f>
        <v>PLANT</v>
      </c>
      <c r="J832" s="24" t="str">
        <f>IF('query (2)'!D832="","UNKNOWN",IF(COUNTIF(Cleaning_Rules!$A$6:$A$11,TRIM('query (2)'!D832))&gt;0,"UNKNOWN",IFERROR(INDEX(Cleaning_Rules!$B$24:$B$28,MATCH(TRIM(UPPER('query (2)'!D832)),Cleaning_Rules!$A$24:$A$28,0)),TRIM(UPPER('query (2)'!D832)))))</f>
        <v>CR1</v>
      </c>
      <c r="K832" s="25" t="str">
        <f>IF('query (2)'!D832="","",'query (2)'!D832)</f>
        <v>CR1</v>
      </c>
      <c r="L832" s="24" t="str">
        <f>IF($J832="UNKNOWN","",_xlfn.TEXTBEFORE($J832,{"0","1","2","3","4","5","6","7","8","9"," ","-","."},1,,,$J832))</f>
        <v>CR</v>
      </c>
      <c r="M832" s="24" t="str">
        <f>IF('query (2)'!I832&lt;&gt;"",TRIM(UPPER('query (2)'!I832)),IF($L832="","UNKNOWN",$L832))</f>
        <v>CR</v>
      </c>
      <c r="N832" s="24" t="str">
        <f>IF('query (2)'!I832&lt;&gt;"","SOURCE",IF($L832="","UNKNOWN","DERIVED"))</f>
        <v>SOURCE</v>
      </c>
      <c r="O832" s="24" t="str">
        <f>IF('query (2)'!E832="","NOT_SPECIFIED",TRIM(UPPER('query (2)'!E832)))</f>
        <v>ASSEMBLY</v>
      </c>
      <c r="P832" s="24" t="str">
        <f>IF('query (2)'!F832="","",TRIM(UPPER('query (2)'!F832)))</f>
        <v>1609-CR1AI</v>
      </c>
      <c r="Q832" s="24" t="str">
        <f>IF('query (2)'!G832="","UNKNOWN",IFERROR(INDEX(Cleaning_Rules!$B$38:$B$46,MATCH(TRIM(UPPER('query (2)'!G832)),Cleaning_Rules!$A$38:$A$46,0)),"UNKNOWN"))</f>
        <v>CHECK</v>
      </c>
      <c r="R832" s="24" t="str">
        <f>IF('query (2)'!H832="","",TRIM(UPPER('query (2)'!H832)))</f>
        <v>BEARING VISUAL INSPECTION</v>
      </c>
      <c r="S832" s="25" t="str">
        <f>IF('query (2)'!H832="","",'query (2)'!H832)</f>
        <v>Bearing visual inspection</v>
      </c>
      <c r="T832" s="24" t="str">
        <f>IF('query (2)'!J832="","",TRIM(UPPER('query (2)'!J832)))</f>
        <v>VISUAL BEARING TABLE</v>
      </c>
      <c r="U832" s="24" t="str">
        <f t="shared" si="87"/>
        <v/>
      </c>
      <c r="V832" s="24" t="str">
        <f>IF('query (2)'!K832="","NOT_SPECIFIED",IFERROR(INDEX(Cleaning_Rules!$B$32:$B$34,MATCH(TRIM(UPPER('query (2)'!K832)),Cleaning_Rules!$A$32:$A$34,0)),"UNKNOWN"))</f>
        <v>NOT_SPECIFIED</v>
      </c>
      <c r="W832" s="24" t="str">
        <f t="shared" si="88"/>
        <v>CH-1157 | FACTORY2 | CR1 | CR | ASSEMBLY | 1609-CR1AI | CHECK | BEARING VISUAL INSPECTION | VISUAL BEARING TABLE | NOT_SPECIFIED</v>
      </c>
      <c r="X832" s="24" t="str">
        <f t="shared" si="89"/>
        <v/>
      </c>
      <c r="Y832" s="24" t="str">
        <f t="shared" si="90"/>
        <v>MISSING_STATUS</v>
      </c>
    </row>
    <row r="833" spans="1:25" x14ac:dyDescent="0.3">
      <c r="A833" s="24" t="str">
        <f t="shared" si="84"/>
        <v>CH-1158#0832</v>
      </c>
      <c r="B833" s="24" t="str">
        <f>IF('query (2)'!B833="","",TRIM(UPPER('query (2)'!B833)))</f>
        <v>CH-1158</v>
      </c>
      <c r="C833" s="25" t="str">
        <f>IF('query (2)'!B833="","",'query (2)'!B833)</f>
        <v>CH-1158</v>
      </c>
      <c r="D833" s="24" t="str">
        <f t="shared" si="85"/>
        <v>CH</v>
      </c>
      <c r="E833" s="24">
        <f t="shared" si="86"/>
        <v>1</v>
      </c>
      <c r="F833" s="24">
        <f>IF('query (2)'!A833="","",IFERROR(VALUE('query (2)'!A833),""))</f>
        <v>855</v>
      </c>
      <c r="G833" s="24" t="str">
        <f>IF('query (2)'!C833="","UNKNOWN",IFERROR(INDEX(Cleaning_Rules!$B$15:$B$20,MATCH(TRIM(UPPER('query (2)'!C833)),Cleaning_Rules!$A$15:$A$20,0)),"UNKNOWN"))</f>
        <v>FACTORY2</v>
      </c>
      <c r="H833" s="25" t="str">
        <f>IF('query (2)'!C833="","",'query (2)'!C833)</f>
        <v>FACTORY2</v>
      </c>
      <c r="I833" s="24" t="str" cm="1">
        <f t="array" ref="I833">_xlfn.IFS($G833="UNKNOWN","UNKNOWN",OR($G833="FACTORY1",$G833="FACTORY2",$G833="FACTORY3"),"PLANT",TRUE,"SHARED")</f>
        <v>PLANT</v>
      </c>
      <c r="J833" s="24" t="str">
        <f>IF('query (2)'!D833="","UNKNOWN",IF(COUNTIF(Cleaning_Rules!$A$6:$A$11,TRIM('query (2)'!D833))&gt;0,"UNKNOWN",IFERROR(INDEX(Cleaning_Rules!$B$24:$B$28,MATCH(TRIM(UPPER('query (2)'!D833)),Cleaning_Rules!$A$24:$A$28,0)),TRIM(UPPER('query (2)'!D833)))))</f>
        <v>CR1</v>
      </c>
      <c r="K833" s="25" t="str">
        <f>IF('query (2)'!D833="","",'query (2)'!D833)</f>
        <v>CR1</v>
      </c>
      <c r="L833" s="24" t="str">
        <f>IF($J833="UNKNOWN","",_xlfn.TEXTBEFORE($J833,{"0","1","2","3","4","5","6","7","8","9"," ","-","."},1,,,$J833))</f>
        <v>CR</v>
      </c>
      <c r="M833" s="24" t="str">
        <f>IF('query (2)'!I833&lt;&gt;"",TRIM(UPPER('query (2)'!I833)),IF($L833="","UNKNOWN",$L833))</f>
        <v>CR</v>
      </c>
      <c r="N833" s="24" t="str">
        <f>IF('query (2)'!I833&lt;&gt;"","SOURCE",IF($L833="","UNKNOWN","DERIVED"))</f>
        <v>SOURCE</v>
      </c>
      <c r="O833" s="24" t="str">
        <f>IF('query (2)'!E833="","NOT_SPECIFIED",TRIM(UPPER('query (2)'!E833)))</f>
        <v>ASSEMBLY</v>
      </c>
      <c r="P833" s="24" t="str">
        <f>IF('query (2)'!F833="","",TRIM(UPPER('query (2)'!F833)))</f>
        <v>1609-CR1AI</v>
      </c>
      <c r="Q833" s="24" t="str">
        <f>IF('query (2)'!G833="","UNKNOWN",IFERROR(INDEX(Cleaning_Rules!$B$38:$B$46,MATCH(TRIM(UPPER('query (2)'!G833)),Cleaning_Rules!$A$38:$A$46,0)),"UNKNOWN"))</f>
        <v>CHECK</v>
      </c>
      <c r="R833" s="24" t="str">
        <f>IF('query (2)'!H833="","",TRIM(UPPER('query (2)'!H833)))</f>
        <v>SPRING INSERT &amp; DRAG CHECK</v>
      </c>
      <c r="S833" s="25" t="str">
        <f>IF('query (2)'!H833="","",'query (2)'!H833)</f>
        <v>Spring insert &amp; Drag check</v>
      </c>
      <c r="T833" s="24" t="str">
        <f>IF('query (2)'!J833="","",TRIM(UPPER('query (2)'!J833)))</f>
        <v>SPRING PRESSS&amp;DRAG CHECK</v>
      </c>
      <c r="U833" s="24" t="str">
        <f t="shared" si="87"/>
        <v/>
      </c>
      <c r="V833" s="24" t="str">
        <f>IF('query (2)'!K833="","NOT_SPECIFIED",IFERROR(INDEX(Cleaning_Rules!$B$32:$B$34,MATCH(TRIM(UPPER('query (2)'!K833)),Cleaning_Rules!$A$32:$A$34,0)),"UNKNOWN"))</f>
        <v>NOT_SPECIFIED</v>
      </c>
      <c r="W833" s="24" t="str">
        <f t="shared" si="88"/>
        <v>CH-1158 | FACTORY2 | CR1 | CR | ASSEMBLY | 1609-CR1AI | CHECK | SPRING INSERT &amp; DRAG CHECK | SPRING PRESSS&amp;DRAG CHECK | NOT_SPECIFIED</v>
      </c>
      <c r="X833" s="24" t="str">
        <f t="shared" si="89"/>
        <v/>
      </c>
      <c r="Y833" s="24" t="str">
        <f t="shared" si="90"/>
        <v>MISSING_STATUS</v>
      </c>
    </row>
    <row r="834" spans="1:25" x14ac:dyDescent="0.3">
      <c r="A834" s="24" t="str">
        <f t="shared" si="84"/>
        <v>MA-1159#0833</v>
      </c>
      <c r="B834" s="24" t="str">
        <f>IF('query (2)'!B834="","",TRIM(UPPER('query (2)'!B834)))</f>
        <v>MA-1159</v>
      </c>
      <c r="C834" s="25" t="str">
        <f>IF('query (2)'!B834="","",'query (2)'!B834)</f>
        <v>MA-1159</v>
      </c>
      <c r="D834" s="24" t="str">
        <f t="shared" si="85"/>
        <v>MA</v>
      </c>
      <c r="E834" s="24">
        <f t="shared" si="86"/>
        <v>1</v>
      </c>
      <c r="F834" s="24">
        <f>IF('query (2)'!A834="","",IFERROR(VALUE('query (2)'!A834),""))</f>
        <v>856</v>
      </c>
      <c r="G834" s="24" t="str">
        <f>IF('query (2)'!C834="","UNKNOWN",IFERROR(INDEX(Cleaning_Rules!$B$15:$B$20,MATCH(TRIM(UPPER('query (2)'!C834)),Cleaning_Rules!$A$15:$A$20,0)),"UNKNOWN"))</f>
        <v>FACTORY2</v>
      </c>
      <c r="H834" s="25" t="str">
        <f>IF('query (2)'!C834="","",'query (2)'!C834)</f>
        <v>FACTORY2</v>
      </c>
      <c r="I834" s="24" t="str" cm="1">
        <f t="array" ref="I834">_xlfn.IFS($G834="UNKNOWN","UNKNOWN",OR($G834="FACTORY1",$G834="FACTORY2",$G834="FACTORY3"),"PLANT",TRUE,"SHARED")</f>
        <v>PLANT</v>
      </c>
      <c r="J834" s="24" t="str">
        <f>IF('query (2)'!D834="","UNKNOWN",IF(COUNTIF(Cleaning_Rules!$A$6:$A$11,TRIM('query (2)'!D834))&gt;0,"UNKNOWN",IFERROR(INDEX(Cleaning_Rules!$B$24:$B$28,MATCH(TRIM(UPPER('query (2)'!D834)),Cleaning_Rules!$A$24:$A$28,0)),TRIM(UPPER('query (2)'!D834)))))</f>
        <v>CR1</v>
      </c>
      <c r="K834" s="25" t="str">
        <f>IF('query (2)'!D834="","",'query (2)'!D834)</f>
        <v>CR1</v>
      </c>
      <c r="L834" s="24" t="str">
        <f>IF($J834="UNKNOWN","",_xlfn.TEXTBEFORE($J834,{"0","1","2","3","4","5","6","7","8","9"," ","-","."},1,,,$J834))</f>
        <v>CR</v>
      </c>
      <c r="M834" s="24" t="str">
        <f>IF('query (2)'!I834&lt;&gt;"",TRIM(UPPER('query (2)'!I834)),IF($L834="","UNKNOWN",$L834))</f>
        <v>CR</v>
      </c>
      <c r="N834" s="24" t="str">
        <f>IF('query (2)'!I834&lt;&gt;"","SOURCE",IF($L834="","UNKNOWN","DERIVED"))</f>
        <v>SOURCE</v>
      </c>
      <c r="O834" s="24" t="str">
        <f>IF('query (2)'!E834="","NOT_SPECIFIED",TRIM(UPPER('query (2)'!E834)))</f>
        <v>ASSEMBLY</v>
      </c>
      <c r="P834" s="24" t="str">
        <f>IF('query (2)'!F834="","",TRIM(UPPER('query (2)'!F834)))</f>
        <v>1609-CR1AI</v>
      </c>
      <c r="Q834" s="24" t="str">
        <f>IF('query (2)'!G834="","UNKNOWN",IFERROR(INDEX(Cleaning_Rules!$B$38:$B$46,MATCH(TRIM(UPPER('query (2)'!G834)),Cleaning_Rules!$A$38:$A$46,0)),"UNKNOWN"))</f>
        <v>OTHER</v>
      </c>
      <c r="R834" s="24" t="str">
        <f>IF('query (2)'!H834="","",TRIM(UPPER('query (2)'!H834)))</f>
        <v>LASER MARKING</v>
      </c>
      <c r="S834" s="25" t="str">
        <f>IF('query (2)'!H834="","",'query (2)'!H834)</f>
        <v>Laser marking</v>
      </c>
      <c r="T834" s="24" t="str">
        <f>IF('query (2)'!J834="","",TRIM(UPPER('query (2)'!J834)))</f>
        <v>LASER MARKING</v>
      </c>
      <c r="U834" s="24" t="str">
        <f t="shared" si="87"/>
        <v/>
      </c>
      <c r="V834" s="24" t="str">
        <f>IF('query (2)'!K834="","NOT_SPECIFIED",IFERROR(INDEX(Cleaning_Rules!$B$32:$B$34,MATCH(TRIM(UPPER('query (2)'!K834)),Cleaning_Rules!$A$32:$A$34,0)),"UNKNOWN"))</f>
        <v>NOT_SPECIFIED</v>
      </c>
      <c r="W834" s="24" t="str">
        <f t="shared" si="88"/>
        <v>MA-1159 | FACTORY2 | CR1 | CR | ASSEMBLY | 1609-CR1AI | OTHER | LASER MARKING | LASER MARKING | NOT_SPECIFIED</v>
      </c>
      <c r="X834" s="24" t="str">
        <f t="shared" si="89"/>
        <v/>
      </c>
      <c r="Y834" s="24" t="str">
        <f t="shared" si="90"/>
        <v>MISSING_STATUS; CATEGORY_NOT_USEFUL</v>
      </c>
    </row>
    <row r="835" spans="1:25" x14ac:dyDescent="0.3">
      <c r="A835" s="24" t="str">
        <f t="shared" ref="A835:A898" si="91">IF($B835="","NO_QR#"&amp;TEXT(ROW()-1,"0000"),$B835&amp;"#"&amp;TEXT(ROW()-1,"0000"))</f>
        <v>AS-1160#0834</v>
      </c>
      <c r="B835" s="24" t="str">
        <f>IF('query (2)'!B835="","",TRIM(UPPER('query (2)'!B835)))</f>
        <v>AS-1160</v>
      </c>
      <c r="C835" s="25" t="str">
        <f>IF('query (2)'!B835="","",'query (2)'!B835)</f>
        <v>AS-1160</v>
      </c>
      <c r="D835" s="24" t="str">
        <f t="shared" ref="D835:D898" si="92">IF($B835="","",IFERROR(_xlfn.TEXTBEFORE($B835,"-"),"NO_PREFIX"))</f>
        <v>AS</v>
      </c>
      <c r="E835" s="24">
        <f t="shared" ref="E835:E898" si="93">IF($B835="","",COUNTIF($B$2:$B$974,$B835))</f>
        <v>1</v>
      </c>
      <c r="F835" s="24">
        <f>IF('query (2)'!A835="","",IFERROR(VALUE('query (2)'!A835),""))</f>
        <v>857</v>
      </c>
      <c r="G835" s="24" t="str">
        <f>IF('query (2)'!C835="","UNKNOWN",IFERROR(INDEX(Cleaning_Rules!$B$15:$B$20,MATCH(TRIM(UPPER('query (2)'!C835)),Cleaning_Rules!$A$15:$A$20,0)),"UNKNOWN"))</f>
        <v>FACTORY2</v>
      </c>
      <c r="H835" s="25" t="str">
        <f>IF('query (2)'!C835="","",'query (2)'!C835)</f>
        <v>FACTORY2</v>
      </c>
      <c r="I835" s="24" t="str" cm="1">
        <f t="array" ref="I835">_xlfn.IFS($G835="UNKNOWN","UNKNOWN",OR($G835="FACTORY1",$G835="FACTORY2",$G835="FACTORY3"),"PLANT",TRUE,"SHARED")</f>
        <v>PLANT</v>
      </c>
      <c r="J835" s="24" t="str">
        <f>IF('query (2)'!D835="","UNKNOWN",IF(COUNTIF(Cleaning_Rules!$A$6:$A$11,TRIM('query (2)'!D835))&gt;0,"UNKNOWN",IFERROR(INDEX(Cleaning_Rules!$B$24:$B$28,MATCH(TRIM(UPPER('query (2)'!D835)),Cleaning_Rules!$A$24:$A$28,0)),TRIM(UPPER('query (2)'!D835)))))</f>
        <v>CR1</v>
      </c>
      <c r="K835" s="25" t="str">
        <f>IF('query (2)'!D835="","",'query (2)'!D835)</f>
        <v>CR1</v>
      </c>
      <c r="L835" s="24" t="str">
        <f>IF($J835="UNKNOWN","",_xlfn.TEXTBEFORE($J835,{"0","1","2","3","4","5","6","7","8","9"," ","-","."},1,,,$J835))</f>
        <v>CR</v>
      </c>
      <c r="M835" s="24" t="str">
        <f>IF('query (2)'!I835&lt;&gt;"",TRIM(UPPER('query (2)'!I835)),IF($L835="","UNKNOWN",$L835))</f>
        <v>CR</v>
      </c>
      <c r="N835" s="24" t="str">
        <f>IF('query (2)'!I835&lt;&gt;"","SOURCE",IF($L835="","UNKNOWN","DERIVED"))</f>
        <v>SOURCE</v>
      </c>
      <c r="O835" s="24" t="str">
        <f>IF('query (2)'!E835="","NOT_SPECIFIED",TRIM(UPPER('query (2)'!E835)))</f>
        <v>ASSEMBLY</v>
      </c>
      <c r="P835" s="24" t="str">
        <f>IF('query (2)'!F835="","",TRIM(UPPER('query (2)'!F835)))</f>
        <v>1609-CR1AI</v>
      </c>
      <c r="Q835" s="24" t="str">
        <f>IF('query (2)'!G835="","UNKNOWN",IFERROR(INDEX(Cleaning_Rules!$B$38:$B$46,MATCH(TRIM(UPPER('query (2)'!G835)),Cleaning_Rules!$A$38:$A$46,0)),"UNKNOWN"))</f>
        <v>ASSEMBLY</v>
      </c>
      <c r="R835" s="24" t="str">
        <f>IF('query (2)'!H835="","",TRIM(UPPER('query (2)'!H835)))</f>
        <v>CLIP ASSEMBLY TABLE</v>
      </c>
      <c r="S835" s="25" t="str">
        <f>IF('query (2)'!H835="","",'query (2)'!H835)</f>
        <v>Clip assembly table</v>
      </c>
      <c r="T835" s="24" t="str">
        <f>IF('query (2)'!J835="","",TRIM(UPPER('query (2)'!J835)))</f>
        <v>CLIP ASSY TABLE</v>
      </c>
      <c r="U835" s="24" t="str">
        <f t="shared" ref="U835:U898" si="94">IFERROR(IF(ISNUMBER(VALUE(MID($R835,SEARCH("(??-???)",$R835)+4,3))),MID($R835,SEARCH("(??-???)",$R835)+1,6),""),"")</f>
        <v/>
      </c>
      <c r="V835" s="24" t="str">
        <f>IF('query (2)'!K835="","NOT_SPECIFIED",IFERROR(INDEX(Cleaning_Rules!$B$32:$B$34,MATCH(TRIM(UPPER('query (2)'!K835)),Cleaning_Rules!$A$32:$A$34,0)),"UNKNOWN"))</f>
        <v>NOT_SPECIFIED</v>
      </c>
      <c r="W835" s="24" t="str">
        <f t="shared" ref="W835:W898" si="95">_xlfn.TEXTJOIN(" | ",TRUE,$B835,$G835,$J835,$M835,$O835,$P835,$Q835,$R835,$T835,$V835)</f>
        <v>AS-1160 | FACTORY2 | CR1 | CR | ASSEMBLY | 1609-CR1AI | ASSEMBLY | CLIP ASSEMBLY TABLE | CLIP ASSY TABLE | NOT_SPECIFIED</v>
      </c>
      <c r="X835" s="24" t="str">
        <f t="shared" ref="X835:X898" si="96">_xlfn.TEXTJOIN("; ",TRUE,IF($B835="","MISSING_QR",""),IF(N($E835)&gt;1,"DUPLICATE_QR",""),IF($F835="","MISSING_NO",""),IF($G835="UNKNOWN","MISSING_LOCATION",""),IF($J835="UNKNOWN","MISSING_DEPARTMENT",""),IF($N835="UNKNOWN","MISSING_SECTION",""),IF($O835="NOT_SPECIFIED","MISSING_RESPONSIBLE",""),IF($P835="","MISSING_COST_CENTER",""),IF($Q835="UNKNOWN","MISSING_CATEGORY",""),IF($R835="","MISSING_DESCRIPTION",""))</f>
        <v/>
      </c>
      <c r="Y835" s="24" t="str">
        <f t="shared" ref="Y835:Y898" si="97">_xlfn.TEXTJOIN("; ",TRUE,IF($V835="NOT_SPECIFIED","MISSING_STATUS",""),IF($Q835="OTHER","CATEGORY_NOT_USEFUL",""),IF($T835="","MISSING_PRODUCTION_NAME",""),IF($N835="DERIVED","SECTION_DERIVED",""))</f>
        <v>MISSING_STATUS</v>
      </c>
    </row>
    <row r="836" spans="1:25" x14ac:dyDescent="0.3">
      <c r="A836" s="24" t="str">
        <f t="shared" si="91"/>
        <v>AR-1161#0835</v>
      </c>
      <c r="B836" s="24" t="str">
        <f>IF('query (2)'!B836="","",TRIM(UPPER('query (2)'!B836)))</f>
        <v>AR-1161</v>
      </c>
      <c r="C836" s="25" t="str">
        <f>IF('query (2)'!B836="","",'query (2)'!B836)</f>
        <v>AR-1161</v>
      </c>
      <c r="D836" s="24" t="str">
        <f t="shared" si="92"/>
        <v>AR</v>
      </c>
      <c r="E836" s="24">
        <f t="shared" si="93"/>
        <v>1</v>
      </c>
      <c r="F836" s="24">
        <f>IF('query (2)'!A836="","",IFERROR(VALUE('query (2)'!A836),""))</f>
        <v>858</v>
      </c>
      <c r="G836" s="24" t="str">
        <f>IF('query (2)'!C836="","UNKNOWN",IFERROR(INDEX(Cleaning_Rules!$B$15:$B$20,MATCH(TRIM(UPPER('query (2)'!C836)),Cleaning_Rules!$A$15:$A$20,0)),"UNKNOWN"))</f>
        <v>FACTORY2</v>
      </c>
      <c r="H836" s="25" t="str">
        <f>IF('query (2)'!C836="","",'query (2)'!C836)</f>
        <v>FACTORY2</v>
      </c>
      <c r="I836" s="24" t="str" cm="1">
        <f t="array" ref="I836">_xlfn.IFS($G836="UNKNOWN","UNKNOWN",OR($G836="FACTORY1",$G836="FACTORY2",$G836="FACTORY3"),"PLANT",TRUE,"SHARED")</f>
        <v>PLANT</v>
      </c>
      <c r="J836" s="24" t="str">
        <f>IF('query (2)'!D836="","UNKNOWN",IF(COUNTIF(Cleaning_Rules!$A$6:$A$11,TRIM('query (2)'!D836))&gt;0,"UNKNOWN",IFERROR(INDEX(Cleaning_Rules!$B$24:$B$28,MATCH(TRIM(UPPER('query (2)'!D836)),Cleaning_Rules!$A$24:$A$28,0)),TRIM(UPPER('query (2)'!D836)))))</f>
        <v>CR1</v>
      </c>
      <c r="K836" s="25" t="str">
        <f>IF('query (2)'!D836="","",'query (2)'!D836)</f>
        <v>CR1</v>
      </c>
      <c r="L836" s="24" t="str">
        <f>IF($J836="UNKNOWN","",_xlfn.TEXTBEFORE($J836,{"0","1","2","3","4","5","6","7","8","9"," ","-","."},1,,,$J836))</f>
        <v>CR</v>
      </c>
      <c r="M836" s="24" t="str">
        <f>IF('query (2)'!I836&lt;&gt;"",TRIM(UPPER('query (2)'!I836)),IF($L836="","UNKNOWN",$L836))</f>
        <v>CR</v>
      </c>
      <c r="N836" s="24" t="str">
        <f>IF('query (2)'!I836&lt;&gt;"","SOURCE",IF($L836="","UNKNOWN","DERIVED"))</f>
        <v>SOURCE</v>
      </c>
      <c r="O836" s="24" t="str">
        <f>IF('query (2)'!E836="","NOT_SPECIFIED",TRIM(UPPER('query (2)'!E836)))</f>
        <v>ASSEMBLY</v>
      </c>
      <c r="P836" s="24" t="str">
        <f>IF('query (2)'!F836="","",TRIM(UPPER('query (2)'!F836)))</f>
        <v>1609-CR1AI</v>
      </c>
      <c r="Q836" s="24" t="str">
        <f>IF('query (2)'!G836="","UNKNOWN",IFERROR(INDEX(Cleaning_Rules!$B$38:$B$46,MATCH(TRIM(UPPER('query (2)'!G836)),Cleaning_Rules!$A$38:$A$46,0)),"UNKNOWN"))</f>
        <v>OTHER</v>
      </c>
      <c r="R836" s="24" t="str">
        <f>IF('query (2)'!H836="","",TRIM(UPPER('query (2)'!H836)))</f>
        <v>AUTO VISUAL &amp; ANTRI RUST</v>
      </c>
      <c r="S836" s="25" t="str">
        <f>IF('query (2)'!H836="","",'query (2)'!H836)</f>
        <v>Auto visual &amp; Antri rust</v>
      </c>
      <c r="T836" s="24" t="str">
        <f>IF('query (2)'!J836="","",TRIM(UPPER('query (2)'!J836)))</f>
        <v>AUTO VISUAL &amp; ANTI RUST AUTO</v>
      </c>
      <c r="U836" s="24" t="str">
        <f t="shared" si="94"/>
        <v/>
      </c>
      <c r="V836" s="24" t="str">
        <f>IF('query (2)'!K836="","NOT_SPECIFIED",IFERROR(INDEX(Cleaning_Rules!$B$32:$B$34,MATCH(TRIM(UPPER('query (2)'!K836)),Cleaning_Rules!$A$32:$A$34,0)),"UNKNOWN"))</f>
        <v>NOT_SPECIFIED</v>
      </c>
      <c r="W836" s="24" t="str">
        <f t="shared" si="95"/>
        <v>AR-1161 | FACTORY2 | CR1 | CR | ASSEMBLY | 1609-CR1AI | OTHER | AUTO VISUAL &amp; ANTRI RUST | AUTO VISUAL &amp; ANTI RUST AUTO | NOT_SPECIFIED</v>
      </c>
      <c r="X836" s="24" t="str">
        <f t="shared" si="96"/>
        <v/>
      </c>
      <c r="Y836" s="24" t="str">
        <f t="shared" si="97"/>
        <v>MISSING_STATUS; CATEGORY_NOT_USEFUL</v>
      </c>
    </row>
    <row r="837" spans="1:25" x14ac:dyDescent="0.3">
      <c r="A837" s="24" t="str">
        <f t="shared" si="91"/>
        <v>.#0836</v>
      </c>
      <c r="B837" s="24" t="str">
        <f>IF('query (2)'!B837="","",TRIM(UPPER('query (2)'!B837)))</f>
        <v>.</v>
      </c>
      <c r="C837" s="25" t="str">
        <f>IF('query (2)'!B837="","",'query (2)'!B837)</f>
        <v>.</v>
      </c>
      <c r="D837" s="24" t="str">
        <f t="shared" si="92"/>
        <v>NO_PREFIX</v>
      </c>
      <c r="E837" s="24">
        <f t="shared" si="93"/>
        <v>1</v>
      </c>
      <c r="F837" s="24">
        <f>IF('query (2)'!A837="","",IFERROR(VALUE('query (2)'!A837),""))</f>
        <v>0</v>
      </c>
      <c r="G837" s="24" t="str">
        <f>IF('query (2)'!C837="","UNKNOWN",IFERROR(INDEX(Cleaning_Rules!$B$15:$B$20,MATCH(TRIM(UPPER('query (2)'!C837)),Cleaning_Rules!$A$15:$A$20,0)),"UNKNOWN"))</f>
        <v>UNKNOWN</v>
      </c>
      <c r="H837" s="25" t="str">
        <f>IF('query (2)'!C837="","",'query (2)'!C837)</f>
        <v>.</v>
      </c>
      <c r="I837" s="24" t="str" cm="1">
        <f t="array" ref="I837">_xlfn.IFS($G837="UNKNOWN","UNKNOWN",OR($G837="FACTORY1",$G837="FACTORY2",$G837="FACTORY3"),"PLANT",TRUE,"SHARED")</f>
        <v>UNKNOWN</v>
      </c>
      <c r="J837" s="24" t="str">
        <f>IF('query (2)'!D837="","UNKNOWN",IF(COUNTIF(Cleaning_Rules!$A$6:$A$11,TRIM('query (2)'!D837))&gt;0,"UNKNOWN",IFERROR(INDEX(Cleaning_Rules!$B$24:$B$28,MATCH(TRIM(UPPER('query (2)'!D837)),Cleaning_Rules!$A$24:$A$28,0)),TRIM(UPPER('query (2)'!D837)))))</f>
        <v>UNKNOWN</v>
      </c>
      <c r="K837" s="25" t="str">
        <f>IF('query (2)'!D837="","",'query (2)'!D837)</f>
        <v>.</v>
      </c>
      <c r="L837" s="24" t="str">
        <f>IF($J837="UNKNOWN","",_xlfn.TEXTBEFORE($J837,{"0","1","2","3","4","5","6","7","8","9"," ","-","."},1,,,$J837))</f>
        <v/>
      </c>
      <c r="M837" s="24" t="str">
        <f>IF('query (2)'!I837&lt;&gt;"",TRIM(UPPER('query (2)'!I837)),IF($L837="","UNKNOWN",$L837))</f>
        <v>UNKNOWN</v>
      </c>
      <c r="N837" s="24" t="str">
        <f>IF('query (2)'!I837&lt;&gt;"","SOURCE",IF($L837="","UNKNOWN","DERIVED"))</f>
        <v>UNKNOWN</v>
      </c>
      <c r="O837" s="24" t="str">
        <f>IF('query (2)'!E837="","NOT_SPECIFIED",TRIM(UPPER('query (2)'!E837)))</f>
        <v>NOT_SPECIFIED</v>
      </c>
      <c r="P837" s="24" t="str">
        <f>IF('query (2)'!F837="","",TRIM(UPPER('query (2)'!F837)))</f>
        <v/>
      </c>
      <c r="Q837" s="24" t="str">
        <f>IF('query (2)'!G837="","UNKNOWN",IFERROR(INDEX(Cleaning_Rules!$B$38:$B$46,MATCH(TRIM(UPPER('query (2)'!G837)),Cleaning_Rules!$A$38:$A$46,0)),"UNKNOWN"))</f>
        <v>UNKNOWN</v>
      </c>
      <c r="R837" s="24" t="str">
        <f>IF('query (2)'!H837="","",TRIM(UPPER('query (2)'!H837)))</f>
        <v>.</v>
      </c>
      <c r="S837" s="25" t="str">
        <f>IF('query (2)'!H837="","",'query (2)'!H837)</f>
        <v>.</v>
      </c>
      <c r="T837" s="24" t="str">
        <f>IF('query (2)'!J837="","",TRIM(UPPER('query (2)'!J837)))</f>
        <v/>
      </c>
      <c r="U837" s="24" t="str">
        <f t="shared" si="94"/>
        <v/>
      </c>
      <c r="V837" s="24" t="str">
        <f>IF('query (2)'!K837="","NOT_SPECIFIED",IFERROR(INDEX(Cleaning_Rules!$B$32:$B$34,MATCH(TRIM(UPPER('query (2)'!K837)),Cleaning_Rules!$A$32:$A$34,0)),"UNKNOWN"))</f>
        <v>NOT_SPECIFIED</v>
      </c>
      <c r="W837" s="24" t="str">
        <f t="shared" si="95"/>
        <v>. | UNKNOWN | UNKNOWN | UNKNOWN | NOT_SPECIFIED | UNKNOWN | . | NOT_SPECIFIED</v>
      </c>
      <c r="X837" s="24" t="str">
        <f t="shared" si="96"/>
        <v>MISSING_LOCATION; MISSING_DEPARTMENT; MISSING_SECTION; MISSING_RESPONSIBLE; MISSING_COST_CENTER; MISSING_CATEGORY</v>
      </c>
      <c r="Y837" s="24" t="str">
        <f t="shared" si="97"/>
        <v>MISSING_STATUS; MISSING_PRODUCTION_NAME</v>
      </c>
    </row>
    <row r="838" spans="1:25" x14ac:dyDescent="0.3">
      <c r="A838" s="24" t="str">
        <f t="shared" si="91"/>
        <v>GR-1169#0837</v>
      </c>
      <c r="B838" s="24" t="str">
        <f>IF('query (2)'!B838="","",TRIM(UPPER('query (2)'!B838)))</f>
        <v>GR-1169</v>
      </c>
      <c r="C838" s="25" t="str">
        <f>IF('query (2)'!B838="","",'query (2)'!B838)</f>
        <v>GR-1169</v>
      </c>
      <c r="D838" s="24" t="str">
        <f t="shared" si="92"/>
        <v>GR</v>
      </c>
      <c r="E838" s="24">
        <f t="shared" si="93"/>
        <v>1</v>
      </c>
      <c r="F838" s="24">
        <f>IF('query (2)'!A838="","",IFERROR(VALUE('query (2)'!A838),""))</f>
        <v>859</v>
      </c>
      <c r="G838" s="24" t="str">
        <f>IF('query (2)'!C838="","UNKNOWN",IFERROR(INDEX(Cleaning_Rules!$B$15:$B$20,MATCH(TRIM(UPPER('query (2)'!C838)),Cleaning_Rules!$A$15:$A$20,0)),"UNKNOWN"))</f>
        <v>FACTORY2</v>
      </c>
      <c r="H838" s="25" t="str">
        <f>IF('query (2)'!C838="","",'query (2)'!C838)</f>
        <v>FACTORY2</v>
      </c>
      <c r="I838" s="24" t="str" cm="1">
        <f t="array" ref="I838">_xlfn.IFS($G838="UNKNOWN","UNKNOWN",OR($G838="FACTORY1",$G838="FACTORY2",$G838="FACTORY3"),"PLANT",TRUE,"SHARED")</f>
        <v>PLANT</v>
      </c>
      <c r="J838" s="24" t="str">
        <f>IF('query (2)'!D838="","UNKNOWN",IF(COUNTIF(Cleaning_Rules!$A$6:$A$11,TRIM('query (2)'!D838))&gt;0,"UNKNOWN",IFERROR(INDEX(Cleaning_Rules!$B$24:$B$28,MATCH(TRIM(UPPER('query (2)'!D838)),Cleaning_Rules!$A$24:$A$28,0)),TRIM(UPPER('query (2)'!D838)))))</f>
        <v>CR2</v>
      </c>
      <c r="K838" s="25" t="str">
        <f>IF('query (2)'!D838="","",'query (2)'!D838)</f>
        <v>CR2</v>
      </c>
      <c r="L838" s="24" t="str">
        <f>IF($J838="UNKNOWN","",_xlfn.TEXTBEFORE($J838,{"0","1","2","3","4","5","6","7","8","9"," ","-","."},1,,,$J838))</f>
        <v>CR</v>
      </c>
      <c r="M838" s="24" t="str">
        <f>IF('query (2)'!I838&lt;&gt;"",TRIM(UPPER('query (2)'!I838)),IF($L838="","UNKNOWN",$L838))</f>
        <v>CR</v>
      </c>
      <c r="N838" s="24" t="str">
        <f>IF('query (2)'!I838&lt;&gt;"","SOURCE",IF($L838="","UNKNOWN","DERIVED"))</f>
        <v>SOURCE</v>
      </c>
      <c r="O838" s="24" t="str">
        <f>IF('query (2)'!E838="","NOT_SPECIFIED",TRIM(UPPER('query (2)'!E838)))</f>
        <v>GRINDING 2</v>
      </c>
      <c r="P838" s="24" t="str">
        <f>IF('query (2)'!F838="","",TRIM(UPPER('query (2)'!F838)))</f>
        <v>1611-CR2G</v>
      </c>
      <c r="Q838" s="24" t="str">
        <f>IF('query (2)'!G838="","UNKNOWN",IFERROR(INDEX(Cleaning_Rules!$B$38:$B$46,MATCH(TRIM(UPPER('query (2)'!G838)),Cleaning_Rules!$A$38:$A$46,0)),"UNKNOWN"))</f>
        <v>GRINDING</v>
      </c>
      <c r="R838" s="24" t="str">
        <f>IF('query (2)'!H838="","",TRIM(UPPER('query (2)'!H838)))</f>
        <v>OUTER RING RACEWAY GRINDING MACHINE</v>
      </c>
      <c r="S838" s="25" t="str">
        <f>IF('query (2)'!H838="","",'query (2)'!H838)</f>
        <v>Outer ring raceway grinding machine</v>
      </c>
      <c r="T838" s="24" t="str">
        <f>IF('query (2)'!J838="","",TRIM(UPPER('query (2)'!J838)))</f>
        <v>A - RACEWAY GRINDING</v>
      </c>
      <c r="U838" s="24" t="str">
        <f t="shared" si="94"/>
        <v/>
      </c>
      <c r="V838" s="24" t="str">
        <f>IF('query (2)'!K838="","NOT_SPECIFIED",IFERROR(INDEX(Cleaning_Rules!$B$32:$B$34,MATCH(TRIM(UPPER('query (2)'!K838)),Cleaning_Rules!$A$32:$A$34,0)),"UNKNOWN"))</f>
        <v>NOT_SPECIFIED</v>
      </c>
      <c r="W838" s="24" t="str">
        <f t="shared" si="95"/>
        <v>GR-1169 | FACTORY2 | CR2 | CR | GRINDING 2 | 1611-CR2G | GRINDING | OUTER RING RACEWAY GRINDING MACHINE | A - RACEWAY GRINDING | NOT_SPECIFIED</v>
      </c>
      <c r="X838" s="24" t="str">
        <f t="shared" si="96"/>
        <v/>
      </c>
      <c r="Y838" s="24" t="str">
        <f t="shared" si="97"/>
        <v>MISSING_STATUS</v>
      </c>
    </row>
    <row r="839" spans="1:25" x14ac:dyDescent="0.3">
      <c r="A839" s="24" t="str">
        <f t="shared" si="91"/>
        <v>DE-1170#0838</v>
      </c>
      <c r="B839" s="24" t="str">
        <f>IF('query (2)'!B839="","",TRIM(UPPER('query (2)'!B839)))</f>
        <v>DE-1170</v>
      </c>
      <c r="C839" s="25" t="str">
        <f>IF('query (2)'!B839="","",'query (2)'!B839)</f>
        <v>DE-1170</v>
      </c>
      <c r="D839" s="24" t="str">
        <f t="shared" si="92"/>
        <v>DE</v>
      </c>
      <c r="E839" s="24">
        <f t="shared" si="93"/>
        <v>1</v>
      </c>
      <c r="F839" s="24">
        <f>IF('query (2)'!A839="","",IFERROR(VALUE('query (2)'!A839),""))</f>
        <v>860</v>
      </c>
      <c r="G839" s="24" t="str">
        <f>IF('query (2)'!C839="","UNKNOWN",IFERROR(INDEX(Cleaning_Rules!$B$15:$B$20,MATCH(TRIM(UPPER('query (2)'!C839)),Cleaning_Rules!$A$15:$A$20,0)),"UNKNOWN"))</f>
        <v>FACTORY2</v>
      </c>
      <c r="H839" s="25" t="str">
        <f>IF('query (2)'!C839="","",'query (2)'!C839)</f>
        <v>FACTORY2</v>
      </c>
      <c r="I839" s="24" t="str" cm="1">
        <f t="array" ref="I839">_xlfn.IFS($G839="UNKNOWN","UNKNOWN",OR($G839="FACTORY1",$G839="FACTORY2",$G839="FACTORY3"),"PLANT",TRUE,"SHARED")</f>
        <v>PLANT</v>
      </c>
      <c r="J839" s="24" t="str">
        <f>IF('query (2)'!D839="","UNKNOWN",IF(COUNTIF(Cleaning_Rules!$A$6:$A$11,TRIM('query (2)'!D839))&gt;0,"UNKNOWN",IFERROR(INDEX(Cleaning_Rules!$B$24:$B$28,MATCH(TRIM(UPPER('query (2)'!D839)),Cleaning_Rules!$A$24:$A$28,0)),TRIM(UPPER('query (2)'!D839)))))</f>
        <v>CR2</v>
      </c>
      <c r="K839" s="25" t="str">
        <f>IF('query (2)'!D839="","",'query (2)'!D839)</f>
        <v>CR2</v>
      </c>
      <c r="L839" s="24" t="str">
        <f>IF($J839="UNKNOWN","",_xlfn.TEXTBEFORE($J839,{"0","1","2","3","4","5","6","7","8","9"," ","-","."},1,,,$J839))</f>
        <v>CR</v>
      </c>
      <c r="M839" s="24" t="str">
        <f>IF('query (2)'!I839&lt;&gt;"",TRIM(UPPER('query (2)'!I839)),IF($L839="","UNKNOWN",$L839))</f>
        <v>CR</v>
      </c>
      <c r="N839" s="24" t="str">
        <f>IF('query (2)'!I839&lt;&gt;"","SOURCE",IF($L839="","UNKNOWN","DERIVED"))</f>
        <v>SOURCE</v>
      </c>
      <c r="O839" s="24" t="str">
        <f>IF('query (2)'!E839="","NOT_SPECIFIED",TRIM(UPPER('query (2)'!E839)))</f>
        <v>GRINDING 2</v>
      </c>
      <c r="P839" s="24" t="str">
        <f>IF('query (2)'!F839="","",TRIM(UPPER('query (2)'!F839)))</f>
        <v>1611-CR2G</v>
      </c>
      <c r="Q839" s="24" t="str">
        <f>IF('query (2)'!G839="","UNKNOWN",IFERROR(INDEX(Cleaning_Rules!$B$38:$B$46,MATCH(TRIM(UPPER('query (2)'!G839)),Cleaning_Rules!$A$38:$A$46,0)),"UNKNOWN"))</f>
        <v>DEMAGNETIZING MACHINE</v>
      </c>
      <c r="R839" s="24" t="str">
        <f>IF('query (2)'!H839="","",TRIM(UPPER('query (2)'!H839)))</f>
        <v>DEMAGNETIZING FOR OUTER RING</v>
      </c>
      <c r="S839" s="25" t="str">
        <f>IF('query (2)'!H839="","",'query (2)'!H839)</f>
        <v>Demagnetizing for outer ring</v>
      </c>
      <c r="T839" s="24" t="str">
        <f>IF('query (2)'!J839="","",TRIM(UPPER('query (2)'!J839)))</f>
        <v>A - DEMAGNETIZING</v>
      </c>
      <c r="U839" s="24" t="str">
        <f t="shared" si="94"/>
        <v/>
      </c>
      <c r="V839" s="24" t="str">
        <f>IF('query (2)'!K839="","NOT_SPECIFIED",IFERROR(INDEX(Cleaning_Rules!$B$32:$B$34,MATCH(TRIM(UPPER('query (2)'!K839)),Cleaning_Rules!$A$32:$A$34,0)),"UNKNOWN"))</f>
        <v>NOT_SPECIFIED</v>
      </c>
      <c r="W839" s="24" t="str">
        <f t="shared" si="95"/>
        <v>DE-1170 | FACTORY2 | CR2 | CR | GRINDING 2 | 1611-CR2G | DEMAGNETIZING MACHINE | DEMAGNETIZING FOR OUTER RING | A - DEMAGNETIZING | NOT_SPECIFIED</v>
      </c>
      <c r="X839" s="24" t="str">
        <f t="shared" si="96"/>
        <v/>
      </c>
      <c r="Y839" s="24" t="str">
        <f t="shared" si="97"/>
        <v>MISSING_STATUS</v>
      </c>
    </row>
    <row r="840" spans="1:25" x14ac:dyDescent="0.3">
      <c r="A840" s="24" t="str">
        <f t="shared" si="91"/>
        <v>GR-1171#0839</v>
      </c>
      <c r="B840" s="24" t="str">
        <f>IF('query (2)'!B840="","",TRIM(UPPER('query (2)'!B840)))</f>
        <v>GR-1171</v>
      </c>
      <c r="C840" s="25" t="str">
        <f>IF('query (2)'!B840="","",'query (2)'!B840)</f>
        <v>GR-1171</v>
      </c>
      <c r="D840" s="24" t="str">
        <f t="shared" si="92"/>
        <v>GR</v>
      </c>
      <c r="E840" s="24">
        <f t="shared" si="93"/>
        <v>1</v>
      </c>
      <c r="F840" s="24">
        <f>IF('query (2)'!A840="","",IFERROR(VALUE('query (2)'!A840),""))</f>
        <v>861</v>
      </c>
      <c r="G840" s="24" t="str">
        <f>IF('query (2)'!C840="","UNKNOWN",IFERROR(INDEX(Cleaning_Rules!$B$15:$B$20,MATCH(TRIM(UPPER('query (2)'!C840)),Cleaning_Rules!$A$15:$A$20,0)),"UNKNOWN"))</f>
        <v>FACTORY2</v>
      </c>
      <c r="H840" s="25" t="str">
        <f>IF('query (2)'!C840="","",'query (2)'!C840)</f>
        <v>FACTORY2</v>
      </c>
      <c r="I840" s="24" t="str" cm="1">
        <f t="array" ref="I840">_xlfn.IFS($G840="UNKNOWN","UNKNOWN",OR($G840="FACTORY1",$G840="FACTORY2",$G840="FACTORY3"),"PLANT",TRUE,"SHARED")</f>
        <v>PLANT</v>
      </c>
      <c r="J840" s="24" t="str">
        <f>IF('query (2)'!D840="","UNKNOWN",IF(COUNTIF(Cleaning_Rules!$A$6:$A$11,TRIM('query (2)'!D840))&gt;0,"UNKNOWN",IFERROR(INDEX(Cleaning_Rules!$B$24:$B$28,MATCH(TRIM(UPPER('query (2)'!D840)),Cleaning_Rules!$A$24:$A$28,0)),TRIM(UPPER('query (2)'!D840)))))</f>
        <v>CR2</v>
      </c>
      <c r="K840" s="25" t="str">
        <f>IF('query (2)'!D840="","",'query (2)'!D840)</f>
        <v>CR2</v>
      </c>
      <c r="L840" s="24" t="str">
        <f>IF($J840="UNKNOWN","",_xlfn.TEXTBEFORE($J840,{"0","1","2","3","4","5","6","7","8","9"," ","-","."},1,,,$J840))</f>
        <v>CR</v>
      </c>
      <c r="M840" s="24" t="str">
        <f>IF('query (2)'!I840&lt;&gt;"",TRIM(UPPER('query (2)'!I840)),IF($L840="","UNKNOWN",$L840))</f>
        <v>CR</v>
      </c>
      <c r="N840" s="24" t="str">
        <f>IF('query (2)'!I840&lt;&gt;"","SOURCE",IF($L840="","UNKNOWN","DERIVED"))</f>
        <v>SOURCE</v>
      </c>
      <c r="O840" s="24" t="str">
        <f>IF('query (2)'!E840="","NOT_SPECIFIED",TRIM(UPPER('query (2)'!E840)))</f>
        <v>GRINDING 2</v>
      </c>
      <c r="P840" s="24" t="str">
        <f>IF('query (2)'!F840="","",TRIM(UPPER('query (2)'!F840)))</f>
        <v>1611-CR2G</v>
      </c>
      <c r="Q840" s="24" t="str">
        <f>IF('query (2)'!G840="","UNKNOWN",IFERROR(INDEX(Cleaning_Rules!$B$38:$B$46,MATCH(TRIM(UPPER('query (2)'!G840)),Cleaning_Rules!$A$38:$A$46,0)),"UNKNOWN"))</f>
        <v>GRINDING</v>
      </c>
      <c r="R840" s="24" t="str">
        <f>IF('query (2)'!H840="","",TRIM(UPPER('query (2)'!H840)))</f>
        <v>OUTER RING RACEWAY SUPER FINISH MACHINE</v>
      </c>
      <c r="S840" s="25" t="str">
        <f>IF('query (2)'!H840="","",'query (2)'!H840)</f>
        <v>Outer ring raceway super finish machine</v>
      </c>
      <c r="T840" s="24" t="str">
        <f>IF('query (2)'!J840="","",TRIM(UPPER('query (2)'!J840)))</f>
        <v>A - RACEWAY SUPER FINISH</v>
      </c>
      <c r="U840" s="24" t="str">
        <f t="shared" si="94"/>
        <v/>
      </c>
      <c r="V840" s="24" t="str">
        <f>IF('query (2)'!K840="","NOT_SPECIFIED",IFERROR(INDEX(Cleaning_Rules!$B$32:$B$34,MATCH(TRIM(UPPER('query (2)'!K840)),Cleaning_Rules!$A$32:$A$34,0)),"UNKNOWN"))</f>
        <v>NOT_SPECIFIED</v>
      </c>
      <c r="W840" s="24" t="str">
        <f t="shared" si="95"/>
        <v>GR-1171 | FACTORY2 | CR2 | CR | GRINDING 2 | 1611-CR2G | GRINDING | OUTER RING RACEWAY SUPER FINISH MACHINE | A - RACEWAY SUPER FINISH | NOT_SPECIFIED</v>
      </c>
      <c r="X840" s="24" t="str">
        <f t="shared" si="96"/>
        <v/>
      </c>
      <c r="Y840" s="24" t="str">
        <f t="shared" si="97"/>
        <v>MISSING_STATUS</v>
      </c>
    </row>
    <row r="841" spans="1:25" x14ac:dyDescent="0.3">
      <c r="A841" s="24" t="str">
        <f t="shared" si="91"/>
        <v>GR-1203#0840</v>
      </c>
      <c r="B841" s="24" t="str">
        <f>IF('query (2)'!B841="","",TRIM(UPPER('query (2)'!B841)))</f>
        <v>GR-1203</v>
      </c>
      <c r="C841" s="25" t="str">
        <f>IF('query (2)'!B841="","",'query (2)'!B841)</f>
        <v>GR-1203</v>
      </c>
      <c r="D841" s="24" t="str">
        <f t="shared" si="92"/>
        <v>GR</v>
      </c>
      <c r="E841" s="24">
        <f t="shared" si="93"/>
        <v>1</v>
      </c>
      <c r="F841" s="24">
        <f>IF('query (2)'!A841="","",IFERROR(VALUE('query (2)'!A841),""))</f>
        <v>862</v>
      </c>
      <c r="G841" s="24" t="str">
        <f>IF('query (2)'!C841="","UNKNOWN",IFERROR(INDEX(Cleaning_Rules!$B$15:$B$20,MATCH(TRIM(UPPER('query (2)'!C841)),Cleaning_Rules!$A$15:$A$20,0)),"UNKNOWN"))</f>
        <v>FACTORY2</v>
      </c>
      <c r="H841" s="25" t="str">
        <f>IF('query (2)'!C841="","",'query (2)'!C841)</f>
        <v>FACTORY2</v>
      </c>
      <c r="I841" s="24" t="str" cm="1">
        <f t="array" ref="I841">_xlfn.IFS($G841="UNKNOWN","UNKNOWN",OR($G841="FACTORY1",$G841="FACTORY2",$G841="FACTORY3"),"PLANT",TRUE,"SHARED")</f>
        <v>PLANT</v>
      </c>
      <c r="J841" s="24" t="str">
        <f>IF('query (2)'!D841="","UNKNOWN",IF(COUNTIF(Cleaning_Rules!$A$6:$A$11,TRIM('query (2)'!D841))&gt;0,"UNKNOWN",IFERROR(INDEX(Cleaning_Rules!$B$24:$B$28,MATCH(TRIM(UPPER('query (2)'!D841)),Cleaning_Rules!$A$24:$A$28,0)),TRIM(UPPER('query (2)'!D841)))))</f>
        <v>CR2</v>
      </c>
      <c r="K841" s="25" t="str">
        <f>IF('query (2)'!D841="","",'query (2)'!D841)</f>
        <v>CR2</v>
      </c>
      <c r="L841" s="24" t="str">
        <f>IF($J841="UNKNOWN","",_xlfn.TEXTBEFORE($J841,{"0","1","2","3","4","5","6","7","8","9"," ","-","."},1,,,$J841))</f>
        <v>CR</v>
      </c>
      <c r="M841" s="24" t="str">
        <f>IF('query (2)'!I841&lt;&gt;"",TRIM(UPPER('query (2)'!I841)),IF($L841="","UNKNOWN",$L841))</f>
        <v>CR</v>
      </c>
      <c r="N841" s="24" t="str">
        <f>IF('query (2)'!I841&lt;&gt;"","SOURCE",IF($L841="","UNKNOWN","DERIVED"))</f>
        <v>SOURCE</v>
      </c>
      <c r="O841" s="24" t="str">
        <f>IF('query (2)'!E841="","NOT_SPECIFIED",TRIM(UPPER('query (2)'!E841)))</f>
        <v>GRINDING 2</v>
      </c>
      <c r="P841" s="24" t="str">
        <f>IF('query (2)'!F841="","",TRIM(UPPER('query (2)'!F841)))</f>
        <v>1611-CR2G</v>
      </c>
      <c r="Q841" s="24" t="str">
        <f>IF('query (2)'!G841="","UNKNOWN",IFERROR(INDEX(Cleaning_Rules!$B$38:$B$46,MATCH(TRIM(UPPER('query (2)'!G841)),Cleaning_Rules!$A$38:$A$46,0)),"UNKNOWN"))</f>
        <v>GRINDING</v>
      </c>
      <c r="R841" s="24" t="str">
        <f>IF('query (2)'!H841="","",TRIM(UPPER('query (2)'!H841)))</f>
        <v>INNER RING RACEWAY GRINDING MACHINE</v>
      </c>
      <c r="S841" s="25" t="str">
        <f>IF('query (2)'!H841="","",'query (2)'!H841)</f>
        <v>Inner ring raceway grinding machine</v>
      </c>
      <c r="T841" s="24" t="str">
        <f>IF('query (2)'!J841="","",TRIM(UPPER('query (2)'!J841)))</f>
        <v>B - RACEWAY GRINDING</v>
      </c>
      <c r="U841" s="24" t="str">
        <f t="shared" si="94"/>
        <v/>
      </c>
      <c r="V841" s="24" t="str">
        <f>IF('query (2)'!K841="","NOT_SPECIFIED",IFERROR(INDEX(Cleaning_Rules!$B$32:$B$34,MATCH(TRIM(UPPER('query (2)'!K841)),Cleaning_Rules!$A$32:$A$34,0)),"UNKNOWN"))</f>
        <v>NOT_SPECIFIED</v>
      </c>
      <c r="W841" s="24" t="str">
        <f t="shared" si="95"/>
        <v>GR-1203 | FACTORY2 | CR2 | CR | GRINDING 2 | 1611-CR2G | GRINDING | INNER RING RACEWAY GRINDING MACHINE | B - RACEWAY GRINDING | NOT_SPECIFIED</v>
      </c>
      <c r="X841" s="24" t="str">
        <f t="shared" si="96"/>
        <v/>
      </c>
      <c r="Y841" s="24" t="str">
        <f t="shared" si="97"/>
        <v>MISSING_STATUS</v>
      </c>
    </row>
    <row r="842" spans="1:25" x14ac:dyDescent="0.3">
      <c r="A842" s="24" t="str">
        <f t="shared" si="91"/>
        <v>DE-1173#0841</v>
      </c>
      <c r="B842" s="24" t="str">
        <f>IF('query (2)'!B842="","",TRIM(UPPER('query (2)'!B842)))</f>
        <v>DE-1173</v>
      </c>
      <c r="C842" s="25" t="str">
        <f>IF('query (2)'!B842="","",'query (2)'!B842)</f>
        <v>DE-1173</v>
      </c>
      <c r="D842" s="24" t="str">
        <f t="shared" si="92"/>
        <v>DE</v>
      </c>
      <c r="E842" s="24">
        <f t="shared" si="93"/>
        <v>1</v>
      </c>
      <c r="F842" s="24">
        <f>IF('query (2)'!A842="","",IFERROR(VALUE('query (2)'!A842),""))</f>
        <v>863</v>
      </c>
      <c r="G842" s="24" t="str">
        <f>IF('query (2)'!C842="","UNKNOWN",IFERROR(INDEX(Cleaning_Rules!$B$15:$B$20,MATCH(TRIM(UPPER('query (2)'!C842)),Cleaning_Rules!$A$15:$A$20,0)),"UNKNOWN"))</f>
        <v>FACTORY2</v>
      </c>
      <c r="H842" s="25" t="str">
        <f>IF('query (2)'!C842="","",'query (2)'!C842)</f>
        <v>FACTORY2</v>
      </c>
      <c r="I842" s="24" t="str" cm="1">
        <f t="array" ref="I842">_xlfn.IFS($G842="UNKNOWN","UNKNOWN",OR($G842="FACTORY1",$G842="FACTORY2",$G842="FACTORY3"),"PLANT",TRUE,"SHARED")</f>
        <v>PLANT</v>
      </c>
      <c r="J842" s="24" t="str">
        <f>IF('query (2)'!D842="","UNKNOWN",IF(COUNTIF(Cleaning_Rules!$A$6:$A$11,TRIM('query (2)'!D842))&gt;0,"UNKNOWN",IFERROR(INDEX(Cleaning_Rules!$B$24:$B$28,MATCH(TRIM(UPPER('query (2)'!D842)),Cleaning_Rules!$A$24:$A$28,0)),TRIM(UPPER('query (2)'!D842)))))</f>
        <v>CR2</v>
      </c>
      <c r="K842" s="25" t="str">
        <f>IF('query (2)'!D842="","",'query (2)'!D842)</f>
        <v>CR2</v>
      </c>
      <c r="L842" s="24" t="str">
        <f>IF($J842="UNKNOWN","",_xlfn.TEXTBEFORE($J842,{"0","1","2","3","4","5","6","7","8","9"," ","-","."},1,,,$J842))</f>
        <v>CR</v>
      </c>
      <c r="M842" s="24" t="str">
        <f>IF('query (2)'!I842&lt;&gt;"",TRIM(UPPER('query (2)'!I842)),IF($L842="","UNKNOWN",$L842))</f>
        <v>CR</v>
      </c>
      <c r="N842" s="24" t="str">
        <f>IF('query (2)'!I842&lt;&gt;"","SOURCE",IF($L842="","UNKNOWN","DERIVED"))</f>
        <v>SOURCE</v>
      </c>
      <c r="O842" s="24" t="str">
        <f>IF('query (2)'!E842="","NOT_SPECIFIED",TRIM(UPPER('query (2)'!E842)))</f>
        <v>GRINDING 2</v>
      </c>
      <c r="P842" s="24" t="str">
        <f>IF('query (2)'!F842="","",TRIM(UPPER('query (2)'!F842)))</f>
        <v>1611-CR2G</v>
      </c>
      <c r="Q842" s="24" t="str">
        <f>IF('query (2)'!G842="","UNKNOWN",IFERROR(INDEX(Cleaning_Rules!$B$38:$B$46,MATCH(TRIM(UPPER('query (2)'!G842)),Cleaning_Rules!$A$38:$A$46,0)),"UNKNOWN"))</f>
        <v>DEMAGNETIZING MACHINE</v>
      </c>
      <c r="R842" s="24" t="str">
        <f>IF('query (2)'!H842="","",TRIM(UPPER('query (2)'!H842)))</f>
        <v>DEMAGNETIZING FOR INNER RING</v>
      </c>
      <c r="S842" s="25" t="str">
        <f>IF('query (2)'!H842="","",'query (2)'!H842)</f>
        <v>Demagnetizing for inner ring</v>
      </c>
      <c r="T842" s="24" t="str">
        <f>IF('query (2)'!J842="","",TRIM(UPPER('query (2)'!J842)))</f>
        <v>B - DEMAGNETIZING</v>
      </c>
      <c r="U842" s="24" t="str">
        <f t="shared" si="94"/>
        <v/>
      </c>
      <c r="V842" s="24" t="str">
        <f>IF('query (2)'!K842="","NOT_SPECIFIED",IFERROR(INDEX(Cleaning_Rules!$B$32:$B$34,MATCH(TRIM(UPPER('query (2)'!K842)),Cleaning_Rules!$A$32:$A$34,0)),"UNKNOWN"))</f>
        <v>NOT_SPECIFIED</v>
      </c>
      <c r="W842" s="24" t="str">
        <f t="shared" si="95"/>
        <v>DE-1173 | FACTORY2 | CR2 | CR | GRINDING 2 | 1611-CR2G | DEMAGNETIZING MACHINE | DEMAGNETIZING FOR INNER RING | B - DEMAGNETIZING | NOT_SPECIFIED</v>
      </c>
      <c r="X842" s="24" t="str">
        <f t="shared" si="96"/>
        <v/>
      </c>
      <c r="Y842" s="24" t="str">
        <f t="shared" si="97"/>
        <v>MISSING_STATUS</v>
      </c>
    </row>
    <row r="843" spans="1:25" x14ac:dyDescent="0.3">
      <c r="A843" s="24" t="str">
        <f t="shared" si="91"/>
        <v>GR-1200#0842</v>
      </c>
      <c r="B843" s="24" t="str">
        <f>IF('query (2)'!B843="","",TRIM(UPPER('query (2)'!B843)))</f>
        <v>GR-1200</v>
      </c>
      <c r="C843" s="25" t="str">
        <f>IF('query (2)'!B843="","",'query (2)'!B843)</f>
        <v>GR-1200</v>
      </c>
      <c r="D843" s="24" t="str">
        <f t="shared" si="92"/>
        <v>GR</v>
      </c>
      <c r="E843" s="24">
        <f t="shared" si="93"/>
        <v>1</v>
      </c>
      <c r="F843" s="24">
        <f>IF('query (2)'!A843="","",IFERROR(VALUE('query (2)'!A843),""))</f>
        <v>864</v>
      </c>
      <c r="G843" s="24" t="str">
        <f>IF('query (2)'!C843="","UNKNOWN",IFERROR(INDEX(Cleaning_Rules!$B$15:$B$20,MATCH(TRIM(UPPER('query (2)'!C843)),Cleaning_Rules!$A$15:$A$20,0)),"UNKNOWN"))</f>
        <v>FACTORY2</v>
      </c>
      <c r="H843" s="25" t="str">
        <f>IF('query (2)'!C843="","",'query (2)'!C843)</f>
        <v>FACTORY2</v>
      </c>
      <c r="I843" s="24" t="str" cm="1">
        <f t="array" ref="I843">_xlfn.IFS($G843="UNKNOWN","UNKNOWN",OR($G843="FACTORY1",$G843="FACTORY2",$G843="FACTORY3"),"PLANT",TRUE,"SHARED")</f>
        <v>PLANT</v>
      </c>
      <c r="J843" s="24" t="str">
        <f>IF('query (2)'!D843="","UNKNOWN",IF(COUNTIF(Cleaning_Rules!$A$6:$A$11,TRIM('query (2)'!D843))&gt;0,"UNKNOWN",IFERROR(INDEX(Cleaning_Rules!$B$24:$B$28,MATCH(TRIM(UPPER('query (2)'!D843)),Cleaning_Rules!$A$24:$A$28,0)),TRIM(UPPER('query (2)'!D843)))))</f>
        <v>CR2</v>
      </c>
      <c r="K843" s="25" t="str">
        <f>IF('query (2)'!D843="","",'query (2)'!D843)</f>
        <v>CR2</v>
      </c>
      <c r="L843" s="24" t="str">
        <f>IF($J843="UNKNOWN","",_xlfn.TEXTBEFORE($J843,{"0","1","2","3","4","5","6","7","8","9"," ","-","."},1,,,$J843))</f>
        <v>CR</v>
      </c>
      <c r="M843" s="24" t="str">
        <f>IF('query (2)'!I843&lt;&gt;"",TRIM(UPPER('query (2)'!I843)),IF($L843="","UNKNOWN",$L843))</f>
        <v>CR</v>
      </c>
      <c r="N843" s="24" t="str">
        <f>IF('query (2)'!I843&lt;&gt;"","SOURCE",IF($L843="","UNKNOWN","DERIVED"))</f>
        <v>SOURCE</v>
      </c>
      <c r="O843" s="24" t="str">
        <f>IF('query (2)'!E843="","NOT_SPECIFIED",TRIM(UPPER('query (2)'!E843)))</f>
        <v>GRINDING 2</v>
      </c>
      <c r="P843" s="24" t="str">
        <f>IF('query (2)'!F843="","",TRIM(UPPER('query (2)'!F843)))</f>
        <v>1611-CR2G</v>
      </c>
      <c r="Q843" s="24" t="str">
        <f>IF('query (2)'!G843="","UNKNOWN",IFERROR(INDEX(Cleaning_Rules!$B$38:$B$46,MATCH(TRIM(UPPER('query (2)'!G843)),Cleaning_Rules!$A$38:$A$46,0)),"UNKNOWN"))</f>
        <v>GRINDING</v>
      </c>
      <c r="R843" s="24" t="str">
        <f>IF('query (2)'!H843="","",TRIM(UPPER('query (2)'!H843)))</f>
        <v>INNER RING RACEWAY SUPER FINISH MACHINE</v>
      </c>
      <c r="S843" s="25" t="str">
        <f>IF('query (2)'!H843="","",'query (2)'!H843)</f>
        <v>Inner ring raceway super finish machine</v>
      </c>
      <c r="T843" s="24" t="str">
        <f>IF('query (2)'!J843="","",TRIM(UPPER('query (2)'!J843)))</f>
        <v>B - RACEWAY SUPER FINISH</v>
      </c>
      <c r="U843" s="24" t="str">
        <f t="shared" si="94"/>
        <v/>
      </c>
      <c r="V843" s="24" t="str">
        <f>IF('query (2)'!K843="","NOT_SPECIFIED",IFERROR(INDEX(Cleaning_Rules!$B$32:$B$34,MATCH(TRIM(UPPER('query (2)'!K843)),Cleaning_Rules!$A$32:$A$34,0)),"UNKNOWN"))</f>
        <v>NOT_SPECIFIED</v>
      </c>
      <c r="W843" s="24" t="str">
        <f t="shared" si="95"/>
        <v>GR-1200 | FACTORY2 | CR2 | CR | GRINDING 2 | 1611-CR2G | GRINDING | INNER RING RACEWAY SUPER FINISH MACHINE | B - RACEWAY SUPER FINISH | NOT_SPECIFIED</v>
      </c>
      <c r="X843" s="24" t="str">
        <f t="shared" si="96"/>
        <v/>
      </c>
      <c r="Y843" s="24" t="str">
        <f t="shared" si="97"/>
        <v>MISSING_STATUS</v>
      </c>
    </row>
    <row r="844" spans="1:25" x14ac:dyDescent="0.3">
      <c r="A844" s="24" t="str">
        <f t="shared" si="91"/>
        <v>WA-1175#0843</v>
      </c>
      <c r="B844" s="24" t="str">
        <f>IF('query (2)'!B844="","",TRIM(UPPER('query (2)'!B844)))</f>
        <v>WA-1175</v>
      </c>
      <c r="C844" s="25" t="str">
        <f>IF('query (2)'!B844="","",'query (2)'!B844)</f>
        <v>WA-1175</v>
      </c>
      <c r="D844" s="24" t="str">
        <f t="shared" si="92"/>
        <v>WA</v>
      </c>
      <c r="E844" s="24">
        <f t="shared" si="93"/>
        <v>1</v>
      </c>
      <c r="F844" s="24">
        <f>IF('query (2)'!A844="","",IFERROR(VALUE('query (2)'!A844),""))</f>
        <v>865</v>
      </c>
      <c r="G844" s="24" t="str">
        <f>IF('query (2)'!C844="","UNKNOWN",IFERROR(INDEX(Cleaning_Rules!$B$15:$B$20,MATCH(TRIM(UPPER('query (2)'!C844)),Cleaning_Rules!$A$15:$A$20,0)),"UNKNOWN"))</f>
        <v>FACTORY2</v>
      </c>
      <c r="H844" s="25" t="str">
        <f>IF('query (2)'!C844="","",'query (2)'!C844)</f>
        <v>FACTORY2</v>
      </c>
      <c r="I844" s="24" t="str" cm="1">
        <f t="array" ref="I844">_xlfn.IFS($G844="UNKNOWN","UNKNOWN",OR($G844="FACTORY1",$G844="FACTORY2",$G844="FACTORY3"),"PLANT",TRUE,"SHARED")</f>
        <v>PLANT</v>
      </c>
      <c r="J844" s="24" t="str">
        <f>IF('query (2)'!D844="","UNKNOWN",IF(COUNTIF(Cleaning_Rules!$A$6:$A$11,TRIM('query (2)'!D844))&gt;0,"UNKNOWN",IFERROR(INDEX(Cleaning_Rules!$B$24:$B$28,MATCH(TRIM(UPPER('query (2)'!D844)),Cleaning_Rules!$A$24:$A$28,0)),TRIM(UPPER('query (2)'!D844)))))</f>
        <v>CR2</v>
      </c>
      <c r="K844" s="25" t="str">
        <f>IF('query (2)'!D844="","",'query (2)'!D844)</f>
        <v>CR2</v>
      </c>
      <c r="L844" s="24" t="str">
        <f>IF($J844="UNKNOWN","",_xlfn.TEXTBEFORE($J844,{"0","1","2","3","4","5","6","7","8","9"," ","-","."},1,,,$J844))</f>
        <v>CR</v>
      </c>
      <c r="M844" s="24" t="str">
        <f>IF('query (2)'!I844&lt;&gt;"",TRIM(UPPER('query (2)'!I844)),IF($L844="","UNKNOWN",$L844))</f>
        <v>CR</v>
      </c>
      <c r="N844" s="24" t="str">
        <f>IF('query (2)'!I844&lt;&gt;"","SOURCE",IF($L844="","UNKNOWN","DERIVED"))</f>
        <v>SOURCE</v>
      </c>
      <c r="O844" s="24" t="str">
        <f>IF('query (2)'!E844="","NOT_SPECIFIED",TRIM(UPPER('query (2)'!E844)))</f>
        <v>GRINDING 2</v>
      </c>
      <c r="P844" s="24" t="str">
        <f>IF('query (2)'!F844="","",TRIM(UPPER('query (2)'!F844)))</f>
        <v>1611-CR2G</v>
      </c>
      <c r="Q844" s="24" t="str">
        <f>IF('query (2)'!G844="","UNKNOWN",IFERROR(INDEX(Cleaning_Rules!$B$38:$B$46,MATCH(TRIM(UPPER('query (2)'!G844)),Cleaning_Rules!$A$38:$A$46,0)),"UNKNOWN"))</f>
        <v>WASHER</v>
      </c>
      <c r="R844" s="24" t="str">
        <f>IF('query (2)'!H844="","",TRIM(UPPER('query (2)'!H844)))</f>
        <v>OUTER RING PART WASH EQUIPMENT</v>
      </c>
      <c r="S844" s="25" t="str">
        <f>IF('query (2)'!H844="","",'query (2)'!H844)</f>
        <v>Outer ring Part wash equipment</v>
      </c>
      <c r="T844" s="24" t="str">
        <f>IF('query (2)'!J844="","",TRIM(UPPER('query (2)'!J844)))</f>
        <v>A&amp;B - PART WASH EQUIPMENT</v>
      </c>
      <c r="U844" s="24" t="str">
        <f t="shared" si="94"/>
        <v/>
      </c>
      <c r="V844" s="24" t="str">
        <f>IF('query (2)'!K844="","NOT_SPECIFIED",IFERROR(INDEX(Cleaning_Rules!$B$32:$B$34,MATCH(TRIM(UPPER('query (2)'!K844)),Cleaning_Rules!$A$32:$A$34,0)),"UNKNOWN"))</f>
        <v>NOT_SPECIFIED</v>
      </c>
      <c r="W844" s="24" t="str">
        <f t="shared" si="95"/>
        <v>WA-1175 | FACTORY2 | CR2 | CR | GRINDING 2 | 1611-CR2G | WASHER | OUTER RING PART WASH EQUIPMENT | A&amp;B - PART WASH EQUIPMENT | NOT_SPECIFIED</v>
      </c>
      <c r="X844" s="24" t="str">
        <f t="shared" si="96"/>
        <v/>
      </c>
      <c r="Y844" s="24" t="str">
        <f t="shared" si="97"/>
        <v>MISSING_STATUS</v>
      </c>
    </row>
    <row r="845" spans="1:25" x14ac:dyDescent="0.3">
      <c r="A845" s="24" t="str">
        <f t="shared" si="91"/>
        <v>CH-1176#0844</v>
      </c>
      <c r="B845" s="24" t="str">
        <f>IF('query (2)'!B845="","",TRIM(UPPER('query (2)'!B845)))</f>
        <v>CH-1176</v>
      </c>
      <c r="C845" s="25" t="str">
        <f>IF('query (2)'!B845="","",'query (2)'!B845)</f>
        <v>CH-1176</v>
      </c>
      <c r="D845" s="24" t="str">
        <f t="shared" si="92"/>
        <v>CH</v>
      </c>
      <c r="E845" s="24">
        <f t="shared" si="93"/>
        <v>1</v>
      </c>
      <c r="F845" s="24">
        <f>IF('query (2)'!A845="","",IFERROR(VALUE('query (2)'!A845),""))</f>
        <v>866</v>
      </c>
      <c r="G845" s="24" t="str">
        <f>IF('query (2)'!C845="","UNKNOWN",IFERROR(INDEX(Cleaning_Rules!$B$15:$B$20,MATCH(TRIM(UPPER('query (2)'!C845)),Cleaning_Rules!$A$15:$A$20,0)),"UNKNOWN"))</f>
        <v>FACTORY2</v>
      </c>
      <c r="H845" s="25" t="str">
        <f>IF('query (2)'!C845="","",'query (2)'!C845)</f>
        <v>FACTORY2</v>
      </c>
      <c r="I845" s="24" t="str" cm="1">
        <f t="array" ref="I845">_xlfn.IFS($G845="UNKNOWN","UNKNOWN",OR($G845="FACTORY1",$G845="FACTORY2",$G845="FACTORY3"),"PLANT",TRUE,"SHARED")</f>
        <v>PLANT</v>
      </c>
      <c r="J845" s="24" t="str">
        <f>IF('query (2)'!D845="","UNKNOWN",IF(COUNTIF(Cleaning_Rules!$A$6:$A$11,TRIM('query (2)'!D845))&gt;0,"UNKNOWN",IFERROR(INDEX(Cleaning_Rules!$B$24:$B$28,MATCH(TRIM(UPPER('query (2)'!D845)),Cleaning_Rules!$A$24:$A$28,0)),TRIM(UPPER('query (2)'!D845)))))</f>
        <v>CR2</v>
      </c>
      <c r="K845" s="25" t="str">
        <f>IF('query (2)'!D845="","",'query (2)'!D845)</f>
        <v>CR2</v>
      </c>
      <c r="L845" s="24" t="str">
        <f>IF($J845="UNKNOWN","",_xlfn.TEXTBEFORE($J845,{"0","1","2","3","4","5","6","7","8","9"," ","-","."},1,,,$J845))</f>
        <v>CR</v>
      </c>
      <c r="M845" s="24" t="str">
        <f>IF('query (2)'!I845&lt;&gt;"",TRIM(UPPER('query (2)'!I845)),IF($L845="","UNKNOWN",$L845))</f>
        <v>CR</v>
      </c>
      <c r="N845" s="24" t="str">
        <f>IF('query (2)'!I845&lt;&gt;"","SOURCE",IF($L845="","UNKNOWN","DERIVED"))</f>
        <v>SOURCE</v>
      </c>
      <c r="O845" s="24" t="str">
        <f>IF('query (2)'!E845="","NOT_SPECIFIED",TRIM(UPPER('query (2)'!E845)))</f>
        <v>GRINDING 2</v>
      </c>
      <c r="P845" s="24" t="str">
        <f>IF('query (2)'!F845="","",TRIM(UPPER('query (2)'!F845)))</f>
        <v>1611-CR2G</v>
      </c>
      <c r="Q845" s="24" t="str">
        <f>IF('query (2)'!G845="","UNKNOWN",IFERROR(INDEX(Cleaning_Rules!$B$38:$B$46,MATCH(TRIM(UPPER('query (2)'!G845)),Cleaning_Rules!$A$38:$A$46,0)),"UNKNOWN"))</f>
        <v>CHECK</v>
      </c>
      <c r="R845" s="24" t="str">
        <f>IF('query (2)'!H845="","",TRIM(UPPER('query (2)'!H845)))</f>
        <v>E.C.T.FOR INNER RING</v>
      </c>
      <c r="S845" s="25" t="str">
        <f>IF('query (2)'!H845="","",'query (2)'!H845)</f>
        <v>E.C.T.for inner ring</v>
      </c>
      <c r="T845" s="24" t="str">
        <f>IF('query (2)'!J845="","",TRIM(UPPER('query (2)'!J845)))</f>
        <v>A&amp;B - E.C.T.</v>
      </c>
      <c r="U845" s="24" t="str">
        <f t="shared" si="94"/>
        <v/>
      </c>
      <c r="V845" s="24" t="str">
        <f>IF('query (2)'!K845="","NOT_SPECIFIED",IFERROR(INDEX(Cleaning_Rules!$B$32:$B$34,MATCH(TRIM(UPPER('query (2)'!K845)),Cleaning_Rules!$A$32:$A$34,0)),"UNKNOWN"))</f>
        <v>NOT_SPECIFIED</v>
      </c>
      <c r="W845" s="24" t="str">
        <f t="shared" si="95"/>
        <v>CH-1176 | FACTORY2 | CR2 | CR | GRINDING 2 | 1611-CR2G | CHECK | E.C.T.FOR INNER RING | A&amp;B - E.C.T. | NOT_SPECIFIED</v>
      </c>
      <c r="X845" s="24" t="str">
        <f t="shared" si="96"/>
        <v/>
      </c>
      <c r="Y845" s="24" t="str">
        <f t="shared" si="97"/>
        <v>MISSING_STATUS</v>
      </c>
    </row>
    <row r="846" spans="1:25" x14ac:dyDescent="0.3">
      <c r="A846" s="24" t="str">
        <f t="shared" si="91"/>
        <v>AS-1177#0845</v>
      </c>
      <c r="B846" s="24" t="str">
        <f>IF('query (2)'!B846="","",TRIM(UPPER('query (2)'!B846)))</f>
        <v>AS-1177</v>
      </c>
      <c r="C846" s="25" t="str">
        <f>IF('query (2)'!B846="","",'query (2)'!B846)</f>
        <v>AS-1177</v>
      </c>
      <c r="D846" s="24" t="str">
        <f t="shared" si="92"/>
        <v>AS</v>
      </c>
      <c r="E846" s="24">
        <f t="shared" si="93"/>
        <v>1</v>
      </c>
      <c r="F846" s="24">
        <f>IF('query (2)'!A846="","",IFERROR(VALUE('query (2)'!A846),""))</f>
        <v>867</v>
      </c>
      <c r="G846" s="24" t="str">
        <f>IF('query (2)'!C846="","UNKNOWN",IFERROR(INDEX(Cleaning_Rules!$B$15:$B$20,MATCH(TRIM(UPPER('query (2)'!C846)),Cleaning_Rules!$A$15:$A$20,0)),"UNKNOWN"))</f>
        <v>FACTORY2</v>
      </c>
      <c r="H846" s="25" t="str">
        <f>IF('query (2)'!C846="","",'query (2)'!C846)</f>
        <v>FACTORY2</v>
      </c>
      <c r="I846" s="24" t="str" cm="1">
        <f t="array" ref="I846">_xlfn.IFS($G846="UNKNOWN","UNKNOWN",OR($G846="FACTORY1",$G846="FACTORY2",$G846="FACTORY3"),"PLANT",TRUE,"SHARED")</f>
        <v>PLANT</v>
      </c>
      <c r="J846" s="24" t="str">
        <f>IF('query (2)'!D846="","UNKNOWN",IF(COUNTIF(Cleaning_Rules!$A$6:$A$11,TRIM('query (2)'!D846))&gt;0,"UNKNOWN",IFERROR(INDEX(Cleaning_Rules!$B$24:$B$28,MATCH(TRIM(UPPER('query (2)'!D846)),Cleaning_Rules!$A$24:$A$28,0)),TRIM(UPPER('query (2)'!D846)))))</f>
        <v>CR2</v>
      </c>
      <c r="K846" s="25" t="str">
        <f>IF('query (2)'!D846="","",'query (2)'!D846)</f>
        <v>CR2</v>
      </c>
      <c r="L846" s="24" t="str">
        <f>IF($J846="UNKNOWN","",_xlfn.TEXTBEFORE($J846,{"0","1","2","3","4","5","6","7","8","9"," ","-","."},1,,,$J846))</f>
        <v>CR</v>
      </c>
      <c r="M846" s="24" t="str">
        <f>IF('query (2)'!I846&lt;&gt;"",TRIM(UPPER('query (2)'!I846)),IF($L846="","UNKNOWN",$L846))</f>
        <v>CR</v>
      </c>
      <c r="N846" s="24" t="str">
        <f>IF('query (2)'!I846&lt;&gt;"","SOURCE",IF($L846="","UNKNOWN","DERIVED"))</f>
        <v>SOURCE</v>
      </c>
      <c r="O846" s="24" t="str">
        <f>IF('query (2)'!E846="","NOT_SPECIFIED",TRIM(UPPER('query (2)'!E846)))</f>
        <v>ASSEMBLY</v>
      </c>
      <c r="P846" s="24" t="str">
        <f>IF('query (2)'!F846="","",TRIM(UPPER('query (2)'!F846)))</f>
        <v>1612-CR2AI</v>
      </c>
      <c r="Q846" s="24" t="str">
        <f>IF('query (2)'!G846="","UNKNOWN",IFERROR(INDEX(Cleaning_Rules!$B$38:$B$46,MATCH(TRIM(UPPER('query (2)'!G846)),Cleaning_Rules!$A$38:$A$46,0)),"UNKNOWN"))</f>
        <v>ASSEMBLY</v>
      </c>
      <c r="R846" s="24" t="str">
        <f>IF('query (2)'!H846="","",TRIM(UPPER('query (2)'!H846)))</f>
        <v>MATCHING &amp; BALL FILLING</v>
      </c>
      <c r="S846" s="25" t="str">
        <f>IF('query (2)'!H846="","",'query (2)'!H846)</f>
        <v>Matching &amp; Ball filling</v>
      </c>
      <c r="T846" s="24" t="str">
        <f>IF('query (2)'!J846="","",TRIM(UPPER('query (2)'!J846)))</f>
        <v>MATCHING</v>
      </c>
      <c r="U846" s="24" t="str">
        <f t="shared" si="94"/>
        <v/>
      </c>
      <c r="V846" s="24" t="str">
        <f>IF('query (2)'!K846="","NOT_SPECIFIED",IFERROR(INDEX(Cleaning_Rules!$B$32:$B$34,MATCH(TRIM(UPPER('query (2)'!K846)),Cleaning_Rules!$A$32:$A$34,0)),"UNKNOWN"))</f>
        <v>NOT_SPECIFIED</v>
      </c>
      <c r="W846" s="24" t="str">
        <f t="shared" si="95"/>
        <v>AS-1177 | FACTORY2 | CR2 | CR | ASSEMBLY | 1612-CR2AI | ASSEMBLY | MATCHING &amp; BALL FILLING | MATCHING | NOT_SPECIFIED</v>
      </c>
      <c r="X846" s="24" t="str">
        <f t="shared" si="96"/>
        <v/>
      </c>
      <c r="Y846" s="24" t="str">
        <f t="shared" si="97"/>
        <v>MISSING_STATUS</v>
      </c>
    </row>
    <row r="847" spans="1:25" x14ac:dyDescent="0.3">
      <c r="A847" s="24" t="str">
        <f t="shared" si="91"/>
        <v>AS-1178#0846</v>
      </c>
      <c r="B847" s="24" t="str">
        <f>IF('query (2)'!B847="","",TRIM(UPPER('query (2)'!B847)))</f>
        <v>AS-1178</v>
      </c>
      <c r="C847" s="25" t="str">
        <f>IF('query (2)'!B847="","",'query (2)'!B847)</f>
        <v>AS-1178</v>
      </c>
      <c r="D847" s="24" t="str">
        <f t="shared" si="92"/>
        <v>AS</v>
      </c>
      <c r="E847" s="24">
        <f t="shared" si="93"/>
        <v>1</v>
      </c>
      <c r="F847" s="24">
        <f>IF('query (2)'!A847="","",IFERROR(VALUE('query (2)'!A847),""))</f>
        <v>868</v>
      </c>
      <c r="G847" s="24" t="str">
        <f>IF('query (2)'!C847="","UNKNOWN",IFERROR(INDEX(Cleaning_Rules!$B$15:$B$20,MATCH(TRIM(UPPER('query (2)'!C847)),Cleaning_Rules!$A$15:$A$20,0)),"UNKNOWN"))</f>
        <v>FACTORY2</v>
      </c>
      <c r="H847" s="25" t="str">
        <f>IF('query (2)'!C847="","",'query (2)'!C847)</f>
        <v>FACTORY2</v>
      </c>
      <c r="I847" s="24" t="str" cm="1">
        <f t="array" ref="I847">_xlfn.IFS($G847="UNKNOWN","UNKNOWN",OR($G847="FACTORY1",$G847="FACTORY2",$G847="FACTORY3"),"PLANT",TRUE,"SHARED")</f>
        <v>PLANT</v>
      </c>
      <c r="J847" s="24" t="str">
        <f>IF('query (2)'!D847="","UNKNOWN",IF(COUNTIF(Cleaning_Rules!$A$6:$A$11,TRIM('query (2)'!D847))&gt;0,"UNKNOWN",IFERROR(INDEX(Cleaning_Rules!$B$24:$B$28,MATCH(TRIM(UPPER('query (2)'!D847)),Cleaning_Rules!$A$24:$A$28,0)),TRIM(UPPER('query (2)'!D847)))))</f>
        <v>CR2</v>
      </c>
      <c r="K847" s="25" t="str">
        <f>IF('query (2)'!D847="","",'query (2)'!D847)</f>
        <v>CR2</v>
      </c>
      <c r="L847" s="24" t="str">
        <f>IF($J847="UNKNOWN","",_xlfn.TEXTBEFORE($J847,{"0","1","2","3","4","5","6","7","8","9"," ","-","."},1,,,$J847))</f>
        <v>CR</v>
      </c>
      <c r="M847" s="24" t="str">
        <f>IF('query (2)'!I847&lt;&gt;"",TRIM(UPPER('query (2)'!I847)),IF($L847="","UNKNOWN",$L847))</f>
        <v>CR</v>
      </c>
      <c r="N847" s="24" t="str">
        <f>IF('query (2)'!I847&lt;&gt;"","SOURCE",IF($L847="","UNKNOWN","DERIVED"))</f>
        <v>SOURCE</v>
      </c>
      <c r="O847" s="24" t="str">
        <f>IF('query (2)'!E847="","NOT_SPECIFIED",TRIM(UPPER('query (2)'!E847)))</f>
        <v>ASSEMBLY</v>
      </c>
      <c r="P847" s="24" t="str">
        <f>IF('query (2)'!F847="","",TRIM(UPPER('query (2)'!F847)))</f>
        <v>1612-CR2AI</v>
      </c>
      <c r="Q847" s="24" t="str">
        <f>IF('query (2)'!G847="","UNKNOWN",IFERROR(INDEX(Cleaning_Rules!$B$38:$B$46,MATCH(TRIM(UPPER('query (2)'!G847)),Cleaning_Rules!$A$38:$A$46,0)),"UNKNOWN"))</f>
        <v>ASSEMBLY</v>
      </c>
      <c r="R847" s="24" t="str">
        <f>IF('query (2)'!H847="","",TRIM(UPPER('query (2)'!H847)))</f>
        <v>ACD. ASSEMBLY+BALL HOPPER</v>
      </c>
      <c r="S847" s="25" t="str">
        <f>IF('query (2)'!H847="","",'query (2)'!H847)</f>
        <v>ACD. Assembly+Ball hopper</v>
      </c>
      <c r="T847" s="24" t="str">
        <f>IF('query (2)'!J847="","",TRIM(UPPER('query (2)'!J847)))</f>
        <v>ACD ASSEMBLY</v>
      </c>
      <c r="U847" s="24" t="str">
        <f t="shared" si="94"/>
        <v/>
      </c>
      <c r="V847" s="24" t="str">
        <f>IF('query (2)'!K847="","NOT_SPECIFIED",IFERROR(INDEX(Cleaning_Rules!$B$32:$B$34,MATCH(TRIM(UPPER('query (2)'!K847)),Cleaning_Rules!$A$32:$A$34,0)),"UNKNOWN"))</f>
        <v>NOT_SPECIFIED</v>
      </c>
      <c r="W847" s="24" t="str">
        <f t="shared" si="95"/>
        <v>AS-1178 | FACTORY2 | CR2 | CR | ASSEMBLY | 1612-CR2AI | ASSEMBLY | ACD. ASSEMBLY+BALL HOPPER | ACD ASSEMBLY | NOT_SPECIFIED</v>
      </c>
      <c r="X847" s="24" t="str">
        <f t="shared" si="96"/>
        <v/>
      </c>
      <c r="Y847" s="24" t="str">
        <f t="shared" si="97"/>
        <v>MISSING_STATUS</v>
      </c>
    </row>
    <row r="848" spans="1:25" x14ac:dyDescent="0.3">
      <c r="A848" s="24" t="str">
        <f t="shared" si="91"/>
        <v>WA-1179#0847</v>
      </c>
      <c r="B848" s="24" t="str">
        <f>IF('query (2)'!B848="","",TRIM(UPPER('query (2)'!B848)))</f>
        <v>WA-1179</v>
      </c>
      <c r="C848" s="25" t="str">
        <f>IF('query (2)'!B848="","",'query (2)'!B848)</f>
        <v>WA-1179</v>
      </c>
      <c r="D848" s="24" t="str">
        <f t="shared" si="92"/>
        <v>WA</v>
      </c>
      <c r="E848" s="24">
        <f t="shared" si="93"/>
        <v>1</v>
      </c>
      <c r="F848" s="24">
        <f>IF('query (2)'!A848="","",IFERROR(VALUE('query (2)'!A848),""))</f>
        <v>869</v>
      </c>
      <c r="G848" s="24" t="str">
        <f>IF('query (2)'!C848="","UNKNOWN",IFERROR(INDEX(Cleaning_Rules!$B$15:$B$20,MATCH(TRIM(UPPER('query (2)'!C848)),Cleaning_Rules!$A$15:$A$20,0)),"UNKNOWN"))</f>
        <v>FACTORY2</v>
      </c>
      <c r="H848" s="25" t="str">
        <f>IF('query (2)'!C848="","",'query (2)'!C848)</f>
        <v>FACTORY2</v>
      </c>
      <c r="I848" s="24" t="str" cm="1">
        <f t="array" ref="I848">_xlfn.IFS($G848="UNKNOWN","UNKNOWN",OR($G848="FACTORY1",$G848="FACTORY2",$G848="FACTORY3"),"PLANT",TRUE,"SHARED")</f>
        <v>PLANT</v>
      </c>
      <c r="J848" s="24" t="str">
        <f>IF('query (2)'!D848="","UNKNOWN",IF(COUNTIF(Cleaning_Rules!$A$6:$A$11,TRIM('query (2)'!D848))&gt;0,"UNKNOWN",IFERROR(INDEX(Cleaning_Rules!$B$24:$B$28,MATCH(TRIM(UPPER('query (2)'!D848)),Cleaning_Rules!$A$24:$A$28,0)),TRIM(UPPER('query (2)'!D848)))))</f>
        <v>CR2</v>
      </c>
      <c r="K848" s="25" t="str">
        <f>IF('query (2)'!D848="","",'query (2)'!D848)</f>
        <v>CR2</v>
      </c>
      <c r="L848" s="24" t="str">
        <f>IF($J848="UNKNOWN","",_xlfn.TEXTBEFORE($J848,{"0","1","2","3","4","5","6","7","8","9"," ","-","."},1,,,$J848))</f>
        <v>CR</v>
      </c>
      <c r="M848" s="24" t="str">
        <f>IF('query (2)'!I848&lt;&gt;"",TRIM(UPPER('query (2)'!I848)),IF($L848="","UNKNOWN",$L848))</f>
        <v>CR</v>
      </c>
      <c r="N848" s="24" t="str">
        <f>IF('query (2)'!I848&lt;&gt;"","SOURCE",IF($L848="","UNKNOWN","DERIVED"))</f>
        <v>SOURCE</v>
      </c>
      <c r="O848" s="24" t="str">
        <f>IF('query (2)'!E848="","NOT_SPECIFIED",TRIM(UPPER('query (2)'!E848)))</f>
        <v>ASSEMBLY</v>
      </c>
      <c r="P848" s="24" t="str">
        <f>IF('query (2)'!F848="","",TRIM(UPPER('query (2)'!F848)))</f>
        <v>1612-CR2AI</v>
      </c>
      <c r="Q848" s="24" t="str">
        <f>IF('query (2)'!G848="","UNKNOWN",IFERROR(INDEX(Cleaning_Rules!$B$38:$B$46,MATCH(TRIM(UPPER('query (2)'!G848)),Cleaning_Rules!$A$38:$A$46,0)),"UNKNOWN"))</f>
        <v>ASSEMBLY</v>
      </c>
      <c r="R848" s="24" t="str">
        <f>IF('query (2)'!H848="","",TRIM(UPPER('query (2)'!H848)))</f>
        <v>DEOILER</v>
      </c>
      <c r="S848" s="25" t="str">
        <f>IF('query (2)'!H848="","",'query (2)'!H848)</f>
        <v>Deoiler</v>
      </c>
      <c r="T848" s="24" t="str">
        <f>IF('query (2)'!J848="","",TRIM(UPPER('query (2)'!J848)))</f>
        <v>DEOILER</v>
      </c>
      <c r="U848" s="24" t="str">
        <f t="shared" si="94"/>
        <v/>
      </c>
      <c r="V848" s="24" t="str">
        <f>IF('query (2)'!K848="","NOT_SPECIFIED",IFERROR(INDEX(Cleaning_Rules!$B$32:$B$34,MATCH(TRIM(UPPER('query (2)'!K848)),Cleaning_Rules!$A$32:$A$34,0)),"UNKNOWN"))</f>
        <v>NOT_SPECIFIED</v>
      </c>
      <c r="W848" s="24" t="str">
        <f t="shared" si="95"/>
        <v>WA-1179 | FACTORY2 | CR2 | CR | ASSEMBLY | 1612-CR2AI | ASSEMBLY | DEOILER | DEOILER | NOT_SPECIFIED</v>
      </c>
      <c r="X848" s="24" t="str">
        <f t="shared" si="96"/>
        <v/>
      </c>
      <c r="Y848" s="24" t="str">
        <f t="shared" si="97"/>
        <v>MISSING_STATUS</v>
      </c>
    </row>
    <row r="849" spans="1:25" x14ac:dyDescent="0.3">
      <c r="A849" s="24" t="str">
        <f t="shared" si="91"/>
        <v>AS-1180#0848</v>
      </c>
      <c r="B849" s="24" t="str">
        <f>IF('query (2)'!B849="","",TRIM(UPPER('query (2)'!B849)))</f>
        <v>AS-1180</v>
      </c>
      <c r="C849" s="25" t="str">
        <f>IF('query (2)'!B849="","",'query (2)'!B849)</f>
        <v>AS-1180</v>
      </c>
      <c r="D849" s="24" t="str">
        <f t="shared" si="92"/>
        <v>AS</v>
      </c>
      <c r="E849" s="24">
        <f t="shared" si="93"/>
        <v>1</v>
      </c>
      <c r="F849" s="24">
        <f>IF('query (2)'!A849="","",IFERROR(VALUE('query (2)'!A849),""))</f>
        <v>870</v>
      </c>
      <c r="G849" s="24" t="str">
        <f>IF('query (2)'!C849="","UNKNOWN",IFERROR(INDEX(Cleaning_Rules!$B$15:$B$20,MATCH(TRIM(UPPER('query (2)'!C849)),Cleaning_Rules!$A$15:$A$20,0)),"UNKNOWN"))</f>
        <v>FACTORY2</v>
      </c>
      <c r="H849" s="25" t="str">
        <f>IF('query (2)'!C849="","",'query (2)'!C849)</f>
        <v>FACTORY2</v>
      </c>
      <c r="I849" s="24" t="str" cm="1">
        <f t="array" ref="I849">_xlfn.IFS($G849="UNKNOWN","UNKNOWN",OR($G849="FACTORY1",$G849="FACTORY2",$G849="FACTORY3"),"PLANT",TRUE,"SHARED")</f>
        <v>PLANT</v>
      </c>
      <c r="J849" s="24" t="str">
        <f>IF('query (2)'!D849="","UNKNOWN",IF(COUNTIF(Cleaning_Rules!$A$6:$A$11,TRIM('query (2)'!D849))&gt;0,"UNKNOWN",IFERROR(INDEX(Cleaning_Rules!$B$24:$B$28,MATCH(TRIM(UPPER('query (2)'!D849)),Cleaning_Rules!$A$24:$A$28,0)),TRIM(UPPER('query (2)'!D849)))))</f>
        <v>CR2</v>
      </c>
      <c r="K849" s="25" t="str">
        <f>IF('query (2)'!D849="","",'query (2)'!D849)</f>
        <v>CR2</v>
      </c>
      <c r="L849" s="24" t="str">
        <f>IF($J849="UNKNOWN","",_xlfn.TEXTBEFORE($J849,{"0","1","2","3","4","5","6","7","8","9"," ","-","."},1,,,$J849))</f>
        <v>CR</v>
      </c>
      <c r="M849" s="24" t="str">
        <f>IF('query (2)'!I849&lt;&gt;"",TRIM(UPPER('query (2)'!I849)),IF($L849="","UNKNOWN",$L849))</f>
        <v>CR</v>
      </c>
      <c r="N849" s="24" t="str">
        <f>IF('query (2)'!I849&lt;&gt;"","SOURCE",IF($L849="","UNKNOWN","DERIVED"))</f>
        <v>SOURCE</v>
      </c>
      <c r="O849" s="24" t="str">
        <f>IF('query (2)'!E849="","NOT_SPECIFIED",TRIM(UPPER('query (2)'!E849)))</f>
        <v>ASSEMBLY</v>
      </c>
      <c r="P849" s="24" t="str">
        <f>IF('query (2)'!F849="","",TRIM(UPPER('query (2)'!F849)))</f>
        <v>1612-CR2AI</v>
      </c>
      <c r="Q849" s="24" t="str">
        <f>IF('query (2)'!G849="","UNKNOWN",IFERROR(INDEX(Cleaning_Rules!$B$38:$B$46,MATCH(TRIM(UPPER('query (2)'!G849)),Cleaning_Rules!$A$38:$A$46,0)),"UNKNOWN"))</f>
        <v>CHECK</v>
      </c>
      <c r="R849" s="24" t="str">
        <f>IF('query (2)'!H849="","",TRIM(UPPER('query (2)'!H849)))</f>
        <v>SEAL INSERT AND INSPECTION</v>
      </c>
      <c r="S849" s="25" t="str">
        <f>IF('query (2)'!H849="","",'query (2)'!H849)</f>
        <v>Seal insert and inspection</v>
      </c>
      <c r="T849" s="24" t="str">
        <f>IF('query (2)'!J849="","",TRIM(UPPER('query (2)'!J849)))</f>
        <v>SEAL S1 CHECK</v>
      </c>
      <c r="U849" s="24" t="str">
        <f t="shared" si="94"/>
        <v/>
      </c>
      <c r="V849" s="24" t="str">
        <f>IF('query (2)'!K849="","NOT_SPECIFIED",IFERROR(INDEX(Cleaning_Rules!$B$32:$B$34,MATCH(TRIM(UPPER('query (2)'!K849)),Cleaning_Rules!$A$32:$A$34,0)),"UNKNOWN"))</f>
        <v>NOT_SPECIFIED</v>
      </c>
      <c r="W849" s="24" t="str">
        <f t="shared" si="95"/>
        <v>AS-1180 | FACTORY2 | CR2 | CR | ASSEMBLY | 1612-CR2AI | CHECK | SEAL INSERT AND INSPECTION | SEAL S1 CHECK | NOT_SPECIFIED</v>
      </c>
      <c r="X849" s="24" t="str">
        <f t="shared" si="96"/>
        <v/>
      </c>
      <c r="Y849" s="24" t="str">
        <f t="shared" si="97"/>
        <v>MISSING_STATUS</v>
      </c>
    </row>
    <row r="850" spans="1:25" x14ac:dyDescent="0.3">
      <c r="A850" s="24" t="str">
        <f t="shared" si="91"/>
        <v>AS-1181#0849</v>
      </c>
      <c r="B850" s="24" t="str">
        <f>IF('query (2)'!B850="","",TRIM(UPPER('query (2)'!B850)))</f>
        <v>AS-1181</v>
      </c>
      <c r="C850" s="25" t="str">
        <f>IF('query (2)'!B850="","",'query (2)'!B850)</f>
        <v>AS-1181</v>
      </c>
      <c r="D850" s="24" t="str">
        <f t="shared" si="92"/>
        <v>AS</v>
      </c>
      <c r="E850" s="24">
        <f t="shared" si="93"/>
        <v>1</v>
      </c>
      <c r="F850" s="24">
        <f>IF('query (2)'!A850="","",IFERROR(VALUE('query (2)'!A850),""))</f>
        <v>871</v>
      </c>
      <c r="G850" s="24" t="str">
        <f>IF('query (2)'!C850="","UNKNOWN",IFERROR(INDEX(Cleaning_Rules!$B$15:$B$20,MATCH(TRIM(UPPER('query (2)'!C850)),Cleaning_Rules!$A$15:$A$20,0)),"UNKNOWN"))</f>
        <v>FACTORY2</v>
      </c>
      <c r="H850" s="25" t="str">
        <f>IF('query (2)'!C850="","",'query (2)'!C850)</f>
        <v>FACTORY2</v>
      </c>
      <c r="I850" s="24" t="str" cm="1">
        <f t="array" ref="I850">_xlfn.IFS($G850="UNKNOWN","UNKNOWN",OR($G850="FACTORY1",$G850="FACTORY2",$G850="FACTORY3"),"PLANT",TRUE,"SHARED")</f>
        <v>PLANT</v>
      </c>
      <c r="J850" s="24" t="str">
        <f>IF('query (2)'!D850="","UNKNOWN",IF(COUNTIF(Cleaning_Rules!$A$6:$A$11,TRIM('query (2)'!D850))&gt;0,"UNKNOWN",IFERROR(INDEX(Cleaning_Rules!$B$24:$B$28,MATCH(TRIM(UPPER('query (2)'!D850)),Cleaning_Rules!$A$24:$A$28,0)),TRIM(UPPER('query (2)'!D850)))))</f>
        <v>CR2</v>
      </c>
      <c r="K850" s="25" t="str">
        <f>IF('query (2)'!D850="","",'query (2)'!D850)</f>
        <v>CR2</v>
      </c>
      <c r="L850" s="24" t="str">
        <f>IF($J850="UNKNOWN","",_xlfn.TEXTBEFORE($J850,{"0","1","2","3","4","5","6","7","8","9"," ","-","."},1,,,$J850))</f>
        <v>CR</v>
      </c>
      <c r="M850" s="24" t="str">
        <f>IF('query (2)'!I850&lt;&gt;"",TRIM(UPPER('query (2)'!I850)),IF($L850="","UNKNOWN",$L850))</f>
        <v>CR</v>
      </c>
      <c r="N850" s="24" t="str">
        <f>IF('query (2)'!I850&lt;&gt;"","SOURCE",IF($L850="","UNKNOWN","DERIVED"))</f>
        <v>SOURCE</v>
      </c>
      <c r="O850" s="24" t="str">
        <f>IF('query (2)'!E850="","NOT_SPECIFIED",TRIM(UPPER('query (2)'!E850)))</f>
        <v>ASSEMBLY</v>
      </c>
      <c r="P850" s="24" t="str">
        <f>IF('query (2)'!F850="","",TRIM(UPPER('query (2)'!F850)))</f>
        <v>1612-CR2AI</v>
      </c>
      <c r="Q850" s="24" t="str">
        <f>IF('query (2)'!G850="","UNKNOWN",IFERROR(INDEX(Cleaning_Rules!$B$38:$B$46,MATCH(TRIM(UPPER('query (2)'!G850)),Cleaning_Rules!$A$38:$A$46,0)),"UNKNOWN"))</f>
        <v>ASSEMBLY</v>
      </c>
      <c r="R850" s="24" t="str">
        <f>IF('query (2)'!H850="","",TRIM(UPPER('query (2)'!H850)))</f>
        <v>SHRINK FITTING</v>
      </c>
      <c r="S850" s="25" t="str">
        <f>IF('query (2)'!H850="","",'query (2)'!H850)</f>
        <v>Shrink fitting</v>
      </c>
      <c r="T850" s="24" t="str">
        <f>IF('query (2)'!J850="","",TRIM(UPPER('query (2)'!J850)))</f>
        <v>SHRINK FITTING</v>
      </c>
      <c r="U850" s="24" t="str">
        <f t="shared" si="94"/>
        <v/>
      </c>
      <c r="V850" s="24" t="str">
        <f>IF('query (2)'!K850="","NOT_SPECIFIED",IFERROR(INDEX(Cleaning_Rules!$B$32:$B$34,MATCH(TRIM(UPPER('query (2)'!K850)),Cleaning_Rules!$A$32:$A$34,0)),"UNKNOWN"))</f>
        <v>NOT_SPECIFIED</v>
      </c>
      <c r="W850" s="24" t="str">
        <f t="shared" si="95"/>
        <v>AS-1181 | FACTORY2 | CR2 | CR | ASSEMBLY | 1612-CR2AI | ASSEMBLY | SHRINK FITTING | SHRINK FITTING | NOT_SPECIFIED</v>
      </c>
      <c r="X850" s="24" t="str">
        <f t="shared" si="96"/>
        <v/>
      </c>
      <c r="Y850" s="24" t="str">
        <f t="shared" si="97"/>
        <v>MISSING_STATUS</v>
      </c>
    </row>
    <row r="851" spans="1:25" x14ac:dyDescent="0.3">
      <c r="A851" s="24" t="str">
        <f t="shared" si="91"/>
        <v>AS-1182#0850</v>
      </c>
      <c r="B851" s="24" t="str">
        <f>IF('query (2)'!B851="","",TRIM(UPPER('query (2)'!B851)))</f>
        <v>AS-1182</v>
      </c>
      <c r="C851" s="25" t="str">
        <f>IF('query (2)'!B851="","",'query (2)'!B851)</f>
        <v>AS-1182</v>
      </c>
      <c r="D851" s="24" t="str">
        <f t="shared" si="92"/>
        <v>AS</v>
      </c>
      <c r="E851" s="24">
        <f t="shared" si="93"/>
        <v>1</v>
      </c>
      <c r="F851" s="24">
        <f>IF('query (2)'!A851="","",IFERROR(VALUE('query (2)'!A851),""))</f>
        <v>872</v>
      </c>
      <c r="G851" s="24" t="str">
        <f>IF('query (2)'!C851="","UNKNOWN",IFERROR(INDEX(Cleaning_Rules!$B$15:$B$20,MATCH(TRIM(UPPER('query (2)'!C851)),Cleaning_Rules!$A$15:$A$20,0)),"UNKNOWN"))</f>
        <v>FACTORY2</v>
      </c>
      <c r="H851" s="25" t="str">
        <f>IF('query (2)'!C851="","",'query (2)'!C851)</f>
        <v>FACTORY2</v>
      </c>
      <c r="I851" s="24" t="str" cm="1">
        <f t="array" ref="I851">_xlfn.IFS($G851="UNKNOWN","UNKNOWN",OR($G851="FACTORY1",$G851="FACTORY2",$G851="FACTORY3"),"PLANT",TRUE,"SHARED")</f>
        <v>PLANT</v>
      </c>
      <c r="J851" s="24" t="str">
        <f>IF('query (2)'!D851="","UNKNOWN",IF(COUNTIF(Cleaning_Rules!$A$6:$A$11,TRIM('query (2)'!D851))&gt;0,"UNKNOWN",IFERROR(INDEX(Cleaning_Rules!$B$24:$B$28,MATCH(TRIM(UPPER('query (2)'!D851)),Cleaning_Rules!$A$24:$A$28,0)),TRIM(UPPER('query (2)'!D851)))))</f>
        <v>CR2</v>
      </c>
      <c r="K851" s="25" t="str">
        <f>IF('query (2)'!D851="","",'query (2)'!D851)</f>
        <v>CR2</v>
      </c>
      <c r="L851" s="24" t="str">
        <f>IF($J851="UNKNOWN","",_xlfn.TEXTBEFORE($J851,{"0","1","2","3","4","5","6","7","8","9"," ","-","."},1,,,$J851))</f>
        <v>CR</v>
      </c>
      <c r="M851" s="24" t="str">
        <f>IF('query (2)'!I851&lt;&gt;"",TRIM(UPPER('query (2)'!I851)),IF($L851="","UNKNOWN",$L851))</f>
        <v>CR</v>
      </c>
      <c r="N851" s="24" t="str">
        <f>IF('query (2)'!I851&lt;&gt;"","SOURCE",IF($L851="","UNKNOWN","DERIVED"))</f>
        <v>SOURCE</v>
      </c>
      <c r="O851" s="24" t="str">
        <f>IF('query (2)'!E851="","NOT_SPECIFIED",TRIM(UPPER('query (2)'!E851)))</f>
        <v>ASSEMBLY</v>
      </c>
      <c r="P851" s="24" t="str">
        <f>IF('query (2)'!F851="","",TRIM(UPPER('query (2)'!F851)))</f>
        <v>1612-CR2AI</v>
      </c>
      <c r="Q851" s="24" t="str">
        <f>IF('query (2)'!G851="","UNKNOWN",IFERROR(INDEX(Cleaning_Rules!$B$38:$B$46,MATCH(TRIM(UPPER('query (2)'!G851)),Cleaning_Rules!$A$38:$A$46,0)),"UNKNOWN"))</f>
        <v>CHECK</v>
      </c>
      <c r="R851" s="24" t="str">
        <f>IF('query (2)'!H851="","",TRIM(UPPER('query (2)'!H851)))</f>
        <v>GREASE INJECTION</v>
      </c>
      <c r="S851" s="25" t="str">
        <f>IF('query (2)'!H851="","",'query (2)'!H851)</f>
        <v>Grease injection</v>
      </c>
      <c r="T851" s="24" t="str">
        <f>IF('query (2)'!J851="","",TRIM(UPPER('query (2)'!J851)))</f>
        <v>GREASE INJECTION</v>
      </c>
      <c r="U851" s="24" t="str">
        <f t="shared" si="94"/>
        <v/>
      </c>
      <c r="V851" s="24" t="str">
        <f>IF('query (2)'!K851="","NOT_SPECIFIED",IFERROR(INDEX(Cleaning_Rules!$B$32:$B$34,MATCH(TRIM(UPPER('query (2)'!K851)),Cleaning_Rules!$A$32:$A$34,0)),"UNKNOWN"))</f>
        <v>NOT_SPECIFIED</v>
      </c>
      <c r="W851" s="24" t="str">
        <f t="shared" si="95"/>
        <v>AS-1182 | FACTORY2 | CR2 | CR | ASSEMBLY | 1612-CR2AI | CHECK | GREASE INJECTION | GREASE INJECTION | NOT_SPECIFIED</v>
      </c>
      <c r="X851" s="24" t="str">
        <f t="shared" si="96"/>
        <v/>
      </c>
      <c r="Y851" s="24" t="str">
        <f t="shared" si="97"/>
        <v>MISSING_STATUS</v>
      </c>
    </row>
    <row r="852" spans="1:25" x14ac:dyDescent="0.3">
      <c r="A852" s="24" t="str">
        <f t="shared" si="91"/>
        <v>AS-1183#0851</v>
      </c>
      <c r="B852" s="24" t="str">
        <f>IF('query (2)'!B852="","",TRIM(UPPER('query (2)'!B852)))</f>
        <v>AS-1183</v>
      </c>
      <c r="C852" s="25" t="str">
        <f>IF('query (2)'!B852="","",'query (2)'!B852)</f>
        <v>AS-1183</v>
      </c>
      <c r="D852" s="24" t="str">
        <f t="shared" si="92"/>
        <v>AS</v>
      </c>
      <c r="E852" s="24">
        <f t="shared" si="93"/>
        <v>1</v>
      </c>
      <c r="F852" s="24">
        <f>IF('query (2)'!A852="","",IFERROR(VALUE('query (2)'!A852),""))</f>
        <v>873</v>
      </c>
      <c r="G852" s="24" t="str">
        <f>IF('query (2)'!C852="","UNKNOWN",IFERROR(INDEX(Cleaning_Rules!$B$15:$B$20,MATCH(TRIM(UPPER('query (2)'!C852)),Cleaning_Rules!$A$15:$A$20,0)),"UNKNOWN"))</f>
        <v>FACTORY2</v>
      </c>
      <c r="H852" s="25" t="str">
        <f>IF('query (2)'!C852="","",'query (2)'!C852)</f>
        <v>FACTORY2</v>
      </c>
      <c r="I852" s="24" t="str" cm="1">
        <f t="array" ref="I852">_xlfn.IFS($G852="UNKNOWN","UNKNOWN",OR($G852="FACTORY1",$G852="FACTORY2",$G852="FACTORY3"),"PLANT",TRUE,"SHARED")</f>
        <v>PLANT</v>
      </c>
      <c r="J852" s="24" t="str">
        <f>IF('query (2)'!D852="","UNKNOWN",IF(COUNTIF(Cleaning_Rules!$A$6:$A$11,TRIM('query (2)'!D852))&gt;0,"UNKNOWN",IFERROR(INDEX(Cleaning_Rules!$B$24:$B$28,MATCH(TRIM(UPPER('query (2)'!D852)),Cleaning_Rules!$A$24:$A$28,0)),TRIM(UPPER('query (2)'!D852)))))</f>
        <v>CR2</v>
      </c>
      <c r="K852" s="25" t="str">
        <f>IF('query (2)'!D852="","",'query (2)'!D852)</f>
        <v>CR2</v>
      </c>
      <c r="L852" s="24" t="str">
        <f>IF($J852="UNKNOWN","",_xlfn.TEXTBEFORE($J852,{"0","1","2","3","4","5","6","7","8","9"," ","-","."},1,,,$J852))</f>
        <v>CR</v>
      </c>
      <c r="M852" s="24" t="str">
        <f>IF('query (2)'!I852&lt;&gt;"",TRIM(UPPER('query (2)'!I852)),IF($L852="","UNKNOWN",$L852))</f>
        <v>CR</v>
      </c>
      <c r="N852" s="24" t="str">
        <f>IF('query (2)'!I852&lt;&gt;"","SOURCE",IF($L852="","UNKNOWN","DERIVED"))</f>
        <v>SOURCE</v>
      </c>
      <c r="O852" s="24" t="str">
        <f>IF('query (2)'!E852="","NOT_SPECIFIED",TRIM(UPPER('query (2)'!E852)))</f>
        <v>ASSEMBLY</v>
      </c>
      <c r="P852" s="24" t="str">
        <f>IF('query (2)'!F852="","",TRIM(UPPER('query (2)'!F852)))</f>
        <v>1612-CR2AI</v>
      </c>
      <c r="Q852" s="24" t="str">
        <f>IF('query (2)'!G852="","UNKNOWN",IFERROR(INDEX(Cleaning_Rules!$B$38:$B$46,MATCH(TRIM(UPPER('query (2)'!G852)),Cleaning_Rules!$A$38:$A$46,0)),"UNKNOWN"))</f>
        <v>ASSEMBLY</v>
      </c>
      <c r="R852" s="24" t="str">
        <f>IF('query (2)'!H852="","",TRIM(UPPER('query (2)'!H852)))</f>
        <v>SEAL PRESS NO.2</v>
      </c>
      <c r="S852" s="25" t="str">
        <f>IF('query (2)'!H852="","",'query (2)'!H852)</f>
        <v>Seal press No.2</v>
      </c>
      <c r="T852" s="24" t="str">
        <f>IF('query (2)'!J852="","",TRIM(UPPER('query (2)'!J852)))</f>
        <v>SEAL S3 PRESS</v>
      </c>
      <c r="U852" s="24" t="str">
        <f t="shared" si="94"/>
        <v/>
      </c>
      <c r="V852" s="24" t="str">
        <f>IF('query (2)'!K852="","NOT_SPECIFIED",IFERROR(INDEX(Cleaning_Rules!$B$32:$B$34,MATCH(TRIM(UPPER('query (2)'!K852)),Cleaning_Rules!$A$32:$A$34,0)),"UNKNOWN"))</f>
        <v>NOT_SPECIFIED</v>
      </c>
      <c r="W852" s="24" t="str">
        <f t="shared" si="95"/>
        <v>AS-1183 | FACTORY2 | CR2 | CR | ASSEMBLY | 1612-CR2AI | ASSEMBLY | SEAL PRESS NO.2 | SEAL S3 PRESS | NOT_SPECIFIED</v>
      </c>
      <c r="X852" s="24" t="str">
        <f t="shared" si="96"/>
        <v/>
      </c>
      <c r="Y852" s="24" t="str">
        <f t="shared" si="97"/>
        <v>MISSING_STATUS</v>
      </c>
    </row>
    <row r="853" spans="1:25" x14ac:dyDescent="0.3">
      <c r="A853" s="24" t="str">
        <f t="shared" si="91"/>
        <v>CH-1184#0852</v>
      </c>
      <c r="B853" s="24" t="str">
        <f>IF('query (2)'!B853="","",TRIM(UPPER('query (2)'!B853)))</f>
        <v>CH-1184</v>
      </c>
      <c r="C853" s="25" t="str">
        <f>IF('query (2)'!B853="","",'query (2)'!B853)</f>
        <v>CH-1184</v>
      </c>
      <c r="D853" s="24" t="str">
        <f t="shared" si="92"/>
        <v>CH</v>
      </c>
      <c r="E853" s="24">
        <f t="shared" si="93"/>
        <v>1</v>
      </c>
      <c r="F853" s="24">
        <f>IF('query (2)'!A853="","",IFERROR(VALUE('query (2)'!A853),""))</f>
        <v>874</v>
      </c>
      <c r="G853" s="24" t="str">
        <f>IF('query (2)'!C853="","UNKNOWN",IFERROR(INDEX(Cleaning_Rules!$B$15:$B$20,MATCH(TRIM(UPPER('query (2)'!C853)),Cleaning_Rules!$A$15:$A$20,0)),"UNKNOWN"))</f>
        <v>FACTORY2</v>
      </c>
      <c r="H853" s="25" t="str">
        <f>IF('query (2)'!C853="","",'query (2)'!C853)</f>
        <v>FACTORY2</v>
      </c>
      <c r="I853" s="24" t="str" cm="1">
        <f t="array" ref="I853">_xlfn.IFS($G853="UNKNOWN","UNKNOWN",OR($G853="FACTORY1",$G853="FACTORY2",$G853="FACTORY3"),"PLANT",TRUE,"SHARED")</f>
        <v>PLANT</v>
      </c>
      <c r="J853" s="24" t="str">
        <f>IF('query (2)'!D853="","UNKNOWN",IF(COUNTIF(Cleaning_Rules!$A$6:$A$11,TRIM('query (2)'!D853))&gt;0,"UNKNOWN",IFERROR(INDEX(Cleaning_Rules!$B$24:$B$28,MATCH(TRIM(UPPER('query (2)'!D853)),Cleaning_Rules!$A$24:$A$28,0)),TRIM(UPPER('query (2)'!D853)))))</f>
        <v>CR2</v>
      </c>
      <c r="K853" s="25" t="str">
        <f>IF('query (2)'!D853="","",'query (2)'!D853)</f>
        <v>CR2</v>
      </c>
      <c r="L853" s="24" t="str">
        <f>IF($J853="UNKNOWN","",_xlfn.TEXTBEFORE($J853,{"0","1","2","3","4","5","6","7","8","9"," ","-","."},1,,,$J853))</f>
        <v>CR</v>
      </c>
      <c r="M853" s="24" t="str">
        <f>IF('query (2)'!I853&lt;&gt;"",TRIM(UPPER('query (2)'!I853)),IF($L853="","UNKNOWN",$L853))</f>
        <v>CR</v>
      </c>
      <c r="N853" s="24" t="str">
        <f>IF('query (2)'!I853&lt;&gt;"","SOURCE",IF($L853="","UNKNOWN","DERIVED"))</f>
        <v>SOURCE</v>
      </c>
      <c r="O853" s="24" t="str">
        <f>IF('query (2)'!E853="","NOT_SPECIFIED",TRIM(UPPER('query (2)'!E853)))</f>
        <v>ASSEMBLY</v>
      </c>
      <c r="P853" s="24" t="str">
        <f>IF('query (2)'!F853="","",TRIM(UPPER('query (2)'!F853)))</f>
        <v>1612-CR2AI</v>
      </c>
      <c r="Q853" s="24" t="str">
        <f>IF('query (2)'!G853="","UNKNOWN",IFERROR(INDEX(Cleaning_Rules!$B$38:$B$46,MATCH(TRIM(UPPER('query (2)'!G853)),Cleaning_Rules!$A$38:$A$46,0)),"UNKNOWN"))</f>
        <v>CHECK</v>
      </c>
      <c r="R853" s="24" t="str">
        <f>IF('query (2)'!H853="","",TRIM(UPPER('query (2)'!H853)))</f>
        <v>AUTOMATIC VIBRATION TESTING</v>
      </c>
      <c r="S853" s="25" t="str">
        <f>IF('query (2)'!H853="","",'query (2)'!H853)</f>
        <v>Automatic vibration testing</v>
      </c>
      <c r="T853" s="24" t="str">
        <f>IF('query (2)'!J853="","",TRIM(UPPER('query (2)'!J853)))</f>
        <v>SEAL S3 CHECK</v>
      </c>
      <c r="U853" s="24" t="str">
        <f t="shared" si="94"/>
        <v/>
      </c>
      <c r="V853" s="24" t="str">
        <f>IF('query (2)'!K853="","NOT_SPECIFIED",IFERROR(INDEX(Cleaning_Rules!$B$32:$B$34,MATCH(TRIM(UPPER('query (2)'!K853)),Cleaning_Rules!$A$32:$A$34,0)),"UNKNOWN"))</f>
        <v>NOT_SPECIFIED</v>
      </c>
      <c r="W853" s="24" t="str">
        <f t="shared" si="95"/>
        <v>CH-1184 | FACTORY2 | CR2 | CR | ASSEMBLY | 1612-CR2AI | CHECK | AUTOMATIC VIBRATION TESTING | SEAL S3 CHECK | NOT_SPECIFIED</v>
      </c>
      <c r="X853" s="24" t="str">
        <f t="shared" si="96"/>
        <v/>
      </c>
      <c r="Y853" s="24" t="str">
        <f t="shared" si="97"/>
        <v>MISSING_STATUS</v>
      </c>
    </row>
    <row r="854" spans="1:25" x14ac:dyDescent="0.3">
      <c r="A854" s="24" t="str">
        <f t="shared" si="91"/>
        <v>CH-1185#0853</v>
      </c>
      <c r="B854" s="24" t="str">
        <f>IF('query (2)'!B854="","",TRIM(UPPER('query (2)'!B854)))</f>
        <v>CH-1185</v>
      </c>
      <c r="C854" s="25" t="str">
        <f>IF('query (2)'!B854="","",'query (2)'!B854)</f>
        <v>CH-1185</v>
      </c>
      <c r="D854" s="24" t="str">
        <f t="shared" si="92"/>
        <v>CH</v>
      </c>
      <c r="E854" s="24">
        <f t="shared" si="93"/>
        <v>1</v>
      </c>
      <c r="F854" s="24">
        <f>IF('query (2)'!A854="","",IFERROR(VALUE('query (2)'!A854),""))</f>
        <v>875</v>
      </c>
      <c r="G854" s="24" t="str">
        <f>IF('query (2)'!C854="","UNKNOWN",IFERROR(INDEX(Cleaning_Rules!$B$15:$B$20,MATCH(TRIM(UPPER('query (2)'!C854)),Cleaning_Rules!$A$15:$A$20,0)),"UNKNOWN"))</f>
        <v>FACTORY2</v>
      </c>
      <c r="H854" s="25" t="str">
        <f>IF('query (2)'!C854="","",'query (2)'!C854)</f>
        <v>FACTORY2</v>
      </c>
      <c r="I854" s="24" t="str" cm="1">
        <f t="array" ref="I854">_xlfn.IFS($G854="UNKNOWN","UNKNOWN",OR($G854="FACTORY1",$G854="FACTORY2",$G854="FACTORY3"),"PLANT",TRUE,"SHARED")</f>
        <v>PLANT</v>
      </c>
      <c r="J854" s="24" t="str">
        <f>IF('query (2)'!D854="","UNKNOWN",IF(COUNTIF(Cleaning_Rules!$A$6:$A$11,TRIM('query (2)'!D854))&gt;0,"UNKNOWN",IFERROR(INDEX(Cleaning_Rules!$B$24:$B$28,MATCH(TRIM(UPPER('query (2)'!D854)),Cleaning_Rules!$A$24:$A$28,0)),TRIM(UPPER('query (2)'!D854)))))</f>
        <v>CR2</v>
      </c>
      <c r="K854" s="25" t="str">
        <f>IF('query (2)'!D854="","",'query (2)'!D854)</f>
        <v>CR2</v>
      </c>
      <c r="L854" s="24" t="str">
        <f>IF($J854="UNKNOWN","",_xlfn.TEXTBEFORE($J854,{"0","1","2","3","4","5","6","7","8","9"," ","-","."},1,,,$J854))</f>
        <v>CR</v>
      </c>
      <c r="M854" s="24" t="str">
        <f>IF('query (2)'!I854&lt;&gt;"",TRIM(UPPER('query (2)'!I854)),IF($L854="","UNKNOWN",$L854))</f>
        <v>CR</v>
      </c>
      <c r="N854" s="24" t="str">
        <f>IF('query (2)'!I854&lt;&gt;"","SOURCE",IF($L854="","UNKNOWN","DERIVED"))</f>
        <v>SOURCE</v>
      </c>
      <c r="O854" s="24" t="str">
        <f>IF('query (2)'!E854="","NOT_SPECIFIED",TRIM(UPPER('query (2)'!E854)))</f>
        <v>ASSEMBLY</v>
      </c>
      <c r="P854" s="24" t="str">
        <f>IF('query (2)'!F854="","",TRIM(UPPER('query (2)'!F854)))</f>
        <v>1612-CR2AI</v>
      </c>
      <c r="Q854" s="24" t="str">
        <f>IF('query (2)'!G854="","UNKNOWN",IFERROR(INDEX(Cleaning_Rules!$B$38:$B$46,MATCH(TRIM(UPPER('query (2)'!G854)),Cleaning_Rules!$A$38:$A$46,0)),"UNKNOWN"))</f>
        <v>CHECK</v>
      </c>
      <c r="R854" s="24" t="str">
        <f>IF('query (2)'!H854="","",TRIM(UPPER('query (2)'!H854)))</f>
        <v>WEIGHT CHECKER</v>
      </c>
      <c r="S854" s="25" t="str">
        <f>IF('query (2)'!H854="","",'query (2)'!H854)</f>
        <v>Weight checker</v>
      </c>
      <c r="T854" s="24" t="str">
        <f>IF('query (2)'!J854="","",TRIM(UPPER('query (2)'!J854)))</f>
        <v>WEIGHT CHECKER</v>
      </c>
      <c r="U854" s="24" t="str">
        <f t="shared" si="94"/>
        <v/>
      </c>
      <c r="V854" s="24" t="str">
        <f>IF('query (2)'!K854="","NOT_SPECIFIED",IFERROR(INDEX(Cleaning_Rules!$B$32:$B$34,MATCH(TRIM(UPPER('query (2)'!K854)),Cleaning_Rules!$A$32:$A$34,0)),"UNKNOWN"))</f>
        <v>NOT_SPECIFIED</v>
      </c>
      <c r="W854" s="24" t="str">
        <f t="shared" si="95"/>
        <v>CH-1185 | FACTORY2 | CR2 | CR | ASSEMBLY | 1612-CR2AI | CHECK | WEIGHT CHECKER | WEIGHT CHECKER | NOT_SPECIFIED</v>
      </c>
      <c r="X854" s="24" t="str">
        <f t="shared" si="96"/>
        <v/>
      </c>
      <c r="Y854" s="24" t="str">
        <f t="shared" si="97"/>
        <v>MISSING_STATUS</v>
      </c>
    </row>
    <row r="855" spans="1:25" x14ac:dyDescent="0.3">
      <c r="A855" s="24" t="str">
        <f t="shared" si="91"/>
        <v>CH-1186#0854</v>
      </c>
      <c r="B855" s="24" t="str">
        <f>IF('query (2)'!B855="","",TRIM(UPPER('query (2)'!B855)))</f>
        <v>CH-1186</v>
      </c>
      <c r="C855" s="25" t="str">
        <f>IF('query (2)'!B855="","",'query (2)'!B855)</f>
        <v>CH-1186</v>
      </c>
      <c r="D855" s="24" t="str">
        <f t="shared" si="92"/>
        <v>CH</v>
      </c>
      <c r="E855" s="24">
        <f t="shared" si="93"/>
        <v>1</v>
      </c>
      <c r="F855" s="24">
        <f>IF('query (2)'!A855="","",IFERROR(VALUE('query (2)'!A855),""))</f>
        <v>876</v>
      </c>
      <c r="G855" s="24" t="str">
        <f>IF('query (2)'!C855="","UNKNOWN",IFERROR(INDEX(Cleaning_Rules!$B$15:$B$20,MATCH(TRIM(UPPER('query (2)'!C855)),Cleaning_Rules!$A$15:$A$20,0)),"UNKNOWN"))</f>
        <v>FACTORY2</v>
      </c>
      <c r="H855" s="25" t="str">
        <f>IF('query (2)'!C855="","",'query (2)'!C855)</f>
        <v>FACTORY2</v>
      </c>
      <c r="I855" s="24" t="str" cm="1">
        <f t="array" ref="I855">_xlfn.IFS($G855="UNKNOWN","UNKNOWN",OR($G855="FACTORY1",$G855="FACTORY2",$G855="FACTORY3"),"PLANT",TRUE,"SHARED")</f>
        <v>PLANT</v>
      </c>
      <c r="J855" s="24" t="str">
        <f>IF('query (2)'!D855="","UNKNOWN",IF(COUNTIF(Cleaning_Rules!$A$6:$A$11,TRIM('query (2)'!D855))&gt;0,"UNKNOWN",IFERROR(INDEX(Cleaning_Rules!$B$24:$B$28,MATCH(TRIM(UPPER('query (2)'!D855)),Cleaning_Rules!$A$24:$A$28,0)),TRIM(UPPER('query (2)'!D855)))))</f>
        <v>CR2</v>
      </c>
      <c r="K855" s="25" t="str">
        <f>IF('query (2)'!D855="","",'query (2)'!D855)</f>
        <v>CR2</v>
      </c>
      <c r="L855" s="24" t="str">
        <f>IF($J855="UNKNOWN","",_xlfn.TEXTBEFORE($J855,{"0","1","2","3","4","5","6","7","8","9"," ","-","."},1,,,$J855))</f>
        <v>CR</v>
      </c>
      <c r="M855" s="24" t="str">
        <f>IF('query (2)'!I855&lt;&gt;"",TRIM(UPPER('query (2)'!I855)),IF($L855="","UNKNOWN",$L855))</f>
        <v>CR</v>
      </c>
      <c r="N855" s="24" t="str">
        <f>IF('query (2)'!I855&lt;&gt;"","SOURCE",IF($L855="","UNKNOWN","DERIVED"))</f>
        <v>SOURCE</v>
      </c>
      <c r="O855" s="24" t="str">
        <f>IF('query (2)'!E855="","NOT_SPECIFIED",TRIM(UPPER('query (2)'!E855)))</f>
        <v>ASSEMBLY</v>
      </c>
      <c r="P855" s="24" t="str">
        <f>IF('query (2)'!F855="","",TRIM(UPPER('query (2)'!F855)))</f>
        <v>1612-CR2AI</v>
      </c>
      <c r="Q855" s="24" t="str">
        <f>IF('query (2)'!G855="","UNKNOWN",IFERROR(INDEX(Cleaning_Rules!$B$38:$B$46,MATCH(TRIM(UPPER('query (2)'!G855)),Cleaning_Rules!$A$38:$A$46,0)),"UNKNOWN"))</f>
        <v>ASSEMBLY</v>
      </c>
      <c r="R855" s="24" t="str">
        <f>IF('query (2)'!H855="","",TRIM(UPPER('query (2)'!H855)))</f>
        <v>VISUAL TABLE</v>
      </c>
      <c r="S855" s="25" t="str">
        <f>IF('query (2)'!H855="","",'query (2)'!H855)</f>
        <v>visual table</v>
      </c>
      <c r="T855" s="24" t="str">
        <f>IF('query (2)'!J855="","",TRIM(UPPER('query (2)'!J855)))</f>
        <v>VISUAL BEARING TABLE</v>
      </c>
      <c r="U855" s="24" t="str">
        <f t="shared" si="94"/>
        <v/>
      </c>
      <c r="V855" s="24" t="str">
        <f>IF('query (2)'!K855="","NOT_SPECIFIED",IFERROR(INDEX(Cleaning_Rules!$B$32:$B$34,MATCH(TRIM(UPPER('query (2)'!K855)),Cleaning_Rules!$A$32:$A$34,0)),"UNKNOWN"))</f>
        <v>NOT_SPECIFIED</v>
      </c>
      <c r="W855" s="24" t="str">
        <f t="shared" si="95"/>
        <v>CH-1186 | FACTORY2 | CR2 | CR | ASSEMBLY | 1612-CR2AI | ASSEMBLY | VISUAL TABLE | VISUAL BEARING TABLE | NOT_SPECIFIED</v>
      </c>
      <c r="X855" s="24" t="str">
        <f t="shared" si="96"/>
        <v/>
      </c>
      <c r="Y855" s="24" t="str">
        <f t="shared" si="97"/>
        <v>MISSING_STATUS</v>
      </c>
    </row>
    <row r="856" spans="1:25" x14ac:dyDescent="0.3">
      <c r="A856" s="24" t="str">
        <f t="shared" si="91"/>
        <v>CH-1187#0855</v>
      </c>
      <c r="B856" s="24" t="str">
        <f>IF('query (2)'!B856="","",TRIM(UPPER('query (2)'!B856)))</f>
        <v>CH-1187</v>
      </c>
      <c r="C856" s="25" t="str">
        <f>IF('query (2)'!B856="","",'query (2)'!B856)</f>
        <v>CH-1187</v>
      </c>
      <c r="D856" s="24" t="str">
        <f t="shared" si="92"/>
        <v>CH</v>
      </c>
      <c r="E856" s="24">
        <f t="shared" si="93"/>
        <v>1</v>
      </c>
      <c r="F856" s="24">
        <f>IF('query (2)'!A856="","",IFERROR(VALUE('query (2)'!A856),""))</f>
        <v>877</v>
      </c>
      <c r="G856" s="24" t="str">
        <f>IF('query (2)'!C856="","UNKNOWN",IFERROR(INDEX(Cleaning_Rules!$B$15:$B$20,MATCH(TRIM(UPPER('query (2)'!C856)),Cleaning_Rules!$A$15:$A$20,0)),"UNKNOWN"))</f>
        <v>FACTORY2</v>
      </c>
      <c r="H856" s="25" t="str">
        <f>IF('query (2)'!C856="","",'query (2)'!C856)</f>
        <v>FACTORY2</v>
      </c>
      <c r="I856" s="24" t="str" cm="1">
        <f t="array" ref="I856">_xlfn.IFS($G856="UNKNOWN","UNKNOWN",OR($G856="FACTORY1",$G856="FACTORY2",$G856="FACTORY3"),"PLANT",TRUE,"SHARED")</f>
        <v>PLANT</v>
      </c>
      <c r="J856" s="24" t="str">
        <f>IF('query (2)'!D856="","UNKNOWN",IF(COUNTIF(Cleaning_Rules!$A$6:$A$11,TRIM('query (2)'!D856))&gt;0,"UNKNOWN",IFERROR(INDEX(Cleaning_Rules!$B$24:$B$28,MATCH(TRIM(UPPER('query (2)'!D856)),Cleaning_Rules!$A$24:$A$28,0)),TRIM(UPPER('query (2)'!D856)))))</f>
        <v>CR2</v>
      </c>
      <c r="K856" s="25" t="str">
        <f>IF('query (2)'!D856="","",'query (2)'!D856)</f>
        <v>CR2</v>
      </c>
      <c r="L856" s="24" t="str">
        <f>IF($J856="UNKNOWN","",_xlfn.TEXTBEFORE($J856,{"0","1","2","3","4","5","6","7","8","9"," ","-","."},1,,,$J856))</f>
        <v>CR</v>
      </c>
      <c r="M856" s="24" t="str">
        <f>IF('query (2)'!I856&lt;&gt;"",TRIM(UPPER('query (2)'!I856)),IF($L856="","UNKNOWN",$L856))</f>
        <v>CR</v>
      </c>
      <c r="N856" s="24" t="str">
        <f>IF('query (2)'!I856&lt;&gt;"","SOURCE",IF($L856="","UNKNOWN","DERIVED"))</f>
        <v>SOURCE</v>
      </c>
      <c r="O856" s="24" t="str">
        <f>IF('query (2)'!E856="","NOT_SPECIFIED",TRIM(UPPER('query (2)'!E856)))</f>
        <v>ASSEMBLY</v>
      </c>
      <c r="P856" s="24" t="str">
        <f>IF('query (2)'!F856="","",TRIM(UPPER('query (2)'!F856)))</f>
        <v>1612-CR2AI</v>
      </c>
      <c r="Q856" s="24" t="str">
        <f>IF('query (2)'!G856="","UNKNOWN",IFERROR(INDEX(Cleaning_Rules!$B$38:$B$46,MATCH(TRIM(UPPER('query (2)'!G856)),Cleaning_Rules!$A$38:$A$46,0)),"UNKNOWN"))</f>
        <v>CHECK</v>
      </c>
      <c r="R856" s="24" t="str">
        <f>IF('query (2)'!H856="","",TRIM(UPPER('query (2)'!H856)))</f>
        <v>SPRING INSERT &amp; DRAG CHECK</v>
      </c>
      <c r="S856" s="25" t="str">
        <f>IF('query (2)'!H856="","",'query (2)'!H856)</f>
        <v>Spring insert &amp; Drag check</v>
      </c>
      <c r="T856" s="24" t="str">
        <f>IF('query (2)'!J856="","",TRIM(UPPER('query (2)'!J856)))</f>
        <v>SPRING PRESSS&amp;DRAG CHECK</v>
      </c>
      <c r="U856" s="24" t="str">
        <f t="shared" si="94"/>
        <v/>
      </c>
      <c r="V856" s="24" t="str">
        <f>IF('query (2)'!K856="","NOT_SPECIFIED",IFERROR(INDEX(Cleaning_Rules!$B$32:$B$34,MATCH(TRIM(UPPER('query (2)'!K856)),Cleaning_Rules!$A$32:$A$34,0)),"UNKNOWN"))</f>
        <v>NOT_SPECIFIED</v>
      </c>
      <c r="W856" s="24" t="str">
        <f t="shared" si="95"/>
        <v>CH-1187 | FACTORY2 | CR2 | CR | ASSEMBLY | 1612-CR2AI | CHECK | SPRING INSERT &amp; DRAG CHECK | SPRING PRESSS&amp;DRAG CHECK | NOT_SPECIFIED</v>
      </c>
      <c r="X856" s="24" t="str">
        <f t="shared" si="96"/>
        <v/>
      </c>
      <c r="Y856" s="24" t="str">
        <f t="shared" si="97"/>
        <v>MISSING_STATUS</v>
      </c>
    </row>
    <row r="857" spans="1:25" x14ac:dyDescent="0.3">
      <c r="A857" s="24" t="str">
        <f t="shared" si="91"/>
        <v>MA-1188#0856</v>
      </c>
      <c r="B857" s="24" t="str">
        <f>IF('query (2)'!B857="","",TRIM(UPPER('query (2)'!B857)))</f>
        <v>MA-1188</v>
      </c>
      <c r="C857" s="25" t="str">
        <f>IF('query (2)'!B857="","",'query (2)'!B857)</f>
        <v>MA-1188</v>
      </c>
      <c r="D857" s="24" t="str">
        <f t="shared" si="92"/>
        <v>MA</v>
      </c>
      <c r="E857" s="24">
        <f t="shared" si="93"/>
        <v>1</v>
      </c>
      <c r="F857" s="24">
        <f>IF('query (2)'!A857="","",IFERROR(VALUE('query (2)'!A857),""))</f>
        <v>878</v>
      </c>
      <c r="G857" s="24" t="str">
        <f>IF('query (2)'!C857="","UNKNOWN",IFERROR(INDEX(Cleaning_Rules!$B$15:$B$20,MATCH(TRIM(UPPER('query (2)'!C857)),Cleaning_Rules!$A$15:$A$20,0)),"UNKNOWN"))</f>
        <v>FACTORY2</v>
      </c>
      <c r="H857" s="25" t="str">
        <f>IF('query (2)'!C857="","",'query (2)'!C857)</f>
        <v>FACTORY2</v>
      </c>
      <c r="I857" s="24" t="str" cm="1">
        <f t="array" ref="I857">_xlfn.IFS($G857="UNKNOWN","UNKNOWN",OR($G857="FACTORY1",$G857="FACTORY2",$G857="FACTORY3"),"PLANT",TRUE,"SHARED")</f>
        <v>PLANT</v>
      </c>
      <c r="J857" s="24" t="str">
        <f>IF('query (2)'!D857="","UNKNOWN",IF(COUNTIF(Cleaning_Rules!$A$6:$A$11,TRIM('query (2)'!D857))&gt;0,"UNKNOWN",IFERROR(INDEX(Cleaning_Rules!$B$24:$B$28,MATCH(TRIM(UPPER('query (2)'!D857)),Cleaning_Rules!$A$24:$A$28,0)),TRIM(UPPER('query (2)'!D857)))))</f>
        <v>CR2</v>
      </c>
      <c r="K857" s="25" t="str">
        <f>IF('query (2)'!D857="","",'query (2)'!D857)</f>
        <v>CR2</v>
      </c>
      <c r="L857" s="24" t="str">
        <f>IF($J857="UNKNOWN","",_xlfn.TEXTBEFORE($J857,{"0","1","2","3","4","5","6","7","8","9"," ","-","."},1,,,$J857))</f>
        <v>CR</v>
      </c>
      <c r="M857" s="24" t="str">
        <f>IF('query (2)'!I857&lt;&gt;"",TRIM(UPPER('query (2)'!I857)),IF($L857="","UNKNOWN",$L857))</f>
        <v>CR</v>
      </c>
      <c r="N857" s="24" t="str">
        <f>IF('query (2)'!I857&lt;&gt;"","SOURCE",IF($L857="","UNKNOWN","DERIVED"))</f>
        <v>SOURCE</v>
      </c>
      <c r="O857" s="24" t="str">
        <f>IF('query (2)'!E857="","NOT_SPECIFIED",TRIM(UPPER('query (2)'!E857)))</f>
        <v>ASSEMBLY</v>
      </c>
      <c r="P857" s="24" t="str">
        <f>IF('query (2)'!F857="","",TRIM(UPPER('query (2)'!F857)))</f>
        <v>1612-CR2AI</v>
      </c>
      <c r="Q857" s="24" t="str">
        <f>IF('query (2)'!G857="","UNKNOWN",IFERROR(INDEX(Cleaning_Rules!$B$38:$B$46,MATCH(TRIM(UPPER('query (2)'!G857)),Cleaning_Rules!$A$38:$A$46,0)),"UNKNOWN"))</f>
        <v>OTHER</v>
      </c>
      <c r="R857" s="24" t="str">
        <f>IF('query (2)'!H857="","",TRIM(UPPER('query (2)'!H857)))</f>
        <v>LASER MARKING</v>
      </c>
      <c r="S857" s="25" t="str">
        <f>IF('query (2)'!H857="","",'query (2)'!H857)</f>
        <v>Laser marking</v>
      </c>
      <c r="T857" s="24" t="str">
        <f>IF('query (2)'!J857="","",TRIM(UPPER('query (2)'!J857)))</f>
        <v>LASER MARKING</v>
      </c>
      <c r="U857" s="24" t="str">
        <f t="shared" si="94"/>
        <v/>
      </c>
      <c r="V857" s="24" t="str">
        <f>IF('query (2)'!K857="","NOT_SPECIFIED",IFERROR(INDEX(Cleaning_Rules!$B$32:$B$34,MATCH(TRIM(UPPER('query (2)'!K857)),Cleaning_Rules!$A$32:$A$34,0)),"UNKNOWN"))</f>
        <v>NOT_SPECIFIED</v>
      </c>
      <c r="W857" s="24" t="str">
        <f t="shared" si="95"/>
        <v>MA-1188 | FACTORY2 | CR2 | CR | ASSEMBLY | 1612-CR2AI | OTHER | LASER MARKING | LASER MARKING | NOT_SPECIFIED</v>
      </c>
      <c r="X857" s="24" t="str">
        <f t="shared" si="96"/>
        <v/>
      </c>
      <c r="Y857" s="24" t="str">
        <f t="shared" si="97"/>
        <v>MISSING_STATUS; CATEGORY_NOT_USEFUL</v>
      </c>
    </row>
    <row r="858" spans="1:25" x14ac:dyDescent="0.3">
      <c r="A858" s="24" t="str">
        <f t="shared" si="91"/>
        <v>AS-1189#0857</v>
      </c>
      <c r="B858" s="24" t="str">
        <f>IF('query (2)'!B858="","",TRIM(UPPER('query (2)'!B858)))</f>
        <v>AS-1189</v>
      </c>
      <c r="C858" s="25" t="str">
        <f>IF('query (2)'!B858="","",'query (2)'!B858)</f>
        <v>AS-1189</v>
      </c>
      <c r="D858" s="24" t="str">
        <f t="shared" si="92"/>
        <v>AS</v>
      </c>
      <c r="E858" s="24">
        <f t="shared" si="93"/>
        <v>1</v>
      </c>
      <c r="F858" s="24">
        <f>IF('query (2)'!A858="","",IFERROR(VALUE('query (2)'!A858),""))</f>
        <v>879</v>
      </c>
      <c r="G858" s="24" t="str">
        <f>IF('query (2)'!C858="","UNKNOWN",IFERROR(INDEX(Cleaning_Rules!$B$15:$B$20,MATCH(TRIM(UPPER('query (2)'!C858)),Cleaning_Rules!$A$15:$A$20,0)),"UNKNOWN"))</f>
        <v>FACTORY2</v>
      </c>
      <c r="H858" s="25" t="str">
        <f>IF('query (2)'!C858="","",'query (2)'!C858)</f>
        <v>FACTORY2</v>
      </c>
      <c r="I858" s="24" t="str" cm="1">
        <f t="array" ref="I858">_xlfn.IFS($G858="UNKNOWN","UNKNOWN",OR($G858="FACTORY1",$G858="FACTORY2",$G858="FACTORY3"),"PLANT",TRUE,"SHARED")</f>
        <v>PLANT</v>
      </c>
      <c r="J858" s="24" t="str">
        <f>IF('query (2)'!D858="","UNKNOWN",IF(COUNTIF(Cleaning_Rules!$A$6:$A$11,TRIM('query (2)'!D858))&gt;0,"UNKNOWN",IFERROR(INDEX(Cleaning_Rules!$B$24:$B$28,MATCH(TRIM(UPPER('query (2)'!D858)),Cleaning_Rules!$A$24:$A$28,0)),TRIM(UPPER('query (2)'!D858)))))</f>
        <v>CR2</v>
      </c>
      <c r="K858" s="25" t="str">
        <f>IF('query (2)'!D858="","",'query (2)'!D858)</f>
        <v>CR2</v>
      </c>
      <c r="L858" s="24" t="str">
        <f>IF($J858="UNKNOWN","",_xlfn.TEXTBEFORE($J858,{"0","1","2","3","4","5","6","7","8","9"," ","-","."},1,,,$J858))</f>
        <v>CR</v>
      </c>
      <c r="M858" s="24" t="str">
        <f>IF('query (2)'!I858&lt;&gt;"",TRIM(UPPER('query (2)'!I858)),IF($L858="","UNKNOWN",$L858))</f>
        <v>CR</v>
      </c>
      <c r="N858" s="24" t="str">
        <f>IF('query (2)'!I858&lt;&gt;"","SOURCE",IF($L858="","UNKNOWN","DERIVED"))</f>
        <v>SOURCE</v>
      </c>
      <c r="O858" s="24" t="str">
        <f>IF('query (2)'!E858="","NOT_SPECIFIED",TRIM(UPPER('query (2)'!E858)))</f>
        <v>ASSEMBLY</v>
      </c>
      <c r="P858" s="24" t="str">
        <f>IF('query (2)'!F858="","",TRIM(UPPER('query (2)'!F858)))</f>
        <v>1612-CR2AI</v>
      </c>
      <c r="Q858" s="24" t="str">
        <f>IF('query (2)'!G858="","UNKNOWN",IFERROR(INDEX(Cleaning_Rules!$B$38:$B$46,MATCH(TRIM(UPPER('query (2)'!G858)),Cleaning_Rules!$A$38:$A$46,0)),"UNKNOWN"))</f>
        <v>ASSEMBLY</v>
      </c>
      <c r="R858" s="24" t="str">
        <f>IF('query (2)'!H858="","",TRIM(UPPER('query (2)'!H858)))</f>
        <v>CLIP ASSEMBLY TABLE</v>
      </c>
      <c r="S858" s="25" t="str">
        <f>IF('query (2)'!H858="","",'query (2)'!H858)</f>
        <v>Clip assembly table</v>
      </c>
      <c r="T858" s="24" t="str">
        <f>IF('query (2)'!J858="","",TRIM(UPPER('query (2)'!J858)))</f>
        <v>CLIP ASSY TABLE</v>
      </c>
      <c r="U858" s="24" t="str">
        <f t="shared" si="94"/>
        <v/>
      </c>
      <c r="V858" s="24" t="str">
        <f>IF('query (2)'!K858="","NOT_SPECIFIED",IFERROR(INDEX(Cleaning_Rules!$B$32:$B$34,MATCH(TRIM(UPPER('query (2)'!K858)),Cleaning_Rules!$A$32:$A$34,0)),"UNKNOWN"))</f>
        <v>NOT_SPECIFIED</v>
      </c>
      <c r="W858" s="24" t="str">
        <f t="shared" si="95"/>
        <v>AS-1189 | FACTORY2 | CR2 | CR | ASSEMBLY | 1612-CR2AI | ASSEMBLY | CLIP ASSEMBLY TABLE | CLIP ASSY TABLE | NOT_SPECIFIED</v>
      </c>
      <c r="X858" s="24" t="str">
        <f t="shared" si="96"/>
        <v/>
      </c>
      <c r="Y858" s="24" t="str">
        <f t="shared" si="97"/>
        <v>MISSING_STATUS</v>
      </c>
    </row>
    <row r="859" spans="1:25" x14ac:dyDescent="0.3">
      <c r="A859" s="24" t="str">
        <f t="shared" si="91"/>
        <v>AR-1190#0858</v>
      </c>
      <c r="B859" s="24" t="str">
        <f>IF('query (2)'!B859="","",TRIM(UPPER('query (2)'!B859)))</f>
        <v>AR-1190</v>
      </c>
      <c r="C859" s="25" t="str">
        <f>IF('query (2)'!B859="","",'query (2)'!B859)</f>
        <v>AR-1190</v>
      </c>
      <c r="D859" s="24" t="str">
        <f t="shared" si="92"/>
        <v>AR</v>
      </c>
      <c r="E859" s="24">
        <f t="shared" si="93"/>
        <v>1</v>
      </c>
      <c r="F859" s="24">
        <f>IF('query (2)'!A859="","",IFERROR(VALUE('query (2)'!A859),""))</f>
        <v>880</v>
      </c>
      <c r="G859" s="24" t="str">
        <f>IF('query (2)'!C859="","UNKNOWN",IFERROR(INDEX(Cleaning_Rules!$B$15:$B$20,MATCH(TRIM(UPPER('query (2)'!C859)),Cleaning_Rules!$A$15:$A$20,0)),"UNKNOWN"))</f>
        <v>FACTORY2</v>
      </c>
      <c r="H859" s="25" t="str">
        <f>IF('query (2)'!C859="","",'query (2)'!C859)</f>
        <v>FACTORY2</v>
      </c>
      <c r="I859" s="24" t="str" cm="1">
        <f t="array" ref="I859">_xlfn.IFS($G859="UNKNOWN","UNKNOWN",OR($G859="FACTORY1",$G859="FACTORY2",$G859="FACTORY3"),"PLANT",TRUE,"SHARED")</f>
        <v>PLANT</v>
      </c>
      <c r="J859" s="24" t="str">
        <f>IF('query (2)'!D859="","UNKNOWN",IF(COUNTIF(Cleaning_Rules!$A$6:$A$11,TRIM('query (2)'!D859))&gt;0,"UNKNOWN",IFERROR(INDEX(Cleaning_Rules!$B$24:$B$28,MATCH(TRIM(UPPER('query (2)'!D859)),Cleaning_Rules!$A$24:$A$28,0)),TRIM(UPPER('query (2)'!D859)))))</f>
        <v>CR2</v>
      </c>
      <c r="K859" s="25" t="str">
        <f>IF('query (2)'!D859="","",'query (2)'!D859)</f>
        <v>CR2</v>
      </c>
      <c r="L859" s="24" t="str">
        <f>IF($J859="UNKNOWN","",_xlfn.TEXTBEFORE($J859,{"0","1","2","3","4","5","6","7","8","9"," ","-","."},1,,,$J859))</f>
        <v>CR</v>
      </c>
      <c r="M859" s="24" t="str">
        <f>IF('query (2)'!I859&lt;&gt;"",TRIM(UPPER('query (2)'!I859)),IF($L859="","UNKNOWN",$L859))</f>
        <v>CR</v>
      </c>
      <c r="N859" s="24" t="str">
        <f>IF('query (2)'!I859&lt;&gt;"","SOURCE",IF($L859="","UNKNOWN","DERIVED"))</f>
        <v>SOURCE</v>
      </c>
      <c r="O859" s="24" t="str">
        <f>IF('query (2)'!E859="","NOT_SPECIFIED",TRIM(UPPER('query (2)'!E859)))</f>
        <v>ASSEMBLY</v>
      </c>
      <c r="P859" s="24" t="str">
        <f>IF('query (2)'!F859="","",TRIM(UPPER('query (2)'!F859)))</f>
        <v>1612-CR2AI</v>
      </c>
      <c r="Q859" s="24" t="str">
        <f>IF('query (2)'!G859="","UNKNOWN",IFERROR(INDEX(Cleaning_Rules!$B$38:$B$46,MATCH(TRIM(UPPER('query (2)'!G859)),Cleaning_Rules!$A$38:$A$46,0)),"UNKNOWN"))</f>
        <v>OTHER</v>
      </c>
      <c r="R859" s="24" t="str">
        <f>IF('query (2)'!H859="","",TRIM(UPPER('query (2)'!H859)))</f>
        <v>AUTO VISUAL &amp; ANTRI RUST</v>
      </c>
      <c r="S859" s="25" t="str">
        <f>IF('query (2)'!H859="","",'query (2)'!H859)</f>
        <v>Auto visual &amp; Antri rust</v>
      </c>
      <c r="T859" s="24" t="str">
        <f>IF('query (2)'!J859="","",TRIM(UPPER('query (2)'!J859)))</f>
        <v>AUTO VISUAL &amp; ANTI RUST AUTO</v>
      </c>
      <c r="U859" s="24" t="str">
        <f t="shared" si="94"/>
        <v/>
      </c>
      <c r="V859" s="24" t="str">
        <f>IF('query (2)'!K859="","NOT_SPECIFIED",IFERROR(INDEX(Cleaning_Rules!$B$32:$B$34,MATCH(TRIM(UPPER('query (2)'!K859)),Cleaning_Rules!$A$32:$A$34,0)),"UNKNOWN"))</f>
        <v>NOT_SPECIFIED</v>
      </c>
      <c r="W859" s="24" t="str">
        <f t="shared" si="95"/>
        <v>AR-1190 | FACTORY2 | CR2 | CR | ASSEMBLY | 1612-CR2AI | OTHER | AUTO VISUAL &amp; ANTRI RUST | AUTO VISUAL &amp; ANTI RUST AUTO | NOT_SPECIFIED</v>
      </c>
      <c r="X859" s="24" t="str">
        <f t="shared" si="96"/>
        <v/>
      </c>
      <c r="Y859" s="24" t="str">
        <f t="shared" si="97"/>
        <v>MISSING_STATUS; CATEGORY_NOT_USEFUL</v>
      </c>
    </row>
    <row r="860" spans="1:25" x14ac:dyDescent="0.3">
      <c r="A860" s="24" t="str">
        <f t="shared" si="91"/>
        <v>AS-1110#0859</v>
      </c>
      <c r="B860" s="24" t="str">
        <f>IF('query (2)'!B860="","",TRIM(UPPER('query (2)'!B860)))</f>
        <v>AS-1110</v>
      </c>
      <c r="C860" s="25" t="str">
        <f>IF('query (2)'!B860="","",'query (2)'!B860)</f>
        <v>AS-1110</v>
      </c>
      <c r="D860" s="24" t="str">
        <f t="shared" si="92"/>
        <v>AS</v>
      </c>
      <c r="E860" s="24">
        <f t="shared" si="93"/>
        <v>1</v>
      </c>
      <c r="F860" s="24">
        <f>IF('query (2)'!A860="","",IFERROR(VALUE('query (2)'!A860),""))</f>
        <v>881</v>
      </c>
      <c r="G860" s="24" t="str">
        <f>IF('query (2)'!C860="","UNKNOWN",IFERROR(INDEX(Cleaning_Rules!$B$15:$B$20,MATCH(TRIM(UPPER('query (2)'!C860)),Cleaning_Rules!$A$15:$A$20,0)),"UNKNOWN"))</f>
        <v>FACTORY2</v>
      </c>
      <c r="H860" s="25" t="str">
        <f>IF('query (2)'!C860="","",'query (2)'!C860)</f>
        <v>FACTORY2</v>
      </c>
      <c r="I860" s="24" t="str" cm="1">
        <f t="array" ref="I860">_xlfn.IFS($G860="UNKNOWN","UNKNOWN",OR($G860="FACTORY1",$G860="FACTORY2",$G860="FACTORY3"),"PLANT",TRUE,"SHARED")</f>
        <v>PLANT</v>
      </c>
      <c r="J860" s="24" t="str">
        <f>IF('query (2)'!D860="","UNKNOWN",IF(COUNTIF(Cleaning_Rules!$A$6:$A$11,TRIM('query (2)'!D860))&gt;0,"UNKNOWN",IFERROR(INDEX(Cleaning_Rules!$B$24:$B$28,MATCH(TRIM(UPPER('query (2)'!D860)),Cleaning_Rules!$A$24:$A$28,0)),TRIM(UPPER('query (2)'!D860)))))</f>
        <v>NB PACKING1</v>
      </c>
      <c r="K860" s="25" t="str">
        <f>IF('query (2)'!D860="","",'query (2)'!D860)</f>
        <v>NB Packing1</v>
      </c>
      <c r="L860" s="24" t="str">
        <f>IF($J860="UNKNOWN","",_xlfn.TEXTBEFORE($J860,{"0","1","2","3","4","5","6","7","8","9"," ","-","."},1,,,$J860))</f>
        <v>NB</v>
      </c>
      <c r="M860" s="24" t="str">
        <f>IF('query (2)'!I860&lt;&gt;"",TRIM(UPPER('query (2)'!I860)),IF($L860="","UNKNOWN",$L860))</f>
        <v>NB</v>
      </c>
      <c r="N860" s="24" t="str">
        <f>IF('query (2)'!I860&lt;&gt;"","SOURCE",IF($L860="","UNKNOWN","DERIVED"))</f>
        <v>SOURCE</v>
      </c>
      <c r="O860" s="24" t="str">
        <f>IF('query (2)'!E860="","NOT_SPECIFIED",TRIM(UPPER('query (2)'!E860)))</f>
        <v>ASSEMBLY</v>
      </c>
      <c r="P860" s="24" t="str">
        <f>IF('query (2)'!F860="","",TRIM(UPPER('query (2)'!F860)))</f>
        <v>3605-NB1AI</v>
      </c>
      <c r="Q860" s="24" t="str">
        <f>IF('query (2)'!G860="","UNKNOWN",IFERROR(INDEX(Cleaning_Rules!$B$38:$B$46,MATCH(TRIM(UPPER('query (2)'!G860)),Cleaning_Rules!$A$38:$A$46,0)),"UNKNOWN"))</f>
        <v>OTHER</v>
      </c>
      <c r="R860" s="24" t="str">
        <f>IF('query (2)'!H860="","",TRIM(UPPER('query (2)'!H860)))</f>
        <v>AUTO PACKING</v>
      </c>
      <c r="S860" s="25" t="str">
        <f>IF('query (2)'!H860="","",'query (2)'!H860)</f>
        <v>AUTO PACKING</v>
      </c>
      <c r="T860" s="24" t="str">
        <f>IF('query (2)'!J860="","",TRIM(UPPER('query (2)'!J860)))</f>
        <v/>
      </c>
      <c r="U860" s="24" t="str">
        <f t="shared" si="94"/>
        <v/>
      </c>
      <c r="V860" s="24" t="str">
        <f>IF('query (2)'!K860="","NOT_SPECIFIED",IFERROR(INDEX(Cleaning_Rules!$B$32:$B$34,MATCH(TRIM(UPPER('query (2)'!K860)),Cleaning_Rules!$A$32:$A$34,0)),"UNKNOWN"))</f>
        <v>NOT_SPECIFIED</v>
      </c>
      <c r="W860" s="24" t="str">
        <f t="shared" si="95"/>
        <v>AS-1110 | FACTORY2 | NB PACKING1 | NB | ASSEMBLY | 3605-NB1AI | OTHER | AUTO PACKING | NOT_SPECIFIED</v>
      </c>
      <c r="X860" s="24" t="str">
        <f t="shared" si="96"/>
        <v/>
      </c>
      <c r="Y860" s="24" t="str">
        <f t="shared" si="97"/>
        <v>MISSING_STATUS; CATEGORY_NOT_USEFUL; MISSING_PRODUCTION_NAME</v>
      </c>
    </row>
    <row r="861" spans="1:25" x14ac:dyDescent="0.3">
      <c r="A861" s="24" t="str">
        <f t="shared" si="91"/>
        <v>AS-1111#0860</v>
      </c>
      <c r="B861" s="24" t="str">
        <f>IF('query (2)'!B861="","",TRIM(UPPER('query (2)'!B861)))</f>
        <v>AS-1111</v>
      </c>
      <c r="C861" s="25" t="str">
        <f>IF('query (2)'!B861="","",'query (2)'!B861)</f>
        <v>AS-1111</v>
      </c>
      <c r="D861" s="24" t="str">
        <f t="shared" si="92"/>
        <v>AS</v>
      </c>
      <c r="E861" s="24">
        <f t="shared" si="93"/>
        <v>1</v>
      </c>
      <c r="F861" s="24">
        <f>IF('query (2)'!A861="","",IFERROR(VALUE('query (2)'!A861),""))</f>
        <v>882</v>
      </c>
      <c r="G861" s="24" t="str">
        <f>IF('query (2)'!C861="","UNKNOWN",IFERROR(INDEX(Cleaning_Rules!$B$15:$B$20,MATCH(TRIM(UPPER('query (2)'!C861)),Cleaning_Rules!$A$15:$A$20,0)),"UNKNOWN"))</f>
        <v>FACTORY2</v>
      </c>
      <c r="H861" s="25" t="str">
        <f>IF('query (2)'!C861="","",'query (2)'!C861)</f>
        <v>FACTORY2</v>
      </c>
      <c r="I861" s="24" t="str" cm="1">
        <f t="array" ref="I861">_xlfn.IFS($G861="UNKNOWN","UNKNOWN",OR($G861="FACTORY1",$G861="FACTORY2",$G861="FACTORY3"),"PLANT",TRUE,"SHARED")</f>
        <v>PLANT</v>
      </c>
      <c r="J861" s="24" t="str">
        <f>IF('query (2)'!D861="","UNKNOWN",IF(COUNTIF(Cleaning_Rules!$A$6:$A$11,TRIM('query (2)'!D861))&gt;0,"UNKNOWN",IFERROR(INDEX(Cleaning_Rules!$B$24:$B$28,MATCH(TRIM(UPPER('query (2)'!D861)),Cleaning_Rules!$A$24:$A$28,0)),TRIM(UPPER('query (2)'!D861)))))</f>
        <v>NB PACKING1</v>
      </c>
      <c r="K861" s="25" t="str">
        <f>IF('query (2)'!D861="","",'query (2)'!D861)</f>
        <v>NB Packing1</v>
      </c>
      <c r="L861" s="24" t="str">
        <f>IF($J861="UNKNOWN","",_xlfn.TEXTBEFORE($J861,{"0","1","2","3","4","5","6","7","8","9"," ","-","."},1,,,$J861))</f>
        <v>NB</v>
      </c>
      <c r="M861" s="24" t="str">
        <f>IF('query (2)'!I861&lt;&gt;"",TRIM(UPPER('query (2)'!I861)),IF($L861="","UNKNOWN",$L861))</f>
        <v>NB</v>
      </c>
      <c r="N861" s="24" t="str">
        <f>IF('query (2)'!I861&lt;&gt;"","SOURCE",IF($L861="","UNKNOWN","DERIVED"))</f>
        <v>SOURCE</v>
      </c>
      <c r="O861" s="24" t="str">
        <f>IF('query (2)'!E861="","NOT_SPECIFIED",TRIM(UPPER('query (2)'!E861)))</f>
        <v>ASSEMBLY</v>
      </c>
      <c r="P861" s="24" t="str">
        <f>IF('query (2)'!F861="","",TRIM(UPPER('query (2)'!F861)))</f>
        <v>3605-NB1AI</v>
      </c>
      <c r="Q861" s="24" t="str">
        <f>IF('query (2)'!G861="","UNKNOWN",IFERROR(INDEX(Cleaning_Rules!$B$38:$B$46,MATCH(TRIM(UPPER('query (2)'!G861)),Cleaning_Rules!$A$38:$A$46,0)),"UNKNOWN"))</f>
        <v>OTHER</v>
      </c>
      <c r="R861" s="24" t="str">
        <f>IF('query (2)'!H861="","",TRIM(UPPER('query (2)'!H861)))</f>
        <v>AUTO WEIGHT CHECKER</v>
      </c>
      <c r="S861" s="25" t="str">
        <f>IF('query (2)'!H861="","",'query (2)'!H861)</f>
        <v>AUTO WEIGHT CHECKER</v>
      </c>
      <c r="T861" s="24" t="str">
        <f>IF('query (2)'!J861="","",TRIM(UPPER('query (2)'!J861)))</f>
        <v/>
      </c>
      <c r="U861" s="24" t="str">
        <f t="shared" si="94"/>
        <v/>
      </c>
      <c r="V861" s="24" t="str">
        <f>IF('query (2)'!K861="","NOT_SPECIFIED",IFERROR(INDEX(Cleaning_Rules!$B$32:$B$34,MATCH(TRIM(UPPER('query (2)'!K861)),Cleaning_Rules!$A$32:$A$34,0)),"UNKNOWN"))</f>
        <v>NOT_SPECIFIED</v>
      </c>
      <c r="W861" s="24" t="str">
        <f t="shared" si="95"/>
        <v>AS-1111 | FACTORY2 | NB PACKING1 | NB | ASSEMBLY | 3605-NB1AI | OTHER | AUTO WEIGHT CHECKER | NOT_SPECIFIED</v>
      </c>
      <c r="X861" s="24" t="str">
        <f t="shared" si="96"/>
        <v/>
      </c>
      <c r="Y861" s="24" t="str">
        <f t="shared" si="97"/>
        <v>MISSING_STATUS; CATEGORY_NOT_USEFUL; MISSING_PRODUCTION_NAME</v>
      </c>
    </row>
    <row r="862" spans="1:25" x14ac:dyDescent="0.3">
      <c r="A862" s="24" t="str">
        <f t="shared" si="91"/>
        <v>CH-1106#0861</v>
      </c>
      <c r="B862" s="24" t="str">
        <f>IF('query (2)'!B862="","",TRIM(UPPER('query (2)'!B862)))</f>
        <v>CH-1106</v>
      </c>
      <c r="C862" s="25" t="str">
        <f>IF('query (2)'!B862="","",'query (2)'!B862)</f>
        <v>CH-1106</v>
      </c>
      <c r="D862" s="24" t="str">
        <f t="shared" si="92"/>
        <v>CH</v>
      </c>
      <c r="E862" s="24">
        <f t="shared" si="93"/>
        <v>1</v>
      </c>
      <c r="F862" s="24">
        <f>IF('query (2)'!A862="","",IFERROR(VALUE('query (2)'!A862),""))</f>
        <v>883</v>
      </c>
      <c r="G862" s="24" t="str">
        <f>IF('query (2)'!C862="","UNKNOWN",IFERROR(INDEX(Cleaning_Rules!$B$15:$B$20,MATCH(TRIM(UPPER('query (2)'!C862)),Cleaning_Rules!$A$15:$A$20,0)),"UNKNOWN"))</f>
        <v>FACTORY1</v>
      </c>
      <c r="H862" s="25" t="str">
        <f>IF('query (2)'!C862="","",'query (2)'!C862)</f>
        <v>FACTORY1</v>
      </c>
      <c r="I862" s="24" t="str" cm="1">
        <f t="array" ref="I862">_xlfn.IFS($G862="UNKNOWN","UNKNOWN",OR($G862="FACTORY1",$G862="FACTORY2",$G862="FACTORY3"),"PLANT",TRUE,"SHARED")</f>
        <v>PLANT</v>
      </c>
      <c r="J862" s="24" t="str">
        <f>IF('query (2)'!D862="","UNKNOWN",IF(COUNTIF(Cleaning_Rules!$A$6:$A$11,TRIM('query (2)'!D862))&gt;0,"UNKNOWN",IFERROR(INDEX(Cleaning_Rules!$B$24:$B$28,MATCH(TRIM(UPPER('query (2)'!D862)),Cleaning_Rules!$A$24:$A$28,0)),TRIM(UPPER('query (2)'!D862)))))</f>
        <v>HT</v>
      </c>
      <c r="K862" s="25" t="str">
        <f>IF('query (2)'!D862="","",'query (2)'!D862)</f>
        <v>HT</v>
      </c>
      <c r="L862" s="24" t="str">
        <f>IF($J862="UNKNOWN","",_xlfn.TEXTBEFORE($J862,{"0","1","2","3","4","5","6","7","8","9"," ","-","."},1,,,$J862))</f>
        <v>HT</v>
      </c>
      <c r="M862" s="24" t="str">
        <f>IF('query (2)'!I862&lt;&gt;"",TRIM(UPPER('query (2)'!I862)),IF($L862="","UNKNOWN",$L862))</f>
        <v>YMQ</v>
      </c>
      <c r="N862" s="24" t="str">
        <f>IF('query (2)'!I862&lt;&gt;"","SOURCE",IF($L862="","UNKNOWN","DERIVED"))</f>
        <v>SOURCE</v>
      </c>
      <c r="O862" s="24" t="str">
        <f>IF('query (2)'!E862="","NOT_SPECIFIED",TRIM(UPPER('query (2)'!E862)))</f>
        <v>GRINDING 1</v>
      </c>
      <c r="P862" s="24" t="str">
        <f>IF('query (2)'!F862="","",TRIM(UPPER('query (2)'!F862)))</f>
        <v/>
      </c>
      <c r="Q862" s="24" t="str">
        <f>IF('query (2)'!G862="","UNKNOWN",IFERROR(INDEX(Cleaning_Rules!$B$38:$B$46,MATCH(TRIM(UPPER('query (2)'!G862)),Cleaning_Rules!$A$38:$A$46,0)),"UNKNOWN"))</f>
        <v>CHECK</v>
      </c>
      <c r="R862" s="24" t="str">
        <f>IF('query (2)'!H862="","",TRIM(UPPER('query (2)'!H862)))</f>
        <v>AUTO COUNT OUTLET</v>
      </c>
      <c r="S862" s="25" t="str">
        <f>IF('query (2)'!H862="","",'query (2)'!H862)</f>
        <v>Auto count outlet</v>
      </c>
      <c r="T862" s="24" t="str">
        <f>IF('query (2)'!J862="","",TRIM(UPPER('query (2)'!J862)))</f>
        <v>AUTO COUNT OUTLEY</v>
      </c>
      <c r="U862" s="24" t="str">
        <f t="shared" si="94"/>
        <v/>
      </c>
      <c r="V862" s="24" t="str">
        <f>IF('query (2)'!K862="","NOT_SPECIFIED",IFERROR(INDEX(Cleaning_Rules!$B$32:$B$34,MATCH(TRIM(UPPER('query (2)'!K862)),Cleaning_Rules!$A$32:$A$34,0)),"UNKNOWN"))</f>
        <v>APPROVED</v>
      </c>
      <c r="W862" s="24" t="str">
        <f t="shared" si="95"/>
        <v>CH-1106 | FACTORY1 | HT | YMQ | GRINDING 1 | CHECK | AUTO COUNT OUTLET | AUTO COUNT OUTLEY | APPROVED</v>
      </c>
      <c r="X862" s="24" t="str">
        <f t="shared" si="96"/>
        <v>MISSING_COST_CENTER</v>
      </c>
      <c r="Y862" s="24" t="str">
        <f t="shared" si="97"/>
        <v/>
      </c>
    </row>
    <row r="863" spans="1:25" x14ac:dyDescent="0.3">
      <c r="A863" s="24" t="str">
        <f t="shared" si="91"/>
        <v>GR - 028#0862</v>
      </c>
      <c r="B863" s="24" t="str">
        <f>IF('query (2)'!B863="","",TRIM(UPPER('query (2)'!B863)))</f>
        <v>GR - 028</v>
      </c>
      <c r="C863" s="25" t="str">
        <f>IF('query (2)'!B863="","",'query (2)'!B863)</f>
        <v>GR - 028</v>
      </c>
      <c r="D863" s="24" t="str">
        <f t="shared" si="92"/>
        <v xml:space="preserve">GR </v>
      </c>
      <c r="E863" s="24">
        <f t="shared" si="93"/>
        <v>1</v>
      </c>
      <c r="F863" s="24">
        <f>IF('query (2)'!A863="","",IFERROR(VALUE('query (2)'!A863),""))</f>
        <v>884</v>
      </c>
      <c r="G863" s="24" t="str">
        <f>IF('query (2)'!C863="","UNKNOWN",IFERROR(INDEX(Cleaning_Rules!$B$15:$B$20,MATCH(TRIM(UPPER('query (2)'!C863)),Cleaning_Rules!$A$15:$A$20,0)),"UNKNOWN"))</f>
        <v>FACTORY1</v>
      </c>
      <c r="H863" s="25" t="str">
        <f>IF('query (2)'!C863="","",'query (2)'!C863)</f>
        <v>FACTORY1</v>
      </c>
      <c r="I863" s="24" t="str" cm="1">
        <f t="array" ref="I863">_xlfn.IFS($G863="UNKNOWN","UNKNOWN",OR($G863="FACTORY1",$G863="FACTORY2",$G863="FACTORY3"),"PLANT",TRUE,"SHARED")</f>
        <v>PLANT</v>
      </c>
      <c r="J863" s="24" t="str">
        <f>IF('query (2)'!D863="","UNKNOWN",IF(COUNTIF(Cleaning_Rules!$A$6:$A$11,TRIM('query (2)'!D863))&gt;0,"UNKNOWN",IFERROR(INDEX(Cleaning_Rules!$B$24:$B$28,MATCH(TRIM(UPPER('query (2)'!D863)),Cleaning_Rules!$A$24:$A$28,0)),TRIM(UPPER('query (2)'!D863)))))</f>
        <v>G1</v>
      </c>
      <c r="K863" s="25" t="str">
        <f>IF('query (2)'!D863="","",'query (2)'!D863)</f>
        <v>G1</v>
      </c>
      <c r="L863" s="24" t="str">
        <f>IF($J863="UNKNOWN","",_xlfn.TEXTBEFORE($J863,{"0","1","2","3","4","5","6","7","8","9"," ","-","."},1,,,$J863))</f>
        <v>G</v>
      </c>
      <c r="M863" s="24" t="str">
        <f>IF('query (2)'!I863&lt;&gt;"",TRIM(UPPER('query (2)'!I863)),IF($L863="","UNKNOWN",$L863))</f>
        <v>G1</v>
      </c>
      <c r="N863" s="24" t="str">
        <f>IF('query (2)'!I863&lt;&gt;"","SOURCE",IF($L863="","UNKNOWN","DERIVED"))</f>
        <v>SOURCE</v>
      </c>
      <c r="O863" s="24" t="str">
        <f>IF('query (2)'!E863="","NOT_SPECIFIED",TRIM(UPPER('query (2)'!E863)))</f>
        <v>GRINDING 1</v>
      </c>
      <c r="P863" s="24" t="str">
        <f>IF('query (2)'!F863="","",TRIM(UPPER('query (2)'!F863)))</f>
        <v>1904-G1SU1</v>
      </c>
      <c r="Q863" s="24" t="str">
        <f>IF('query (2)'!G863="","UNKNOWN",IFERROR(INDEX(Cleaning_Rules!$B$38:$B$46,MATCH(TRIM(UPPER('query (2)'!G863)),Cleaning_Rules!$A$38:$A$46,0)),"UNKNOWN"))</f>
        <v>OTHER</v>
      </c>
      <c r="R863" s="24" t="str">
        <f>IF('query (2)'!H863="","",TRIM(UPPER('query (2)'!H863)))</f>
        <v>DOUBLE - DISK GRINDING MACHINE FOR SURFACE (V - 5C)</v>
      </c>
      <c r="S863" s="25" t="str">
        <f>IF('query (2)'!H863="","",'query (2)'!H863)</f>
        <v>Double - Disk Grinding machine for surface (V - 5C)</v>
      </c>
      <c r="T863" s="24" t="str">
        <f>IF('query (2)'!J863="","",TRIM(UPPER('query (2)'!J863)))</f>
        <v/>
      </c>
      <c r="U863" s="24" t="str">
        <f t="shared" si="94"/>
        <v/>
      </c>
      <c r="V863" s="24" t="str">
        <f>IF('query (2)'!K863="","NOT_SPECIFIED",IFERROR(INDEX(Cleaning_Rules!$B$32:$B$34,MATCH(TRIM(UPPER('query (2)'!K863)),Cleaning_Rules!$A$32:$A$34,0)),"UNKNOWN"))</f>
        <v>APPROVED</v>
      </c>
      <c r="W863" s="24" t="str">
        <f t="shared" si="95"/>
        <v>GR - 028 | FACTORY1 | G1 | G1 | GRINDING 1 | 1904-G1SU1 | OTHER | DOUBLE - DISK GRINDING MACHINE FOR SURFACE (V - 5C) | APPROVED</v>
      </c>
      <c r="X863" s="24" t="str">
        <f t="shared" si="96"/>
        <v/>
      </c>
      <c r="Y863" s="24" t="str">
        <f t="shared" si="97"/>
        <v>CATEGORY_NOT_USEFUL; MISSING_PRODUCTION_NAME</v>
      </c>
    </row>
    <row r="864" spans="1:25" x14ac:dyDescent="0.3">
      <c r="A864" s="24" t="str">
        <f t="shared" si="91"/>
        <v>GR - 029#0863</v>
      </c>
      <c r="B864" s="24" t="str">
        <f>IF('query (2)'!B864="","",TRIM(UPPER('query (2)'!B864)))</f>
        <v>GR - 029</v>
      </c>
      <c r="C864" s="25" t="str">
        <f>IF('query (2)'!B864="","",'query (2)'!B864)</f>
        <v>GR - 029</v>
      </c>
      <c r="D864" s="24" t="str">
        <f t="shared" si="92"/>
        <v xml:space="preserve">GR </v>
      </c>
      <c r="E864" s="24">
        <f t="shared" si="93"/>
        <v>1</v>
      </c>
      <c r="F864" s="24">
        <f>IF('query (2)'!A864="","",IFERROR(VALUE('query (2)'!A864),""))</f>
        <v>885</v>
      </c>
      <c r="G864" s="24" t="str">
        <f>IF('query (2)'!C864="","UNKNOWN",IFERROR(INDEX(Cleaning_Rules!$B$15:$B$20,MATCH(TRIM(UPPER('query (2)'!C864)),Cleaning_Rules!$A$15:$A$20,0)),"UNKNOWN"))</f>
        <v>FACTORY1</v>
      </c>
      <c r="H864" s="25" t="str">
        <f>IF('query (2)'!C864="","",'query (2)'!C864)</f>
        <v>FACTORY1</v>
      </c>
      <c r="I864" s="24" t="str" cm="1">
        <f t="array" ref="I864">_xlfn.IFS($G864="UNKNOWN","UNKNOWN",OR($G864="FACTORY1",$G864="FACTORY2",$G864="FACTORY3"),"PLANT",TRUE,"SHARED")</f>
        <v>PLANT</v>
      </c>
      <c r="J864" s="24" t="str">
        <f>IF('query (2)'!D864="","UNKNOWN",IF(COUNTIF(Cleaning_Rules!$A$6:$A$11,TRIM('query (2)'!D864))&gt;0,"UNKNOWN",IFERROR(INDEX(Cleaning_Rules!$B$24:$B$28,MATCH(TRIM(UPPER('query (2)'!D864)),Cleaning_Rules!$A$24:$A$28,0)),TRIM(UPPER('query (2)'!D864)))))</f>
        <v>G1</v>
      </c>
      <c r="K864" s="25" t="str">
        <f>IF('query (2)'!D864="","",'query (2)'!D864)</f>
        <v>G1</v>
      </c>
      <c r="L864" s="24" t="str">
        <f>IF($J864="UNKNOWN","",_xlfn.TEXTBEFORE($J864,{"0","1","2","3","4","5","6","7","8","9"," ","-","."},1,,,$J864))</f>
        <v>G</v>
      </c>
      <c r="M864" s="24" t="str">
        <f>IF('query (2)'!I864&lt;&gt;"",TRIM(UPPER('query (2)'!I864)),IF($L864="","UNKNOWN",$L864))</f>
        <v>G1</v>
      </c>
      <c r="N864" s="24" t="str">
        <f>IF('query (2)'!I864&lt;&gt;"","SOURCE",IF($L864="","UNKNOWN","DERIVED"))</f>
        <v>SOURCE</v>
      </c>
      <c r="O864" s="24" t="str">
        <f>IF('query (2)'!E864="","NOT_SPECIFIED",TRIM(UPPER('query (2)'!E864)))</f>
        <v>GRINDING 1</v>
      </c>
      <c r="P864" s="24" t="str">
        <f>IF('query (2)'!F864="","",TRIM(UPPER('query (2)'!F864)))</f>
        <v>1905-G1SU2</v>
      </c>
      <c r="Q864" s="24" t="str">
        <f>IF('query (2)'!G864="","UNKNOWN",IFERROR(INDEX(Cleaning_Rules!$B$38:$B$46,MATCH(TRIM(UPPER('query (2)'!G864)),Cleaning_Rules!$A$38:$A$46,0)),"UNKNOWN"))</f>
        <v>OTHER</v>
      </c>
      <c r="R864" s="24" t="str">
        <f>IF('query (2)'!H864="","",TRIM(UPPER('query (2)'!H864)))</f>
        <v>DOUBLE - DISK GRINDING MACHINE FOR SURFACE (DSG - 23LV)</v>
      </c>
      <c r="S864" s="25" t="str">
        <f>IF('query (2)'!H864="","",'query (2)'!H864)</f>
        <v>Double - Disk Grinding machine for surface (DSG - 23LV)</v>
      </c>
      <c r="T864" s="24" t="str">
        <f>IF('query (2)'!J864="","",TRIM(UPPER('query (2)'!J864)))</f>
        <v/>
      </c>
      <c r="U864" s="24" t="str">
        <f t="shared" si="94"/>
        <v/>
      </c>
      <c r="V864" s="24" t="str">
        <f>IF('query (2)'!K864="","NOT_SPECIFIED",IFERROR(INDEX(Cleaning_Rules!$B$32:$B$34,MATCH(TRIM(UPPER('query (2)'!K864)),Cleaning_Rules!$A$32:$A$34,0)),"UNKNOWN"))</f>
        <v>APPROVED</v>
      </c>
      <c r="W864" s="24" t="str">
        <f t="shared" si="95"/>
        <v>GR - 029 | FACTORY1 | G1 | G1 | GRINDING 1 | 1905-G1SU2 | OTHER | DOUBLE - DISK GRINDING MACHINE FOR SURFACE (DSG - 23LV) | APPROVED</v>
      </c>
      <c r="X864" s="24" t="str">
        <f t="shared" si="96"/>
        <v/>
      </c>
      <c r="Y864" s="24" t="str">
        <f t="shared" si="97"/>
        <v>CATEGORY_NOT_USEFUL; MISSING_PRODUCTION_NAME</v>
      </c>
    </row>
    <row r="865" spans="1:25" x14ac:dyDescent="0.3">
      <c r="A865" s="24" t="str">
        <f t="shared" si="91"/>
        <v>GR - 030#0864</v>
      </c>
      <c r="B865" s="24" t="str">
        <f>IF('query (2)'!B865="","",TRIM(UPPER('query (2)'!B865)))</f>
        <v>GR - 030</v>
      </c>
      <c r="C865" s="25" t="str">
        <f>IF('query (2)'!B865="","",'query (2)'!B865)</f>
        <v>GR - 030</v>
      </c>
      <c r="D865" s="24" t="str">
        <f t="shared" si="92"/>
        <v xml:space="preserve">GR </v>
      </c>
      <c r="E865" s="24">
        <f t="shared" si="93"/>
        <v>1</v>
      </c>
      <c r="F865" s="24">
        <f>IF('query (2)'!A865="","",IFERROR(VALUE('query (2)'!A865),""))</f>
        <v>886</v>
      </c>
      <c r="G865" s="24" t="str">
        <f>IF('query (2)'!C865="","UNKNOWN",IFERROR(INDEX(Cleaning_Rules!$B$15:$B$20,MATCH(TRIM(UPPER('query (2)'!C865)),Cleaning_Rules!$A$15:$A$20,0)),"UNKNOWN"))</f>
        <v>FACTORY1</v>
      </c>
      <c r="H865" s="25" t="str">
        <f>IF('query (2)'!C865="","",'query (2)'!C865)</f>
        <v>FACTORY1</v>
      </c>
      <c r="I865" s="24" t="str" cm="1">
        <f t="array" ref="I865">_xlfn.IFS($G865="UNKNOWN","UNKNOWN",OR($G865="FACTORY1",$G865="FACTORY2",$G865="FACTORY3"),"PLANT",TRUE,"SHARED")</f>
        <v>PLANT</v>
      </c>
      <c r="J865" s="24" t="str">
        <f>IF('query (2)'!D865="","UNKNOWN",IF(COUNTIF(Cleaning_Rules!$A$6:$A$11,TRIM('query (2)'!D865))&gt;0,"UNKNOWN",IFERROR(INDEX(Cleaning_Rules!$B$24:$B$28,MATCH(TRIM(UPPER('query (2)'!D865)),Cleaning_Rules!$A$24:$A$28,0)),TRIM(UPPER('query (2)'!D865)))))</f>
        <v>G1</v>
      </c>
      <c r="K865" s="25" t="str">
        <f>IF('query (2)'!D865="","",'query (2)'!D865)</f>
        <v>G1</v>
      </c>
      <c r="L865" s="24" t="str">
        <f>IF($J865="UNKNOWN","",_xlfn.TEXTBEFORE($J865,{"0","1","2","3","4","5","6","7","8","9"," ","-","."},1,,,$J865))</f>
        <v>G</v>
      </c>
      <c r="M865" s="24" t="str">
        <f>IF('query (2)'!I865&lt;&gt;"",TRIM(UPPER('query (2)'!I865)),IF($L865="","UNKNOWN",$L865))</f>
        <v>G1</v>
      </c>
      <c r="N865" s="24" t="str">
        <f>IF('query (2)'!I865&lt;&gt;"","SOURCE",IF($L865="","UNKNOWN","DERIVED"))</f>
        <v>SOURCE</v>
      </c>
      <c r="O865" s="24" t="str">
        <f>IF('query (2)'!E865="","NOT_SPECIFIED",TRIM(UPPER('query (2)'!E865)))</f>
        <v>GRINDING 1</v>
      </c>
      <c r="P865" s="24" t="str">
        <f>IF('query (2)'!F865="","",TRIM(UPPER('query (2)'!F865)))</f>
        <v>1909-G1OD1</v>
      </c>
      <c r="Q865" s="24" t="str">
        <f>IF('query (2)'!G865="","UNKNOWN",IFERROR(INDEX(Cleaning_Rules!$B$38:$B$46,MATCH(TRIM(UPPER('query (2)'!G865)),Cleaning_Rules!$A$38:$A$46,0)),"UNKNOWN"))</f>
        <v>OTHER</v>
      </c>
      <c r="R865" s="24" t="str">
        <f>IF('query (2)'!H865="","",TRIM(UPPER('query (2)'!H865)))</f>
        <v>OUT DIAMETER GRINDING MACHINE (OD1 ROUGH)</v>
      </c>
      <c r="S865" s="25" t="str">
        <f>IF('query (2)'!H865="","",'query (2)'!H865)</f>
        <v>Out diameter grinding machine (OD1 Rough)</v>
      </c>
      <c r="T865" s="24" t="str">
        <f>IF('query (2)'!J865="","",TRIM(UPPER('query (2)'!J865)))</f>
        <v/>
      </c>
      <c r="U865" s="24" t="str">
        <f t="shared" si="94"/>
        <v/>
      </c>
      <c r="V865" s="24" t="str">
        <f>IF('query (2)'!K865="","NOT_SPECIFIED",IFERROR(INDEX(Cleaning_Rules!$B$32:$B$34,MATCH(TRIM(UPPER('query (2)'!K865)),Cleaning_Rules!$A$32:$A$34,0)),"UNKNOWN"))</f>
        <v>APPROVED</v>
      </c>
      <c r="W865" s="24" t="str">
        <f t="shared" si="95"/>
        <v>GR - 030 | FACTORY1 | G1 | G1 | GRINDING 1 | 1909-G1OD1 | OTHER | OUT DIAMETER GRINDING MACHINE (OD1 ROUGH) | APPROVED</v>
      </c>
      <c r="X865" s="24" t="str">
        <f t="shared" si="96"/>
        <v/>
      </c>
      <c r="Y865" s="24" t="str">
        <f t="shared" si="97"/>
        <v>CATEGORY_NOT_USEFUL; MISSING_PRODUCTION_NAME</v>
      </c>
    </row>
    <row r="866" spans="1:25" x14ac:dyDescent="0.3">
      <c r="A866" s="24" t="str">
        <f t="shared" si="91"/>
        <v>GR - 031#0865</v>
      </c>
      <c r="B866" s="24" t="str">
        <f>IF('query (2)'!B866="","",TRIM(UPPER('query (2)'!B866)))</f>
        <v>GR - 031</v>
      </c>
      <c r="C866" s="25" t="str">
        <f>IF('query (2)'!B866="","",'query (2)'!B866)</f>
        <v>GR - 031</v>
      </c>
      <c r="D866" s="24" t="str">
        <f t="shared" si="92"/>
        <v xml:space="preserve">GR </v>
      </c>
      <c r="E866" s="24">
        <f t="shared" si="93"/>
        <v>1</v>
      </c>
      <c r="F866" s="24">
        <f>IF('query (2)'!A866="","",IFERROR(VALUE('query (2)'!A866),""))</f>
        <v>887</v>
      </c>
      <c r="G866" s="24" t="str">
        <f>IF('query (2)'!C866="","UNKNOWN",IFERROR(INDEX(Cleaning_Rules!$B$15:$B$20,MATCH(TRIM(UPPER('query (2)'!C866)),Cleaning_Rules!$A$15:$A$20,0)),"UNKNOWN"))</f>
        <v>FACTORY1</v>
      </c>
      <c r="H866" s="25" t="str">
        <f>IF('query (2)'!C866="","",'query (2)'!C866)</f>
        <v>FACTORY1</v>
      </c>
      <c r="I866" s="24" t="str" cm="1">
        <f t="array" ref="I866">_xlfn.IFS($G866="UNKNOWN","UNKNOWN",OR($G866="FACTORY1",$G866="FACTORY2",$G866="FACTORY3"),"PLANT",TRUE,"SHARED")</f>
        <v>PLANT</v>
      </c>
      <c r="J866" s="24" t="str">
        <f>IF('query (2)'!D866="","UNKNOWN",IF(COUNTIF(Cleaning_Rules!$A$6:$A$11,TRIM('query (2)'!D866))&gt;0,"UNKNOWN",IFERROR(INDEX(Cleaning_Rules!$B$24:$B$28,MATCH(TRIM(UPPER('query (2)'!D866)),Cleaning_Rules!$A$24:$A$28,0)),TRIM(UPPER('query (2)'!D866)))))</f>
        <v>G1</v>
      </c>
      <c r="K866" s="25" t="str">
        <f>IF('query (2)'!D866="","",'query (2)'!D866)</f>
        <v>G1</v>
      </c>
      <c r="L866" s="24" t="str">
        <f>IF($J866="UNKNOWN","",_xlfn.TEXTBEFORE($J866,{"0","1","2","3","4","5","6","7","8","9"," ","-","."},1,,,$J866))</f>
        <v>G</v>
      </c>
      <c r="M866" s="24" t="str">
        <f>IF('query (2)'!I866&lt;&gt;"",TRIM(UPPER('query (2)'!I866)),IF($L866="","UNKNOWN",$L866))</f>
        <v>G1</v>
      </c>
      <c r="N866" s="24" t="str">
        <f>IF('query (2)'!I866&lt;&gt;"","SOURCE",IF($L866="","UNKNOWN","DERIVED"))</f>
        <v>SOURCE</v>
      </c>
      <c r="O866" s="24" t="str">
        <f>IF('query (2)'!E866="","NOT_SPECIFIED",TRIM(UPPER('query (2)'!E866)))</f>
        <v>GRINDING 1</v>
      </c>
      <c r="P866" s="24" t="str">
        <f>IF('query (2)'!F866="","",TRIM(UPPER('query (2)'!F866)))</f>
        <v>1909-G1OD1</v>
      </c>
      <c r="Q866" s="24" t="str">
        <f>IF('query (2)'!G866="","UNKNOWN",IFERROR(INDEX(Cleaning_Rules!$B$38:$B$46,MATCH(TRIM(UPPER('query (2)'!G866)),Cleaning_Rules!$A$38:$A$46,0)),"UNKNOWN"))</f>
        <v>OTHER</v>
      </c>
      <c r="R866" s="24" t="str">
        <f>IF('query (2)'!H866="","",TRIM(UPPER('query (2)'!H866)))</f>
        <v>OUT DIAMETER GRINDING MACHINE (OD1 FINISH)</v>
      </c>
      <c r="S866" s="25" t="str">
        <f>IF('query (2)'!H866="","",'query (2)'!H866)</f>
        <v>Out diameter grinding machine (OD1  Finish)</v>
      </c>
      <c r="T866" s="24" t="str">
        <f>IF('query (2)'!J866="","",TRIM(UPPER('query (2)'!J866)))</f>
        <v/>
      </c>
      <c r="U866" s="24" t="str">
        <f t="shared" si="94"/>
        <v/>
      </c>
      <c r="V866" s="24" t="str">
        <f>IF('query (2)'!K866="","NOT_SPECIFIED",IFERROR(INDEX(Cleaning_Rules!$B$32:$B$34,MATCH(TRIM(UPPER('query (2)'!K866)),Cleaning_Rules!$A$32:$A$34,0)),"UNKNOWN"))</f>
        <v>APPROVED</v>
      </c>
      <c r="W866" s="24" t="str">
        <f t="shared" si="95"/>
        <v>GR - 031 | FACTORY1 | G1 | G1 | GRINDING 1 | 1909-G1OD1 | OTHER | OUT DIAMETER GRINDING MACHINE (OD1 FINISH) | APPROVED</v>
      </c>
      <c r="X866" s="24" t="str">
        <f t="shared" si="96"/>
        <v/>
      </c>
      <c r="Y866" s="24" t="str">
        <f t="shared" si="97"/>
        <v>CATEGORY_NOT_USEFUL; MISSING_PRODUCTION_NAME</v>
      </c>
    </row>
    <row r="867" spans="1:25" x14ac:dyDescent="0.3">
      <c r="A867" s="24" t="str">
        <f t="shared" si="91"/>
        <v>AR - 246#0866</v>
      </c>
      <c r="B867" s="24" t="str">
        <f>IF('query (2)'!B867="","",TRIM(UPPER('query (2)'!B867)))</f>
        <v>AR - 246</v>
      </c>
      <c r="C867" s="25" t="str">
        <f>IF('query (2)'!B867="","",'query (2)'!B867)</f>
        <v>AR - 246</v>
      </c>
      <c r="D867" s="24" t="str">
        <f t="shared" si="92"/>
        <v xml:space="preserve">AR </v>
      </c>
      <c r="E867" s="24">
        <f t="shared" si="93"/>
        <v>1</v>
      </c>
      <c r="F867" s="24">
        <f>IF('query (2)'!A867="","",IFERROR(VALUE('query (2)'!A867),""))</f>
        <v>888</v>
      </c>
      <c r="G867" s="24" t="str">
        <f>IF('query (2)'!C867="","UNKNOWN",IFERROR(INDEX(Cleaning_Rules!$B$15:$B$20,MATCH(TRIM(UPPER('query (2)'!C867)),Cleaning_Rules!$A$15:$A$20,0)),"UNKNOWN"))</f>
        <v>FACTORY1</v>
      </c>
      <c r="H867" s="25" t="str">
        <f>IF('query (2)'!C867="","",'query (2)'!C867)</f>
        <v>FACTORY1</v>
      </c>
      <c r="I867" s="24" t="str" cm="1">
        <f t="array" ref="I867">_xlfn.IFS($G867="UNKNOWN","UNKNOWN",OR($G867="FACTORY1",$G867="FACTORY2",$G867="FACTORY3"),"PLANT",TRUE,"SHARED")</f>
        <v>PLANT</v>
      </c>
      <c r="J867" s="24" t="str">
        <f>IF('query (2)'!D867="","UNKNOWN",IF(COUNTIF(Cleaning_Rules!$A$6:$A$11,TRIM('query (2)'!D867))&gt;0,"UNKNOWN",IFERROR(INDEX(Cleaning_Rules!$B$24:$B$28,MATCH(TRIM(UPPER('query (2)'!D867)),Cleaning_Rules!$A$24:$A$28,0)),TRIM(UPPER('query (2)'!D867)))))</f>
        <v>G1</v>
      </c>
      <c r="K867" s="25" t="str">
        <f>IF('query (2)'!D867="","",'query (2)'!D867)</f>
        <v>G1</v>
      </c>
      <c r="L867" s="24" t="str">
        <f>IF($J867="UNKNOWN","",_xlfn.TEXTBEFORE($J867,{"0","1","2","3","4","5","6","7","8","9"," ","-","."},1,,,$J867))</f>
        <v>G</v>
      </c>
      <c r="M867" s="24" t="str">
        <f>IF('query (2)'!I867&lt;&gt;"",TRIM(UPPER('query (2)'!I867)),IF($L867="","UNKNOWN",$L867))</f>
        <v>G1</v>
      </c>
      <c r="N867" s="24" t="str">
        <f>IF('query (2)'!I867&lt;&gt;"","SOURCE",IF($L867="","UNKNOWN","DERIVED"))</f>
        <v>SOURCE</v>
      </c>
      <c r="O867" s="24" t="str">
        <f>IF('query (2)'!E867="","NOT_SPECIFIED",TRIM(UPPER('query (2)'!E867)))</f>
        <v>GRINDING 1</v>
      </c>
      <c r="P867" s="24" t="str">
        <f>IF('query (2)'!F867="","",TRIM(UPPER('query (2)'!F867)))</f>
        <v/>
      </c>
      <c r="Q867" s="24" t="str">
        <f>IF('query (2)'!G867="","UNKNOWN",IFERROR(INDEX(Cleaning_Rules!$B$38:$B$46,MATCH(TRIM(UPPER('query (2)'!G867)),Cleaning_Rules!$A$38:$A$46,0)),"UNKNOWN"))</f>
        <v>OTHER</v>
      </c>
      <c r="R867" s="24" t="str">
        <f>IF('query (2)'!H867="","",TRIM(UPPER('query (2)'!H867)))</f>
        <v>RUST PREVENTION M/C (OD1)</v>
      </c>
      <c r="S867" s="25" t="str">
        <f>IF('query (2)'!H867="","",'query (2)'!H867)</f>
        <v>Rust  Prevention  M/C (OD1)</v>
      </c>
      <c r="T867" s="24" t="str">
        <f>IF('query (2)'!J867="","",TRIM(UPPER('query (2)'!J867)))</f>
        <v/>
      </c>
      <c r="U867" s="24" t="str">
        <f t="shared" si="94"/>
        <v/>
      </c>
      <c r="V867" s="24" t="str">
        <f>IF('query (2)'!K867="","NOT_SPECIFIED",IFERROR(INDEX(Cleaning_Rules!$B$32:$B$34,MATCH(TRIM(UPPER('query (2)'!K867)),Cleaning_Rules!$A$32:$A$34,0)),"UNKNOWN"))</f>
        <v>APPROVED</v>
      </c>
      <c r="W867" s="24" t="str">
        <f t="shared" si="95"/>
        <v>AR - 246 | FACTORY1 | G1 | G1 | GRINDING 1 | OTHER | RUST PREVENTION M/C (OD1) | APPROVED</v>
      </c>
      <c r="X867" s="24" t="str">
        <f t="shared" si="96"/>
        <v>MISSING_COST_CENTER</v>
      </c>
      <c r="Y867" s="24" t="str">
        <f t="shared" si="97"/>
        <v>CATEGORY_NOT_USEFUL; MISSING_PRODUCTION_NAME</v>
      </c>
    </row>
    <row r="868" spans="1:25" x14ac:dyDescent="0.3">
      <c r="A868" s="24" t="str">
        <f t="shared" si="91"/>
        <v>AR - 247#0867</v>
      </c>
      <c r="B868" s="24" t="str">
        <f>IF('query (2)'!B868="","",TRIM(UPPER('query (2)'!B868)))</f>
        <v>AR - 247</v>
      </c>
      <c r="C868" s="25" t="str">
        <f>IF('query (2)'!B868="","",'query (2)'!B868)</f>
        <v>AR - 247</v>
      </c>
      <c r="D868" s="24" t="str">
        <f t="shared" si="92"/>
        <v xml:space="preserve">AR </v>
      </c>
      <c r="E868" s="24">
        <f t="shared" si="93"/>
        <v>1</v>
      </c>
      <c r="F868" s="24">
        <f>IF('query (2)'!A868="","",IFERROR(VALUE('query (2)'!A868),""))</f>
        <v>889</v>
      </c>
      <c r="G868" s="24" t="str">
        <f>IF('query (2)'!C868="","UNKNOWN",IFERROR(INDEX(Cleaning_Rules!$B$15:$B$20,MATCH(TRIM(UPPER('query (2)'!C868)),Cleaning_Rules!$A$15:$A$20,0)),"UNKNOWN"))</f>
        <v>FACTORY1</v>
      </c>
      <c r="H868" s="25" t="str">
        <f>IF('query (2)'!C868="","",'query (2)'!C868)</f>
        <v>FACTORY1</v>
      </c>
      <c r="I868" s="24" t="str" cm="1">
        <f t="array" ref="I868">_xlfn.IFS($G868="UNKNOWN","UNKNOWN",OR($G868="FACTORY1",$G868="FACTORY2",$G868="FACTORY3"),"PLANT",TRUE,"SHARED")</f>
        <v>PLANT</v>
      </c>
      <c r="J868" s="24" t="str">
        <f>IF('query (2)'!D868="","UNKNOWN",IF(COUNTIF(Cleaning_Rules!$A$6:$A$11,TRIM('query (2)'!D868))&gt;0,"UNKNOWN",IFERROR(INDEX(Cleaning_Rules!$B$24:$B$28,MATCH(TRIM(UPPER('query (2)'!D868)),Cleaning_Rules!$A$24:$A$28,0)),TRIM(UPPER('query (2)'!D868)))))</f>
        <v>G1</v>
      </c>
      <c r="K868" s="25" t="str">
        <f>IF('query (2)'!D868="","",'query (2)'!D868)</f>
        <v>G1</v>
      </c>
      <c r="L868" s="24" t="str">
        <f>IF($J868="UNKNOWN","",_xlfn.TEXTBEFORE($J868,{"0","1","2","3","4","5","6","7","8","9"," ","-","."},1,,,$J868))</f>
        <v>G</v>
      </c>
      <c r="M868" s="24" t="str">
        <f>IF('query (2)'!I868&lt;&gt;"",TRIM(UPPER('query (2)'!I868)),IF($L868="","UNKNOWN",$L868))</f>
        <v>G1</v>
      </c>
      <c r="N868" s="24" t="str">
        <f>IF('query (2)'!I868&lt;&gt;"","SOURCE",IF($L868="","UNKNOWN","DERIVED"))</f>
        <v>SOURCE</v>
      </c>
      <c r="O868" s="24" t="str">
        <f>IF('query (2)'!E868="","NOT_SPECIFIED",TRIM(UPPER('query (2)'!E868)))</f>
        <v>GRINDING 1</v>
      </c>
      <c r="P868" s="24" t="str">
        <f>IF('query (2)'!F868="","",TRIM(UPPER('query (2)'!F868)))</f>
        <v/>
      </c>
      <c r="Q868" s="24" t="str">
        <f>IF('query (2)'!G868="","UNKNOWN",IFERROR(INDEX(Cleaning_Rules!$B$38:$B$46,MATCH(TRIM(UPPER('query (2)'!G868)),Cleaning_Rules!$A$38:$A$46,0)),"UNKNOWN"))</f>
        <v>OTHER</v>
      </c>
      <c r="R868" s="24" t="str">
        <f>IF('query (2)'!H868="","",TRIM(UPPER('query (2)'!H868)))</f>
        <v>RUST PREVENTION M/C (OD3)</v>
      </c>
      <c r="S868" s="25" t="str">
        <f>IF('query (2)'!H868="","",'query (2)'!H868)</f>
        <v>Rust  Prevention  M/C (OD3)</v>
      </c>
      <c r="T868" s="24" t="str">
        <f>IF('query (2)'!J868="","",TRIM(UPPER('query (2)'!J868)))</f>
        <v/>
      </c>
      <c r="U868" s="24" t="str">
        <f t="shared" si="94"/>
        <v/>
      </c>
      <c r="V868" s="24" t="str">
        <f>IF('query (2)'!K868="","NOT_SPECIFIED",IFERROR(INDEX(Cleaning_Rules!$B$32:$B$34,MATCH(TRIM(UPPER('query (2)'!K868)),Cleaning_Rules!$A$32:$A$34,0)),"UNKNOWN"))</f>
        <v>APPROVED</v>
      </c>
      <c r="W868" s="24" t="str">
        <f t="shared" si="95"/>
        <v>AR - 247 | FACTORY1 | G1 | G1 | GRINDING 1 | OTHER | RUST PREVENTION M/C (OD3) | APPROVED</v>
      </c>
      <c r="X868" s="24" t="str">
        <f t="shared" si="96"/>
        <v>MISSING_COST_CENTER</v>
      </c>
      <c r="Y868" s="24" t="str">
        <f t="shared" si="97"/>
        <v>CATEGORY_NOT_USEFUL; MISSING_PRODUCTION_NAME</v>
      </c>
    </row>
    <row r="869" spans="1:25" x14ac:dyDescent="0.3">
      <c r="A869" s="24" t="str">
        <f t="shared" si="91"/>
        <v>AR - 681#0868</v>
      </c>
      <c r="B869" s="24" t="str">
        <f>IF('query (2)'!B869="","",TRIM(UPPER('query (2)'!B869)))</f>
        <v>AR - 681</v>
      </c>
      <c r="C869" s="25" t="str">
        <f>IF('query (2)'!B869="","",'query (2)'!B869)</f>
        <v>AR - 681</v>
      </c>
      <c r="D869" s="24" t="str">
        <f t="shared" si="92"/>
        <v xml:space="preserve">AR </v>
      </c>
      <c r="E869" s="24">
        <f t="shared" si="93"/>
        <v>1</v>
      </c>
      <c r="F869" s="24">
        <f>IF('query (2)'!A869="","",IFERROR(VALUE('query (2)'!A869),""))</f>
        <v>890</v>
      </c>
      <c r="G869" s="24" t="str">
        <f>IF('query (2)'!C869="","UNKNOWN",IFERROR(INDEX(Cleaning_Rules!$B$15:$B$20,MATCH(TRIM(UPPER('query (2)'!C869)),Cleaning_Rules!$A$15:$A$20,0)),"UNKNOWN"))</f>
        <v>FACTORY1</v>
      </c>
      <c r="H869" s="25" t="str">
        <f>IF('query (2)'!C869="","",'query (2)'!C869)</f>
        <v>FACTORY1</v>
      </c>
      <c r="I869" s="24" t="str" cm="1">
        <f t="array" ref="I869">_xlfn.IFS($G869="UNKNOWN","UNKNOWN",OR($G869="FACTORY1",$G869="FACTORY2",$G869="FACTORY3"),"PLANT",TRUE,"SHARED")</f>
        <v>PLANT</v>
      </c>
      <c r="J869" s="24" t="str">
        <f>IF('query (2)'!D869="","UNKNOWN",IF(COUNTIF(Cleaning_Rules!$A$6:$A$11,TRIM('query (2)'!D869))&gt;0,"UNKNOWN",IFERROR(INDEX(Cleaning_Rules!$B$24:$B$28,MATCH(TRIM(UPPER('query (2)'!D869)),Cleaning_Rules!$A$24:$A$28,0)),TRIM(UPPER('query (2)'!D869)))))</f>
        <v>G1</v>
      </c>
      <c r="K869" s="25" t="str">
        <f>IF('query (2)'!D869="","",'query (2)'!D869)</f>
        <v>G1</v>
      </c>
      <c r="L869" s="24" t="str">
        <f>IF($J869="UNKNOWN","",_xlfn.TEXTBEFORE($J869,{"0","1","2","3","4","5","6","7","8","9"," ","-","."},1,,,$J869))</f>
        <v>G</v>
      </c>
      <c r="M869" s="24" t="str">
        <f>IF('query (2)'!I869&lt;&gt;"",TRIM(UPPER('query (2)'!I869)),IF($L869="","UNKNOWN",$L869))</f>
        <v>G1</v>
      </c>
      <c r="N869" s="24" t="str">
        <f>IF('query (2)'!I869&lt;&gt;"","SOURCE",IF($L869="","UNKNOWN","DERIVED"))</f>
        <v>SOURCE</v>
      </c>
      <c r="O869" s="24" t="str">
        <f>IF('query (2)'!E869="","NOT_SPECIFIED",TRIM(UPPER('query (2)'!E869)))</f>
        <v>GRINDING 1</v>
      </c>
      <c r="P869" s="24" t="str">
        <f>IF('query (2)'!F869="","",TRIM(UPPER('query (2)'!F869)))</f>
        <v/>
      </c>
      <c r="Q869" s="24" t="str">
        <f>IF('query (2)'!G869="","UNKNOWN",IFERROR(INDEX(Cleaning_Rules!$B$38:$B$46,MATCH(TRIM(UPPER('query (2)'!G869)),Cleaning_Rules!$A$38:$A$46,0)),"UNKNOWN"))</f>
        <v>OTHER</v>
      </c>
      <c r="R869" s="24" t="str">
        <f>IF('query (2)'!H869="","",TRIM(UPPER('query (2)'!H869)))</f>
        <v>RUST PREVENTION M/C (SURFACE)</v>
      </c>
      <c r="S869" s="25" t="str">
        <f>IF('query (2)'!H869="","",'query (2)'!H869)</f>
        <v>Rust  Prevention  M/C (surface)</v>
      </c>
      <c r="T869" s="24" t="str">
        <f>IF('query (2)'!J869="","",TRIM(UPPER('query (2)'!J869)))</f>
        <v/>
      </c>
      <c r="U869" s="24" t="str">
        <f t="shared" si="94"/>
        <v/>
      </c>
      <c r="V869" s="24" t="str">
        <f>IF('query (2)'!K869="","NOT_SPECIFIED",IFERROR(INDEX(Cleaning_Rules!$B$32:$B$34,MATCH(TRIM(UPPER('query (2)'!K869)),Cleaning_Rules!$A$32:$A$34,0)),"UNKNOWN"))</f>
        <v>APPROVED</v>
      </c>
      <c r="W869" s="24" t="str">
        <f t="shared" si="95"/>
        <v>AR - 681 | FACTORY1 | G1 | G1 | GRINDING 1 | OTHER | RUST PREVENTION M/C (SURFACE) | APPROVED</v>
      </c>
      <c r="X869" s="24" t="str">
        <f t="shared" si="96"/>
        <v>MISSING_COST_CENTER</v>
      </c>
      <c r="Y869" s="24" t="str">
        <f t="shared" si="97"/>
        <v>CATEGORY_NOT_USEFUL; MISSING_PRODUCTION_NAME</v>
      </c>
    </row>
    <row r="870" spans="1:25" x14ac:dyDescent="0.3">
      <c r="A870" s="24" t="str">
        <f t="shared" si="91"/>
        <v>GR - 249#0869</v>
      </c>
      <c r="B870" s="24" t="str">
        <f>IF('query (2)'!B870="","",TRIM(UPPER('query (2)'!B870)))</f>
        <v>GR - 249</v>
      </c>
      <c r="C870" s="25" t="str">
        <f>IF('query (2)'!B870="","",'query (2)'!B870)</f>
        <v>GR - 249</v>
      </c>
      <c r="D870" s="24" t="str">
        <f t="shared" si="92"/>
        <v xml:space="preserve">GR </v>
      </c>
      <c r="E870" s="24">
        <f t="shared" si="93"/>
        <v>1</v>
      </c>
      <c r="F870" s="24">
        <f>IF('query (2)'!A870="","",IFERROR(VALUE('query (2)'!A870),""))</f>
        <v>891</v>
      </c>
      <c r="G870" s="24" t="str">
        <f>IF('query (2)'!C870="","UNKNOWN",IFERROR(INDEX(Cleaning_Rules!$B$15:$B$20,MATCH(TRIM(UPPER('query (2)'!C870)),Cleaning_Rules!$A$15:$A$20,0)),"UNKNOWN"))</f>
        <v>FACTORY1</v>
      </c>
      <c r="H870" s="25" t="str">
        <f>IF('query (2)'!C870="","",'query (2)'!C870)</f>
        <v>FACTORY1</v>
      </c>
      <c r="I870" s="24" t="str" cm="1">
        <f t="array" ref="I870">_xlfn.IFS($G870="UNKNOWN","UNKNOWN",OR($G870="FACTORY1",$G870="FACTORY2",$G870="FACTORY3"),"PLANT",TRUE,"SHARED")</f>
        <v>PLANT</v>
      </c>
      <c r="J870" s="24" t="str">
        <f>IF('query (2)'!D870="","UNKNOWN",IF(COUNTIF(Cleaning_Rules!$A$6:$A$11,TRIM('query (2)'!D870))&gt;0,"UNKNOWN",IFERROR(INDEX(Cleaning_Rules!$B$24:$B$28,MATCH(TRIM(UPPER('query (2)'!D870)),Cleaning_Rules!$A$24:$A$28,0)),TRIM(UPPER('query (2)'!D870)))))</f>
        <v>G1</v>
      </c>
      <c r="K870" s="25" t="str">
        <f>IF('query (2)'!D870="","",'query (2)'!D870)</f>
        <v>G1</v>
      </c>
      <c r="L870" s="24" t="str">
        <f>IF($J870="UNKNOWN","",_xlfn.TEXTBEFORE($J870,{"0","1","2","3","4","5","6","7","8","9"," ","-","."},1,,,$J870))</f>
        <v>G</v>
      </c>
      <c r="M870" s="24" t="str">
        <f>IF('query (2)'!I870&lt;&gt;"",TRIM(UPPER('query (2)'!I870)),IF($L870="","UNKNOWN",$L870))</f>
        <v>G1</v>
      </c>
      <c r="N870" s="24" t="str">
        <f>IF('query (2)'!I870&lt;&gt;"","SOURCE",IF($L870="","UNKNOWN","DERIVED"))</f>
        <v>SOURCE</v>
      </c>
      <c r="O870" s="24" t="str">
        <f>IF('query (2)'!E870="","NOT_SPECIFIED",TRIM(UPPER('query (2)'!E870)))</f>
        <v>GRINDING 1</v>
      </c>
      <c r="P870" s="24" t="str">
        <f>IF('query (2)'!F870="","",TRIM(UPPER('query (2)'!F870)))</f>
        <v>1910-G1OD2</v>
      </c>
      <c r="Q870" s="24" t="str">
        <f>IF('query (2)'!G870="","UNKNOWN",IFERROR(INDEX(Cleaning_Rules!$B$38:$B$46,MATCH(TRIM(UPPER('query (2)'!G870)),Cleaning_Rules!$A$38:$A$46,0)),"UNKNOWN"))</f>
        <v>OTHER</v>
      </c>
      <c r="R870" s="24" t="str">
        <f>IF('query (2)'!H870="","",TRIM(UPPER('query (2)'!H870)))</f>
        <v>OUT DIAMETER GRINDING M/C (OD2 FINISH)</v>
      </c>
      <c r="S870" s="25" t="str">
        <f>IF('query (2)'!H870="","",'query (2)'!H870)</f>
        <v>Out  diameter  grinding  M/C (OD2 Finish)</v>
      </c>
      <c r="T870" s="24" t="str">
        <f>IF('query (2)'!J870="","",TRIM(UPPER('query (2)'!J870)))</f>
        <v/>
      </c>
      <c r="U870" s="24" t="str">
        <f t="shared" si="94"/>
        <v/>
      </c>
      <c r="V870" s="24" t="str">
        <f>IF('query (2)'!K870="","NOT_SPECIFIED",IFERROR(INDEX(Cleaning_Rules!$B$32:$B$34,MATCH(TRIM(UPPER('query (2)'!K870)),Cleaning_Rules!$A$32:$A$34,0)),"UNKNOWN"))</f>
        <v>APPROVED</v>
      </c>
      <c r="W870" s="24" t="str">
        <f t="shared" si="95"/>
        <v>GR - 249 | FACTORY1 | G1 | G1 | GRINDING 1 | 1910-G1OD2 | OTHER | OUT DIAMETER GRINDING M/C (OD2 FINISH) | APPROVED</v>
      </c>
      <c r="X870" s="24" t="str">
        <f t="shared" si="96"/>
        <v/>
      </c>
      <c r="Y870" s="24" t="str">
        <f t="shared" si="97"/>
        <v>CATEGORY_NOT_USEFUL; MISSING_PRODUCTION_NAME</v>
      </c>
    </row>
    <row r="871" spans="1:25" x14ac:dyDescent="0.3">
      <c r="A871" s="24" t="str">
        <f t="shared" si="91"/>
        <v>GR - 309#0870</v>
      </c>
      <c r="B871" s="24" t="str">
        <f>IF('query (2)'!B871="","",TRIM(UPPER('query (2)'!B871)))</f>
        <v>GR - 309</v>
      </c>
      <c r="C871" s="25" t="str">
        <f>IF('query (2)'!B871="","",'query (2)'!B871)</f>
        <v>GR - 309</v>
      </c>
      <c r="D871" s="24" t="str">
        <f t="shared" si="92"/>
        <v xml:space="preserve">GR </v>
      </c>
      <c r="E871" s="24">
        <f t="shared" si="93"/>
        <v>1</v>
      </c>
      <c r="F871" s="24">
        <f>IF('query (2)'!A871="","",IFERROR(VALUE('query (2)'!A871),""))</f>
        <v>892</v>
      </c>
      <c r="G871" s="24" t="str">
        <f>IF('query (2)'!C871="","UNKNOWN",IFERROR(INDEX(Cleaning_Rules!$B$15:$B$20,MATCH(TRIM(UPPER('query (2)'!C871)),Cleaning_Rules!$A$15:$A$20,0)),"UNKNOWN"))</f>
        <v>FACTORY1</v>
      </c>
      <c r="H871" s="25" t="str">
        <f>IF('query (2)'!C871="","",'query (2)'!C871)</f>
        <v>FACTORY1</v>
      </c>
      <c r="I871" s="24" t="str" cm="1">
        <f t="array" ref="I871">_xlfn.IFS($G871="UNKNOWN","UNKNOWN",OR($G871="FACTORY1",$G871="FACTORY2",$G871="FACTORY3"),"PLANT",TRUE,"SHARED")</f>
        <v>PLANT</v>
      </c>
      <c r="J871" s="24" t="str">
        <f>IF('query (2)'!D871="","UNKNOWN",IF(COUNTIF(Cleaning_Rules!$A$6:$A$11,TRIM('query (2)'!D871))&gt;0,"UNKNOWN",IFERROR(INDEX(Cleaning_Rules!$B$24:$B$28,MATCH(TRIM(UPPER('query (2)'!D871)),Cleaning_Rules!$A$24:$A$28,0)),TRIM(UPPER('query (2)'!D871)))))</f>
        <v>G1</v>
      </c>
      <c r="K871" s="25" t="str">
        <f>IF('query (2)'!D871="","",'query (2)'!D871)</f>
        <v>G1</v>
      </c>
      <c r="L871" s="24" t="str">
        <f>IF($J871="UNKNOWN","",_xlfn.TEXTBEFORE($J871,{"0","1","2","3","4","5","6","7","8","9"," ","-","."},1,,,$J871))</f>
        <v>G</v>
      </c>
      <c r="M871" s="24" t="str">
        <f>IF('query (2)'!I871&lt;&gt;"",TRIM(UPPER('query (2)'!I871)),IF($L871="","UNKNOWN",$L871))</f>
        <v>G1</v>
      </c>
      <c r="N871" s="24" t="str">
        <f>IF('query (2)'!I871&lt;&gt;"","SOURCE",IF($L871="","UNKNOWN","DERIVED"))</f>
        <v>SOURCE</v>
      </c>
      <c r="O871" s="24" t="str">
        <f>IF('query (2)'!E871="","NOT_SPECIFIED",TRIM(UPPER('query (2)'!E871)))</f>
        <v>GRINDING 1</v>
      </c>
      <c r="P871" s="24" t="str">
        <f>IF('query (2)'!F871="","",TRIM(UPPER('query (2)'!F871)))</f>
        <v>1910-G1OD2</v>
      </c>
      <c r="Q871" s="24" t="str">
        <f>IF('query (2)'!G871="","UNKNOWN",IFERROR(INDEX(Cleaning_Rules!$B$38:$B$46,MATCH(TRIM(UPPER('query (2)'!G871)),Cleaning_Rules!$A$38:$A$46,0)),"UNKNOWN"))</f>
        <v>OTHER</v>
      </c>
      <c r="R871" s="24" t="str">
        <f>IF('query (2)'!H871="","",TRIM(UPPER('query (2)'!H871)))</f>
        <v>OUT DIAMETER GRINDING MACHINE (OD1 MIDDLE)</v>
      </c>
      <c r="S871" s="25" t="str">
        <f>IF('query (2)'!H871="","",'query (2)'!H871)</f>
        <v>Out diameter grinding machine (OD1 Middle)</v>
      </c>
      <c r="T871" s="24" t="str">
        <f>IF('query (2)'!J871="","",TRIM(UPPER('query (2)'!J871)))</f>
        <v/>
      </c>
      <c r="U871" s="24" t="str">
        <f t="shared" si="94"/>
        <v/>
      </c>
      <c r="V871" s="24" t="str">
        <f>IF('query (2)'!K871="","NOT_SPECIFIED",IFERROR(INDEX(Cleaning_Rules!$B$32:$B$34,MATCH(TRIM(UPPER('query (2)'!K871)),Cleaning_Rules!$A$32:$A$34,0)),"UNKNOWN"))</f>
        <v>APPROVED</v>
      </c>
      <c r="W871" s="24" t="str">
        <f t="shared" si="95"/>
        <v>GR - 309 | FACTORY1 | G1 | G1 | GRINDING 1 | 1910-G1OD2 | OTHER | OUT DIAMETER GRINDING MACHINE (OD1 MIDDLE) | APPROVED</v>
      </c>
      <c r="X871" s="24" t="str">
        <f t="shared" si="96"/>
        <v/>
      </c>
      <c r="Y871" s="24" t="str">
        <f t="shared" si="97"/>
        <v>CATEGORY_NOT_USEFUL; MISSING_PRODUCTION_NAME</v>
      </c>
    </row>
    <row r="872" spans="1:25" x14ac:dyDescent="0.3">
      <c r="A872" s="24" t="str">
        <f t="shared" si="91"/>
        <v>GR - 335#0871</v>
      </c>
      <c r="B872" s="24" t="str">
        <f>IF('query (2)'!B872="","",TRIM(UPPER('query (2)'!B872)))</f>
        <v>GR - 335</v>
      </c>
      <c r="C872" s="25" t="str">
        <f>IF('query (2)'!B872="","",'query (2)'!B872)</f>
        <v>GR - 335</v>
      </c>
      <c r="D872" s="24" t="str">
        <f t="shared" si="92"/>
        <v xml:space="preserve">GR </v>
      </c>
      <c r="E872" s="24">
        <f t="shared" si="93"/>
        <v>1</v>
      </c>
      <c r="F872" s="24">
        <f>IF('query (2)'!A872="","",IFERROR(VALUE('query (2)'!A872),""))</f>
        <v>893</v>
      </c>
      <c r="G872" s="24" t="str">
        <f>IF('query (2)'!C872="","UNKNOWN",IFERROR(INDEX(Cleaning_Rules!$B$15:$B$20,MATCH(TRIM(UPPER('query (2)'!C872)),Cleaning_Rules!$A$15:$A$20,0)),"UNKNOWN"))</f>
        <v>FACTORY1</v>
      </c>
      <c r="H872" s="25" t="str">
        <f>IF('query (2)'!C872="","",'query (2)'!C872)</f>
        <v>FACTORY1</v>
      </c>
      <c r="I872" s="24" t="str" cm="1">
        <f t="array" ref="I872">_xlfn.IFS($G872="UNKNOWN","UNKNOWN",OR($G872="FACTORY1",$G872="FACTORY2",$G872="FACTORY3"),"PLANT",TRUE,"SHARED")</f>
        <v>PLANT</v>
      </c>
      <c r="J872" s="24" t="str">
        <f>IF('query (2)'!D872="","UNKNOWN",IF(COUNTIF(Cleaning_Rules!$A$6:$A$11,TRIM('query (2)'!D872))&gt;0,"UNKNOWN",IFERROR(INDEX(Cleaning_Rules!$B$24:$B$28,MATCH(TRIM(UPPER('query (2)'!D872)),Cleaning_Rules!$A$24:$A$28,0)),TRIM(UPPER('query (2)'!D872)))))</f>
        <v>G1</v>
      </c>
      <c r="K872" s="25" t="str">
        <f>IF('query (2)'!D872="","",'query (2)'!D872)</f>
        <v>G1</v>
      </c>
      <c r="L872" s="24" t="str">
        <f>IF($J872="UNKNOWN","",_xlfn.TEXTBEFORE($J872,{"0","1","2","3","4","5","6","7","8","9"," ","-","."},1,,,$J872))</f>
        <v>G</v>
      </c>
      <c r="M872" s="24" t="str">
        <f>IF('query (2)'!I872&lt;&gt;"",TRIM(UPPER('query (2)'!I872)),IF($L872="","UNKNOWN",$L872))</f>
        <v>G1</v>
      </c>
      <c r="N872" s="24" t="str">
        <f>IF('query (2)'!I872&lt;&gt;"","SOURCE",IF($L872="","UNKNOWN","DERIVED"))</f>
        <v>SOURCE</v>
      </c>
      <c r="O872" s="24" t="str">
        <f>IF('query (2)'!E872="","NOT_SPECIFIED",TRIM(UPPER('query (2)'!E872)))</f>
        <v>GRINDING 1</v>
      </c>
      <c r="P872" s="24" t="str">
        <f>IF('query (2)'!F872="","",TRIM(UPPER('query (2)'!F872)))</f>
        <v>1906-G1SU3</v>
      </c>
      <c r="Q872" s="24" t="str">
        <f>IF('query (2)'!G872="","UNKNOWN",IFERROR(INDEX(Cleaning_Rules!$B$38:$B$46,MATCH(TRIM(UPPER('query (2)'!G872)),Cleaning_Rules!$A$38:$A$46,0)),"UNKNOWN"))</f>
        <v>OTHER</v>
      </c>
      <c r="R872" s="24" t="str">
        <f>IF('query (2)'!H872="","",TRIM(UPPER('query (2)'!H872)))</f>
        <v>DOUBLE - DISK GRINDING MACHINE (SURFACE) (GR - 335)</v>
      </c>
      <c r="S872" s="25" t="str">
        <f>IF('query (2)'!H872="","",'query (2)'!H872)</f>
        <v>Double - Disk Grinding machine (surface) (GR - 335)</v>
      </c>
      <c r="T872" s="24" t="str">
        <f>IF('query (2)'!J872="","",TRIM(UPPER('query (2)'!J872)))</f>
        <v/>
      </c>
      <c r="U872" s="24" t="str">
        <f t="shared" si="94"/>
        <v/>
      </c>
      <c r="V872" s="24" t="str">
        <f>IF('query (2)'!K872="","NOT_SPECIFIED",IFERROR(INDEX(Cleaning_Rules!$B$32:$B$34,MATCH(TRIM(UPPER('query (2)'!K872)),Cleaning_Rules!$A$32:$A$34,0)),"UNKNOWN"))</f>
        <v>APPROVED</v>
      </c>
      <c r="W872" s="24" t="str">
        <f t="shared" si="95"/>
        <v>GR - 335 | FACTORY1 | G1 | G1 | GRINDING 1 | 1906-G1SU3 | OTHER | DOUBLE - DISK GRINDING MACHINE (SURFACE) (GR - 335) | APPROVED</v>
      </c>
      <c r="X872" s="24" t="str">
        <f t="shared" si="96"/>
        <v/>
      </c>
      <c r="Y872" s="24" t="str">
        <f t="shared" si="97"/>
        <v>CATEGORY_NOT_USEFUL; MISSING_PRODUCTION_NAME</v>
      </c>
    </row>
    <row r="873" spans="1:25" x14ac:dyDescent="0.3">
      <c r="A873" s="24" t="str">
        <f t="shared" si="91"/>
        <v>GR - 521#0872</v>
      </c>
      <c r="B873" s="24" t="str">
        <f>IF('query (2)'!B873="","",TRIM(UPPER('query (2)'!B873)))</f>
        <v>GR - 521</v>
      </c>
      <c r="C873" s="25" t="str">
        <f>IF('query (2)'!B873="","",'query (2)'!B873)</f>
        <v>GR - 521</v>
      </c>
      <c r="D873" s="24" t="str">
        <f t="shared" si="92"/>
        <v xml:space="preserve">GR </v>
      </c>
      <c r="E873" s="24">
        <f t="shared" si="93"/>
        <v>1</v>
      </c>
      <c r="F873" s="24">
        <f>IF('query (2)'!A873="","",IFERROR(VALUE('query (2)'!A873),""))</f>
        <v>894</v>
      </c>
      <c r="G873" s="24" t="str">
        <f>IF('query (2)'!C873="","UNKNOWN",IFERROR(INDEX(Cleaning_Rules!$B$15:$B$20,MATCH(TRIM(UPPER('query (2)'!C873)),Cleaning_Rules!$A$15:$A$20,0)),"UNKNOWN"))</f>
        <v>FACTORY1</v>
      </c>
      <c r="H873" s="25" t="str">
        <f>IF('query (2)'!C873="","",'query (2)'!C873)</f>
        <v>FACTORY1</v>
      </c>
      <c r="I873" s="24" t="str" cm="1">
        <f t="array" ref="I873">_xlfn.IFS($G873="UNKNOWN","UNKNOWN",OR($G873="FACTORY1",$G873="FACTORY2",$G873="FACTORY3"),"PLANT",TRUE,"SHARED")</f>
        <v>PLANT</v>
      </c>
      <c r="J873" s="24" t="str">
        <f>IF('query (2)'!D873="","UNKNOWN",IF(COUNTIF(Cleaning_Rules!$A$6:$A$11,TRIM('query (2)'!D873))&gt;0,"UNKNOWN",IFERROR(INDEX(Cleaning_Rules!$B$24:$B$28,MATCH(TRIM(UPPER('query (2)'!D873)),Cleaning_Rules!$A$24:$A$28,0)),TRIM(UPPER('query (2)'!D873)))))</f>
        <v>G1</v>
      </c>
      <c r="K873" s="25" t="str">
        <f>IF('query (2)'!D873="","",'query (2)'!D873)</f>
        <v>G1</v>
      </c>
      <c r="L873" s="24" t="str">
        <f>IF($J873="UNKNOWN","",_xlfn.TEXTBEFORE($J873,{"0","1","2","3","4","5","6","7","8","9"," ","-","."},1,,,$J873))</f>
        <v>G</v>
      </c>
      <c r="M873" s="24" t="str">
        <f>IF('query (2)'!I873&lt;&gt;"",TRIM(UPPER('query (2)'!I873)),IF($L873="","UNKNOWN",$L873))</f>
        <v>G1</v>
      </c>
      <c r="N873" s="24" t="str">
        <f>IF('query (2)'!I873&lt;&gt;"","SOURCE",IF($L873="","UNKNOWN","DERIVED"))</f>
        <v>SOURCE</v>
      </c>
      <c r="O873" s="24" t="str">
        <f>IF('query (2)'!E873="","NOT_SPECIFIED",TRIM(UPPER('query (2)'!E873)))</f>
        <v>GRINDING 1</v>
      </c>
      <c r="P873" s="24" t="str">
        <f>IF('query (2)'!F873="","",TRIM(UPPER('query (2)'!F873)))</f>
        <v>1911-G1OD3</v>
      </c>
      <c r="Q873" s="24" t="str">
        <f>IF('query (2)'!G873="","UNKNOWN",IFERROR(INDEX(Cleaning_Rules!$B$38:$B$46,MATCH(TRIM(UPPER('query (2)'!G873)),Cleaning_Rules!$A$38:$A$46,0)),"UNKNOWN"))</f>
        <v>OTHER</v>
      </c>
      <c r="R873" s="24" t="str">
        <f>IF('query (2)'!H873="","",TRIM(UPPER('query (2)'!H873)))</f>
        <v>OUT DIAMETER GRINDING M/C (OD3 ROUGH)</v>
      </c>
      <c r="S873" s="25" t="str">
        <f>IF('query (2)'!H873="","",'query (2)'!H873)</f>
        <v>Out  diameter  grinding  M/C (OD3 Rough)</v>
      </c>
      <c r="T873" s="24" t="str">
        <f>IF('query (2)'!J873="","",TRIM(UPPER('query (2)'!J873)))</f>
        <v/>
      </c>
      <c r="U873" s="24" t="str">
        <f t="shared" si="94"/>
        <v/>
      </c>
      <c r="V873" s="24" t="str">
        <f>IF('query (2)'!K873="","NOT_SPECIFIED",IFERROR(INDEX(Cleaning_Rules!$B$32:$B$34,MATCH(TRIM(UPPER('query (2)'!K873)),Cleaning_Rules!$A$32:$A$34,0)),"UNKNOWN"))</f>
        <v>APPROVED</v>
      </c>
      <c r="W873" s="24" t="str">
        <f t="shared" si="95"/>
        <v>GR - 521 | FACTORY1 | G1 | G1 | GRINDING 1 | 1911-G1OD3 | OTHER | OUT DIAMETER GRINDING M/C (OD3 ROUGH) | APPROVED</v>
      </c>
      <c r="X873" s="24" t="str">
        <f t="shared" si="96"/>
        <v/>
      </c>
      <c r="Y873" s="24" t="str">
        <f t="shared" si="97"/>
        <v>CATEGORY_NOT_USEFUL; MISSING_PRODUCTION_NAME</v>
      </c>
    </row>
    <row r="874" spans="1:25" x14ac:dyDescent="0.3">
      <c r="A874" s="24" t="str">
        <f t="shared" si="91"/>
        <v>GR - 522#0873</v>
      </c>
      <c r="B874" s="24" t="str">
        <f>IF('query (2)'!B874="","",TRIM(UPPER('query (2)'!B874)))</f>
        <v>GR - 522</v>
      </c>
      <c r="C874" s="25" t="str">
        <f>IF('query (2)'!B874="","",'query (2)'!B874)</f>
        <v>GR - 522</v>
      </c>
      <c r="D874" s="24" t="str">
        <f t="shared" si="92"/>
        <v xml:space="preserve">GR </v>
      </c>
      <c r="E874" s="24">
        <f t="shared" si="93"/>
        <v>1</v>
      </c>
      <c r="F874" s="24">
        <f>IF('query (2)'!A874="","",IFERROR(VALUE('query (2)'!A874),""))</f>
        <v>895</v>
      </c>
      <c r="G874" s="24" t="str">
        <f>IF('query (2)'!C874="","UNKNOWN",IFERROR(INDEX(Cleaning_Rules!$B$15:$B$20,MATCH(TRIM(UPPER('query (2)'!C874)),Cleaning_Rules!$A$15:$A$20,0)),"UNKNOWN"))</f>
        <v>FACTORY1</v>
      </c>
      <c r="H874" s="25" t="str">
        <f>IF('query (2)'!C874="","",'query (2)'!C874)</f>
        <v>FACTORY1</v>
      </c>
      <c r="I874" s="24" t="str" cm="1">
        <f t="array" ref="I874">_xlfn.IFS($G874="UNKNOWN","UNKNOWN",OR($G874="FACTORY1",$G874="FACTORY2",$G874="FACTORY3"),"PLANT",TRUE,"SHARED")</f>
        <v>PLANT</v>
      </c>
      <c r="J874" s="24" t="str">
        <f>IF('query (2)'!D874="","UNKNOWN",IF(COUNTIF(Cleaning_Rules!$A$6:$A$11,TRIM('query (2)'!D874))&gt;0,"UNKNOWN",IFERROR(INDEX(Cleaning_Rules!$B$24:$B$28,MATCH(TRIM(UPPER('query (2)'!D874)),Cleaning_Rules!$A$24:$A$28,0)),TRIM(UPPER('query (2)'!D874)))))</f>
        <v>G1</v>
      </c>
      <c r="K874" s="25" t="str">
        <f>IF('query (2)'!D874="","",'query (2)'!D874)</f>
        <v>G1</v>
      </c>
      <c r="L874" s="24" t="str">
        <f>IF($J874="UNKNOWN","",_xlfn.TEXTBEFORE($J874,{"0","1","2","3","4","5","6","7","8","9"," ","-","."},1,,,$J874))</f>
        <v>G</v>
      </c>
      <c r="M874" s="24" t="str">
        <f>IF('query (2)'!I874&lt;&gt;"",TRIM(UPPER('query (2)'!I874)),IF($L874="","UNKNOWN",$L874))</f>
        <v>G1</v>
      </c>
      <c r="N874" s="24" t="str">
        <f>IF('query (2)'!I874&lt;&gt;"","SOURCE",IF($L874="","UNKNOWN","DERIVED"))</f>
        <v>SOURCE</v>
      </c>
      <c r="O874" s="24" t="str">
        <f>IF('query (2)'!E874="","NOT_SPECIFIED",TRIM(UPPER('query (2)'!E874)))</f>
        <v>GRINDING 1</v>
      </c>
      <c r="P874" s="24" t="str">
        <f>IF('query (2)'!F874="","",TRIM(UPPER('query (2)'!F874)))</f>
        <v>1911-G1OD3</v>
      </c>
      <c r="Q874" s="24" t="str">
        <f>IF('query (2)'!G874="","UNKNOWN",IFERROR(INDEX(Cleaning_Rules!$B$38:$B$46,MATCH(TRIM(UPPER('query (2)'!G874)),Cleaning_Rules!$A$38:$A$46,0)),"UNKNOWN"))</f>
        <v>OTHER</v>
      </c>
      <c r="R874" s="24" t="str">
        <f>IF('query (2)'!H874="","",TRIM(UPPER('query (2)'!H874)))</f>
        <v>OUT DIAMETER GRINDING M/C (OD3 MIDDLE)</v>
      </c>
      <c r="S874" s="25" t="str">
        <f>IF('query (2)'!H874="","",'query (2)'!H874)</f>
        <v>Out  diameter  grinding  M/C (OD3 Middle)</v>
      </c>
      <c r="T874" s="24" t="str">
        <f>IF('query (2)'!J874="","",TRIM(UPPER('query (2)'!J874)))</f>
        <v/>
      </c>
      <c r="U874" s="24" t="str">
        <f t="shared" si="94"/>
        <v/>
      </c>
      <c r="V874" s="24" t="str">
        <f>IF('query (2)'!K874="","NOT_SPECIFIED",IFERROR(INDEX(Cleaning_Rules!$B$32:$B$34,MATCH(TRIM(UPPER('query (2)'!K874)),Cleaning_Rules!$A$32:$A$34,0)),"UNKNOWN"))</f>
        <v>APPROVED</v>
      </c>
      <c r="W874" s="24" t="str">
        <f t="shared" si="95"/>
        <v>GR - 522 | FACTORY1 | G1 | G1 | GRINDING 1 | 1911-G1OD3 | OTHER | OUT DIAMETER GRINDING M/C (OD3 MIDDLE) | APPROVED</v>
      </c>
      <c r="X874" s="24" t="str">
        <f t="shared" si="96"/>
        <v/>
      </c>
      <c r="Y874" s="24" t="str">
        <f t="shared" si="97"/>
        <v>CATEGORY_NOT_USEFUL; MISSING_PRODUCTION_NAME</v>
      </c>
    </row>
    <row r="875" spans="1:25" x14ac:dyDescent="0.3">
      <c r="A875" s="24" t="str">
        <f t="shared" si="91"/>
        <v>GR-1084#0874</v>
      </c>
      <c r="B875" s="24" t="str">
        <f>IF('query (2)'!B875="","",TRIM(UPPER('query (2)'!B875)))</f>
        <v>GR-1084</v>
      </c>
      <c r="C875" s="25" t="str">
        <f>IF('query (2)'!B875="","",'query (2)'!B875)</f>
        <v>GR-1084</v>
      </c>
      <c r="D875" s="24" t="str">
        <f t="shared" si="92"/>
        <v>GR</v>
      </c>
      <c r="E875" s="24">
        <f t="shared" si="93"/>
        <v>1</v>
      </c>
      <c r="F875" s="24">
        <f>IF('query (2)'!A875="","",IFERROR(VALUE('query (2)'!A875),""))</f>
        <v>896</v>
      </c>
      <c r="G875" s="24" t="str">
        <f>IF('query (2)'!C875="","UNKNOWN",IFERROR(INDEX(Cleaning_Rules!$B$15:$B$20,MATCH(TRIM(UPPER('query (2)'!C875)),Cleaning_Rules!$A$15:$A$20,0)),"UNKNOWN"))</f>
        <v>FACTORY1</v>
      </c>
      <c r="H875" s="25" t="str">
        <f>IF('query (2)'!C875="","",'query (2)'!C875)</f>
        <v>FACTORY1</v>
      </c>
      <c r="I875" s="24" t="str" cm="1">
        <f t="array" ref="I875">_xlfn.IFS($G875="UNKNOWN","UNKNOWN",OR($G875="FACTORY1",$G875="FACTORY2",$G875="FACTORY3"),"PLANT",TRUE,"SHARED")</f>
        <v>PLANT</v>
      </c>
      <c r="J875" s="24" t="str">
        <f>IF('query (2)'!D875="","UNKNOWN",IF(COUNTIF(Cleaning_Rules!$A$6:$A$11,TRIM('query (2)'!D875))&gt;0,"UNKNOWN",IFERROR(INDEX(Cleaning_Rules!$B$24:$B$28,MATCH(TRIM(UPPER('query (2)'!D875)),Cleaning_Rules!$A$24:$A$28,0)),TRIM(UPPER('query (2)'!D875)))))</f>
        <v>G1</v>
      </c>
      <c r="K875" s="25" t="str">
        <f>IF('query (2)'!D875="","",'query (2)'!D875)</f>
        <v>G1</v>
      </c>
      <c r="L875" s="24" t="str">
        <f>IF($J875="UNKNOWN","",_xlfn.TEXTBEFORE($J875,{"0","1","2","3","4","5","6","7","8","9"," ","-","."},1,,,$J875))</f>
        <v>G</v>
      </c>
      <c r="M875" s="24" t="str">
        <f>IF('query (2)'!I875&lt;&gt;"",TRIM(UPPER('query (2)'!I875)),IF($L875="","UNKNOWN",$L875))</f>
        <v>G1</v>
      </c>
      <c r="N875" s="24" t="str">
        <f>IF('query (2)'!I875&lt;&gt;"","SOURCE",IF($L875="","UNKNOWN","DERIVED"))</f>
        <v>SOURCE</v>
      </c>
      <c r="O875" s="24" t="str">
        <f>IF('query (2)'!E875="","NOT_SPECIFIED",TRIM(UPPER('query (2)'!E875)))</f>
        <v>GRINDING 1</v>
      </c>
      <c r="P875" s="24" t="str">
        <f>IF('query (2)'!F875="","",TRIM(UPPER('query (2)'!F875)))</f>
        <v>1911-G1OD3</v>
      </c>
      <c r="Q875" s="24" t="str">
        <f>IF('query (2)'!G875="","UNKNOWN",IFERROR(INDEX(Cleaning_Rules!$B$38:$B$46,MATCH(TRIM(UPPER('query (2)'!G875)),Cleaning_Rules!$A$38:$A$46,0)),"UNKNOWN"))</f>
        <v>OTHER</v>
      </c>
      <c r="R875" s="24" t="str">
        <f>IF('query (2)'!H875="","",TRIM(UPPER('query (2)'!H875)))</f>
        <v>OUT DIAMETER GRINDING M/C (OD2 ROUGH)</v>
      </c>
      <c r="S875" s="25" t="str">
        <f>IF('query (2)'!H875="","",'query (2)'!H875)</f>
        <v>Out  diameter  grinding  M/C (OD2 Rough)</v>
      </c>
      <c r="T875" s="24" t="str">
        <f>IF('query (2)'!J875="","",TRIM(UPPER('query (2)'!J875)))</f>
        <v/>
      </c>
      <c r="U875" s="24" t="str">
        <f t="shared" si="94"/>
        <v/>
      </c>
      <c r="V875" s="24" t="str">
        <f>IF('query (2)'!K875="","NOT_SPECIFIED",IFERROR(INDEX(Cleaning_Rules!$B$32:$B$34,MATCH(TRIM(UPPER('query (2)'!K875)),Cleaning_Rules!$A$32:$A$34,0)),"UNKNOWN"))</f>
        <v>APPROVED</v>
      </c>
      <c r="W875" s="24" t="str">
        <f t="shared" si="95"/>
        <v>GR-1084 | FACTORY1 | G1 | G1 | GRINDING 1 | 1911-G1OD3 | OTHER | OUT DIAMETER GRINDING M/C (OD2 ROUGH) | APPROVED</v>
      </c>
      <c r="X875" s="24" t="str">
        <f t="shared" si="96"/>
        <v/>
      </c>
      <c r="Y875" s="24" t="str">
        <f t="shared" si="97"/>
        <v>CATEGORY_NOT_USEFUL; MISSING_PRODUCTION_NAME</v>
      </c>
    </row>
    <row r="876" spans="1:25" x14ac:dyDescent="0.3">
      <c r="A876" s="24" t="str">
        <f t="shared" si="91"/>
        <v>GR-960#0875</v>
      </c>
      <c r="B876" s="24" t="str">
        <f>IF('query (2)'!B876="","",TRIM(UPPER('query (2)'!B876)))</f>
        <v>GR-960</v>
      </c>
      <c r="C876" s="25" t="str">
        <f>IF('query (2)'!B876="","",'query (2)'!B876)</f>
        <v>GR-960</v>
      </c>
      <c r="D876" s="24" t="str">
        <f t="shared" si="92"/>
        <v>GR</v>
      </c>
      <c r="E876" s="24">
        <f t="shared" si="93"/>
        <v>1</v>
      </c>
      <c r="F876" s="24">
        <f>IF('query (2)'!A876="","",IFERROR(VALUE('query (2)'!A876),""))</f>
        <v>897</v>
      </c>
      <c r="G876" s="24" t="str">
        <f>IF('query (2)'!C876="","UNKNOWN",IFERROR(INDEX(Cleaning_Rules!$B$15:$B$20,MATCH(TRIM(UPPER('query (2)'!C876)),Cleaning_Rules!$A$15:$A$20,0)),"UNKNOWN"))</f>
        <v>FACTORY1</v>
      </c>
      <c r="H876" s="25" t="str">
        <f>IF('query (2)'!C876="","",'query (2)'!C876)</f>
        <v>FACTORY1</v>
      </c>
      <c r="I876" s="24" t="str" cm="1">
        <f t="array" ref="I876">_xlfn.IFS($G876="UNKNOWN","UNKNOWN",OR($G876="FACTORY1",$G876="FACTORY2",$G876="FACTORY3"),"PLANT",TRUE,"SHARED")</f>
        <v>PLANT</v>
      </c>
      <c r="J876" s="24" t="str">
        <f>IF('query (2)'!D876="","UNKNOWN",IF(COUNTIF(Cleaning_Rules!$A$6:$A$11,TRIM('query (2)'!D876))&gt;0,"UNKNOWN",IFERROR(INDEX(Cleaning_Rules!$B$24:$B$28,MATCH(TRIM(UPPER('query (2)'!D876)),Cleaning_Rules!$A$24:$A$28,0)),TRIM(UPPER('query (2)'!D876)))))</f>
        <v>G1</v>
      </c>
      <c r="K876" s="25" t="str">
        <f>IF('query (2)'!D876="","",'query (2)'!D876)</f>
        <v>G1</v>
      </c>
      <c r="L876" s="24" t="str">
        <f>IF($J876="UNKNOWN","",_xlfn.TEXTBEFORE($J876,{"0","1","2","3","4","5","6","7","8","9"," ","-","."},1,,,$J876))</f>
        <v>G</v>
      </c>
      <c r="M876" s="24" t="str">
        <f>IF('query (2)'!I876&lt;&gt;"",TRIM(UPPER('query (2)'!I876)),IF($L876="","UNKNOWN",$L876))</f>
        <v>G1</v>
      </c>
      <c r="N876" s="24" t="str">
        <f>IF('query (2)'!I876&lt;&gt;"","SOURCE",IF($L876="","UNKNOWN","DERIVED"))</f>
        <v>SOURCE</v>
      </c>
      <c r="O876" s="24" t="str">
        <f>IF('query (2)'!E876="","NOT_SPECIFIED",TRIM(UPPER('query (2)'!E876)))</f>
        <v>GRINDING 1</v>
      </c>
      <c r="P876" s="24" t="str">
        <f>IF('query (2)'!F876="","",TRIM(UPPER('query (2)'!F876)))</f>
        <v>1911-G1OD3</v>
      </c>
      <c r="Q876" s="24" t="str">
        <f>IF('query (2)'!G876="","UNKNOWN",IFERROR(INDEX(Cleaning_Rules!$B$38:$B$46,MATCH(TRIM(UPPER('query (2)'!G876)),Cleaning_Rules!$A$38:$A$46,0)),"UNKNOWN"))</f>
        <v>OTHER</v>
      </c>
      <c r="R876" s="24" t="str">
        <f>IF('query (2)'!H876="","",TRIM(UPPER('query (2)'!H876)))</f>
        <v>OUT DIAMETER GRINDING MACHINE (OD2 MIDDLE)</v>
      </c>
      <c r="S876" s="25" t="str">
        <f>IF('query (2)'!H876="","",'query (2)'!H876)</f>
        <v>Out diameter grinding machine (OD2 Middle)</v>
      </c>
      <c r="T876" s="24" t="str">
        <f>IF('query (2)'!J876="","",TRIM(UPPER('query (2)'!J876)))</f>
        <v/>
      </c>
      <c r="U876" s="24" t="str">
        <f t="shared" si="94"/>
        <v/>
      </c>
      <c r="V876" s="24" t="str">
        <f>IF('query (2)'!K876="","NOT_SPECIFIED",IFERROR(INDEX(Cleaning_Rules!$B$32:$B$34,MATCH(TRIM(UPPER('query (2)'!K876)),Cleaning_Rules!$A$32:$A$34,0)),"UNKNOWN"))</f>
        <v>APPROVED</v>
      </c>
      <c r="W876" s="24" t="str">
        <f t="shared" si="95"/>
        <v>GR-960 | FACTORY1 | G1 | G1 | GRINDING 1 | 1911-G1OD3 | OTHER | OUT DIAMETER GRINDING MACHINE (OD2 MIDDLE) | APPROVED</v>
      </c>
      <c r="X876" s="24" t="str">
        <f t="shared" si="96"/>
        <v/>
      </c>
      <c r="Y876" s="24" t="str">
        <f t="shared" si="97"/>
        <v>CATEGORY_NOT_USEFUL; MISSING_PRODUCTION_NAME</v>
      </c>
    </row>
    <row r="877" spans="1:25" x14ac:dyDescent="0.3">
      <c r="A877" s="24" t="str">
        <f t="shared" si="91"/>
        <v>GR-854#0876</v>
      </c>
      <c r="B877" s="24" t="str">
        <f>IF('query (2)'!B877="","",TRIM(UPPER('query (2)'!B877)))</f>
        <v>GR-854</v>
      </c>
      <c r="C877" s="25" t="str">
        <f>IF('query (2)'!B877="","",'query (2)'!B877)</f>
        <v>GR-854</v>
      </c>
      <c r="D877" s="24" t="str">
        <f t="shared" si="92"/>
        <v>GR</v>
      </c>
      <c r="E877" s="24">
        <f t="shared" si="93"/>
        <v>1</v>
      </c>
      <c r="F877" s="24">
        <f>IF('query (2)'!A877="","",IFERROR(VALUE('query (2)'!A877),""))</f>
        <v>898</v>
      </c>
      <c r="G877" s="24" t="str">
        <f>IF('query (2)'!C877="","UNKNOWN",IFERROR(INDEX(Cleaning_Rules!$B$15:$B$20,MATCH(TRIM(UPPER('query (2)'!C877)),Cleaning_Rules!$A$15:$A$20,0)),"UNKNOWN"))</f>
        <v>FACTORY1</v>
      </c>
      <c r="H877" s="25" t="str">
        <f>IF('query (2)'!C877="","",'query (2)'!C877)</f>
        <v>FACTORY1</v>
      </c>
      <c r="I877" s="24" t="str" cm="1">
        <f t="array" ref="I877">_xlfn.IFS($G877="UNKNOWN","UNKNOWN",OR($G877="FACTORY1",$G877="FACTORY2",$G877="FACTORY3"),"PLANT",TRUE,"SHARED")</f>
        <v>PLANT</v>
      </c>
      <c r="J877" s="24" t="str">
        <f>IF('query (2)'!D877="","UNKNOWN",IF(COUNTIF(Cleaning_Rules!$A$6:$A$11,TRIM('query (2)'!D877))&gt;0,"UNKNOWN",IFERROR(INDEX(Cleaning_Rules!$B$24:$B$28,MATCH(TRIM(UPPER('query (2)'!D877)),Cleaning_Rules!$A$24:$A$28,0)),TRIM(UPPER('query (2)'!D877)))))</f>
        <v>G1</v>
      </c>
      <c r="K877" s="25" t="str">
        <f>IF('query (2)'!D877="","",'query (2)'!D877)</f>
        <v>G1</v>
      </c>
      <c r="L877" s="24" t="str">
        <f>IF($J877="UNKNOWN","",_xlfn.TEXTBEFORE($J877,{"0","1","2","3","4","5","6","7","8","9"," ","-","."},1,,,$J877))</f>
        <v>G</v>
      </c>
      <c r="M877" s="24" t="str">
        <f>IF('query (2)'!I877&lt;&gt;"",TRIM(UPPER('query (2)'!I877)),IF($L877="","UNKNOWN",$L877))</f>
        <v>G1</v>
      </c>
      <c r="N877" s="24" t="str">
        <f>IF('query (2)'!I877&lt;&gt;"","SOURCE",IF($L877="","UNKNOWN","DERIVED"))</f>
        <v>SOURCE</v>
      </c>
      <c r="O877" s="24" t="str">
        <f>IF('query (2)'!E877="","NOT_SPECIFIED",TRIM(UPPER('query (2)'!E877)))</f>
        <v>GRINDING 1</v>
      </c>
      <c r="P877" s="24" t="str">
        <f>IF('query (2)'!F877="","",TRIM(UPPER('query (2)'!F877)))</f>
        <v/>
      </c>
      <c r="Q877" s="24" t="str">
        <f>IF('query (2)'!G877="","UNKNOWN",IFERROR(INDEX(Cleaning_Rules!$B$38:$B$46,MATCH(TRIM(UPPER('query (2)'!G877)),Cleaning_Rules!$A$38:$A$46,0)),"UNKNOWN"))</f>
        <v>OTHER</v>
      </c>
      <c r="R877" s="24" t="str">
        <f>IF('query (2)'!H877="","",TRIM(UPPER('query (2)'!H877)))</f>
        <v>DOUBLE - DISK GRINDING MACHINE (SURFACE) (GR-854)</v>
      </c>
      <c r="S877" s="25" t="str">
        <f>IF('query (2)'!H877="","",'query (2)'!H877)</f>
        <v>Double - Disk Grinding machine (surface) (GR-854)</v>
      </c>
      <c r="T877" s="24" t="str">
        <f>IF('query (2)'!J877="","",TRIM(UPPER('query (2)'!J877)))</f>
        <v/>
      </c>
      <c r="U877" s="24" t="str">
        <f t="shared" si="94"/>
        <v>GR-854</v>
      </c>
      <c r="V877" s="24" t="str">
        <f>IF('query (2)'!K877="","NOT_SPECIFIED",IFERROR(INDEX(Cleaning_Rules!$B$32:$B$34,MATCH(TRIM(UPPER('query (2)'!K877)),Cleaning_Rules!$A$32:$A$34,0)),"UNKNOWN"))</f>
        <v>APPROVED</v>
      </c>
      <c r="W877" s="24" t="str">
        <f t="shared" si="95"/>
        <v>GR-854 | FACTORY1 | G1 | G1 | GRINDING 1 | OTHER | DOUBLE - DISK GRINDING MACHINE (SURFACE) (GR-854) | APPROVED</v>
      </c>
      <c r="X877" s="24" t="str">
        <f t="shared" si="96"/>
        <v>MISSING_COST_CENTER</v>
      </c>
      <c r="Y877" s="24" t="str">
        <f t="shared" si="97"/>
        <v>CATEGORY_NOT_USEFUL; MISSING_PRODUCTION_NAME</v>
      </c>
    </row>
    <row r="878" spans="1:25" x14ac:dyDescent="0.3">
      <c r="A878" s="24" t="str">
        <f t="shared" si="91"/>
        <v>GR-855#0877</v>
      </c>
      <c r="B878" s="24" t="str">
        <f>IF('query (2)'!B878="","",TRIM(UPPER('query (2)'!B878)))</f>
        <v>GR-855</v>
      </c>
      <c r="C878" s="25" t="str">
        <f>IF('query (2)'!B878="","",'query (2)'!B878)</f>
        <v>GR-855</v>
      </c>
      <c r="D878" s="24" t="str">
        <f t="shared" si="92"/>
        <v>GR</v>
      </c>
      <c r="E878" s="24">
        <f t="shared" si="93"/>
        <v>1</v>
      </c>
      <c r="F878" s="24">
        <f>IF('query (2)'!A878="","",IFERROR(VALUE('query (2)'!A878),""))</f>
        <v>899</v>
      </c>
      <c r="G878" s="24" t="str">
        <f>IF('query (2)'!C878="","UNKNOWN",IFERROR(INDEX(Cleaning_Rules!$B$15:$B$20,MATCH(TRIM(UPPER('query (2)'!C878)),Cleaning_Rules!$A$15:$A$20,0)),"UNKNOWN"))</f>
        <v>FACTORY1</v>
      </c>
      <c r="H878" s="25" t="str">
        <f>IF('query (2)'!C878="","",'query (2)'!C878)</f>
        <v>FACTORY1</v>
      </c>
      <c r="I878" s="24" t="str" cm="1">
        <f t="array" ref="I878">_xlfn.IFS($G878="UNKNOWN","UNKNOWN",OR($G878="FACTORY1",$G878="FACTORY2",$G878="FACTORY3"),"PLANT",TRUE,"SHARED")</f>
        <v>PLANT</v>
      </c>
      <c r="J878" s="24" t="str">
        <f>IF('query (2)'!D878="","UNKNOWN",IF(COUNTIF(Cleaning_Rules!$A$6:$A$11,TRIM('query (2)'!D878))&gt;0,"UNKNOWN",IFERROR(INDEX(Cleaning_Rules!$B$24:$B$28,MATCH(TRIM(UPPER('query (2)'!D878)),Cleaning_Rules!$A$24:$A$28,0)),TRIM(UPPER('query (2)'!D878)))))</f>
        <v>G1</v>
      </c>
      <c r="K878" s="25" t="str">
        <f>IF('query (2)'!D878="","",'query (2)'!D878)</f>
        <v>G1</v>
      </c>
      <c r="L878" s="24" t="str">
        <f>IF($J878="UNKNOWN","",_xlfn.TEXTBEFORE($J878,{"0","1","2","3","4","5","6","7","8","9"," ","-","."},1,,,$J878))</f>
        <v>G</v>
      </c>
      <c r="M878" s="24" t="str">
        <f>IF('query (2)'!I878&lt;&gt;"",TRIM(UPPER('query (2)'!I878)),IF($L878="","UNKNOWN",$L878))</f>
        <v>G1</v>
      </c>
      <c r="N878" s="24" t="str">
        <f>IF('query (2)'!I878&lt;&gt;"","SOURCE",IF($L878="","UNKNOWN","DERIVED"))</f>
        <v>SOURCE</v>
      </c>
      <c r="O878" s="24" t="str">
        <f>IF('query (2)'!E878="","NOT_SPECIFIED",TRIM(UPPER('query (2)'!E878)))</f>
        <v>GRINDING 1</v>
      </c>
      <c r="P878" s="24" t="str">
        <f>IF('query (2)'!F878="","",TRIM(UPPER('query (2)'!F878)))</f>
        <v>1910-G1OD2</v>
      </c>
      <c r="Q878" s="24" t="str">
        <f>IF('query (2)'!G878="","UNKNOWN",IFERROR(INDEX(Cleaning_Rules!$B$38:$B$46,MATCH(TRIM(UPPER('query (2)'!G878)),Cleaning_Rules!$A$38:$A$46,0)),"UNKNOWN"))</f>
        <v>OTHER</v>
      </c>
      <c r="R878" s="24" t="str">
        <f>IF('query (2)'!H878="","",TRIM(UPPER('query (2)'!H878)))</f>
        <v>OUT DIAMETER GRINDING MACHINE (OD3 FINISH)</v>
      </c>
      <c r="S878" s="25" t="str">
        <f>IF('query (2)'!H878="","",'query (2)'!H878)</f>
        <v>Out diameter grinding machine (OD3 finish)</v>
      </c>
      <c r="T878" s="24" t="str">
        <f>IF('query (2)'!J878="","",TRIM(UPPER('query (2)'!J878)))</f>
        <v/>
      </c>
      <c r="U878" s="24" t="str">
        <f t="shared" si="94"/>
        <v/>
      </c>
      <c r="V878" s="24" t="str">
        <f>IF('query (2)'!K878="","NOT_SPECIFIED",IFERROR(INDEX(Cleaning_Rules!$B$32:$B$34,MATCH(TRIM(UPPER('query (2)'!K878)),Cleaning_Rules!$A$32:$A$34,0)),"UNKNOWN"))</f>
        <v>APPROVED</v>
      </c>
      <c r="W878" s="24" t="str">
        <f t="shared" si="95"/>
        <v>GR-855 | FACTORY1 | G1 | G1 | GRINDING 1 | 1910-G1OD2 | OTHER | OUT DIAMETER GRINDING MACHINE (OD3 FINISH) | APPROVED</v>
      </c>
      <c r="X878" s="24" t="str">
        <f t="shared" si="96"/>
        <v/>
      </c>
      <c r="Y878" s="24" t="str">
        <f t="shared" si="97"/>
        <v>CATEGORY_NOT_USEFUL; MISSING_PRODUCTION_NAME</v>
      </c>
    </row>
    <row r="879" spans="1:25" x14ac:dyDescent="0.3">
      <c r="A879" s="24" t="str">
        <f t="shared" si="91"/>
        <v>GR-915#0878</v>
      </c>
      <c r="B879" s="24" t="str">
        <f>IF('query (2)'!B879="","",TRIM(UPPER('query (2)'!B879)))</f>
        <v>GR-915</v>
      </c>
      <c r="C879" s="25" t="str">
        <f>IF('query (2)'!B879="","",'query (2)'!B879)</f>
        <v>GR-915</v>
      </c>
      <c r="D879" s="24" t="str">
        <f t="shared" si="92"/>
        <v>GR</v>
      </c>
      <c r="E879" s="24">
        <f t="shared" si="93"/>
        <v>1</v>
      </c>
      <c r="F879" s="24">
        <f>IF('query (2)'!A879="","",IFERROR(VALUE('query (2)'!A879),""))</f>
        <v>900</v>
      </c>
      <c r="G879" s="24" t="str">
        <f>IF('query (2)'!C879="","UNKNOWN",IFERROR(INDEX(Cleaning_Rules!$B$15:$B$20,MATCH(TRIM(UPPER('query (2)'!C879)),Cleaning_Rules!$A$15:$A$20,0)),"UNKNOWN"))</f>
        <v>FACTORY1</v>
      </c>
      <c r="H879" s="25" t="str">
        <f>IF('query (2)'!C879="","",'query (2)'!C879)</f>
        <v>FACTORY1</v>
      </c>
      <c r="I879" s="24" t="str" cm="1">
        <f t="array" ref="I879">_xlfn.IFS($G879="UNKNOWN","UNKNOWN",OR($G879="FACTORY1",$G879="FACTORY2",$G879="FACTORY3"),"PLANT",TRUE,"SHARED")</f>
        <v>PLANT</v>
      </c>
      <c r="J879" s="24" t="str">
        <f>IF('query (2)'!D879="","UNKNOWN",IF(COUNTIF(Cleaning_Rules!$A$6:$A$11,TRIM('query (2)'!D879))&gt;0,"UNKNOWN",IFERROR(INDEX(Cleaning_Rules!$B$24:$B$28,MATCH(TRIM(UPPER('query (2)'!D879)),Cleaning_Rules!$A$24:$A$28,0)),TRIM(UPPER('query (2)'!D879)))))</f>
        <v>G1</v>
      </c>
      <c r="K879" s="25" t="str">
        <f>IF('query (2)'!D879="","",'query (2)'!D879)</f>
        <v>G1</v>
      </c>
      <c r="L879" s="24" t="str">
        <f>IF($J879="UNKNOWN","",_xlfn.TEXTBEFORE($J879,{"0","1","2","3","4","5","6","7","8","9"," ","-","."},1,,,$J879))</f>
        <v>G</v>
      </c>
      <c r="M879" s="24" t="str">
        <f>IF('query (2)'!I879&lt;&gt;"",TRIM(UPPER('query (2)'!I879)),IF($L879="","UNKNOWN",$L879))</f>
        <v>G1</v>
      </c>
      <c r="N879" s="24" t="str">
        <f>IF('query (2)'!I879&lt;&gt;"","SOURCE",IF($L879="","UNKNOWN","DERIVED"))</f>
        <v>SOURCE</v>
      </c>
      <c r="O879" s="24" t="str">
        <f>IF('query (2)'!E879="","NOT_SPECIFIED",TRIM(UPPER('query (2)'!E879)))</f>
        <v>GRINDING 1</v>
      </c>
      <c r="P879" s="24" t="str">
        <f>IF('query (2)'!F879="","",TRIM(UPPER('query (2)'!F879)))</f>
        <v>1912-G1SU6</v>
      </c>
      <c r="Q879" s="24" t="str">
        <f>IF('query (2)'!G879="","UNKNOWN",IFERROR(INDEX(Cleaning_Rules!$B$38:$B$46,MATCH(TRIM(UPPER('query (2)'!G879)),Cleaning_Rules!$A$38:$A$46,0)),"UNKNOWN"))</f>
        <v>OTHER</v>
      </c>
      <c r="R879" s="24" t="str">
        <f>IF('query (2)'!H879="","",TRIM(UPPER('query (2)'!H879)))</f>
        <v>DOUBLE - DISK GRINDING MACHINE (SURFACE) (GR-915)</v>
      </c>
      <c r="S879" s="25" t="str">
        <f>IF('query (2)'!H879="","",'query (2)'!H879)</f>
        <v>Double - Disk Grinding machine (surface) (GR-915)</v>
      </c>
      <c r="T879" s="24" t="str">
        <f>IF('query (2)'!J879="","",TRIM(UPPER('query (2)'!J879)))</f>
        <v/>
      </c>
      <c r="U879" s="24" t="str">
        <f t="shared" si="94"/>
        <v>GR-915</v>
      </c>
      <c r="V879" s="24" t="str">
        <f>IF('query (2)'!K879="","NOT_SPECIFIED",IFERROR(INDEX(Cleaning_Rules!$B$32:$B$34,MATCH(TRIM(UPPER('query (2)'!K879)),Cleaning_Rules!$A$32:$A$34,0)),"UNKNOWN"))</f>
        <v>APPROVED</v>
      </c>
      <c r="W879" s="24" t="str">
        <f t="shared" si="95"/>
        <v>GR-915 | FACTORY1 | G1 | G1 | GRINDING 1 | 1912-G1SU6 | OTHER | DOUBLE - DISK GRINDING MACHINE (SURFACE) (GR-915) | APPROVED</v>
      </c>
      <c r="X879" s="24" t="str">
        <f t="shared" si="96"/>
        <v/>
      </c>
      <c r="Y879" s="24" t="str">
        <f t="shared" si="97"/>
        <v>CATEGORY_NOT_USEFUL; MISSING_PRODUCTION_NAME</v>
      </c>
    </row>
    <row r="880" spans="1:25" x14ac:dyDescent="0.3">
      <c r="A880" s="24" t="str">
        <f t="shared" si="91"/>
        <v>GR-1127#0879</v>
      </c>
      <c r="B880" s="24" t="str">
        <f>IF('query (2)'!B880="","",TRIM(UPPER('query (2)'!B880)))</f>
        <v>GR-1127</v>
      </c>
      <c r="C880" s="25" t="str">
        <f>IF('query (2)'!B880="","",'query (2)'!B880)</f>
        <v>GR-1127</v>
      </c>
      <c r="D880" s="24" t="str">
        <f t="shared" si="92"/>
        <v>GR</v>
      </c>
      <c r="E880" s="24">
        <f t="shared" si="93"/>
        <v>1</v>
      </c>
      <c r="F880" s="24">
        <f>IF('query (2)'!A880="","",IFERROR(VALUE('query (2)'!A880),""))</f>
        <v>901</v>
      </c>
      <c r="G880" s="24" t="str">
        <f>IF('query (2)'!C880="","UNKNOWN",IFERROR(INDEX(Cleaning_Rules!$B$15:$B$20,MATCH(TRIM(UPPER('query (2)'!C880)),Cleaning_Rules!$A$15:$A$20,0)),"UNKNOWN"))</f>
        <v>FACTORY1</v>
      </c>
      <c r="H880" s="25" t="str">
        <f>IF('query (2)'!C880="","",'query (2)'!C880)</f>
        <v>FACTORY1</v>
      </c>
      <c r="I880" s="24" t="str" cm="1">
        <f t="array" ref="I880">_xlfn.IFS($G880="UNKNOWN","UNKNOWN",OR($G880="FACTORY1",$G880="FACTORY2",$G880="FACTORY3"),"PLANT",TRUE,"SHARED")</f>
        <v>PLANT</v>
      </c>
      <c r="J880" s="24" t="str">
        <f>IF('query (2)'!D880="","UNKNOWN",IF(COUNTIF(Cleaning_Rules!$A$6:$A$11,TRIM('query (2)'!D880))&gt;0,"UNKNOWN",IFERROR(INDEX(Cleaning_Rules!$B$24:$B$28,MATCH(TRIM(UPPER('query (2)'!D880)),Cleaning_Rules!$A$24:$A$28,0)),TRIM(UPPER('query (2)'!D880)))))</f>
        <v>G1</v>
      </c>
      <c r="K880" s="25" t="str">
        <f>IF('query (2)'!D880="","",'query (2)'!D880)</f>
        <v>G1</v>
      </c>
      <c r="L880" s="24" t="str">
        <f>IF($J880="UNKNOWN","",_xlfn.TEXTBEFORE($J880,{"0","1","2","3","4","5","6","7","8","9"," ","-","."},1,,,$J880))</f>
        <v>G</v>
      </c>
      <c r="M880" s="24" t="str">
        <f>IF('query (2)'!I880&lt;&gt;"",TRIM(UPPER('query (2)'!I880)),IF($L880="","UNKNOWN",$L880))</f>
        <v>G1</v>
      </c>
      <c r="N880" s="24" t="str">
        <f>IF('query (2)'!I880&lt;&gt;"","SOURCE",IF($L880="","UNKNOWN","DERIVED"))</f>
        <v>SOURCE</v>
      </c>
      <c r="O880" s="24" t="str">
        <f>IF('query (2)'!E880="","NOT_SPECIFIED",TRIM(UPPER('query (2)'!E880)))</f>
        <v>GRINDING 1</v>
      </c>
      <c r="P880" s="24" t="str">
        <f>IF('query (2)'!F880="","",TRIM(UPPER('query (2)'!F880)))</f>
        <v/>
      </c>
      <c r="Q880" s="24" t="str">
        <f>IF('query (2)'!G880="","UNKNOWN",IFERROR(INDEX(Cleaning_Rules!$B$38:$B$46,MATCH(TRIM(UPPER('query (2)'!G880)),Cleaning_Rules!$A$38:$A$46,0)),"UNKNOWN"))</f>
        <v>OTHER</v>
      </c>
      <c r="R880" s="24" t="str">
        <f>IF('query (2)'!H880="","",TRIM(UPPER('query (2)'!H880)))</f>
        <v>HORIZENTAL DOUBLE DISC GRINDING M/C (SURFACE)</v>
      </c>
      <c r="S880" s="25" t="str">
        <f>IF('query (2)'!H880="","",'query (2)'!H880)</f>
        <v>Horizental Double Disc Grinding M/C (surface)</v>
      </c>
      <c r="T880" s="24" t="str">
        <f>IF('query (2)'!J880="","",TRIM(UPPER('query (2)'!J880)))</f>
        <v/>
      </c>
      <c r="U880" s="24" t="str">
        <f t="shared" si="94"/>
        <v/>
      </c>
      <c r="V880" s="24" t="str">
        <f>IF('query (2)'!K880="","NOT_SPECIFIED",IFERROR(INDEX(Cleaning_Rules!$B$32:$B$34,MATCH(TRIM(UPPER('query (2)'!K880)),Cleaning_Rules!$A$32:$A$34,0)),"UNKNOWN"))</f>
        <v>APPROVED</v>
      </c>
      <c r="W880" s="24" t="str">
        <f t="shared" si="95"/>
        <v>GR-1127 | FACTORY1 | G1 | G1 | GRINDING 1 | OTHER | HORIZENTAL DOUBLE DISC GRINDING M/C (SURFACE) | APPROVED</v>
      </c>
      <c r="X880" s="24" t="str">
        <f t="shared" si="96"/>
        <v>MISSING_COST_CENTER</v>
      </c>
      <c r="Y880" s="24" t="str">
        <f t="shared" si="97"/>
        <v>CATEGORY_NOT_USEFUL; MISSING_PRODUCTION_NAME</v>
      </c>
    </row>
    <row r="881" spans="1:25" x14ac:dyDescent="0.3">
      <c r="A881" s="24" t="str">
        <f t="shared" si="91"/>
        <v>SU-1168#0880</v>
      </c>
      <c r="B881" s="24" t="str">
        <f>IF('query (2)'!B881="","",TRIM(UPPER('query (2)'!B881)))</f>
        <v>SU-1168</v>
      </c>
      <c r="C881" s="25" t="str">
        <f>IF('query (2)'!B881="","",'query (2)'!B881)</f>
        <v>SU-1168</v>
      </c>
      <c r="D881" s="24" t="str">
        <f t="shared" si="92"/>
        <v>SU</v>
      </c>
      <c r="E881" s="24">
        <f t="shared" si="93"/>
        <v>1</v>
      </c>
      <c r="F881" s="24">
        <f>IF('query (2)'!A881="","",IFERROR(VALUE('query (2)'!A881),""))</f>
        <v>902</v>
      </c>
      <c r="G881" s="24" t="str">
        <f>IF('query (2)'!C881="","UNKNOWN",IFERROR(INDEX(Cleaning_Rules!$B$15:$B$20,MATCH(TRIM(UPPER('query (2)'!C881)),Cleaning_Rules!$A$15:$A$20,0)),"UNKNOWN"))</f>
        <v>FACTORY1</v>
      </c>
      <c r="H881" s="25" t="str">
        <f>IF('query (2)'!C881="","",'query (2)'!C881)</f>
        <v>FACTORY1</v>
      </c>
      <c r="I881" s="24" t="str" cm="1">
        <f t="array" ref="I881">_xlfn.IFS($G881="UNKNOWN","UNKNOWN",OR($G881="FACTORY1",$G881="FACTORY2",$G881="FACTORY3"),"PLANT",TRUE,"SHARED")</f>
        <v>PLANT</v>
      </c>
      <c r="J881" s="24" t="str">
        <f>IF('query (2)'!D881="","UNKNOWN",IF(COUNTIF(Cleaning_Rules!$A$6:$A$11,TRIM('query (2)'!D881))&gt;0,"UNKNOWN",IFERROR(INDEX(Cleaning_Rules!$B$24:$B$28,MATCH(TRIM(UPPER('query (2)'!D881)),Cleaning_Rules!$A$24:$A$28,0)),TRIM(UPPER('query (2)'!D881)))))</f>
        <v>G1</v>
      </c>
      <c r="K881" s="25" t="str">
        <f>IF('query (2)'!D881="","",'query (2)'!D881)</f>
        <v>G1</v>
      </c>
      <c r="L881" s="24" t="str">
        <f>IF($J881="UNKNOWN","",_xlfn.TEXTBEFORE($J881,{"0","1","2","3","4","5","6","7","8","9"," ","-","."},1,,,$J881))</f>
        <v>G</v>
      </c>
      <c r="M881" s="24" t="str">
        <f>IF('query (2)'!I881&lt;&gt;"",TRIM(UPPER('query (2)'!I881)),IF($L881="","UNKNOWN",$L881))</f>
        <v>G1</v>
      </c>
      <c r="N881" s="24" t="str">
        <f>IF('query (2)'!I881&lt;&gt;"","SOURCE",IF($L881="","UNKNOWN","DERIVED"))</f>
        <v>SOURCE</v>
      </c>
      <c r="O881" s="24" t="str">
        <f>IF('query (2)'!E881="","NOT_SPECIFIED",TRIM(UPPER('query (2)'!E881)))</f>
        <v>GRINDING 1</v>
      </c>
      <c r="P881" s="24" t="str">
        <f>IF('query (2)'!F881="","",TRIM(UPPER('query (2)'!F881)))</f>
        <v/>
      </c>
      <c r="Q881" s="24" t="str">
        <f>IF('query (2)'!G881="","UNKNOWN",IFERROR(INDEX(Cleaning_Rules!$B$38:$B$46,MATCH(TRIM(UPPER('query (2)'!G881)),Cleaning_Rules!$A$38:$A$46,0)),"UNKNOWN"))</f>
        <v>OTHER</v>
      </c>
      <c r="R881" s="24" t="str">
        <f>IF('query (2)'!H881="","",TRIM(UPPER('query (2)'!H881)))</f>
        <v>AUTO SUPPLY HDG-760T MACHINE (SURFACE)</v>
      </c>
      <c r="S881" s="25" t="str">
        <f>IF('query (2)'!H881="","",'query (2)'!H881)</f>
        <v>Auto supply HDG-760T machine (surface)</v>
      </c>
      <c r="T881" s="24" t="str">
        <f>IF('query (2)'!J881="","",TRIM(UPPER('query (2)'!J881)))</f>
        <v/>
      </c>
      <c r="U881" s="24" t="str">
        <f t="shared" si="94"/>
        <v/>
      </c>
      <c r="V881" s="24" t="str">
        <f>IF('query (2)'!K881="","NOT_SPECIFIED",IFERROR(INDEX(Cleaning_Rules!$B$32:$B$34,MATCH(TRIM(UPPER('query (2)'!K881)),Cleaning_Rules!$A$32:$A$34,0)),"UNKNOWN"))</f>
        <v>APPROVED</v>
      </c>
      <c r="W881" s="24" t="str">
        <f t="shared" si="95"/>
        <v>SU-1168 | FACTORY1 | G1 | G1 | GRINDING 1 | OTHER | AUTO SUPPLY HDG-760T MACHINE (SURFACE) | APPROVED</v>
      </c>
      <c r="X881" s="24" t="str">
        <f t="shared" si="96"/>
        <v>MISSING_COST_CENTER</v>
      </c>
      <c r="Y881" s="24" t="str">
        <f t="shared" si="97"/>
        <v>CATEGORY_NOT_USEFUL; MISSING_PRODUCTION_NAME</v>
      </c>
    </row>
    <row r="882" spans="1:25" x14ac:dyDescent="0.3">
      <c r="A882" s="24" t="str">
        <f t="shared" si="91"/>
        <v>SU-1126#0881</v>
      </c>
      <c r="B882" s="24" t="str">
        <f>IF('query (2)'!B882="","",TRIM(UPPER('query (2)'!B882)))</f>
        <v>SU-1126</v>
      </c>
      <c r="C882" s="25" t="str">
        <f>IF('query (2)'!B882="","",'query (2)'!B882)</f>
        <v>SU-1126</v>
      </c>
      <c r="D882" s="24" t="str">
        <f t="shared" si="92"/>
        <v>SU</v>
      </c>
      <c r="E882" s="24">
        <f t="shared" si="93"/>
        <v>1</v>
      </c>
      <c r="F882" s="24">
        <f>IF('query (2)'!A882="","",IFERROR(VALUE('query (2)'!A882),""))</f>
        <v>903</v>
      </c>
      <c r="G882" s="24" t="str">
        <f>IF('query (2)'!C882="","UNKNOWN",IFERROR(INDEX(Cleaning_Rules!$B$15:$B$20,MATCH(TRIM(UPPER('query (2)'!C882)),Cleaning_Rules!$A$15:$A$20,0)),"UNKNOWN"))</f>
        <v>FACTORY1</v>
      </c>
      <c r="H882" s="25" t="str">
        <f>IF('query (2)'!C882="","",'query (2)'!C882)</f>
        <v>FACTORY1</v>
      </c>
      <c r="I882" s="24" t="str" cm="1">
        <f t="array" ref="I882">_xlfn.IFS($G882="UNKNOWN","UNKNOWN",OR($G882="FACTORY1",$G882="FACTORY2",$G882="FACTORY3"),"PLANT",TRUE,"SHARED")</f>
        <v>PLANT</v>
      </c>
      <c r="J882" s="24" t="str">
        <f>IF('query (2)'!D882="","UNKNOWN",IF(COUNTIF(Cleaning_Rules!$A$6:$A$11,TRIM('query (2)'!D882))&gt;0,"UNKNOWN",IFERROR(INDEX(Cleaning_Rules!$B$24:$B$28,MATCH(TRIM(UPPER('query (2)'!D882)),Cleaning_Rules!$A$24:$A$28,0)),TRIM(UPPER('query (2)'!D882)))))</f>
        <v>G1</v>
      </c>
      <c r="K882" s="25" t="str">
        <f>IF('query (2)'!D882="","",'query (2)'!D882)</f>
        <v>G1</v>
      </c>
      <c r="L882" s="24" t="str">
        <f>IF($J882="UNKNOWN","",_xlfn.TEXTBEFORE($J882,{"0","1","2","3","4","5","6","7","8","9"," ","-","."},1,,,$J882))</f>
        <v>G</v>
      </c>
      <c r="M882" s="24" t="str">
        <f>IF('query (2)'!I882&lt;&gt;"",TRIM(UPPER('query (2)'!I882)),IF($L882="","UNKNOWN",$L882))</f>
        <v>G1</v>
      </c>
      <c r="N882" s="24" t="str">
        <f>IF('query (2)'!I882&lt;&gt;"","SOURCE",IF($L882="","UNKNOWN","DERIVED"))</f>
        <v>SOURCE</v>
      </c>
      <c r="O882" s="24" t="str">
        <f>IF('query (2)'!E882="","NOT_SPECIFIED",TRIM(UPPER('query (2)'!E882)))</f>
        <v>GRINDING 1</v>
      </c>
      <c r="P882" s="24" t="str">
        <f>IF('query (2)'!F882="","",TRIM(UPPER('query (2)'!F882)))</f>
        <v/>
      </c>
      <c r="Q882" s="24" t="str">
        <f>IF('query (2)'!G882="","UNKNOWN",IFERROR(INDEX(Cleaning_Rules!$B$38:$B$46,MATCH(TRIM(UPPER('query (2)'!G882)),Cleaning_Rules!$A$38:$A$46,0)),"UNKNOWN"))</f>
        <v>OTHER</v>
      </c>
      <c r="R882" s="24" t="str">
        <f>IF('query (2)'!H882="","",TRIM(UPPER('query (2)'!H882)))</f>
        <v>COUNTER PART MACHINE (OD2)</v>
      </c>
      <c r="S882" s="25" t="str">
        <f>IF('query (2)'!H882="","",'query (2)'!H882)</f>
        <v>Counter part machine (OD2)</v>
      </c>
      <c r="T882" s="24" t="str">
        <f>IF('query (2)'!J882="","",TRIM(UPPER('query (2)'!J882)))</f>
        <v/>
      </c>
      <c r="U882" s="24" t="str">
        <f t="shared" si="94"/>
        <v/>
      </c>
      <c r="V882" s="24" t="str">
        <f>IF('query (2)'!K882="","NOT_SPECIFIED",IFERROR(INDEX(Cleaning_Rules!$B$32:$B$34,MATCH(TRIM(UPPER('query (2)'!K882)),Cleaning_Rules!$A$32:$A$34,0)),"UNKNOWN"))</f>
        <v>APPROVED</v>
      </c>
      <c r="W882" s="24" t="str">
        <f t="shared" si="95"/>
        <v>SU-1126 | FACTORY1 | G1 | G1 | GRINDING 1 | OTHER | COUNTER PART MACHINE (OD2) | APPROVED</v>
      </c>
      <c r="X882" s="24" t="str">
        <f t="shared" si="96"/>
        <v>MISSING_COST_CENTER</v>
      </c>
      <c r="Y882" s="24" t="str">
        <f t="shared" si="97"/>
        <v>CATEGORY_NOT_USEFUL; MISSING_PRODUCTION_NAME</v>
      </c>
    </row>
    <row r="883" spans="1:25" x14ac:dyDescent="0.3">
      <c r="A883" s="24" t="str">
        <f t="shared" si="91"/>
        <v>SU-1167#0882</v>
      </c>
      <c r="B883" s="24" t="str">
        <f>IF('query (2)'!B883="","",TRIM(UPPER('query (2)'!B883)))</f>
        <v>SU-1167</v>
      </c>
      <c r="C883" s="25" t="str">
        <f>IF('query (2)'!B883="","",'query (2)'!B883)</f>
        <v>SU-1167</v>
      </c>
      <c r="D883" s="24" t="str">
        <f t="shared" si="92"/>
        <v>SU</v>
      </c>
      <c r="E883" s="24">
        <f t="shared" si="93"/>
        <v>1</v>
      </c>
      <c r="F883" s="24">
        <f>IF('query (2)'!A883="","",IFERROR(VALUE('query (2)'!A883),""))</f>
        <v>904</v>
      </c>
      <c r="G883" s="24" t="str">
        <f>IF('query (2)'!C883="","UNKNOWN",IFERROR(INDEX(Cleaning_Rules!$B$15:$B$20,MATCH(TRIM(UPPER('query (2)'!C883)),Cleaning_Rules!$A$15:$A$20,0)),"UNKNOWN"))</f>
        <v>FACTORY1</v>
      </c>
      <c r="H883" s="25" t="str">
        <f>IF('query (2)'!C883="","",'query (2)'!C883)</f>
        <v>FACTORY1</v>
      </c>
      <c r="I883" s="24" t="str" cm="1">
        <f t="array" ref="I883">_xlfn.IFS($G883="UNKNOWN","UNKNOWN",OR($G883="FACTORY1",$G883="FACTORY2",$G883="FACTORY3"),"PLANT",TRUE,"SHARED")</f>
        <v>PLANT</v>
      </c>
      <c r="J883" s="24" t="str">
        <f>IF('query (2)'!D883="","UNKNOWN",IF(COUNTIF(Cleaning_Rules!$A$6:$A$11,TRIM('query (2)'!D883))&gt;0,"UNKNOWN",IFERROR(INDEX(Cleaning_Rules!$B$24:$B$28,MATCH(TRIM(UPPER('query (2)'!D883)),Cleaning_Rules!$A$24:$A$28,0)),TRIM(UPPER('query (2)'!D883)))))</f>
        <v>G1</v>
      </c>
      <c r="K883" s="25" t="str">
        <f>IF('query (2)'!D883="","",'query (2)'!D883)</f>
        <v>G1</v>
      </c>
      <c r="L883" s="24" t="str">
        <f>IF($J883="UNKNOWN","",_xlfn.TEXTBEFORE($J883,{"0","1","2","3","4","5","6","7","8","9"," ","-","."},1,,,$J883))</f>
        <v>G</v>
      </c>
      <c r="M883" s="24" t="str">
        <f>IF('query (2)'!I883&lt;&gt;"",TRIM(UPPER('query (2)'!I883)),IF($L883="","UNKNOWN",$L883))</f>
        <v>G1</v>
      </c>
      <c r="N883" s="24" t="str">
        <f>IF('query (2)'!I883&lt;&gt;"","SOURCE",IF($L883="","UNKNOWN","DERIVED"))</f>
        <v>SOURCE</v>
      </c>
      <c r="O883" s="24" t="str">
        <f>IF('query (2)'!E883="","NOT_SPECIFIED",TRIM(UPPER('query (2)'!E883)))</f>
        <v>GRINDING 1</v>
      </c>
      <c r="P883" s="24" t="str">
        <f>IF('query (2)'!F883="","",TRIM(UPPER('query (2)'!F883)))</f>
        <v/>
      </c>
      <c r="Q883" s="24" t="str">
        <f>IF('query (2)'!G883="","UNKNOWN",IFERROR(INDEX(Cleaning_Rules!$B$38:$B$46,MATCH(TRIM(UPPER('query (2)'!G883)),Cleaning_Rules!$A$38:$A$46,0)),"UNKNOWN"))</f>
        <v>OTHER</v>
      </c>
      <c r="R883" s="24" t="str">
        <f>IF('query (2)'!H883="","",TRIM(UPPER('query (2)'!H883)))</f>
        <v>AUTO SUPPLY DSG-2N[A] MACHINE (SURFACE)</v>
      </c>
      <c r="S883" s="25" t="str">
        <f>IF('query (2)'!H883="","",'query (2)'!H883)</f>
        <v>Auto supply DSG-2N[A] machine (surface)</v>
      </c>
      <c r="T883" s="24" t="str">
        <f>IF('query (2)'!J883="","",TRIM(UPPER('query (2)'!J883)))</f>
        <v/>
      </c>
      <c r="U883" s="24" t="str">
        <f t="shared" si="94"/>
        <v/>
      </c>
      <c r="V883" s="24" t="str">
        <f>IF('query (2)'!K883="","NOT_SPECIFIED",IFERROR(INDEX(Cleaning_Rules!$B$32:$B$34,MATCH(TRIM(UPPER('query (2)'!K883)),Cleaning_Rules!$A$32:$A$34,0)),"UNKNOWN"))</f>
        <v>APPROVED</v>
      </c>
      <c r="W883" s="24" t="str">
        <f t="shared" si="95"/>
        <v>SU-1167 | FACTORY1 | G1 | G1 | GRINDING 1 | OTHER | AUTO SUPPLY DSG-2N[A] MACHINE (SURFACE) | APPROVED</v>
      </c>
      <c r="X883" s="24" t="str">
        <f t="shared" si="96"/>
        <v>MISSING_COST_CENTER</v>
      </c>
      <c r="Y883" s="24" t="str">
        <f t="shared" si="97"/>
        <v>CATEGORY_NOT_USEFUL; MISSING_PRODUCTION_NAME</v>
      </c>
    </row>
    <row r="884" spans="1:25" x14ac:dyDescent="0.3">
      <c r="A884" s="24" t="str">
        <f t="shared" si="91"/>
        <v>SU-1165#0883</v>
      </c>
      <c r="B884" s="24" t="str">
        <f>IF('query (2)'!B884="","",TRIM(UPPER('query (2)'!B884)))</f>
        <v>SU-1165</v>
      </c>
      <c r="C884" s="25" t="str">
        <f>IF('query (2)'!B884="","",'query (2)'!B884)</f>
        <v>SU-1165</v>
      </c>
      <c r="D884" s="24" t="str">
        <f t="shared" si="92"/>
        <v>SU</v>
      </c>
      <c r="E884" s="24">
        <f t="shared" si="93"/>
        <v>1</v>
      </c>
      <c r="F884" s="24">
        <f>IF('query (2)'!A884="","",IFERROR(VALUE('query (2)'!A884),""))</f>
        <v>905</v>
      </c>
      <c r="G884" s="24" t="str">
        <f>IF('query (2)'!C884="","UNKNOWN",IFERROR(INDEX(Cleaning_Rules!$B$15:$B$20,MATCH(TRIM(UPPER('query (2)'!C884)),Cleaning_Rules!$A$15:$A$20,0)),"UNKNOWN"))</f>
        <v>FACTORY1</v>
      </c>
      <c r="H884" s="25" t="str">
        <f>IF('query (2)'!C884="","",'query (2)'!C884)</f>
        <v>FACTORY1</v>
      </c>
      <c r="I884" s="24" t="str" cm="1">
        <f t="array" ref="I884">_xlfn.IFS($G884="UNKNOWN","UNKNOWN",OR($G884="FACTORY1",$G884="FACTORY2",$G884="FACTORY3"),"PLANT",TRUE,"SHARED")</f>
        <v>PLANT</v>
      </c>
      <c r="J884" s="24" t="str">
        <f>IF('query (2)'!D884="","UNKNOWN",IF(COUNTIF(Cleaning_Rules!$A$6:$A$11,TRIM('query (2)'!D884))&gt;0,"UNKNOWN",IFERROR(INDEX(Cleaning_Rules!$B$24:$B$28,MATCH(TRIM(UPPER('query (2)'!D884)),Cleaning_Rules!$A$24:$A$28,0)),TRIM(UPPER('query (2)'!D884)))))</f>
        <v>G1</v>
      </c>
      <c r="K884" s="25" t="str">
        <f>IF('query (2)'!D884="","",'query (2)'!D884)</f>
        <v>G1</v>
      </c>
      <c r="L884" s="24" t="str">
        <f>IF($J884="UNKNOWN","",_xlfn.TEXTBEFORE($J884,{"0","1","2","3","4","5","6","7","8","9"," ","-","."},1,,,$J884))</f>
        <v>G</v>
      </c>
      <c r="M884" s="24" t="str">
        <f>IF('query (2)'!I884&lt;&gt;"",TRIM(UPPER('query (2)'!I884)),IF($L884="","UNKNOWN",$L884))</f>
        <v>G1</v>
      </c>
      <c r="N884" s="24" t="str">
        <f>IF('query (2)'!I884&lt;&gt;"","SOURCE",IF($L884="","UNKNOWN","DERIVED"))</f>
        <v>SOURCE</v>
      </c>
      <c r="O884" s="24" t="str">
        <f>IF('query (2)'!E884="","NOT_SPECIFIED",TRIM(UPPER('query (2)'!E884)))</f>
        <v>GRINDING 1</v>
      </c>
      <c r="P884" s="24" t="str">
        <f>IF('query (2)'!F884="","",TRIM(UPPER('query (2)'!F884)))</f>
        <v/>
      </c>
      <c r="Q884" s="24" t="str">
        <f>IF('query (2)'!G884="","UNKNOWN",IFERROR(INDEX(Cleaning_Rules!$B$38:$B$46,MATCH(TRIM(UPPER('query (2)'!G884)),Cleaning_Rules!$A$38:$A$46,0)),"UNKNOWN"))</f>
        <v>OTHER</v>
      </c>
      <c r="R884" s="24" t="str">
        <f>IF('query (2)'!H884="","",TRIM(UPPER('query (2)'!H884)))</f>
        <v>AUTO SUPPLY (OD2)</v>
      </c>
      <c r="S884" s="25" t="str">
        <f>IF('query (2)'!H884="","",'query (2)'!H884)</f>
        <v>Auto supply (OD2)</v>
      </c>
      <c r="T884" s="24" t="str">
        <f>IF('query (2)'!J884="","",TRIM(UPPER('query (2)'!J884)))</f>
        <v/>
      </c>
      <c r="U884" s="24" t="str">
        <f t="shared" si="94"/>
        <v/>
      </c>
      <c r="V884" s="24" t="str">
        <f>IF('query (2)'!K884="","NOT_SPECIFIED",IFERROR(INDEX(Cleaning_Rules!$B$32:$B$34,MATCH(TRIM(UPPER('query (2)'!K884)),Cleaning_Rules!$A$32:$A$34,0)),"UNKNOWN"))</f>
        <v>APPROVED</v>
      </c>
      <c r="W884" s="24" t="str">
        <f t="shared" si="95"/>
        <v>SU-1165 | FACTORY1 | G1 | G1 | GRINDING 1 | OTHER | AUTO SUPPLY (OD2) | APPROVED</v>
      </c>
      <c r="X884" s="24" t="str">
        <f t="shared" si="96"/>
        <v>MISSING_COST_CENTER</v>
      </c>
      <c r="Y884" s="24" t="str">
        <f t="shared" si="97"/>
        <v>CATEGORY_NOT_USEFUL; MISSING_PRODUCTION_NAME</v>
      </c>
    </row>
    <row r="885" spans="1:25" x14ac:dyDescent="0.3">
      <c r="A885" s="24" t="str">
        <f t="shared" si="91"/>
        <v>SU-1164#0884</v>
      </c>
      <c r="B885" s="24" t="str">
        <f>IF('query (2)'!B885="","",TRIM(UPPER('query (2)'!B885)))</f>
        <v>SU-1164</v>
      </c>
      <c r="C885" s="25" t="str">
        <f>IF('query (2)'!B885="","",'query (2)'!B885)</f>
        <v>SU-1164</v>
      </c>
      <c r="D885" s="24" t="str">
        <f t="shared" si="92"/>
        <v>SU</v>
      </c>
      <c r="E885" s="24">
        <f t="shared" si="93"/>
        <v>1</v>
      </c>
      <c r="F885" s="24">
        <f>IF('query (2)'!A885="","",IFERROR(VALUE('query (2)'!A885),""))</f>
        <v>906</v>
      </c>
      <c r="G885" s="24" t="str">
        <f>IF('query (2)'!C885="","UNKNOWN",IFERROR(INDEX(Cleaning_Rules!$B$15:$B$20,MATCH(TRIM(UPPER('query (2)'!C885)),Cleaning_Rules!$A$15:$A$20,0)),"UNKNOWN"))</f>
        <v>FACTORY1</v>
      </c>
      <c r="H885" s="25" t="str">
        <f>IF('query (2)'!C885="","",'query (2)'!C885)</f>
        <v>FACTORY1</v>
      </c>
      <c r="I885" s="24" t="str" cm="1">
        <f t="array" ref="I885">_xlfn.IFS($G885="UNKNOWN","UNKNOWN",OR($G885="FACTORY1",$G885="FACTORY2",$G885="FACTORY3"),"PLANT",TRUE,"SHARED")</f>
        <v>PLANT</v>
      </c>
      <c r="J885" s="24" t="str">
        <f>IF('query (2)'!D885="","UNKNOWN",IF(COUNTIF(Cleaning_Rules!$A$6:$A$11,TRIM('query (2)'!D885))&gt;0,"UNKNOWN",IFERROR(INDEX(Cleaning_Rules!$B$24:$B$28,MATCH(TRIM(UPPER('query (2)'!D885)),Cleaning_Rules!$A$24:$A$28,0)),TRIM(UPPER('query (2)'!D885)))))</f>
        <v>G1</v>
      </c>
      <c r="K885" s="25" t="str">
        <f>IF('query (2)'!D885="","",'query (2)'!D885)</f>
        <v>G1</v>
      </c>
      <c r="L885" s="24" t="str">
        <f>IF($J885="UNKNOWN","",_xlfn.TEXTBEFORE($J885,{"0","1","2","3","4","5","6","7","8","9"," ","-","."},1,,,$J885))</f>
        <v>G</v>
      </c>
      <c r="M885" s="24" t="str">
        <f>IF('query (2)'!I885&lt;&gt;"",TRIM(UPPER('query (2)'!I885)),IF($L885="","UNKNOWN",$L885))</f>
        <v>G1</v>
      </c>
      <c r="N885" s="24" t="str">
        <f>IF('query (2)'!I885&lt;&gt;"","SOURCE",IF($L885="","UNKNOWN","DERIVED"))</f>
        <v>SOURCE</v>
      </c>
      <c r="O885" s="24" t="str">
        <f>IF('query (2)'!E885="","NOT_SPECIFIED",TRIM(UPPER('query (2)'!E885)))</f>
        <v>GRINDING 1</v>
      </c>
      <c r="P885" s="24" t="str">
        <f>IF('query (2)'!F885="","",TRIM(UPPER('query (2)'!F885)))</f>
        <v/>
      </c>
      <c r="Q885" s="24" t="str">
        <f>IF('query (2)'!G885="","UNKNOWN",IFERROR(INDEX(Cleaning_Rules!$B$38:$B$46,MATCH(TRIM(UPPER('query (2)'!G885)),Cleaning_Rules!$A$38:$A$46,0)),"UNKNOWN"))</f>
        <v>OTHER</v>
      </c>
      <c r="R885" s="24" t="str">
        <f>IF('query (2)'!H885="","",TRIM(UPPER('query (2)'!H885)))</f>
        <v>AUTO SUPPLY (OD1)</v>
      </c>
      <c r="S885" s="25" t="str">
        <f>IF('query (2)'!H885="","",'query (2)'!H885)</f>
        <v>Auto supply (OD1)</v>
      </c>
      <c r="T885" s="24" t="str">
        <f>IF('query (2)'!J885="","",TRIM(UPPER('query (2)'!J885)))</f>
        <v/>
      </c>
      <c r="U885" s="24" t="str">
        <f t="shared" si="94"/>
        <v/>
      </c>
      <c r="V885" s="24" t="str">
        <f>IF('query (2)'!K885="","NOT_SPECIFIED",IFERROR(INDEX(Cleaning_Rules!$B$32:$B$34,MATCH(TRIM(UPPER('query (2)'!K885)),Cleaning_Rules!$A$32:$A$34,0)),"UNKNOWN"))</f>
        <v>APPROVED</v>
      </c>
      <c r="W885" s="24" t="str">
        <f t="shared" si="95"/>
        <v>SU-1164 | FACTORY1 | G1 | G1 | GRINDING 1 | OTHER | AUTO SUPPLY (OD1) | APPROVED</v>
      </c>
      <c r="X885" s="24" t="str">
        <f t="shared" si="96"/>
        <v>MISSING_COST_CENTER</v>
      </c>
      <c r="Y885" s="24" t="str">
        <f t="shared" si="97"/>
        <v>CATEGORY_NOT_USEFUL; MISSING_PRODUCTION_NAME</v>
      </c>
    </row>
    <row r="886" spans="1:25" x14ac:dyDescent="0.3">
      <c r="A886" s="24" t="str">
        <f t="shared" si="91"/>
        <v>AR-638#0885</v>
      </c>
      <c r="B886" s="24" t="str">
        <f>IF('query (2)'!B886="","",TRIM(UPPER('query (2)'!B886)))</f>
        <v>AR-638</v>
      </c>
      <c r="C886" s="25" t="str">
        <f>IF('query (2)'!B886="","",'query (2)'!B886)</f>
        <v>AR-638</v>
      </c>
      <c r="D886" s="24" t="str">
        <f t="shared" si="92"/>
        <v>AR</v>
      </c>
      <c r="E886" s="24">
        <f t="shared" si="93"/>
        <v>1</v>
      </c>
      <c r="F886" s="24">
        <f>IF('query (2)'!A886="","",IFERROR(VALUE('query (2)'!A886),""))</f>
        <v>907</v>
      </c>
      <c r="G886" s="24" t="str">
        <f>IF('query (2)'!C886="","UNKNOWN",IFERROR(INDEX(Cleaning_Rules!$B$15:$B$20,MATCH(TRIM(UPPER('query (2)'!C886)),Cleaning_Rules!$A$15:$A$20,0)),"UNKNOWN"))</f>
        <v>FACTORY1</v>
      </c>
      <c r="H886" s="25" t="str">
        <f>IF('query (2)'!C886="","",'query (2)'!C886)</f>
        <v>FACTORY1</v>
      </c>
      <c r="I886" s="24" t="str" cm="1">
        <f t="array" ref="I886">_xlfn.IFS($G886="UNKNOWN","UNKNOWN",OR($G886="FACTORY1",$G886="FACTORY2",$G886="FACTORY3"),"PLANT",TRUE,"SHARED")</f>
        <v>PLANT</v>
      </c>
      <c r="J886" s="24" t="str">
        <f>IF('query (2)'!D886="","UNKNOWN",IF(COUNTIF(Cleaning_Rules!$A$6:$A$11,TRIM('query (2)'!D886))&gt;0,"UNKNOWN",IFERROR(INDEX(Cleaning_Rules!$B$24:$B$28,MATCH(TRIM(UPPER('query (2)'!D886)),Cleaning_Rules!$A$24:$A$28,0)),TRIM(UPPER('query (2)'!D886)))))</f>
        <v>G1</v>
      </c>
      <c r="K886" s="25" t="str">
        <f>IF('query (2)'!D886="","",'query (2)'!D886)</f>
        <v>G1</v>
      </c>
      <c r="L886" s="24" t="str">
        <f>IF($J886="UNKNOWN","",_xlfn.TEXTBEFORE($J886,{"0","1","2","3","4","5","6","7","8","9"," ","-","."},1,,,$J886))</f>
        <v>G</v>
      </c>
      <c r="M886" s="24" t="str">
        <f>IF('query (2)'!I886&lt;&gt;"",TRIM(UPPER('query (2)'!I886)),IF($L886="","UNKNOWN",$L886))</f>
        <v>G1</v>
      </c>
      <c r="N886" s="24" t="str">
        <f>IF('query (2)'!I886&lt;&gt;"","SOURCE",IF($L886="","UNKNOWN","DERIVED"))</f>
        <v>SOURCE</v>
      </c>
      <c r="O886" s="24" t="str">
        <f>IF('query (2)'!E886="","NOT_SPECIFIED",TRIM(UPPER('query (2)'!E886)))</f>
        <v>GRINDING 1</v>
      </c>
      <c r="P886" s="24" t="str">
        <f>IF('query (2)'!F886="","",TRIM(UPPER('query (2)'!F886)))</f>
        <v/>
      </c>
      <c r="Q886" s="24" t="str">
        <f>IF('query (2)'!G886="","UNKNOWN",IFERROR(INDEX(Cleaning_Rules!$B$38:$B$46,MATCH(TRIM(UPPER('query (2)'!G886)),Cleaning_Rules!$A$38:$A$46,0)),"UNKNOWN"))</f>
        <v>OTHER</v>
      </c>
      <c r="R886" s="24" t="str">
        <f>IF('query (2)'!H886="","",TRIM(UPPER('query (2)'!H886)))</f>
        <v>RUST PREVENTION (SURFACE)</v>
      </c>
      <c r="S886" s="25" t="str">
        <f>IF('query (2)'!H886="","",'query (2)'!H886)</f>
        <v>Rust  Prevention (surface)</v>
      </c>
      <c r="T886" s="24" t="str">
        <f>IF('query (2)'!J886="","",TRIM(UPPER('query (2)'!J886)))</f>
        <v/>
      </c>
      <c r="U886" s="24" t="str">
        <f t="shared" si="94"/>
        <v/>
      </c>
      <c r="V886" s="24" t="str">
        <f>IF('query (2)'!K886="","NOT_SPECIFIED",IFERROR(INDEX(Cleaning_Rules!$B$32:$B$34,MATCH(TRIM(UPPER('query (2)'!K886)),Cleaning_Rules!$A$32:$A$34,0)),"UNKNOWN"))</f>
        <v>APPROVED</v>
      </c>
      <c r="W886" s="24" t="str">
        <f t="shared" si="95"/>
        <v>AR-638 | FACTORY1 | G1 | G1 | GRINDING 1 | OTHER | RUST PREVENTION (SURFACE) | APPROVED</v>
      </c>
      <c r="X886" s="24" t="str">
        <f t="shared" si="96"/>
        <v>MISSING_COST_CENTER</v>
      </c>
      <c r="Y886" s="24" t="str">
        <f t="shared" si="97"/>
        <v>CATEGORY_NOT_USEFUL; MISSING_PRODUCTION_NAME</v>
      </c>
    </row>
    <row r="887" spans="1:25" x14ac:dyDescent="0.3">
      <c r="A887" s="24" t="str">
        <f t="shared" si="91"/>
        <v>SU-1192#0886</v>
      </c>
      <c r="B887" s="24" t="str">
        <f>IF('query (2)'!B887="","",TRIM(UPPER('query (2)'!B887)))</f>
        <v>SU-1192</v>
      </c>
      <c r="C887" s="25" t="str">
        <f>IF('query (2)'!B887="","",'query (2)'!B887)</f>
        <v>SU-1192</v>
      </c>
      <c r="D887" s="24" t="str">
        <f t="shared" si="92"/>
        <v>SU</v>
      </c>
      <c r="E887" s="24">
        <f t="shared" si="93"/>
        <v>1</v>
      </c>
      <c r="F887" s="24">
        <f>IF('query (2)'!A887="","",IFERROR(VALUE('query (2)'!A887),""))</f>
        <v>908</v>
      </c>
      <c r="G887" s="24" t="str">
        <f>IF('query (2)'!C887="","UNKNOWN",IFERROR(INDEX(Cleaning_Rules!$B$15:$B$20,MATCH(TRIM(UPPER('query (2)'!C887)),Cleaning_Rules!$A$15:$A$20,0)),"UNKNOWN"))</f>
        <v>FACTORY1</v>
      </c>
      <c r="H887" s="25" t="str">
        <f>IF('query (2)'!C887="","",'query (2)'!C887)</f>
        <v>FACTORY1</v>
      </c>
      <c r="I887" s="24" t="str" cm="1">
        <f t="array" ref="I887">_xlfn.IFS($G887="UNKNOWN","UNKNOWN",OR($G887="FACTORY1",$G887="FACTORY2",$G887="FACTORY3"),"PLANT",TRUE,"SHARED")</f>
        <v>PLANT</v>
      </c>
      <c r="J887" s="24" t="str">
        <f>IF('query (2)'!D887="","UNKNOWN",IF(COUNTIF(Cleaning_Rules!$A$6:$A$11,TRIM('query (2)'!D887))&gt;0,"UNKNOWN",IFERROR(INDEX(Cleaning_Rules!$B$24:$B$28,MATCH(TRIM(UPPER('query (2)'!D887)),Cleaning_Rules!$A$24:$A$28,0)),TRIM(UPPER('query (2)'!D887)))))</f>
        <v>G1</v>
      </c>
      <c r="K887" s="25" t="str">
        <f>IF('query (2)'!D887="","",'query (2)'!D887)</f>
        <v>G1</v>
      </c>
      <c r="L887" s="24" t="str">
        <f>IF($J887="UNKNOWN","",_xlfn.TEXTBEFORE($J887,{"0","1","2","3","4","5","6","7","8","9"," ","-","."},1,,,$J887))</f>
        <v>G</v>
      </c>
      <c r="M887" s="24" t="str">
        <f>IF('query (2)'!I887&lt;&gt;"",TRIM(UPPER('query (2)'!I887)),IF($L887="","UNKNOWN",$L887))</f>
        <v>G1</v>
      </c>
      <c r="N887" s="24" t="str">
        <f>IF('query (2)'!I887&lt;&gt;"","SOURCE",IF($L887="","UNKNOWN","DERIVED"))</f>
        <v>SOURCE</v>
      </c>
      <c r="O887" s="24" t="str">
        <f>IF('query (2)'!E887="","NOT_SPECIFIED",TRIM(UPPER('query (2)'!E887)))</f>
        <v>GRINDING 1</v>
      </c>
      <c r="P887" s="24" t="str">
        <f>IF('query (2)'!F887="","",TRIM(UPPER('query (2)'!F887)))</f>
        <v/>
      </c>
      <c r="Q887" s="24" t="str">
        <f>IF('query (2)'!G887="","UNKNOWN",IFERROR(INDEX(Cleaning_Rules!$B$38:$B$46,MATCH(TRIM(UPPER('query (2)'!G887)),Cleaning_Rules!$A$38:$A$46,0)),"UNKNOWN"))</f>
        <v>OTHER</v>
      </c>
      <c r="R887" s="24" t="str">
        <f>IF('query (2)'!H887="","",TRIM(UPPER('query (2)'!H887)))</f>
        <v>AUTO SUPPLY PART FOR V-5C (SURFACE)</v>
      </c>
      <c r="S887" s="25" t="str">
        <f>IF('query (2)'!H887="","",'query (2)'!H887)</f>
        <v>Auto supply part for V-5C (surface)</v>
      </c>
      <c r="T887" s="24" t="str">
        <f>IF('query (2)'!J887="","",TRIM(UPPER('query (2)'!J887)))</f>
        <v/>
      </c>
      <c r="U887" s="24" t="str">
        <f t="shared" si="94"/>
        <v/>
      </c>
      <c r="V887" s="24" t="str">
        <f>IF('query (2)'!K887="","NOT_SPECIFIED",IFERROR(INDEX(Cleaning_Rules!$B$32:$B$34,MATCH(TRIM(UPPER('query (2)'!K887)),Cleaning_Rules!$A$32:$A$34,0)),"UNKNOWN"))</f>
        <v>APPROVED</v>
      </c>
      <c r="W887" s="24" t="str">
        <f t="shared" si="95"/>
        <v>SU-1192 | FACTORY1 | G1 | G1 | GRINDING 1 | OTHER | AUTO SUPPLY PART FOR V-5C (SURFACE) | APPROVED</v>
      </c>
      <c r="X887" s="24" t="str">
        <f t="shared" si="96"/>
        <v>MISSING_COST_CENTER</v>
      </c>
      <c r="Y887" s="24" t="str">
        <f t="shared" si="97"/>
        <v>CATEGORY_NOT_USEFUL; MISSING_PRODUCTION_NAME</v>
      </c>
    </row>
    <row r="888" spans="1:25" x14ac:dyDescent="0.3">
      <c r="A888" s="24" t="str">
        <f t="shared" si="91"/>
        <v>AS-1201#0887</v>
      </c>
      <c r="B888" s="24" t="str">
        <f>IF('query (2)'!B888="","",TRIM(UPPER('query (2)'!B888)))</f>
        <v>AS-1201</v>
      </c>
      <c r="C888" s="25" t="str">
        <f>IF('query (2)'!B888="","",'query (2)'!B888)</f>
        <v>AS-1201</v>
      </c>
      <c r="D888" s="24" t="str">
        <f t="shared" si="92"/>
        <v>AS</v>
      </c>
      <c r="E888" s="24">
        <f t="shared" si="93"/>
        <v>1</v>
      </c>
      <c r="F888" s="24">
        <f>IF('query (2)'!A888="","",IFERROR(VALUE('query (2)'!A888),""))</f>
        <v>920</v>
      </c>
      <c r="G888" s="24" t="str">
        <f>IF('query (2)'!C888="","UNKNOWN",IFERROR(INDEX(Cleaning_Rules!$B$15:$B$20,MATCH(TRIM(UPPER('query (2)'!C888)),Cleaning_Rules!$A$15:$A$20,0)),"UNKNOWN"))</f>
        <v>FACTORY3</v>
      </c>
      <c r="H888" s="25" t="str">
        <f>IF('query (2)'!C888="","",'query (2)'!C888)</f>
        <v>FACTORY3</v>
      </c>
      <c r="I888" s="24" t="str" cm="1">
        <f t="array" ref="I888">_xlfn.IFS($G888="UNKNOWN","UNKNOWN",OR($G888="FACTORY1",$G888="FACTORY2",$G888="FACTORY3"),"PLANT",TRUE,"SHARED")</f>
        <v>PLANT</v>
      </c>
      <c r="J888" s="24" t="str">
        <f>IF('query (2)'!D888="","UNKNOWN",IF(COUNTIF(Cleaning_Rules!$A$6:$A$11,TRIM('query (2)'!D888))&gt;0,"UNKNOWN",IFERROR(INDEX(Cleaning_Rules!$B$24:$B$28,MATCH(TRIM(UPPER('query (2)'!D888)),Cleaning_Rules!$A$24:$A$28,0)),TRIM(UPPER('query (2)'!D888)))))</f>
        <v>KWD4</v>
      </c>
      <c r="K888" s="25" t="str">
        <f>IF('query (2)'!D888="","",'query (2)'!D888)</f>
        <v>KWD4</v>
      </c>
      <c r="L888" s="24" t="str">
        <f>IF($J888="UNKNOWN","",_xlfn.TEXTBEFORE($J888,{"0","1","2","3","4","5","6","7","8","9"," ","-","."},1,,,$J888))</f>
        <v>KWD</v>
      </c>
      <c r="M888" s="24" t="str">
        <f>IF('query (2)'!I888&lt;&gt;"",TRIM(UPPER('query (2)'!I888)),IF($L888="","UNKNOWN",$L888))</f>
        <v>KWD</v>
      </c>
      <c r="N888" s="24" t="str">
        <f>IF('query (2)'!I888&lt;&gt;"","SOURCE",IF($L888="","UNKNOWN","DERIVED"))</f>
        <v>SOURCE</v>
      </c>
      <c r="O888" s="24" t="str">
        <f>IF('query (2)'!E888="","NOT_SPECIFIED",TRIM(UPPER('query (2)'!E888)))</f>
        <v>ASSEMBLY</v>
      </c>
      <c r="P888" s="24" t="str">
        <f>IF('query (2)'!F888="","",TRIM(UPPER('query (2)'!F888)))</f>
        <v>1013-KW4AI</v>
      </c>
      <c r="Q888" s="24" t="str">
        <f>IF('query (2)'!G888="","UNKNOWN",IFERROR(INDEX(Cleaning_Rules!$B$38:$B$46,MATCH(TRIM(UPPER('query (2)'!G888)),Cleaning_Rules!$A$38:$A$46,0)),"UNKNOWN"))</f>
        <v>OTHER</v>
      </c>
      <c r="R888" s="24" t="str">
        <f>IF('query (2)'!H888="","",TRIM(UPPER('query (2)'!H888)))</f>
        <v>AUTOMATIC GRASPIG AND PRESSING BUSH</v>
      </c>
      <c r="S888" s="25" t="str">
        <f>IF('query (2)'!H888="","",'query (2)'!H888)</f>
        <v>AUTOMATIC GRASPIG AND PRESSING BUSH</v>
      </c>
      <c r="T888" s="24" t="str">
        <f>IF('query (2)'!J888="","",TRIM(UPPER('query (2)'!J888)))</f>
        <v>AUTOMATIC GRASPIG AND PRESSING BUSH</v>
      </c>
      <c r="U888" s="24" t="str">
        <f t="shared" si="94"/>
        <v/>
      </c>
      <c r="V888" s="24" t="str">
        <f>IF('query (2)'!K888="","NOT_SPECIFIED",IFERROR(INDEX(Cleaning_Rules!$B$32:$B$34,MATCH(TRIM(UPPER('query (2)'!K888)),Cleaning_Rules!$A$32:$A$34,0)),"UNKNOWN"))</f>
        <v>NOT_SPECIFIED</v>
      </c>
      <c r="W888" s="24" t="str">
        <f t="shared" si="95"/>
        <v>AS-1201 | FACTORY3 | KWD4 | KWD | ASSEMBLY | 1013-KW4AI | OTHER | AUTOMATIC GRASPIG AND PRESSING BUSH | AUTOMATIC GRASPIG AND PRESSING BUSH | NOT_SPECIFIED</v>
      </c>
      <c r="X888" s="24" t="str">
        <f t="shared" si="96"/>
        <v/>
      </c>
      <c r="Y888" s="24" t="str">
        <f t="shared" si="97"/>
        <v>MISSING_STATUS; CATEGORY_NOT_USEFUL</v>
      </c>
    </row>
    <row r="889" spans="1:25" x14ac:dyDescent="0.3">
      <c r="A889" s="24" t="str">
        <f t="shared" si="91"/>
        <v>MA-1202#0888</v>
      </c>
      <c r="B889" s="24" t="str">
        <f>IF('query (2)'!B889="","",TRIM(UPPER('query (2)'!B889)))</f>
        <v>MA-1202</v>
      </c>
      <c r="C889" s="25" t="str">
        <f>IF('query (2)'!B889="","",'query (2)'!B889)</f>
        <v>MA-1202</v>
      </c>
      <c r="D889" s="24" t="str">
        <f t="shared" si="92"/>
        <v>MA</v>
      </c>
      <c r="E889" s="24">
        <f t="shared" si="93"/>
        <v>1</v>
      </c>
      <c r="F889" s="24" t="str">
        <f>IF('query (2)'!A889="","",IFERROR(VALUE('query (2)'!A889),""))</f>
        <v/>
      </c>
      <c r="G889" s="24" t="str">
        <f>IF('query (2)'!C889="","UNKNOWN",IFERROR(INDEX(Cleaning_Rules!$B$15:$B$20,MATCH(TRIM(UPPER('query (2)'!C889)),Cleaning_Rules!$A$15:$A$20,0)),"UNKNOWN"))</f>
        <v>FACTORY2</v>
      </c>
      <c r="H889" s="25" t="str">
        <f>IF('query (2)'!C889="","",'query (2)'!C889)</f>
        <v>FACTORY2</v>
      </c>
      <c r="I889" s="24" t="str" cm="1">
        <f t="array" ref="I889">_xlfn.IFS($G889="UNKNOWN","UNKNOWN",OR($G889="FACTORY1",$G889="FACTORY2",$G889="FACTORY3"),"PLANT",TRUE,"SHARED")</f>
        <v>PLANT</v>
      </c>
      <c r="J889" s="24" t="str">
        <f>IF('query (2)'!D889="","UNKNOWN",IF(COUNTIF(Cleaning_Rules!$A$6:$A$11,TRIM('query (2)'!D889))&gt;0,"UNKNOWN",IFERROR(INDEX(Cleaning_Rules!$B$24:$B$28,MATCH(TRIM(UPPER('query (2)'!D889)),Cleaning_Rules!$A$24:$A$28,0)),TRIM(UPPER('query (2)'!D889)))))</f>
        <v>TP2</v>
      </c>
      <c r="K889" s="25" t="str">
        <f>IF('query (2)'!D889="","",'query (2)'!D889)</f>
        <v>TP2</v>
      </c>
      <c r="L889" s="24" t="str">
        <f>IF($J889="UNKNOWN","",_xlfn.TEXTBEFORE($J889,{"0","1","2","3","4","5","6","7","8","9"," ","-","."},1,,,$J889))</f>
        <v>TP</v>
      </c>
      <c r="M889" s="24" t="str">
        <f>IF('query (2)'!I889&lt;&gt;"",TRIM(UPPER('query (2)'!I889)),IF($L889="","UNKNOWN",$L889))</f>
        <v>TP</v>
      </c>
      <c r="N889" s="24" t="str">
        <f>IF('query (2)'!I889&lt;&gt;"","SOURCE",IF($L889="","UNKNOWN","DERIVED"))</f>
        <v>SOURCE</v>
      </c>
      <c r="O889" s="24" t="str">
        <f>IF('query (2)'!E889="","NOT_SPECIFIED",TRIM(UPPER('query (2)'!E889)))</f>
        <v>ASSEMBLY</v>
      </c>
      <c r="P889" s="24" t="str">
        <f>IF('query (2)'!F889="","",TRIM(UPPER('query (2)'!F889)))</f>
        <v>1703-TP2</v>
      </c>
      <c r="Q889" s="24" t="str">
        <f>IF('query (2)'!G889="","UNKNOWN",IFERROR(INDEX(Cleaning_Rules!$B$38:$B$46,MATCH(TRIM(UPPER('query (2)'!G889)),Cleaning_Rules!$A$38:$A$46,0)),"UNKNOWN"))</f>
        <v>OTHER</v>
      </c>
      <c r="R889" s="24" t="str">
        <f>IF('query (2)'!H889="","",TRIM(UPPER('query (2)'!H889)))</f>
        <v>LASER MARK M/C</v>
      </c>
      <c r="S889" s="25" t="str">
        <f>IF('query (2)'!H889="","",'query (2)'!H889)</f>
        <v>Laser Mark M/C</v>
      </c>
      <c r="T889" s="24" t="str">
        <f>IF('query (2)'!J889="","",TRIM(UPPER('query (2)'!J889)))</f>
        <v>LASER MARK M/C</v>
      </c>
      <c r="U889" s="24" t="str">
        <f t="shared" si="94"/>
        <v/>
      </c>
      <c r="V889" s="24" t="str">
        <f>IF('query (2)'!K889="","NOT_SPECIFIED",IFERROR(INDEX(Cleaning_Rules!$B$32:$B$34,MATCH(TRIM(UPPER('query (2)'!K889)),Cleaning_Rules!$A$32:$A$34,0)),"UNKNOWN"))</f>
        <v>NOT_SPECIFIED</v>
      </c>
      <c r="W889" s="24" t="str">
        <f t="shared" si="95"/>
        <v>MA-1202 | FACTORY2 | TP2 | TP | ASSEMBLY | 1703-TP2 | OTHER | LASER MARK M/C | LASER MARK M/C | NOT_SPECIFIED</v>
      </c>
      <c r="X889" s="24" t="str">
        <f t="shared" si="96"/>
        <v>MISSING_NO</v>
      </c>
      <c r="Y889" s="24" t="str">
        <f t="shared" si="97"/>
        <v>MISSING_STATUS; CATEGORY_NOT_USEFUL</v>
      </c>
    </row>
    <row r="890" spans="1:25" x14ac:dyDescent="0.3">
      <c r="A890" s="24" t="str">
        <f t="shared" si="91"/>
        <v>MA-1112#0889</v>
      </c>
      <c r="B890" s="24" t="str">
        <f>IF('query (2)'!B890="","",TRIM(UPPER('query (2)'!B890)))</f>
        <v>MA-1112</v>
      </c>
      <c r="C890" s="25" t="str">
        <f>IF('query (2)'!B890="","",'query (2)'!B890)</f>
        <v>MA-1112</v>
      </c>
      <c r="D890" s="24" t="str">
        <f t="shared" si="92"/>
        <v>MA</v>
      </c>
      <c r="E890" s="24">
        <f t="shared" si="93"/>
        <v>1</v>
      </c>
      <c r="F890" s="24" t="str">
        <f>IF('query (2)'!A890="","",IFERROR(VALUE('query (2)'!A890),""))</f>
        <v/>
      </c>
      <c r="G890" s="24" t="str">
        <f>IF('query (2)'!C890="","UNKNOWN",IFERROR(INDEX(Cleaning_Rules!$B$15:$B$20,MATCH(TRIM(UPPER('query (2)'!C890)),Cleaning_Rules!$A$15:$A$20,0)),"UNKNOWN"))</f>
        <v>FACTORY2</v>
      </c>
      <c r="H890" s="25" t="str">
        <f>IF('query (2)'!C890="","",'query (2)'!C890)</f>
        <v>FACTORY2</v>
      </c>
      <c r="I890" s="24" t="str" cm="1">
        <f t="array" ref="I890">_xlfn.IFS($G890="UNKNOWN","UNKNOWN",OR($G890="FACTORY1",$G890="FACTORY2",$G890="FACTORY3"),"PLANT",TRUE,"SHARED")</f>
        <v>PLANT</v>
      </c>
      <c r="J890" s="24" t="str">
        <f>IF('query (2)'!D890="","UNKNOWN",IF(COUNTIF(Cleaning_Rules!$A$6:$A$11,TRIM('query (2)'!D890))&gt;0,"UNKNOWN",IFERROR(INDEX(Cleaning_Rules!$B$24:$B$28,MATCH(TRIM(UPPER('query (2)'!D890)),Cleaning_Rules!$A$24:$A$28,0)),TRIM(UPPER('query (2)'!D890)))))</f>
        <v>MCB2</v>
      </c>
      <c r="K890" s="25" t="str">
        <f>IF('query (2)'!D890="","",'query (2)'!D890)</f>
        <v>MCB2</v>
      </c>
      <c r="L890" s="24" t="str">
        <f>IF($J890="UNKNOWN","",_xlfn.TEXTBEFORE($J890,{"0","1","2","3","4","5","6","7","8","9"," ","-","."},1,,,$J890))</f>
        <v>MCB</v>
      </c>
      <c r="M890" s="24" t="str">
        <f>IF('query (2)'!I890&lt;&gt;"",TRIM(UPPER('query (2)'!I890)),IF($L890="","UNKNOWN",$L890))</f>
        <v>MCB</v>
      </c>
      <c r="N890" s="24" t="str">
        <f>IF('query (2)'!I890&lt;&gt;"","SOURCE",IF($L890="","UNKNOWN","DERIVED"))</f>
        <v>SOURCE</v>
      </c>
      <c r="O890" s="24" t="str">
        <f>IF('query (2)'!E890="","NOT_SPECIFIED",TRIM(UPPER('query (2)'!E890)))</f>
        <v>ASSEMBLY</v>
      </c>
      <c r="P890" s="24" t="str">
        <f>IF('query (2)'!F890="","",TRIM(UPPER('query (2)'!F890)))</f>
        <v>1307-MC2AI</v>
      </c>
      <c r="Q890" s="24" t="str">
        <f>IF('query (2)'!G890="","UNKNOWN",IFERROR(INDEX(Cleaning_Rules!$B$38:$B$46,MATCH(TRIM(UPPER('query (2)'!G890)),Cleaning_Rules!$A$38:$A$46,0)),"UNKNOWN"))</f>
        <v>OTHER</v>
      </c>
      <c r="R890" s="24" t="str">
        <f>IF('query (2)'!H890="","",TRIM(UPPER('query (2)'!H890)))</f>
        <v>LASER MARKER MACHINE</v>
      </c>
      <c r="S890" s="25" t="str">
        <f>IF('query (2)'!H890="","",'query (2)'!H890)</f>
        <v>Laser marker machine</v>
      </c>
      <c r="T890" s="24" t="str">
        <f>IF('query (2)'!J890="","",TRIM(UPPER('query (2)'!J890)))</f>
        <v>LASER MARKING</v>
      </c>
      <c r="U890" s="24" t="str">
        <f t="shared" si="94"/>
        <v/>
      </c>
      <c r="V890" s="24" t="str">
        <f>IF('query (2)'!K890="","NOT_SPECIFIED",IFERROR(INDEX(Cleaning_Rules!$B$32:$B$34,MATCH(TRIM(UPPER('query (2)'!K890)),Cleaning_Rules!$A$32:$A$34,0)),"UNKNOWN"))</f>
        <v>NOT_SPECIFIED</v>
      </c>
      <c r="W890" s="24" t="str">
        <f t="shared" si="95"/>
        <v>MA-1112 | FACTORY2 | MCB2 | MCB | ASSEMBLY | 1307-MC2AI | OTHER | LASER MARKER MACHINE | LASER MARKING | NOT_SPECIFIED</v>
      </c>
      <c r="X890" s="24" t="str">
        <f t="shared" si="96"/>
        <v>MISSING_NO</v>
      </c>
      <c r="Y890" s="24" t="str">
        <f t="shared" si="97"/>
        <v>MISSING_STATUS; CATEGORY_NOT_USEFUL</v>
      </c>
    </row>
    <row r="891" spans="1:25" x14ac:dyDescent="0.3">
      <c r="A891" s="24" t="str">
        <f t="shared" si="91"/>
        <v>PK-1500#0890</v>
      </c>
      <c r="B891" s="24" t="str">
        <f>IF('query (2)'!B891="","",TRIM(UPPER('query (2)'!B891)))</f>
        <v>PK-1500</v>
      </c>
      <c r="C891" s="25" t="str">
        <f>IF('query (2)'!B891="","",'query (2)'!B891)</f>
        <v>PK-1500</v>
      </c>
      <c r="D891" s="24" t="str">
        <f t="shared" si="92"/>
        <v>PK</v>
      </c>
      <c r="E891" s="24">
        <f t="shared" si="93"/>
        <v>1</v>
      </c>
      <c r="F891" s="24" t="str">
        <f>IF('query (2)'!A891="","",IFERROR(VALUE('query (2)'!A891),""))</f>
        <v/>
      </c>
      <c r="G891" s="24" t="str">
        <f>IF('query (2)'!C891="","UNKNOWN",IFERROR(INDEX(Cleaning_Rules!$B$15:$B$20,MATCH(TRIM(UPPER('query (2)'!C891)),Cleaning_Rules!$A$15:$A$20,0)),"UNKNOWN"))</f>
        <v>FACTORY2</v>
      </c>
      <c r="H891" s="25" t="str">
        <f>IF('query (2)'!C891="","",'query (2)'!C891)</f>
        <v>FACTORY2</v>
      </c>
      <c r="I891" s="24" t="str" cm="1">
        <f t="array" ref="I891">_xlfn.IFS($G891="UNKNOWN","UNKNOWN",OR($G891="FACTORY1",$G891="FACTORY2",$G891="FACTORY3"),"PLANT",TRUE,"SHARED")</f>
        <v>PLANT</v>
      </c>
      <c r="J891" s="24" t="str">
        <f>IF('query (2)'!D891="","UNKNOWN",IF(COUNTIF(Cleaning_Rules!$A$6:$A$11,TRIM('query (2)'!D891))&gt;0,"UNKNOWN",IFERROR(INDEX(Cleaning_Rules!$B$24:$B$28,MATCH(TRIM(UPPER('query (2)'!D891)),Cleaning_Rules!$A$24:$A$28,0)),TRIM(UPPER('query (2)'!D891)))))</f>
        <v>SB1</v>
      </c>
      <c r="K891" s="25" t="str">
        <f>IF('query (2)'!D891="","",'query (2)'!D891)</f>
        <v>SB1</v>
      </c>
      <c r="L891" s="24" t="str">
        <f>IF($J891="UNKNOWN","",_xlfn.TEXTBEFORE($J891,{"0","1","2","3","4","5","6","7","8","9"," ","-","."},1,,,$J891))</f>
        <v>SB</v>
      </c>
      <c r="M891" s="24" t="str">
        <f>IF('query (2)'!I891&lt;&gt;"",TRIM(UPPER('query (2)'!I891)),IF($L891="","UNKNOWN",$L891))</f>
        <v>SB</v>
      </c>
      <c r="N891" s="24" t="str">
        <f>IF('query (2)'!I891&lt;&gt;"","SOURCE",IF($L891="","UNKNOWN","DERIVED"))</f>
        <v>SOURCE</v>
      </c>
      <c r="O891" s="24" t="str">
        <f>IF('query (2)'!E891="","NOT_SPECIFIED",TRIM(UPPER('query (2)'!E891)))</f>
        <v>ASSEMBLY</v>
      </c>
      <c r="P891" s="24" t="str">
        <f>IF('query (2)'!F891="","",TRIM(UPPER('query (2)'!F891)))</f>
        <v>1204-SB1AI</v>
      </c>
      <c r="Q891" s="24" t="str">
        <f>IF('query (2)'!G891="","UNKNOWN",IFERROR(INDEX(Cleaning_Rules!$B$38:$B$46,MATCH(TRIM(UPPER('query (2)'!G891)),Cleaning_Rules!$A$38:$A$46,0)),"UNKNOWN"))</f>
        <v>OTHER</v>
      </c>
      <c r="R891" s="24" t="str">
        <f>IF('query (2)'!H891="","",TRIM(UPPER('query (2)'!H891)))</f>
        <v>PACKING TABLE M/C</v>
      </c>
      <c r="S891" s="25" t="str">
        <f>IF('query (2)'!H891="","",'query (2)'!H891)</f>
        <v>Packing Table M/C</v>
      </c>
      <c r="T891" s="24" t="str">
        <f>IF('query (2)'!J891="","",TRIM(UPPER('query (2)'!J891)))</f>
        <v>PACKING TABLE M/C</v>
      </c>
      <c r="U891" s="24" t="str">
        <f t="shared" si="94"/>
        <v/>
      </c>
      <c r="V891" s="24" t="str">
        <f>IF('query (2)'!K891="","NOT_SPECIFIED",IFERROR(INDEX(Cleaning_Rules!$B$32:$B$34,MATCH(TRIM(UPPER('query (2)'!K891)),Cleaning_Rules!$A$32:$A$34,0)),"UNKNOWN"))</f>
        <v>NOT_SPECIFIED</v>
      </c>
      <c r="W891" s="24" t="str">
        <f t="shared" si="95"/>
        <v>PK-1500 | FACTORY2 | SB1 | SB | ASSEMBLY | 1204-SB1AI | OTHER | PACKING TABLE M/C | PACKING TABLE M/C | NOT_SPECIFIED</v>
      </c>
      <c r="X891" s="24" t="str">
        <f t="shared" si="96"/>
        <v>MISSING_NO</v>
      </c>
      <c r="Y891" s="24" t="str">
        <f t="shared" si="97"/>
        <v>MISSING_STATUS; CATEGORY_NOT_USEFUL</v>
      </c>
    </row>
    <row r="892" spans="1:25" x14ac:dyDescent="0.3">
      <c r="A892" s="24" t="str">
        <f t="shared" si="91"/>
        <v>PK-1501#0891</v>
      </c>
      <c r="B892" s="24" t="str">
        <f>IF('query (2)'!B892="","",TRIM(UPPER('query (2)'!B892)))</f>
        <v>PK-1501</v>
      </c>
      <c r="C892" s="25" t="str">
        <f>IF('query (2)'!B892="","",'query (2)'!B892)</f>
        <v>PK-1501</v>
      </c>
      <c r="D892" s="24" t="str">
        <f t="shared" si="92"/>
        <v>PK</v>
      </c>
      <c r="E892" s="24">
        <f t="shared" si="93"/>
        <v>1</v>
      </c>
      <c r="F892" s="24" t="str">
        <f>IF('query (2)'!A892="","",IFERROR(VALUE('query (2)'!A892),""))</f>
        <v/>
      </c>
      <c r="G892" s="24" t="str">
        <f>IF('query (2)'!C892="","UNKNOWN",IFERROR(INDEX(Cleaning_Rules!$B$15:$B$20,MATCH(TRIM(UPPER('query (2)'!C892)),Cleaning_Rules!$A$15:$A$20,0)),"UNKNOWN"))</f>
        <v>FACTORY2</v>
      </c>
      <c r="H892" s="25" t="str">
        <f>IF('query (2)'!C892="","",'query (2)'!C892)</f>
        <v>FACTORY2</v>
      </c>
      <c r="I892" s="24" t="str" cm="1">
        <f t="array" ref="I892">_xlfn.IFS($G892="UNKNOWN","UNKNOWN",OR($G892="FACTORY1",$G892="FACTORY2",$G892="FACTORY3"),"PLANT",TRUE,"SHARED")</f>
        <v>PLANT</v>
      </c>
      <c r="J892" s="24" t="str">
        <f>IF('query (2)'!D892="","UNKNOWN",IF(COUNTIF(Cleaning_Rules!$A$6:$A$11,TRIM('query (2)'!D892))&gt;0,"UNKNOWN",IFERROR(INDEX(Cleaning_Rules!$B$24:$B$28,MATCH(TRIM(UPPER('query (2)'!D892)),Cleaning_Rules!$A$24:$A$28,0)),TRIM(UPPER('query (2)'!D892)))))</f>
        <v>SB2</v>
      </c>
      <c r="K892" s="25" t="str">
        <f>IF('query (2)'!D892="","",'query (2)'!D892)</f>
        <v>SB2</v>
      </c>
      <c r="L892" s="24" t="str">
        <f>IF($J892="UNKNOWN","",_xlfn.TEXTBEFORE($J892,{"0","1","2","3","4","5","6","7","8","9"," ","-","."},1,,,$J892))</f>
        <v>SB</v>
      </c>
      <c r="M892" s="24" t="str">
        <f>IF('query (2)'!I892&lt;&gt;"",TRIM(UPPER('query (2)'!I892)),IF($L892="","UNKNOWN",$L892))</f>
        <v>SB</v>
      </c>
      <c r="N892" s="24" t="str">
        <f>IF('query (2)'!I892&lt;&gt;"","SOURCE",IF($L892="","UNKNOWN","DERIVED"))</f>
        <v>SOURCE</v>
      </c>
      <c r="O892" s="24" t="str">
        <f>IF('query (2)'!E892="","NOT_SPECIFIED",TRIM(UPPER('query (2)'!E892)))</f>
        <v>ASSEMBLY</v>
      </c>
      <c r="P892" s="24" t="str">
        <f>IF('query (2)'!F892="","",TRIM(UPPER('query (2)'!F892)))</f>
        <v>1207-SB2AI</v>
      </c>
      <c r="Q892" s="24" t="str">
        <f>IF('query (2)'!G892="","UNKNOWN",IFERROR(INDEX(Cleaning_Rules!$B$38:$B$46,MATCH(TRIM(UPPER('query (2)'!G892)),Cleaning_Rules!$A$38:$A$46,0)),"UNKNOWN"))</f>
        <v>OTHER</v>
      </c>
      <c r="R892" s="24" t="str">
        <f>IF('query (2)'!H892="","",TRIM(UPPER('query (2)'!H892)))</f>
        <v>PACKING TABLE M/C</v>
      </c>
      <c r="S892" s="25" t="str">
        <f>IF('query (2)'!H892="","",'query (2)'!H892)</f>
        <v>Packing Table M/C</v>
      </c>
      <c r="T892" s="24" t="str">
        <f>IF('query (2)'!J892="","",TRIM(UPPER('query (2)'!J892)))</f>
        <v>PACKING TABLE M/C</v>
      </c>
      <c r="U892" s="24" t="str">
        <f t="shared" si="94"/>
        <v/>
      </c>
      <c r="V892" s="24" t="str">
        <f>IF('query (2)'!K892="","NOT_SPECIFIED",IFERROR(INDEX(Cleaning_Rules!$B$32:$B$34,MATCH(TRIM(UPPER('query (2)'!K892)),Cleaning_Rules!$A$32:$A$34,0)),"UNKNOWN"))</f>
        <v>NOT_SPECIFIED</v>
      </c>
      <c r="W892" s="24" t="str">
        <f t="shared" si="95"/>
        <v>PK-1501 | FACTORY2 | SB2 | SB | ASSEMBLY | 1207-SB2AI | OTHER | PACKING TABLE M/C | PACKING TABLE M/C | NOT_SPECIFIED</v>
      </c>
      <c r="X892" s="24" t="str">
        <f t="shared" si="96"/>
        <v>MISSING_NO</v>
      </c>
      <c r="Y892" s="24" t="str">
        <f t="shared" si="97"/>
        <v>MISSING_STATUS; CATEGORY_NOT_USEFUL</v>
      </c>
    </row>
    <row r="893" spans="1:25" x14ac:dyDescent="0.3">
      <c r="A893" s="24" t="str">
        <f t="shared" si="91"/>
        <v>PK-1502#0892</v>
      </c>
      <c r="B893" s="24" t="str">
        <f>IF('query (2)'!B893="","",TRIM(UPPER('query (2)'!B893)))</f>
        <v>PK-1502</v>
      </c>
      <c r="C893" s="25" t="str">
        <f>IF('query (2)'!B893="","",'query (2)'!B893)</f>
        <v>PK-1502</v>
      </c>
      <c r="D893" s="24" t="str">
        <f t="shared" si="92"/>
        <v>PK</v>
      </c>
      <c r="E893" s="24">
        <f t="shared" si="93"/>
        <v>1</v>
      </c>
      <c r="F893" s="24" t="str">
        <f>IF('query (2)'!A893="","",IFERROR(VALUE('query (2)'!A893),""))</f>
        <v/>
      </c>
      <c r="G893" s="24" t="str">
        <f>IF('query (2)'!C893="","UNKNOWN",IFERROR(INDEX(Cleaning_Rules!$B$15:$B$20,MATCH(TRIM(UPPER('query (2)'!C893)),Cleaning_Rules!$A$15:$A$20,0)),"UNKNOWN"))</f>
        <v>FACTORY2</v>
      </c>
      <c r="H893" s="25" t="str">
        <f>IF('query (2)'!C893="","",'query (2)'!C893)</f>
        <v>FACTORY2</v>
      </c>
      <c r="I893" s="24" t="str" cm="1">
        <f t="array" ref="I893">_xlfn.IFS($G893="UNKNOWN","UNKNOWN",OR($G893="FACTORY1",$G893="FACTORY2",$G893="FACTORY3"),"PLANT",TRUE,"SHARED")</f>
        <v>PLANT</v>
      </c>
      <c r="J893" s="24" t="str">
        <f>IF('query (2)'!D893="","UNKNOWN",IF(COUNTIF(Cleaning_Rules!$A$6:$A$11,TRIM('query (2)'!D893))&gt;0,"UNKNOWN",IFERROR(INDEX(Cleaning_Rules!$B$24:$B$28,MATCH(TRIM(UPPER('query (2)'!D893)),Cleaning_Rules!$A$24:$A$28,0)),TRIM(UPPER('query (2)'!D893)))))</f>
        <v>SB3</v>
      </c>
      <c r="K893" s="25" t="str">
        <f>IF('query (2)'!D893="","",'query (2)'!D893)</f>
        <v>SB3</v>
      </c>
      <c r="L893" s="24" t="str">
        <f>IF($J893="UNKNOWN","",_xlfn.TEXTBEFORE($J893,{"0","1","2","3","4","5","6","7","8","9"," ","-","."},1,,,$J893))</f>
        <v>SB</v>
      </c>
      <c r="M893" s="24" t="str">
        <f>IF('query (2)'!I893&lt;&gt;"",TRIM(UPPER('query (2)'!I893)),IF($L893="","UNKNOWN",$L893))</f>
        <v>SB</v>
      </c>
      <c r="N893" s="24" t="str">
        <f>IF('query (2)'!I893&lt;&gt;"","SOURCE",IF($L893="","UNKNOWN","DERIVED"))</f>
        <v>SOURCE</v>
      </c>
      <c r="O893" s="24" t="str">
        <f>IF('query (2)'!E893="","NOT_SPECIFIED",TRIM(UPPER('query (2)'!E893)))</f>
        <v>ASSEMBLY</v>
      </c>
      <c r="P893" s="24" t="str">
        <f>IF('query (2)'!F893="","",TRIM(UPPER('query (2)'!F893)))</f>
        <v>1210-SB3AI</v>
      </c>
      <c r="Q893" s="24" t="str">
        <f>IF('query (2)'!G893="","UNKNOWN",IFERROR(INDEX(Cleaning_Rules!$B$38:$B$46,MATCH(TRIM(UPPER('query (2)'!G893)),Cleaning_Rules!$A$38:$A$46,0)),"UNKNOWN"))</f>
        <v>OTHER</v>
      </c>
      <c r="R893" s="24" t="str">
        <f>IF('query (2)'!H893="","",TRIM(UPPER('query (2)'!H893)))</f>
        <v>PACKING TABLE M/C</v>
      </c>
      <c r="S893" s="25" t="str">
        <f>IF('query (2)'!H893="","",'query (2)'!H893)</f>
        <v>Packing Table M/C</v>
      </c>
      <c r="T893" s="24" t="str">
        <f>IF('query (2)'!J893="","",TRIM(UPPER('query (2)'!J893)))</f>
        <v>PACKING TABLE M/C</v>
      </c>
      <c r="U893" s="24" t="str">
        <f t="shared" si="94"/>
        <v/>
      </c>
      <c r="V893" s="24" t="str">
        <f>IF('query (2)'!K893="","NOT_SPECIFIED",IFERROR(INDEX(Cleaning_Rules!$B$32:$B$34,MATCH(TRIM(UPPER('query (2)'!K893)),Cleaning_Rules!$A$32:$A$34,0)),"UNKNOWN"))</f>
        <v>NOT_SPECIFIED</v>
      </c>
      <c r="W893" s="24" t="str">
        <f t="shared" si="95"/>
        <v>PK-1502 | FACTORY2 | SB3 | SB | ASSEMBLY | 1210-SB3AI | OTHER | PACKING TABLE M/C | PACKING TABLE M/C | NOT_SPECIFIED</v>
      </c>
      <c r="X893" s="24" t="str">
        <f t="shared" si="96"/>
        <v>MISSING_NO</v>
      </c>
      <c r="Y893" s="24" t="str">
        <f t="shared" si="97"/>
        <v>MISSING_STATUS; CATEGORY_NOT_USEFUL</v>
      </c>
    </row>
    <row r="894" spans="1:25" x14ac:dyDescent="0.3">
      <c r="A894" s="24" t="str">
        <f t="shared" si="91"/>
        <v>PK-1503#0893</v>
      </c>
      <c r="B894" s="24" t="str">
        <f>IF('query (2)'!B894="","",TRIM(UPPER('query (2)'!B894)))</f>
        <v>PK-1503</v>
      </c>
      <c r="C894" s="25" t="str">
        <f>IF('query (2)'!B894="","",'query (2)'!B894)</f>
        <v>PK-1503</v>
      </c>
      <c r="D894" s="24" t="str">
        <f t="shared" si="92"/>
        <v>PK</v>
      </c>
      <c r="E894" s="24">
        <f t="shared" si="93"/>
        <v>1</v>
      </c>
      <c r="F894" s="24" t="str">
        <f>IF('query (2)'!A894="","",IFERROR(VALUE('query (2)'!A894),""))</f>
        <v/>
      </c>
      <c r="G894" s="24" t="str">
        <f>IF('query (2)'!C894="","UNKNOWN",IFERROR(INDEX(Cleaning_Rules!$B$15:$B$20,MATCH(TRIM(UPPER('query (2)'!C894)),Cleaning_Rules!$A$15:$A$20,0)),"UNKNOWN"))</f>
        <v>FACTORY2</v>
      </c>
      <c r="H894" s="25" t="str">
        <f>IF('query (2)'!C894="","",'query (2)'!C894)</f>
        <v>FACTORY2</v>
      </c>
      <c r="I894" s="24" t="str" cm="1">
        <f t="array" ref="I894">_xlfn.IFS($G894="UNKNOWN","UNKNOWN",OR($G894="FACTORY1",$G894="FACTORY2",$G894="FACTORY3"),"PLANT",TRUE,"SHARED")</f>
        <v>PLANT</v>
      </c>
      <c r="J894" s="24" t="str">
        <f>IF('query (2)'!D894="","UNKNOWN",IF(COUNTIF(Cleaning_Rules!$A$6:$A$11,TRIM('query (2)'!D894))&gt;0,"UNKNOWN",IFERROR(INDEX(Cleaning_Rules!$B$24:$B$28,MATCH(TRIM(UPPER('query (2)'!D894)),Cleaning_Rules!$A$24:$A$28,0)),TRIM(UPPER('query (2)'!D894)))))</f>
        <v>SB4</v>
      </c>
      <c r="K894" s="25" t="str">
        <f>IF('query (2)'!D894="","",'query (2)'!D894)</f>
        <v>SB4</v>
      </c>
      <c r="L894" s="24" t="str">
        <f>IF($J894="UNKNOWN","",_xlfn.TEXTBEFORE($J894,{"0","1","2","3","4","5","6","7","8","9"," ","-","."},1,,,$J894))</f>
        <v>SB</v>
      </c>
      <c r="M894" s="24" t="str">
        <f>IF('query (2)'!I894&lt;&gt;"",TRIM(UPPER('query (2)'!I894)),IF($L894="","UNKNOWN",$L894))</f>
        <v>SB</v>
      </c>
      <c r="N894" s="24" t="str">
        <f>IF('query (2)'!I894&lt;&gt;"","SOURCE",IF($L894="","UNKNOWN","DERIVED"))</f>
        <v>SOURCE</v>
      </c>
      <c r="O894" s="24" t="str">
        <f>IF('query (2)'!E894="","NOT_SPECIFIED",TRIM(UPPER('query (2)'!E894)))</f>
        <v>ASSEMBLY</v>
      </c>
      <c r="P894" s="24" t="str">
        <f>IF('query (2)'!F894="","",TRIM(UPPER('query (2)'!F894)))</f>
        <v>1213-SB4AI</v>
      </c>
      <c r="Q894" s="24" t="str">
        <f>IF('query (2)'!G894="","UNKNOWN",IFERROR(INDEX(Cleaning_Rules!$B$38:$B$46,MATCH(TRIM(UPPER('query (2)'!G894)),Cleaning_Rules!$A$38:$A$46,0)),"UNKNOWN"))</f>
        <v>OTHER</v>
      </c>
      <c r="R894" s="24" t="str">
        <f>IF('query (2)'!H894="","",TRIM(UPPER('query (2)'!H894)))</f>
        <v>PACKING TABLE M/C</v>
      </c>
      <c r="S894" s="25" t="str">
        <f>IF('query (2)'!H894="","",'query (2)'!H894)</f>
        <v>Packing Table M/C</v>
      </c>
      <c r="T894" s="24" t="str">
        <f>IF('query (2)'!J894="","",TRIM(UPPER('query (2)'!J894)))</f>
        <v>PACKING TABLE M/C</v>
      </c>
      <c r="U894" s="24" t="str">
        <f t="shared" si="94"/>
        <v/>
      </c>
      <c r="V894" s="24" t="str">
        <f>IF('query (2)'!K894="","NOT_SPECIFIED",IFERROR(INDEX(Cleaning_Rules!$B$32:$B$34,MATCH(TRIM(UPPER('query (2)'!K894)),Cleaning_Rules!$A$32:$A$34,0)),"UNKNOWN"))</f>
        <v>NOT_SPECIFIED</v>
      </c>
      <c r="W894" s="24" t="str">
        <f t="shared" si="95"/>
        <v>PK-1503 | FACTORY2 | SB4 | SB | ASSEMBLY | 1213-SB4AI | OTHER | PACKING TABLE M/C | PACKING TABLE M/C | NOT_SPECIFIED</v>
      </c>
      <c r="X894" s="24" t="str">
        <f t="shared" si="96"/>
        <v>MISSING_NO</v>
      </c>
      <c r="Y894" s="24" t="str">
        <f t="shared" si="97"/>
        <v>MISSING_STATUS; CATEGORY_NOT_USEFUL</v>
      </c>
    </row>
    <row r="895" spans="1:25" x14ac:dyDescent="0.3">
      <c r="A895" s="24" t="str">
        <f t="shared" si="91"/>
        <v>PK-1504#0894</v>
      </c>
      <c r="B895" s="24" t="str">
        <f>IF('query (2)'!B895="","",TRIM(UPPER('query (2)'!B895)))</f>
        <v>PK-1504</v>
      </c>
      <c r="C895" s="25" t="str">
        <f>IF('query (2)'!B895="","",'query (2)'!B895)</f>
        <v>PK-1504</v>
      </c>
      <c r="D895" s="24" t="str">
        <f t="shared" si="92"/>
        <v>PK</v>
      </c>
      <c r="E895" s="24">
        <f t="shared" si="93"/>
        <v>1</v>
      </c>
      <c r="F895" s="24" t="str">
        <f>IF('query (2)'!A895="","",IFERROR(VALUE('query (2)'!A895),""))</f>
        <v/>
      </c>
      <c r="G895" s="24" t="str">
        <f>IF('query (2)'!C895="","UNKNOWN",IFERROR(INDEX(Cleaning_Rules!$B$15:$B$20,MATCH(TRIM(UPPER('query (2)'!C895)),Cleaning_Rules!$A$15:$A$20,0)),"UNKNOWN"))</f>
        <v>FACTORY2</v>
      </c>
      <c r="H895" s="25" t="str">
        <f>IF('query (2)'!C895="","",'query (2)'!C895)</f>
        <v>FACTORY2</v>
      </c>
      <c r="I895" s="24" t="str" cm="1">
        <f t="array" ref="I895">_xlfn.IFS($G895="UNKNOWN","UNKNOWN",OR($G895="FACTORY1",$G895="FACTORY2",$G895="FACTORY3"),"PLANT",TRUE,"SHARED")</f>
        <v>PLANT</v>
      </c>
      <c r="J895" s="24" t="str">
        <f>IF('query (2)'!D895="","UNKNOWN",IF(COUNTIF(Cleaning_Rules!$A$6:$A$11,TRIM('query (2)'!D895))&gt;0,"UNKNOWN",IFERROR(INDEX(Cleaning_Rules!$B$24:$B$28,MATCH(TRIM(UPPER('query (2)'!D895)),Cleaning_Rules!$A$24:$A$28,0)),TRIM(UPPER('query (2)'!D895)))))</f>
        <v>SB5</v>
      </c>
      <c r="K895" s="25" t="str">
        <f>IF('query (2)'!D895="","",'query (2)'!D895)</f>
        <v>SB5</v>
      </c>
      <c r="L895" s="24" t="str">
        <f>IF($J895="UNKNOWN","",_xlfn.TEXTBEFORE($J895,{"0","1","2","3","4","5","6","7","8","9"," ","-","."},1,,,$J895))</f>
        <v>SB</v>
      </c>
      <c r="M895" s="24" t="str">
        <f>IF('query (2)'!I895&lt;&gt;"",TRIM(UPPER('query (2)'!I895)),IF($L895="","UNKNOWN",$L895))</f>
        <v>SB</v>
      </c>
      <c r="N895" s="24" t="str">
        <f>IF('query (2)'!I895&lt;&gt;"","SOURCE",IF($L895="","UNKNOWN","DERIVED"))</f>
        <v>SOURCE</v>
      </c>
      <c r="O895" s="24" t="str">
        <f>IF('query (2)'!E895="","NOT_SPECIFIED",TRIM(UPPER('query (2)'!E895)))</f>
        <v>ASSEMBLY</v>
      </c>
      <c r="P895" s="24" t="str">
        <f>IF('query (2)'!F895="","",TRIM(UPPER('query (2)'!F895)))</f>
        <v>1216-SB5AI</v>
      </c>
      <c r="Q895" s="24" t="str">
        <f>IF('query (2)'!G895="","UNKNOWN",IFERROR(INDEX(Cleaning_Rules!$B$38:$B$46,MATCH(TRIM(UPPER('query (2)'!G895)),Cleaning_Rules!$A$38:$A$46,0)),"UNKNOWN"))</f>
        <v>OTHER</v>
      </c>
      <c r="R895" s="24" t="str">
        <f>IF('query (2)'!H895="","",TRIM(UPPER('query (2)'!H895)))</f>
        <v>PACKING TABLE M/C</v>
      </c>
      <c r="S895" s="25" t="str">
        <f>IF('query (2)'!H895="","",'query (2)'!H895)</f>
        <v>Packing Table M/C</v>
      </c>
      <c r="T895" s="24" t="str">
        <f>IF('query (2)'!J895="","",TRIM(UPPER('query (2)'!J895)))</f>
        <v>PACKING TABLE M/C</v>
      </c>
      <c r="U895" s="24" t="str">
        <f t="shared" si="94"/>
        <v/>
      </c>
      <c r="V895" s="24" t="str">
        <f>IF('query (2)'!K895="","NOT_SPECIFIED",IFERROR(INDEX(Cleaning_Rules!$B$32:$B$34,MATCH(TRIM(UPPER('query (2)'!K895)),Cleaning_Rules!$A$32:$A$34,0)),"UNKNOWN"))</f>
        <v>NOT_SPECIFIED</v>
      </c>
      <c r="W895" s="24" t="str">
        <f t="shared" si="95"/>
        <v>PK-1504 | FACTORY2 | SB5 | SB | ASSEMBLY | 1216-SB5AI | OTHER | PACKING TABLE M/C | PACKING TABLE M/C | NOT_SPECIFIED</v>
      </c>
      <c r="X895" s="24" t="str">
        <f t="shared" si="96"/>
        <v>MISSING_NO</v>
      </c>
      <c r="Y895" s="24" t="str">
        <f t="shared" si="97"/>
        <v>MISSING_STATUS; CATEGORY_NOT_USEFUL</v>
      </c>
    </row>
    <row r="896" spans="1:25" x14ac:dyDescent="0.3">
      <c r="A896" s="24" t="str">
        <f t="shared" si="91"/>
        <v>PK-1505#0895</v>
      </c>
      <c r="B896" s="24" t="str">
        <f>IF('query (2)'!B896="","",TRIM(UPPER('query (2)'!B896)))</f>
        <v>PK-1505</v>
      </c>
      <c r="C896" s="25" t="str">
        <f>IF('query (2)'!B896="","",'query (2)'!B896)</f>
        <v>PK-1505</v>
      </c>
      <c r="D896" s="24" t="str">
        <f t="shared" si="92"/>
        <v>PK</v>
      </c>
      <c r="E896" s="24">
        <f t="shared" si="93"/>
        <v>1</v>
      </c>
      <c r="F896" s="24" t="str">
        <f>IF('query (2)'!A896="","",IFERROR(VALUE('query (2)'!A896),""))</f>
        <v/>
      </c>
      <c r="G896" s="24" t="str">
        <f>IF('query (2)'!C896="","UNKNOWN",IFERROR(INDEX(Cleaning_Rules!$B$15:$B$20,MATCH(TRIM(UPPER('query (2)'!C896)),Cleaning_Rules!$A$15:$A$20,0)),"UNKNOWN"))</f>
        <v>FACTORY2</v>
      </c>
      <c r="H896" s="25" t="str">
        <f>IF('query (2)'!C896="","",'query (2)'!C896)</f>
        <v>FACTORY2</v>
      </c>
      <c r="I896" s="24" t="str" cm="1">
        <f t="array" ref="I896">_xlfn.IFS($G896="UNKNOWN","UNKNOWN",OR($G896="FACTORY1",$G896="FACTORY2",$G896="FACTORY3"),"PLANT",TRUE,"SHARED")</f>
        <v>PLANT</v>
      </c>
      <c r="J896" s="24" t="str">
        <f>IF('query (2)'!D896="","UNKNOWN",IF(COUNTIF(Cleaning_Rules!$A$6:$A$11,TRIM('query (2)'!D896))&gt;0,"UNKNOWN",IFERROR(INDEX(Cleaning_Rules!$B$24:$B$28,MATCH(TRIM(UPPER('query (2)'!D896)),Cleaning_Rules!$A$24:$A$28,0)),TRIM(UPPER('query (2)'!D896)))))</f>
        <v>SB6</v>
      </c>
      <c r="K896" s="25" t="str">
        <f>IF('query (2)'!D896="","",'query (2)'!D896)</f>
        <v>SB6</v>
      </c>
      <c r="L896" s="24" t="str">
        <f>IF($J896="UNKNOWN","",_xlfn.TEXTBEFORE($J896,{"0","1","2","3","4","5","6","7","8","9"," ","-","."},1,,,$J896))</f>
        <v>SB</v>
      </c>
      <c r="M896" s="24" t="str">
        <f>IF('query (2)'!I896&lt;&gt;"",TRIM(UPPER('query (2)'!I896)),IF($L896="","UNKNOWN",$L896))</f>
        <v>SB</v>
      </c>
      <c r="N896" s="24" t="str">
        <f>IF('query (2)'!I896&lt;&gt;"","SOURCE",IF($L896="","UNKNOWN","DERIVED"))</f>
        <v>SOURCE</v>
      </c>
      <c r="O896" s="24" t="str">
        <f>IF('query (2)'!E896="","NOT_SPECIFIED",TRIM(UPPER('query (2)'!E896)))</f>
        <v>ASSEMBLY</v>
      </c>
      <c r="P896" s="24" t="str">
        <f>IF('query (2)'!F896="","",TRIM(UPPER('query (2)'!F896)))</f>
        <v>1221-SB6AI</v>
      </c>
      <c r="Q896" s="24" t="str">
        <f>IF('query (2)'!G896="","UNKNOWN",IFERROR(INDEX(Cleaning_Rules!$B$38:$B$46,MATCH(TRIM(UPPER('query (2)'!G896)),Cleaning_Rules!$A$38:$A$46,0)),"UNKNOWN"))</f>
        <v>OTHER</v>
      </c>
      <c r="R896" s="24" t="str">
        <f>IF('query (2)'!H896="","",TRIM(UPPER('query (2)'!H896)))</f>
        <v>PACKING TABLE M/C</v>
      </c>
      <c r="S896" s="25" t="str">
        <f>IF('query (2)'!H896="","",'query (2)'!H896)</f>
        <v>Packing Table M/C</v>
      </c>
      <c r="T896" s="24" t="str">
        <f>IF('query (2)'!J896="","",TRIM(UPPER('query (2)'!J896)))</f>
        <v>PACKING TABLE M/C</v>
      </c>
      <c r="U896" s="24" t="str">
        <f t="shared" si="94"/>
        <v/>
      </c>
      <c r="V896" s="24" t="str">
        <f>IF('query (2)'!K896="","NOT_SPECIFIED",IFERROR(INDEX(Cleaning_Rules!$B$32:$B$34,MATCH(TRIM(UPPER('query (2)'!K896)),Cleaning_Rules!$A$32:$A$34,0)),"UNKNOWN"))</f>
        <v>NOT_SPECIFIED</v>
      </c>
      <c r="W896" s="24" t="str">
        <f t="shared" si="95"/>
        <v>PK-1505 | FACTORY2 | SB6 | SB | ASSEMBLY | 1221-SB6AI | OTHER | PACKING TABLE M/C | PACKING TABLE M/C | NOT_SPECIFIED</v>
      </c>
      <c r="X896" s="24" t="str">
        <f t="shared" si="96"/>
        <v>MISSING_NO</v>
      </c>
      <c r="Y896" s="24" t="str">
        <f t="shared" si="97"/>
        <v>MISSING_STATUS; CATEGORY_NOT_USEFUL</v>
      </c>
    </row>
    <row r="897" spans="1:25" x14ac:dyDescent="0.3">
      <c r="A897" s="24" t="str">
        <f t="shared" si="91"/>
        <v>PK-1506#0896</v>
      </c>
      <c r="B897" s="24" t="str">
        <f>IF('query (2)'!B897="","",TRIM(UPPER('query (2)'!B897)))</f>
        <v>PK-1506</v>
      </c>
      <c r="C897" s="25" t="str">
        <f>IF('query (2)'!B897="","",'query (2)'!B897)</f>
        <v>PK-1506</v>
      </c>
      <c r="D897" s="24" t="str">
        <f t="shared" si="92"/>
        <v>PK</v>
      </c>
      <c r="E897" s="24">
        <f t="shared" si="93"/>
        <v>1</v>
      </c>
      <c r="F897" s="24" t="str">
        <f>IF('query (2)'!A897="","",IFERROR(VALUE('query (2)'!A897),""))</f>
        <v/>
      </c>
      <c r="G897" s="24" t="str">
        <f>IF('query (2)'!C897="","UNKNOWN",IFERROR(INDEX(Cleaning_Rules!$B$15:$B$20,MATCH(TRIM(UPPER('query (2)'!C897)),Cleaning_Rules!$A$15:$A$20,0)),"UNKNOWN"))</f>
        <v>FACTORY2</v>
      </c>
      <c r="H897" s="25" t="str">
        <f>IF('query (2)'!C897="","",'query (2)'!C897)</f>
        <v>FACTORY2</v>
      </c>
      <c r="I897" s="24" t="str" cm="1">
        <f t="array" ref="I897">_xlfn.IFS($G897="UNKNOWN","UNKNOWN",OR($G897="FACTORY1",$G897="FACTORY2",$G897="FACTORY3"),"PLANT",TRUE,"SHARED")</f>
        <v>PLANT</v>
      </c>
      <c r="J897" s="24" t="str">
        <f>IF('query (2)'!D897="","UNKNOWN",IF(COUNTIF(Cleaning_Rules!$A$6:$A$11,TRIM('query (2)'!D897))&gt;0,"UNKNOWN",IFERROR(INDEX(Cleaning_Rules!$B$24:$B$28,MATCH(TRIM(UPPER('query (2)'!D897)),Cleaning_Rules!$A$24:$A$28,0)),TRIM(UPPER('query (2)'!D897)))))</f>
        <v>SB7</v>
      </c>
      <c r="K897" s="25" t="str">
        <f>IF('query (2)'!D897="","",'query (2)'!D897)</f>
        <v>SB7</v>
      </c>
      <c r="L897" s="24" t="str">
        <f>IF($J897="UNKNOWN","",_xlfn.TEXTBEFORE($J897,{"0","1","2","3","4","5","6","7","8","9"," ","-","."},1,,,$J897))</f>
        <v>SB</v>
      </c>
      <c r="M897" s="24" t="str">
        <f>IF('query (2)'!I897&lt;&gt;"",TRIM(UPPER('query (2)'!I897)),IF($L897="","UNKNOWN",$L897))</f>
        <v>SB</v>
      </c>
      <c r="N897" s="24" t="str">
        <f>IF('query (2)'!I897&lt;&gt;"","SOURCE",IF($L897="","UNKNOWN","DERIVED"))</f>
        <v>SOURCE</v>
      </c>
      <c r="O897" s="24" t="str">
        <f>IF('query (2)'!E897="","NOT_SPECIFIED",TRIM(UPPER('query (2)'!E897)))</f>
        <v>ASSEMBLY</v>
      </c>
      <c r="P897" s="24" t="str">
        <f>IF('query (2)'!F897="","",TRIM(UPPER('query (2)'!F897)))</f>
        <v>1224-SB7AI</v>
      </c>
      <c r="Q897" s="24" t="str">
        <f>IF('query (2)'!G897="","UNKNOWN",IFERROR(INDEX(Cleaning_Rules!$B$38:$B$46,MATCH(TRIM(UPPER('query (2)'!G897)),Cleaning_Rules!$A$38:$A$46,0)),"UNKNOWN"))</f>
        <v>OTHER</v>
      </c>
      <c r="R897" s="24" t="str">
        <f>IF('query (2)'!H897="","",TRIM(UPPER('query (2)'!H897)))</f>
        <v>PACKING TABLE M/C</v>
      </c>
      <c r="S897" s="25" t="str">
        <f>IF('query (2)'!H897="","",'query (2)'!H897)</f>
        <v>Packing Table M/C</v>
      </c>
      <c r="T897" s="24" t="str">
        <f>IF('query (2)'!J897="","",TRIM(UPPER('query (2)'!J897)))</f>
        <v>PACKING TABLE M/C</v>
      </c>
      <c r="U897" s="24" t="str">
        <f t="shared" si="94"/>
        <v/>
      </c>
      <c r="V897" s="24" t="str">
        <f>IF('query (2)'!K897="","NOT_SPECIFIED",IFERROR(INDEX(Cleaning_Rules!$B$32:$B$34,MATCH(TRIM(UPPER('query (2)'!K897)),Cleaning_Rules!$A$32:$A$34,0)),"UNKNOWN"))</f>
        <v>NOT_SPECIFIED</v>
      </c>
      <c r="W897" s="24" t="str">
        <f t="shared" si="95"/>
        <v>PK-1506 | FACTORY2 | SB7 | SB | ASSEMBLY | 1224-SB7AI | OTHER | PACKING TABLE M/C | PACKING TABLE M/C | NOT_SPECIFIED</v>
      </c>
      <c r="X897" s="24" t="str">
        <f t="shared" si="96"/>
        <v>MISSING_NO</v>
      </c>
      <c r="Y897" s="24" t="str">
        <f t="shared" si="97"/>
        <v>MISSING_STATUS; CATEGORY_NOT_USEFUL</v>
      </c>
    </row>
    <row r="898" spans="1:25" x14ac:dyDescent="0.3">
      <c r="A898" s="24" t="str">
        <f t="shared" si="91"/>
        <v>PK-1507#0897</v>
      </c>
      <c r="B898" s="24" t="str">
        <f>IF('query (2)'!B898="","",TRIM(UPPER('query (2)'!B898)))</f>
        <v>PK-1507</v>
      </c>
      <c r="C898" s="25" t="str">
        <f>IF('query (2)'!B898="","",'query (2)'!B898)</f>
        <v>PK-1507</v>
      </c>
      <c r="D898" s="24" t="str">
        <f t="shared" si="92"/>
        <v>PK</v>
      </c>
      <c r="E898" s="24">
        <f t="shared" si="93"/>
        <v>1</v>
      </c>
      <c r="F898" s="24" t="str">
        <f>IF('query (2)'!A898="","",IFERROR(VALUE('query (2)'!A898),""))</f>
        <v/>
      </c>
      <c r="G898" s="24" t="str">
        <f>IF('query (2)'!C898="","UNKNOWN",IFERROR(INDEX(Cleaning_Rules!$B$15:$B$20,MATCH(TRIM(UPPER('query (2)'!C898)),Cleaning_Rules!$A$15:$A$20,0)),"UNKNOWN"))</f>
        <v>FACTORY2</v>
      </c>
      <c r="H898" s="25" t="str">
        <f>IF('query (2)'!C898="","",'query (2)'!C898)</f>
        <v>FACTORY2</v>
      </c>
      <c r="I898" s="24" t="str" cm="1">
        <f t="array" ref="I898">_xlfn.IFS($G898="UNKNOWN","UNKNOWN",OR($G898="FACTORY1",$G898="FACTORY2",$G898="FACTORY3"),"PLANT",TRUE,"SHARED")</f>
        <v>PLANT</v>
      </c>
      <c r="J898" s="24" t="str">
        <f>IF('query (2)'!D898="","UNKNOWN",IF(COUNTIF(Cleaning_Rules!$A$6:$A$11,TRIM('query (2)'!D898))&gt;0,"UNKNOWN",IFERROR(INDEX(Cleaning_Rules!$B$24:$B$28,MATCH(TRIM(UPPER('query (2)'!D898)),Cleaning_Rules!$A$24:$A$28,0)),TRIM(UPPER('query (2)'!D898)))))</f>
        <v>SB8</v>
      </c>
      <c r="K898" s="25" t="str">
        <f>IF('query (2)'!D898="","",'query (2)'!D898)</f>
        <v>SB8</v>
      </c>
      <c r="L898" s="24" t="str">
        <f>IF($J898="UNKNOWN","",_xlfn.TEXTBEFORE($J898,{"0","1","2","3","4","5","6","7","8","9"," ","-","."},1,,,$J898))</f>
        <v>SB</v>
      </c>
      <c r="M898" s="24" t="str">
        <f>IF('query (2)'!I898&lt;&gt;"",TRIM(UPPER('query (2)'!I898)),IF($L898="","UNKNOWN",$L898))</f>
        <v>SB</v>
      </c>
      <c r="N898" s="24" t="str">
        <f>IF('query (2)'!I898&lt;&gt;"","SOURCE",IF($L898="","UNKNOWN","DERIVED"))</f>
        <v>SOURCE</v>
      </c>
      <c r="O898" s="24" t="str">
        <f>IF('query (2)'!E898="","NOT_SPECIFIED",TRIM(UPPER('query (2)'!E898)))</f>
        <v>ASSEMBLY</v>
      </c>
      <c r="P898" s="24" t="str">
        <f>IF('query (2)'!F898="","",TRIM(UPPER('query (2)'!F898)))</f>
        <v>1227-SB8AI</v>
      </c>
      <c r="Q898" s="24" t="str">
        <f>IF('query (2)'!G898="","UNKNOWN",IFERROR(INDEX(Cleaning_Rules!$B$38:$B$46,MATCH(TRIM(UPPER('query (2)'!G898)),Cleaning_Rules!$A$38:$A$46,0)),"UNKNOWN"))</f>
        <v>OTHER</v>
      </c>
      <c r="R898" s="24" t="str">
        <f>IF('query (2)'!H898="","",TRIM(UPPER('query (2)'!H898)))</f>
        <v>PACKING TABLE M/C</v>
      </c>
      <c r="S898" s="25" t="str">
        <f>IF('query (2)'!H898="","",'query (2)'!H898)</f>
        <v>Packing Table M/C</v>
      </c>
      <c r="T898" s="24" t="str">
        <f>IF('query (2)'!J898="","",TRIM(UPPER('query (2)'!J898)))</f>
        <v>PACKING TABLE M/C</v>
      </c>
      <c r="U898" s="24" t="str">
        <f t="shared" si="94"/>
        <v/>
      </c>
      <c r="V898" s="24" t="str">
        <f>IF('query (2)'!K898="","NOT_SPECIFIED",IFERROR(INDEX(Cleaning_Rules!$B$32:$B$34,MATCH(TRIM(UPPER('query (2)'!K898)),Cleaning_Rules!$A$32:$A$34,0)),"UNKNOWN"))</f>
        <v>NOT_SPECIFIED</v>
      </c>
      <c r="W898" s="24" t="str">
        <f t="shared" si="95"/>
        <v>PK-1507 | FACTORY2 | SB8 | SB | ASSEMBLY | 1227-SB8AI | OTHER | PACKING TABLE M/C | PACKING TABLE M/C | NOT_SPECIFIED</v>
      </c>
      <c r="X898" s="24" t="str">
        <f t="shared" si="96"/>
        <v>MISSING_NO</v>
      </c>
      <c r="Y898" s="24" t="str">
        <f t="shared" si="97"/>
        <v>MISSING_STATUS; CATEGORY_NOT_USEFUL</v>
      </c>
    </row>
    <row r="899" spans="1:25" x14ac:dyDescent="0.3">
      <c r="A899" s="24" t="str">
        <f t="shared" ref="A899:A962" si="98">IF($B899="","NO_QR#"&amp;TEXT(ROW()-1,"0000"),$B899&amp;"#"&amp;TEXT(ROW()-1,"0000"))</f>
        <v>PK-1508#0898</v>
      </c>
      <c r="B899" s="24" t="str">
        <f>IF('query (2)'!B899="","",TRIM(UPPER('query (2)'!B899)))</f>
        <v>PK-1508</v>
      </c>
      <c r="C899" s="25" t="str">
        <f>IF('query (2)'!B899="","",'query (2)'!B899)</f>
        <v>PK-1508</v>
      </c>
      <c r="D899" s="24" t="str">
        <f t="shared" ref="D899:D962" si="99">IF($B899="","",IFERROR(_xlfn.TEXTBEFORE($B899,"-"),"NO_PREFIX"))</f>
        <v>PK</v>
      </c>
      <c r="E899" s="24">
        <f t="shared" ref="E899:E962" si="100">IF($B899="","",COUNTIF($B$2:$B$974,$B899))</f>
        <v>1</v>
      </c>
      <c r="F899" s="24" t="str">
        <f>IF('query (2)'!A899="","",IFERROR(VALUE('query (2)'!A899),""))</f>
        <v/>
      </c>
      <c r="G899" s="24" t="str">
        <f>IF('query (2)'!C899="","UNKNOWN",IFERROR(INDEX(Cleaning_Rules!$B$15:$B$20,MATCH(TRIM(UPPER('query (2)'!C899)),Cleaning_Rules!$A$15:$A$20,0)),"UNKNOWN"))</f>
        <v>FACTORY2</v>
      </c>
      <c r="H899" s="25" t="str">
        <f>IF('query (2)'!C899="","",'query (2)'!C899)</f>
        <v>FACTORY2</v>
      </c>
      <c r="I899" s="24" t="str" cm="1">
        <f t="array" ref="I899">_xlfn.IFS($G899="UNKNOWN","UNKNOWN",OR($G899="FACTORY1",$G899="FACTORY2",$G899="FACTORY3"),"PLANT",TRUE,"SHARED")</f>
        <v>PLANT</v>
      </c>
      <c r="J899" s="24" t="str">
        <f>IF('query (2)'!D899="","UNKNOWN",IF(COUNTIF(Cleaning_Rules!$A$6:$A$11,TRIM('query (2)'!D899))&gt;0,"UNKNOWN",IFERROR(INDEX(Cleaning_Rules!$B$24:$B$28,MATCH(TRIM(UPPER('query (2)'!D899)),Cleaning_Rules!$A$24:$A$28,0)),TRIM(UPPER('query (2)'!D899)))))</f>
        <v>SB9</v>
      </c>
      <c r="K899" s="25" t="str">
        <f>IF('query (2)'!D899="","",'query (2)'!D899)</f>
        <v>SB9</v>
      </c>
      <c r="L899" s="24" t="str">
        <f>IF($J899="UNKNOWN","",_xlfn.TEXTBEFORE($J899,{"0","1","2","3","4","5","6","7","8","9"," ","-","."},1,,,$J899))</f>
        <v>SB</v>
      </c>
      <c r="M899" s="24" t="str">
        <f>IF('query (2)'!I899&lt;&gt;"",TRIM(UPPER('query (2)'!I899)),IF($L899="","UNKNOWN",$L899))</f>
        <v>SB</v>
      </c>
      <c r="N899" s="24" t="str">
        <f>IF('query (2)'!I899&lt;&gt;"","SOURCE",IF($L899="","UNKNOWN","DERIVED"))</f>
        <v>SOURCE</v>
      </c>
      <c r="O899" s="24" t="str">
        <f>IF('query (2)'!E899="","NOT_SPECIFIED",TRIM(UPPER('query (2)'!E899)))</f>
        <v>ASSEMBLY</v>
      </c>
      <c r="P899" s="24" t="str">
        <f>IF('query (2)'!F899="","",TRIM(UPPER('query (2)'!F899)))</f>
        <v>1230-SB9AI</v>
      </c>
      <c r="Q899" s="24" t="str">
        <f>IF('query (2)'!G899="","UNKNOWN",IFERROR(INDEX(Cleaning_Rules!$B$38:$B$46,MATCH(TRIM(UPPER('query (2)'!G899)),Cleaning_Rules!$A$38:$A$46,0)),"UNKNOWN"))</f>
        <v>OTHER</v>
      </c>
      <c r="R899" s="24" t="str">
        <f>IF('query (2)'!H899="","",TRIM(UPPER('query (2)'!H899)))</f>
        <v>PACKING TABLE M/C</v>
      </c>
      <c r="S899" s="25" t="str">
        <f>IF('query (2)'!H899="","",'query (2)'!H899)</f>
        <v>Packing Table M/C</v>
      </c>
      <c r="T899" s="24" t="str">
        <f>IF('query (2)'!J899="","",TRIM(UPPER('query (2)'!J899)))</f>
        <v>PACKING TABLE M/C</v>
      </c>
      <c r="U899" s="24" t="str">
        <f t="shared" ref="U899:U962" si="101">IFERROR(IF(ISNUMBER(VALUE(MID($R899,SEARCH("(??-???)",$R899)+4,3))),MID($R899,SEARCH("(??-???)",$R899)+1,6),""),"")</f>
        <v/>
      </c>
      <c r="V899" s="24" t="str">
        <f>IF('query (2)'!K899="","NOT_SPECIFIED",IFERROR(INDEX(Cleaning_Rules!$B$32:$B$34,MATCH(TRIM(UPPER('query (2)'!K899)),Cleaning_Rules!$A$32:$A$34,0)),"UNKNOWN"))</f>
        <v>NOT_SPECIFIED</v>
      </c>
      <c r="W899" s="24" t="str">
        <f t="shared" ref="W899:W962" si="102">_xlfn.TEXTJOIN(" | ",TRUE,$B899,$G899,$J899,$M899,$O899,$P899,$Q899,$R899,$T899,$V899)</f>
        <v>PK-1508 | FACTORY2 | SB9 | SB | ASSEMBLY | 1230-SB9AI | OTHER | PACKING TABLE M/C | PACKING TABLE M/C | NOT_SPECIFIED</v>
      </c>
      <c r="X899" s="24" t="str">
        <f t="shared" ref="X899:X962" si="103">_xlfn.TEXTJOIN("; ",TRUE,IF($B899="","MISSING_QR",""),IF(N($E899)&gt;1,"DUPLICATE_QR",""),IF($F899="","MISSING_NO",""),IF($G899="UNKNOWN","MISSING_LOCATION",""),IF($J899="UNKNOWN","MISSING_DEPARTMENT",""),IF($N899="UNKNOWN","MISSING_SECTION",""),IF($O899="NOT_SPECIFIED","MISSING_RESPONSIBLE",""),IF($P899="","MISSING_COST_CENTER",""),IF($Q899="UNKNOWN","MISSING_CATEGORY",""),IF($R899="","MISSING_DESCRIPTION",""))</f>
        <v>MISSING_NO</v>
      </c>
      <c r="Y899" s="24" t="str">
        <f t="shared" ref="Y899:Y962" si="104">_xlfn.TEXTJOIN("; ",TRUE,IF($V899="NOT_SPECIFIED","MISSING_STATUS",""),IF($Q899="OTHER","CATEGORY_NOT_USEFUL",""),IF($T899="","MISSING_PRODUCTION_NAME",""),IF($N899="DERIVED","SECTION_DERIVED",""))</f>
        <v>MISSING_STATUS; CATEGORY_NOT_USEFUL</v>
      </c>
    </row>
    <row r="900" spans="1:25" x14ac:dyDescent="0.3">
      <c r="A900" s="24" t="str">
        <f t="shared" si="98"/>
        <v>PK-1509#0899</v>
      </c>
      <c r="B900" s="24" t="str">
        <f>IF('query (2)'!B900="","",TRIM(UPPER('query (2)'!B900)))</f>
        <v>PK-1509</v>
      </c>
      <c r="C900" s="25" t="str">
        <f>IF('query (2)'!B900="","",'query (2)'!B900)</f>
        <v>PK-1509</v>
      </c>
      <c r="D900" s="24" t="str">
        <f t="shared" si="99"/>
        <v>PK</v>
      </c>
      <c r="E900" s="24">
        <f t="shared" si="100"/>
        <v>1</v>
      </c>
      <c r="F900" s="24" t="str">
        <f>IF('query (2)'!A900="","",IFERROR(VALUE('query (2)'!A900),""))</f>
        <v/>
      </c>
      <c r="G900" s="24" t="str">
        <f>IF('query (2)'!C900="","UNKNOWN",IFERROR(INDEX(Cleaning_Rules!$B$15:$B$20,MATCH(TRIM(UPPER('query (2)'!C900)),Cleaning_Rules!$A$15:$A$20,0)),"UNKNOWN"))</f>
        <v>FACTORY2</v>
      </c>
      <c r="H900" s="25" t="str">
        <f>IF('query (2)'!C900="","",'query (2)'!C900)</f>
        <v>FACTORY2</v>
      </c>
      <c r="I900" s="24" t="str" cm="1">
        <f t="array" ref="I900">_xlfn.IFS($G900="UNKNOWN","UNKNOWN",OR($G900="FACTORY1",$G900="FACTORY2",$G900="FACTORY3"),"PLANT",TRUE,"SHARED")</f>
        <v>PLANT</v>
      </c>
      <c r="J900" s="24" t="str">
        <f>IF('query (2)'!D900="","UNKNOWN",IF(COUNTIF(Cleaning_Rules!$A$6:$A$11,TRIM('query (2)'!D900))&gt;0,"UNKNOWN",IFERROR(INDEX(Cleaning_Rules!$B$24:$B$28,MATCH(TRIM(UPPER('query (2)'!D900)),Cleaning_Rules!$A$24:$A$28,0)),TRIM(UPPER('query (2)'!D900)))))</f>
        <v>CR1</v>
      </c>
      <c r="K900" s="25" t="str">
        <f>IF('query (2)'!D900="","",'query (2)'!D900)</f>
        <v>CR1</v>
      </c>
      <c r="L900" s="24" t="str">
        <f>IF($J900="UNKNOWN","",_xlfn.TEXTBEFORE($J900,{"0","1","2","3","4","5","6","7","8","9"," ","-","."},1,,,$J900))</f>
        <v>CR</v>
      </c>
      <c r="M900" s="24" t="str">
        <f>IF('query (2)'!I900&lt;&gt;"",TRIM(UPPER('query (2)'!I900)),IF($L900="","UNKNOWN",$L900))</f>
        <v>CR</v>
      </c>
      <c r="N900" s="24" t="str">
        <f>IF('query (2)'!I900&lt;&gt;"","SOURCE",IF($L900="","UNKNOWN","DERIVED"))</f>
        <v>SOURCE</v>
      </c>
      <c r="O900" s="24" t="str">
        <f>IF('query (2)'!E900="","NOT_SPECIFIED",TRIM(UPPER('query (2)'!E900)))</f>
        <v>ASSEMBLY</v>
      </c>
      <c r="P900" s="24" t="str">
        <f>IF('query (2)'!F900="","",TRIM(UPPER('query (2)'!F900)))</f>
        <v>1609-CR1AI</v>
      </c>
      <c r="Q900" s="24" t="str">
        <f>IF('query (2)'!G900="","UNKNOWN",IFERROR(INDEX(Cleaning_Rules!$B$38:$B$46,MATCH(TRIM(UPPER('query (2)'!G900)),Cleaning_Rules!$A$38:$A$46,0)),"UNKNOWN"))</f>
        <v>OTHER</v>
      </c>
      <c r="R900" s="24" t="str">
        <f>IF('query (2)'!H900="","",TRIM(UPPER('query (2)'!H900)))</f>
        <v>PACKING TABLE M/C</v>
      </c>
      <c r="S900" s="25" t="str">
        <f>IF('query (2)'!H900="","",'query (2)'!H900)</f>
        <v>Packing Table M/C</v>
      </c>
      <c r="T900" s="24" t="str">
        <f>IF('query (2)'!J900="","",TRIM(UPPER('query (2)'!J900)))</f>
        <v>PACKING TABLE M/C</v>
      </c>
      <c r="U900" s="24" t="str">
        <f t="shared" si="101"/>
        <v/>
      </c>
      <c r="V900" s="24" t="str">
        <f>IF('query (2)'!K900="","NOT_SPECIFIED",IFERROR(INDEX(Cleaning_Rules!$B$32:$B$34,MATCH(TRIM(UPPER('query (2)'!K900)),Cleaning_Rules!$A$32:$A$34,0)),"UNKNOWN"))</f>
        <v>NOT_SPECIFIED</v>
      </c>
      <c r="W900" s="24" t="str">
        <f t="shared" si="102"/>
        <v>PK-1509 | FACTORY2 | CR1 | CR | ASSEMBLY | 1609-CR1AI | OTHER | PACKING TABLE M/C | PACKING TABLE M/C | NOT_SPECIFIED</v>
      </c>
      <c r="X900" s="24" t="str">
        <f t="shared" si="103"/>
        <v>MISSING_NO</v>
      </c>
      <c r="Y900" s="24" t="str">
        <f t="shared" si="104"/>
        <v>MISSING_STATUS; CATEGORY_NOT_USEFUL</v>
      </c>
    </row>
    <row r="901" spans="1:25" x14ac:dyDescent="0.3">
      <c r="A901" s="24" t="str">
        <f t="shared" si="98"/>
        <v>PK-1510#0900</v>
      </c>
      <c r="B901" s="24" t="str">
        <f>IF('query (2)'!B901="","",TRIM(UPPER('query (2)'!B901)))</f>
        <v>PK-1510</v>
      </c>
      <c r="C901" s="25" t="str">
        <f>IF('query (2)'!B901="","",'query (2)'!B901)</f>
        <v>PK-1510</v>
      </c>
      <c r="D901" s="24" t="str">
        <f t="shared" si="99"/>
        <v>PK</v>
      </c>
      <c r="E901" s="24">
        <f t="shared" si="100"/>
        <v>1</v>
      </c>
      <c r="F901" s="24" t="str">
        <f>IF('query (2)'!A901="","",IFERROR(VALUE('query (2)'!A901),""))</f>
        <v/>
      </c>
      <c r="G901" s="24" t="str">
        <f>IF('query (2)'!C901="","UNKNOWN",IFERROR(INDEX(Cleaning_Rules!$B$15:$B$20,MATCH(TRIM(UPPER('query (2)'!C901)),Cleaning_Rules!$A$15:$A$20,0)),"UNKNOWN"))</f>
        <v>FACTORY2</v>
      </c>
      <c r="H901" s="25" t="str">
        <f>IF('query (2)'!C901="","",'query (2)'!C901)</f>
        <v>FACTORY2</v>
      </c>
      <c r="I901" s="24" t="str" cm="1">
        <f t="array" ref="I901">_xlfn.IFS($G901="UNKNOWN","UNKNOWN",OR($G901="FACTORY1",$G901="FACTORY2",$G901="FACTORY3"),"PLANT",TRUE,"SHARED")</f>
        <v>PLANT</v>
      </c>
      <c r="J901" s="24" t="str">
        <f>IF('query (2)'!D901="","UNKNOWN",IF(COUNTIF(Cleaning_Rules!$A$6:$A$11,TRIM('query (2)'!D901))&gt;0,"UNKNOWN",IFERROR(INDEX(Cleaning_Rules!$B$24:$B$28,MATCH(TRIM(UPPER('query (2)'!D901)),Cleaning_Rules!$A$24:$A$28,0)),TRIM(UPPER('query (2)'!D901)))))</f>
        <v>CR2</v>
      </c>
      <c r="K901" s="25" t="str">
        <f>IF('query (2)'!D901="","",'query (2)'!D901)</f>
        <v>CR2</v>
      </c>
      <c r="L901" s="24" t="str">
        <f>IF($J901="UNKNOWN","",_xlfn.TEXTBEFORE($J901,{"0","1","2","3","4","5","6","7","8","9"," ","-","."},1,,,$J901))</f>
        <v>CR</v>
      </c>
      <c r="M901" s="24" t="str">
        <f>IF('query (2)'!I901&lt;&gt;"",TRIM(UPPER('query (2)'!I901)),IF($L901="","UNKNOWN",$L901))</f>
        <v>CR</v>
      </c>
      <c r="N901" s="24" t="str">
        <f>IF('query (2)'!I901&lt;&gt;"","SOURCE",IF($L901="","UNKNOWN","DERIVED"))</f>
        <v>SOURCE</v>
      </c>
      <c r="O901" s="24" t="str">
        <f>IF('query (2)'!E901="","NOT_SPECIFIED",TRIM(UPPER('query (2)'!E901)))</f>
        <v>ASSEMBLY</v>
      </c>
      <c r="P901" s="24" t="str">
        <f>IF('query (2)'!F901="","",TRIM(UPPER('query (2)'!F901)))</f>
        <v>1612-CR2AI</v>
      </c>
      <c r="Q901" s="24" t="str">
        <f>IF('query (2)'!G901="","UNKNOWN",IFERROR(INDEX(Cleaning_Rules!$B$38:$B$46,MATCH(TRIM(UPPER('query (2)'!G901)),Cleaning_Rules!$A$38:$A$46,0)),"UNKNOWN"))</f>
        <v>OTHER</v>
      </c>
      <c r="R901" s="24" t="str">
        <f>IF('query (2)'!H901="","",TRIM(UPPER('query (2)'!H901)))</f>
        <v>PACKING TABLE M/C</v>
      </c>
      <c r="S901" s="25" t="str">
        <f>IF('query (2)'!H901="","",'query (2)'!H901)</f>
        <v>Packing Table M/C</v>
      </c>
      <c r="T901" s="24" t="str">
        <f>IF('query (2)'!J901="","",TRIM(UPPER('query (2)'!J901)))</f>
        <v>PACKING TABLE M/C</v>
      </c>
      <c r="U901" s="24" t="str">
        <f t="shared" si="101"/>
        <v/>
      </c>
      <c r="V901" s="24" t="str">
        <f>IF('query (2)'!K901="","NOT_SPECIFIED",IFERROR(INDEX(Cleaning_Rules!$B$32:$B$34,MATCH(TRIM(UPPER('query (2)'!K901)),Cleaning_Rules!$A$32:$A$34,0)),"UNKNOWN"))</f>
        <v>NOT_SPECIFIED</v>
      </c>
      <c r="W901" s="24" t="str">
        <f t="shared" si="102"/>
        <v>PK-1510 | FACTORY2 | CR2 | CR | ASSEMBLY | 1612-CR2AI | OTHER | PACKING TABLE M/C | PACKING TABLE M/C | NOT_SPECIFIED</v>
      </c>
      <c r="X901" s="24" t="str">
        <f t="shared" si="103"/>
        <v>MISSING_NO</v>
      </c>
      <c r="Y901" s="24" t="str">
        <f t="shared" si="104"/>
        <v>MISSING_STATUS; CATEGORY_NOT_USEFUL</v>
      </c>
    </row>
    <row r="902" spans="1:25" x14ac:dyDescent="0.3">
      <c r="A902" s="24" t="str">
        <f t="shared" si="98"/>
        <v>PK-1511#0901</v>
      </c>
      <c r="B902" s="24" t="str">
        <f>IF('query (2)'!B902="","",TRIM(UPPER('query (2)'!B902)))</f>
        <v>PK-1511</v>
      </c>
      <c r="C902" s="25" t="str">
        <f>IF('query (2)'!B902="","",'query (2)'!B902)</f>
        <v>PK-1511</v>
      </c>
      <c r="D902" s="24" t="str">
        <f t="shared" si="99"/>
        <v>PK</v>
      </c>
      <c r="E902" s="24">
        <f t="shared" si="100"/>
        <v>1</v>
      </c>
      <c r="F902" s="24" t="str">
        <f>IF('query (2)'!A902="","",IFERROR(VALUE('query (2)'!A902),""))</f>
        <v/>
      </c>
      <c r="G902" s="24" t="str">
        <f>IF('query (2)'!C902="","UNKNOWN",IFERROR(INDEX(Cleaning_Rules!$B$15:$B$20,MATCH(TRIM(UPPER('query (2)'!C902)),Cleaning_Rules!$A$15:$A$20,0)),"UNKNOWN"))</f>
        <v>FACTORY2</v>
      </c>
      <c r="H902" s="25" t="str">
        <f>IF('query (2)'!C902="","",'query (2)'!C902)</f>
        <v>FACTORY2</v>
      </c>
      <c r="I902" s="24" t="str" cm="1">
        <f t="array" ref="I902">_xlfn.IFS($G902="UNKNOWN","UNKNOWN",OR($G902="FACTORY1",$G902="FACTORY2",$G902="FACTORY3"),"PLANT",TRUE,"SHARED")</f>
        <v>PLANT</v>
      </c>
      <c r="J902" s="24" t="str">
        <f>IF('query (2)'!D902="","UNKNOWN",IF(COUNTIF(Cleaning_Rules!$A$6:$A$11,TRIM('query (2)'!D902))&gt;0,"UNKNOWN",IFERROR(INDEX(Cleaning_Rules!$B$24:$B$28,MATCH(TRIM(UPPER('query (2)'!D902)),Cleaning_Rules!$A$24:$A$28,0)),TRIM(UPPER('query (2)'!D902)))))</f>
        <v>MCB1</v>
      </c>
      <c r="K902" s="25" t="str">
        <f>IF('query (2)'!D902="","",'query (2)'!D902)</f>
        <v>MCB1</v>
      </c>
      <c r="L902" s="24" t="str">
        <f>IF($J902="UNKNOWN","",_xlfn.TEXTBEFORE($J902,{"0","1","2","3","4","5","6","7","8","9"," ","-","."},1,,,$J902))</f>
        <v>MCB</v>
      </c>
      <c r="M902" s="24" t="str">
        <f>IF('query (2)'!I902&lt;&gt;"",TRIM(UPPER('query (2)'!I902)),IF($L902="","UNKNOWN",$L902))</f>
        <v>MCB</v>
      </c>
      <c r="N902" s="24" t="str">
        <f>IF('query (2)'!I902&lt;&gt;"","SOURCE",IF($L902="","UNKNOWN","DERIVED"))</f>
        <v>SOURCE</v>
      </c>
      <c r="O902" s="24" t="str">
        <f>IF('query (2)'!E902="","NOT_SPECIFIED",TRIM(UPPER('query (2)'!E902)))</f>
        <v>ASSEMBLY</v>
      </c>
      <c r="P902" s="24" t="str">
        <f>IF('query (2)'!F902="","",TRIM(UPPER('query (2)'!F902)))</f>
        <v>1304-MC1AI</v>
      </c>
      <c r="Q902" s="24" t="str">
        <f>IF('query (2)'!G902="","UNKNOWN",IFERROR(INDEX(Cleaning_Rules!$B$38:$B$46,MATCH(TRIM(UPPER('query (2)'!G902)),Cleaning_Rules!$A$38:$A$46,0)),"UNKNOWN"))</f>
        <v>OTHER</v>
      </c>
      <c r="R902" s="24" t="str">
        <f>IF('query (2)'!H902="","",TRIM(UPPER('query (2)'!H902)))</f>
        <v>PACKING TABLE M/C</v>
      </c>
      <c r="S902" s="25" t="str">
        <f>IF('query (2)'!H902="","",'query (2)'!H902)</f>
        <v>Packing Table M/C</v>
      </c>
      <c r="T902" s="24" t="str">
        <f>IF('query (2)'!J902="","",TRIM(UPPER('query (2)'!J902)))</f>
        <v>PACKING TABLE M/C</v>
      </c>
      <c r="U902" s="24" t="str">
        <f t="shared" si="101"/>
        <v/>
      </c>
      <c r="V902" s="24" t="str">
        <f>IF('query (2)'!K902="","NOT_SPECIFIED",IFERROR(INDEX(Cleaning_Rules!$B$32:$B$34,MATCH(TRIM(UPPER('query (2)'!K902)),Cleaning_Rules!$A$32:$A$34,0)),"UNKNOWN"))</f>
        <v>NOT_SPECIFIED</v>
      </c>
      <c r="W902" s="24" t="str">
        <f t="shared" si="102"/>
        <v>PK-1511 | FACTORY2 | MCB1 | MCB | ASSEMBLY | 1304-MC1AI | OTHER | PACKING TABLE M/C | PACKING TABLE M/C | NOT_SPECIFIED</v>
      </c>
      <c r="X902" s="24" t="str">
        <f t="shared" si="103"/>
        <v>MISSING_NO</v>
      </c>
      <c r="Y902" s="24" t="str">
        <f t="shared" si="104"/>
        <v>MISSING_STATUS; CATEGORY_NOT_USEFUL</v>
      </c>
    </row>
    <row r="903" spans="1:25" x14ac:dyDescent="0.3">
      <c r="A903" s="24" t="str">
        <f t="shared" si="98"/>
        <v>PK-1512#0902</v>
      </c>
      <c r="B903" s="24" t="str">
        <f>IF('query (2)'!B903="","",TRIM(UPPER('query (2)'!B903)))</f>
        <v>PK-1512</v>
      </c>
      <c r="C903" s="25" t="str">
        <f>IF('query (2)'!B903="","",'query (2)'!B903)</f>
        <v>PK-1512</v>
      </c>
      <c r="D903" s="24" t="str">
        <f t="shared" si="99"/>
        <v>PK</v>
      </c>
      <c r="E903" s="24">
        <f t="shared" si="100"/>
        <v>1</v>
      </c>
      <c r="F903" s="24" t="str">
        <f>IF('query (2)'!A903="","",IFERROR(VALUE('query (2)'!A903),""))</f>
        <v/>
      </c>
      <c r="G903" s="24" t="str">
        <f>IF('query (2)'!C903="","UNKNOWN",IFERROR(INDEX(Cleaning_Rules!$B$15:$B$20,MATCH(TRIM(UPPER('query (2)'!C903)),Cleaning_Rules!$A$15:$A$20,0)),"UNKNOWN"))</f>
        <v>FACTORY2</v>
      </c>
      <c r="H903" s="25" t="str">
        <f>IF('query (2)'!C903="","",'query (2)'!C903)</f>
        <v>FACTORY2</v>
      </c>
      <c r="I903" s="24" t="str" cm="1">
        <f t="array" ref="I903">_xlfn.IFS($G903="UNKNOWN","UNKNOWN",OR($G903="FACTORY1",$G903="FACTORY2",$G903="FACTORY3"),"PLANT",TRUE,"SHARED")</f>
        <v>PLANT</v>
      </c>
      <c r="J903" s="24" t="str">
        <f>IF('query (2)'!D903="","UNKNOWN",IF(COUNTIF(Cleaning_Rules!$A$6:$A$11,TRIM('query (2)'!D903))&gt;0,"UNKNOWN",IFERROR(INDEX(Cleaning_Rules!$B$24:$B$28,MATCH(TRIM(UPPER('query (2)'!D903)),Cleaning_Rules!$A$24:$A$28,0)),TRIM(UPPER('query (2)'!D903)))))</f>
        <v>MCB2</v>
      </c>
      <c r="K903" s="25" t="str">
        <f>IF('query (2)'!D903="","",'query (2)'!D903)</f>
        <v>MCB2</v>
      </c>
      <c r="L903" s="24" t="str">
        <f>IF($J903="UNKNOWN","",_xlfn.TEXTBEFORE($J903,{"0","1","2","3","4","5","6","7","8","9"," ","-","."},1,,,$J903))</f>
        <v>MCB</v>
      </c>
      <c r="M903" s="24" t="str">
        <f>IF('query (2)'!I903&lt;&gt;"",TRIM(UPPER('query (2)'!I903)),IF($L903="","UNKNOWN",$L903))</f>
        <v>MCB</v>
      </c>
      <c r="N903" s="24" t="str">
        <f>IF('query (2)'!I903&lt;&gt;"","SOURCE",IF($L903="","UNKNOWN","DERIVED"))</f>
        <v>SOURCE</v>
      </c>
      <c r="O903" s="24" t="str">
        <f>IF('query (2)'!E903="","NOT_SPECIFIED",TRIM(UPPER('query (2)'!E903)))</f>
        <v>ASSEMBLY</v>
      </c>
      <c r="P903" s="24" t="str">
        <f>IF('query (2)'!F903="","",TRIM(UPPER('query (2)'!F903)))</f>
        <v>1307-MC2AI</v>
      </c>
      <c r="Q903" s="24" t="str">
        <f>IF('query (2)'!G903="","UNKNOWN",IFERROR(INDEX(Cleaning_Rules!$B$38:$B$46,MATCH(TRIM(UPPER('query (2)'!G903)),Cleaning_Rules!$A$38:$A$46,0)),"UNKNOWN"))</f>
        <v>OTHER</v>
      </c>
      <c r="R903" s="24" t="str">
        <f>IF('query (2)'!H903="","",TRIM(UPPER('query (2)'!H903)))</f>
        <v>PACKING TABLE M/C</v>
      </c>
      <c r="S903" s="25" t="str">
        <f>IF('query (2)'!H903="","",'query (2)'!H903)</f>
        <v>Packing Table M/C</v>
      </c>
      <c r="T903" s="24" t="str">
        <f>IF('query (2)'!J903="","",TRIM(UPPER('query (2)'!J903)))</f>
        <v>PACKING TABLE M/C</v>
      </c>
      <c r="U903" s="24" t="str">
        <f t="shared" si="101"/>
        <v/>
      </c>
      <c r="V903" s="24" t="str">
        <f>IF('query (2)'!K903="","NOT_SPECIFIED",IFERROR(INDEX(Cleaning_Rules!$B$32:$B$34,MATCH(TRIM(UPPER('query (2)'!K903)),Cleaning_Rules!$A$32:$A$34,0)),"UNKNOWN"))</f>
        <v>NOT_SPECIFIED</v>
      </c>
      <c r="W903" s="24" t="str">
        <f t="shared" si="102"/>
        <v>PK-1512 | FACTORY2 | MCB2 | MCB | ASSEMBLY | 1307-MC2AI | OTHER | PACKING TABLE M/C | PACKING TABLE M/C | NOT_SPECIFIED</v>
      </c>
      <c r="X903" s="24" t="str">
        <f t="shared" si="103"/>
        <v>MISSING_NO</v>
      </c>
      <c r="Y903" s="24" t="str">
        <f t="shared" si="104"/>
        <v>MISSING_STATUS; CATEGORY_NOT_USEFUL</v>
      </c>
    </row>
    <row r="904" spans="1:25" x14ac:dyDescent="0.3">
      <c r="A904" s="24" t="str">
        <f t="shared" si="98"/>
        <v>PK-1513#0903</v>
      </c>
      <c r="B904" s="24" t="str">
        <f>IF('query (2)'!B904="","",TRIM(UPPER('query (2)'!B904)))</f>
        <v>PK-1513</v>
      </c>
      <c r="C904" s="25" t="str">
        <f>IF('query (2)'!B904="","",'query (2)'!B904)</f>
        <v>PK-1513</v>
      </c>
      <c r="D904" s="24" t="str">
        <f t="shared" si="99"/>
        <v>PK</v>
      </c>
      <c r="E904" s="24">
        <f t="shared" si="100"/>
        <v>1</v>
      </c>
      <c r="F904" s="24" t="str">
        <f>IF('query (2)'!A904="","",IFERROR(VALUE('query (2)'!A904),""))</f>
        <v/>
      </c>
      <c r="G904" s="24" t="str">
        <f>IF('query (2)'!C904="","UNKNOWN",IFERROR(INDEX(Cleaning_Rules!$B$15:$B$20,MATCH(TRIM(UPPER('query (2)'!C904)),Cleaning_Rules!$A$15:$A$20,0)),"UNKNOWN"))</f>
        <v>FACTORY2</v>
      </c>
      <c r="H904" s="25" t="str">
        <f>IF('query (2)'!C904="","",'query (2)'!C904)</f>
        <v>FACTORY2</v>
      </c>
      <c r="I904" s="24" t="str" cm="1">
        <f t="array" ref="I904">_xlfn.IFS($G904="UNKNOWN","UNKNOWN",OR($G904="FACTORY1",$G904="FACTORY2",$G904="FACTORY3"),"PLANT",TRUE,"SHARED")</f>
        <v>PLANT</v>
      </c>
      <c r="J904" s="24" t="str">
        <f>IF('query (2)'!D904="","UNKNOWN",IF(COUNTIF(Cleaning_Rules!$A$6:$A$11,TRIM('query (2)'!D904))&gt;0,"UNKNOWN",IFERROR(INDEX(Cleaning_Rules!$B$24:$B$28,MATCH(TRIM(UPPER('query (2)'!D904)),Cleaning_Rules!$A$24:$A$28,0)),TRIM(UPPER('query (2)'!D904)))))</f>
        <v>MCB3</v>
      </c>
      <c r="K904" s="25" t="str">
        <f>IF('query (2)'!D904="","",'query (2)'!D904)</f>
        <v>MCB3</v>
      </c>
      <c r="L904" s="24" t="str">
        <f>IF($J904="UNKNOWN","",_xlfn.TEXTBEFORE($J904,{"0","1","2","3","4","5","6","7","8","9"," ","-","."},1,,,$J904))</f>
        <v>MCB</v>
      </c>
      <c r="M904" s="24" t="str">
        <f>IF('query (2)'!I904&lt;&gt;"",TRIM(UPPER('query (2)'!I904)),IF($L904="","UNKNOWN",$L904))</f>
        <v>MCB</v>
      </c>
      <c r="N904" s="24" t="str">
        <f>IF('query (2)'!I904&lt;&gt;"","SOURCE",IF($L904="","UNKNOWN","DERIVED"))</f>
        <v>SOURCE</v>
      </c>
      <c r="O904" s="24" t="str">
        <f>IF('query (2)'!E904="","NOT_SPECIFIED",TRIM(UPPER('query (2)'!E904)))</f>
        <v>ASSEMBLY</v>
      </c>
      <c r="P904" s="24" t="str">
        <f>IF('query (2)'!F904="","",TRIM(UPPER('query (2)'!F904)))</f>
        <v>1311-MC3AI</v>
      </c>
      <c r="Q904" s="24" t="str">
        <f>IF('query (2)'!G904="","UNKNOWN",IFERROR(INDEX(Cleaning_Rules!$B$38:$B$46,MATCH(TRIM(UPPER('query (2)'!G904)),Cleaning_Rules!$A$38:$A$46,0)),"UNKNOWN"))</f>
        <v>OTHER</v>
      </c>
      <c r="R904" s="24" t="str">
        <f>IF('query (2)'!H904="","",TRIM(UPPER('query (2)'!H904)))</f>
        <v>PACKING TABLE M/C</v>
      </c>
      <c r="S904" s="25" t="str">
        <f>IF('query (2)'!H904="","",'query (2)'!H904)</f>
        <v>Packing Table M/C</v>
      </c>
      <c r="T904" s="24" t="str">
        <f>IF('query (2)'!J904="","",TRIM(UPPER('query (2)'!J904)))</f>
        <v>PACKING TABLE M/C</v>
      </c>
      <c r="U904" s="24" t="str">
        <f t="shared" si="101"/>
        <v/>
      </c>
      <c r="V904" s="24" t="str">
        <f>IF('query (2)'!K904="","NOT_SPECIFIED",IFERROR(INDEX(Cleaning_Rules!$B$32:$B$34,MATCH(TRIM(UPPER('query (2)'!K904)),Cleaning_Rules!$A$32:$A$34,0)),"UNKNOWN"))</f>
        <v>NOT_SPECIFIED</v>
      </c>
      <c r="W904" s="24" t="str">
        <f t="shared" si="102"/>
        <v>PK-1513 | FACTORY2 | MCB3 | MCB | ASSEMBLY | 1311-MC3AI | OTHER | PACKING TABLE M/C | PACKING TABLE M/C | NOT_SPECIFIED</v>
      </c>
      <c r="X904" s="24" t="str">
        <f t="shared" si="103"/>
        <v>MISSING_NO</v>
      </c>
      <c r="Y904" s="24" t="str">
        <f t="shared" si="104"/>
        <v>MISSING_STATUS; CATEGORY_NOT_USEFUL</v>
      </c>
    </row>
    <row r="905" spans="1:25" x14ac:dyDescent="0.3">
      <c r="A905" s="24" t="str">
        <f t="shared" si="98"/>
        <v>PK-1514#0904</v>
      </c>
      <c r="B905" s="24" t="str">
        <f>IF('query (2)'!B905="","",TRIM(UPPER('query (2)'!B905)))</f>
        <v>PK-1514</v>
      </c>
      <c r="C905" s="25" t="str">
        <f>IF('query (2)'!B905="","",'query (2)'!B905)</f>
        <v>PK-1514</v>
      </c>
      <c r="D905" s="24" t="str">
        <f t="shared" si="99"/>
        <v>PK</v>
      </c>
      <c r="E905" s="24">
        <f t="shared" si="100"/>
        <v>1</v>
      </c>
      <c r="F905" s="24" t="str">
        <f>IF('query (2)'!A905="","",IFERROR(VALUE('query (2)'!A905),""))</f>
        <v/>
      </c>
      <c r="G905" s="24" t="str">
        <f>IF('query (2)'!C905="","UNKNOWN",IFERROR(INDEX(Cleaning_Rules!$B$15:$B$20,MATCH(TRIM(UPPER('query (2)'!C905)),Cleaning_Rules!$A$15:$A$20,0)),"UNKNOWN"))</f>
        <v>FACTORY3</v>
      </c>
      <c r="H905" s="25" t="str">
        <f>IF('query (2)'!C905="","",'query (2)'!C905)</f>
        <v>FACTORY3</v>
      </c>
      <c r="I905" s="24" t="str" cm="1">
        <f t="array" ref="I905">_xlfn.IFS($G905="UNKNOWN","UNKNOWN",OR($G905="FACTORY1",$G905="FACTORY2",$G905="FACTORY3"),"PLANT",TRUE,"SHARED")</f>
        <v>PLANT</v>
      </c>
      <c r="J905" s="24" t="str">
        <f>IF('query (2)'!D905="","UNKNOWN",IF(COUNTIF(Cleaning_Rules!$A$6:$A$11,TRIM('query (2)'!D905))&gt;0,"UNKNOWN",IFERROR(INDEX(Cleaning_Rules!$B$24:$B$28,MATCH(TRIM(UPPER('query (2)'!D905)),Cleaning_Rules!$A$24:$A$28,0)),TRIM(UPPER('query (2)'!D905)))))</f>
        <v>BWD2</v>
      </c>
      <c r="K905" s="25" t="str">
        <f>IF('query (2)'!D905="","",'query (2)'!D905)</f>
        <v>BWD2</v>
      </c>
      <c r="L905" s="24" t="str">
        <f>IF($J905="UNKNOWN","",_xlfn.TEXTBEFORE($J905,{"0","1","2","3","4","5","6","7","8","9"," ","-","."},1,,,$J905))</f>
        <v>BWD</v>
      </c>
      <c r="M905" s="24" t="str">
        <f>IF('query (2)'!I905&lt;&gt;"",TRIM(UPPER('query (2)'!I905)),IF($L905="","UNKNOWN",$L905))</f>
        <v>BWD</v>
      </c>
      <c r="N905" s="24" t="str">
        <f>IF('query (2)'!I905&lt;&gt;"","SOURCE",IF($L905="","UNKNOWN","DERIVED"))</f>
        <v>SOURCE</v>
      </c>
      <c r="O905" s="24" t="str">
        <f>IF('query (2)'!E905="","NOT_SPECIFIED",TRIM(UPPER('query (2)'!E905)))</f>
        <v>ASSEMBLY</v>
      </c>
      <c r="P905" s="24" t="str">
        <f>IF('query (2)'!F905="","",TRIM(UPPER('query (2)'!F905)))</f>
        <v>1107-BW2AI</v>
      </c>
      <c r="Q905" s="24" t="str">
        <f>IF('query (2)'!G905="","UNKNOWN",IFERROR(INDEX(Cleaning_Rules!$B$38:$B$46,MATCH(TRIM(UPPER('query (2)'!G905)),Cleaning_Rules!$A$38:$A$46,0)),"UNKNOWN"))</f>
        <v>OTHER</v>
      </c>
      <c r="R905" s="24" t="str">
        <f>IF('query (2)'!H905="","",TRIM(UPPER('query (2)'!H905)))</f>
        <v>PACKING TABLE M/C</v>
      </c>
      <c r="S905" s="25" t="str">
        <f>IF('query (2)'!H905="","",'query (2)'!H905)</f>
        <v>Packing Table M/C</v>
      </c>
      <c r="T905" s="24" t="str">
        <f>IF('query (2)'!J905="","",TRIM(UPPER('query (2)'!J905)))</f>
        <v>PACKING TABLE M/C</v>
      </c>
      <c r="U905" s="24" t="str">
        <f t="shared" si="101"/>
        <v/>
      </c>
      <c r="V905" s="24" t="str">
        <f>IF('query (2)'!K905="","NOT_SPECIFIED",IFERROR(INDEX(Cleaning_Rules!$B$32:$B$34,MATCH(TRIM(UPPER('query (2)'!K905)),Cleaning_Rules!$A$32:$A$34,0)),"UNKNOWN"))</f>
        <v>NOT_SPECIFIED</v>
      </c>
      <c r="W905" s="24" t="str">
        <f t="shared" si="102"/>
        <v>PK-1514 | FACTORY3 | BWD2 | BWD | ASSEMBLY | 1107-BW2AI | OTHER | PACKING TABLE M/C | PACKING TABLE M/C | NOT_SPECIFIED</v>
      </c>
      <c r="X905" s="24" t="str">
        <f t="shared" si="103"/>
        <v>MISSING_NO</v>
      </c>
      <c r="Y905" s="24" t="str">
        <f t="shared" si="104"/>
        <v>MISSING_STATUS; CATEGORY_NOT_USEFUL</v>
      </c>
    </row>
    <row r="906" spans="1:25" x14ac:dyDescent="0.3">
      <c r="A906" s="24" t="str">
        <f t="shared" si="98"/>
        <v>PK-1515#0905</v>
      </c>
      <c r="B906" s="24" t="str">
        <f>IF('query (2)'!B906="","",TRIM(UPPER('query (2)'!B906)))</f>
        <v>PK-1515</v>
      </c>
      <c r="C906" s="25" t="str">
        <f>IF('query (2)'!B906="","",'query (2)'!B906)</f>
        <v>PK-1515</v>
      </c>
      <c r="D906" s="24" t="str">
        <f t="shared" si="99"/>
        <v>PK</v>
      </c>
      <c r="E906" s="24">
        <f t="shared" si="100"/>
        <v>1</v>
      </c>
      <c r="F906" s="24" t="str">
        <f>IF('query (2)'!A906="","",IFERROR(VALUE('query (2)'!A906),""))</f>
        <v/>
      </c>
      <c r="G906" s="24" t="str">
        <f>IF('query (2)'!C906="","UNKNOWN",IFERROR(INDEX(Cleaning_Rules!$B$15:$B$20,MATCH(TRIM(UPPER('query (2)'!C906)),Cleaning_Rules!$A$15:$A$20,0)),"UNKNOWN"))</f>
        <v>FACTORY3</v>
      </c>
      <c r="H906" s="25" t="str">
        <f>IF('query (2)'!C906="","",'query (2)'!C906)</f>
        <v>FACTORY3</v>
      </c>
      <c r="I906" s="24" t="str" cm="1">
        <f t="array" ref="I906">_xlfn.IFS($G906="UNKNOWN","UNKNOWN",OR($G906="FACTORY1",$G906="FACTORY2",$G906="FACTORY3"),"PLANT",TRUE,"SHARED")</f>
        <v>PLANT</v>
      </c>
      <c r="J906" s="24" t="str">
        <f>IF('query (2)'!D906="","UNKNOWN",IF(COUNTIF(Cleaning_Rules!$A$6:$A$11,TRIM('query (2)'!D906))&gt;0,"UNKNOWN",IFERROR(INDEX(Cleaning_Rules!$B$24:$B$28,MATCH(TRIM(UPPER('query (2)'!D906)),Cleaning_Rules!$A$24:$A$28,0)),TRIM(UPPER('query (2)'!D906)))))</f>
        <v>BWD3</v>
      </c>
      <c r="K906" s="25" t="str">
        <f>IF('query (2)'!D906="","",'query (2)'!D906)</f>
        <v>BWD3</v>
      </c>
      <c r="L906" s="24" t="str">
        <f>IF($J906="UNKNOWN","",_xlfn.TEXTBEFORE($J906,{"0","1","2","3","4","5","6","7","8","9"," ","-","."},1,,,$J906))</f>
        <v>BWD</v>
      </c>
      <c r="M906" s="24" t="str">
        <f>IF('query (2)'!I906&lt;&gt;"",TRIM(UPPER('query (2)'!I906)),IF($L906="","UNKNOWN",$L906))</f>
        <v>BWD</v>
      </c>
      <c r="N906" s="24" t="str">
        <f>IF('query (2)'!I906&lt;&gt;"","SOURCE",IF($L906="","UNKNOWN","DERIVED"))</f>
        <v>SOURCE</v>
      </c>
      <c r="O906" s="24" t="str">
        <f>IF('query (2)'!E906="","NOT_SPECIFIED",TRIM(UPPER('query (2)'!E906)))</f>
        <v>ASSEMBLY</v>
      </c>
      <c r="P906" s="24" t="str">
        <f>IF('query (2)'!F906="","",TRIM(UPPER('query (2)'!F906)))</f>
        <v>1110-BW3AI</v>
      </c>
      <c r="Q906" s="24" t="str">
        <f>IF('query (2)'!G906="","UNKNOWN",IFERROR(INDEX(Cleaning_Rules!$B$38:$B$46,MATCH(TRIM(UPPER('query (2)'!G906)),Cleaning_Rules!$A$38:$A$46,0)),"UNKNOWN"))</f>
        <v>OTHER</v>
      </c>
      <c r="R906" s="24" t="str">
        <f>IF('query (2)'!H906="","",TRIM(UPPER('query (2)'!H906)))</f>
        <v>PACKING TABLE M/C</v>
      </c>
      <c r="S906" s="25" t="str">
        <f>IF('query (2)'!H906="","",'query (2)'!H906)</f>
        <v>Packing Table M/C</v>
      </c>
      <c r="T906" s="24" t="str">
        <f>IF('query (2)'!J906="","",TRIM(UPPER('query (2)'!J906)))</f>
        <v>PACKING TABLE M/C</v>
      </c>
      <c r="U906" s="24" t="str">
        <f t="shared" si="101"/>
        <v/>
      </c>
      <c r="V906" s="24" t="str">
        <f>IF('query (2)'!K906="","NOT_SPECIFIED",IFERROR(INDEX(Cleaning_Rules!$B$32:$B$34,MATCH(TRIM(UPPER('query (2)'!K906)),Cleaning_Rules!$A$32:$A$34,0)),"UNKNOWN"))</f>
        <v>NOT_SPECIFIED</v>
      </c>
      <c r="W906" s="24" t="str">
        <f t="shared" si="102"/>
        <v>PK-1515 | FACTORY3 | BWD3 | BWD | ASSEMBLY | 1110-BW3AI | OTHER | PACKING TABLE M/C | PACKING TABLE M/C | NOT_SPECIFIED</v>
      </c>
      <c r="X906" s="24" t="str">
        <f t="shared" si="103"/>
        <v>MISSING_NO</v>
      </c>
      <c r="Y906" s="24" t="str">
        <f t="shared" si="104"/>
        <v>MISSING_STATUS; CATEGORY_NOT_USEFUL</v>
      </c>
    </row>
    <row r="907" spans="1:25" x14ac:dyDescent="0.3">
      <c r="A907" s="24" t="str">
        <f t="shared" si="98"/>
        <v>PK-1516#0906</v>
      </c>
      <c r="B907" s="24" t="str">
        <f>IF('query (2)'!B907="","",TRIM(UPPER('query (2)'!B907)))</f>
        <v>PK-1516</v>
      </c>
      <c r="C907" s="25" t="str">
        <f>IF('query (2)'!B907="","",'query (2)'!B907)</f>
        <v>PK-1516</v>
      </c>
      <c r="D907" s="24" t="str">
        <f t="shared" si="99"/>
        <v>PK</v>
      </c>
      <c r="E907" s="24">
        <f t="shared" si="100"/>
        <v>1</v>
      </c>
      <c r="F907" s="24" t="str">
        <f>IF('query (2)'!A907="","",IFERROR(VALUE('query (2)'!A907),""))</f>
        <v/>
      </c>
      <c r="G907" s="24" t="str">
        <f>IF('query (2)'!C907="","UNKNOWN",IFERROR(INDEX(Cleaning_Rules!$B$15:$B$20,MATCH(TRIM(UPPER('query (2)'!C907)),Cleaning_Rules!$A$15:$A$20,0)),"UNKNOWN"))</f>
        <v>FACTORY3</v>
      </c>
      <c r="H907" s="25" t="str">
        <f>IF('query (2)'!C907="","",'query (2)'!C907)</f>
        <v>FACTORY3</v>
      </c>
      <c r="I907" s="24" t="str" cm="1">
        <f t="array" ref="I907">_xlfn.IFS($G907="UNKNOWN","UNKNOWN",OR($G907="FACTORY1",$G907="FACTORY2",$G907="FACTORY3"),"PLANT",TRUE,"SHARED")</f>
        <v>PLANT</v>
      </c>
      <c r="J907" s="24" t="str">
        <f>IF('query (2)'!D907="","UNKNOWN",IF(COUNTIF(Cleaning_Rules!$A$6:$A$11,TRIM('query (2)'!D907))&gt;0,"UNKNOWN",IFERROR(INDEX(Cleaning_Rules!$B$24:$B$28,MATCH(TRIM(UPPER('query (2)'!D907)),Cleaning_Rules!$A$24:$A$28,0)),TRIM(UPPER('query (2)'!D907)))))</f>
        <v>KWD1</v>
      </c>
      <c r="K907" s="25" t="str">
        <f>IF('query (2)'!D907="","",'query (2)'!D907)</f>
        <v>KWD1</v>
      </c>
      <c r="L907" s="24" t="str">
        <f>IF($J907="UNKNOWN","",_xlfn.TEXTBEFORE($J907,{"0","1","2","3","4","5","6","7","8","9"," ","-","."},1,,,$J907))</f>
        <v>KWD</v>
      </c>
      <c r="M907" s="24" t="str">
        <f>IF('query (2)'!I907&lt;&gt;"",TRIM(UPPER('query (2)'!I907)),IF($L907="","UNKNOWN",$L907))</f>
        <v>KWD</v>
      </c>
      <c r="N907" s="24" t="str">
        <f>IF('query (2)'!I907&lt;&gt;"","SOURCE",IF($L907="","UNKNOWN","DERIVED"))</f>
        <v>SOURCE</v>
      </c>
      <c r="O907" s="24" t="str">
        <f>IF('query (2)'!E907="","NOT_SPECIFIED",TRIM(UPPER('query (2)'!E907)))</f>
        <v>ASSEMBLY</v>
      </c>
      <c r="P907" s="24" t="str">
        <f>IF('query (2)'!F907="","",TRIM(UPPER('query (2)'!F907)))</f>
        <v>1004-KW1AI</v>
      </c>
      <c r="Q907" s="24" t="str">
        <f>IF('query (2)'!G907="","UNKNOWN",IFERROR(INDEX(Cleaning_Rules!$B$38:$B$46,MATCH(TRIM(UPPER('query (2)'!G907)),Cleaning_Rules!$A$38:$A$46,0)),"UNKNOWN"))</f>
        <v>OTHER</v>
      </c>
      <c r="R907" s="24" t="str">
        <f>IF('query (2)'!H907="","",TRIM(UPPER('query (2)'!H907)))</f>
        <v>PACKING TABLE M/C</v>
      </c>
      <c r="S907" s="25" t="str">
        <f>IF('query (2)'!H907="","",'query (2)'!H907)</f>
        <v>Packing Table M/C</v>
      </c>
      <c r="T907" s="24" t="str">
        <f>IF('query (2)'!J907="","",TRIM(UPPER('query (2)'!J907)))</f>
        <v>PACKING TABLE M/C</v>
      </c>
      <c r="U907" s="24" t="str">
        <f t="shared" si="101"/>
        <v/>
      </c>
      <c r="V907" s="24" t="str">
        <f>IF('query (2)'!K907="","NOT_SPECIFIED",IFERROR(INDEX(Cleaning_Rules!$B$32:$B$34,MATCH(TRIM(UPPER('query (2)'!K907)),Cleaning_Rules!$A$32:$A$34,0)),"UNKNOWN"))</f>
        <v>NOT_SPECIFIED</v>
      </c>
      <c r="W907" s="24" t="str">
        <f t="shared" si="102"/>
        <v>PK-1516 | FACTORY3 | KWD1 | KWD | ASSEMBLY | 1004-KW1AI | OTHER | PACKING TABLE M/C | PACKING TABLE M/C | NOT_SPECIFIED</v>
      </c>
      <c r="X907" s="24" t="str">
        <f t="shared" si="103"/>
        <v>MISSING_NO</v>
      </c>
      <c r="Y907" s="24" t="str">
        <f t="shared" si="104"/>
        <v>MISSING_STATUS; CATEGORY_NOT_USEFUL</v>
      </c>
    </row>
    <row r="908" spans="1:25" x14ac:dyDescent="0.3">
      <c r="A908" s="24" t="str">
        <f t="shared" si="98"/>
        <v>PK-1517#0907</v>
      </c>
      <c r="B908" s="24" t="str">
        <f>IF('query (2)'!B908="","",TRIM(UPPER('query (2)'!B908)))</f>
        <v>PK-1517</v>
      </c>
      <c r="C908" s="25" t="str">
        <f>IF('query (2)'!B908="","",'query (2)'!B908)</f>
        <v>PK-1517</v>
      </c>
      <c r="D908" s="24" t="str">
        <f t="shared" si="99"/>
        <v>PK</v>
      </c>
      <c r="E908" s="24">
        <f t="shared" si="100"/>
        <v>1</v>
      </c>
      <c r="F908" s="24" t="str">
        <f>IF('query (2)'!A908="","",IFERROR(VALUE('query (2)'!A908),""))</f>
        <v/>
      </c>
      <c r="G908" s="24" t="str">
        <f>IF('query (2)'!C908="","UNKNOWN",IFERROR(INDEX(Cleaning_Rules!$B$15:$B$20,MATCH(TRIM(UPPER('query (2)'!C908)),Cleaning_Rules!$A$15:$A$20,0)),"UNKNOWN"))</f>
        <v>FACTORY3</v>
      </c>
      <c r="H908" s="25" t="str">
        <f>IF('query (2)'!C908="","",'query (2)'!C908)</f>
        <v>FACTORY3</v>
      </c>
      <c r="I908" s="24" t="str" cm="1">
        <f t="array" ref="I908">_xlfn.IFS($G908="UNKNOWN","UNKNOWN",OR($G908="FACTORY1",$G908="FACTORY2",$G908="FACTORY3"),"PLANT",TRUE,"SHARED")</f>
        <v>PLANT</v>
      </c>
      <c r="J908" s="24" t="str">
        <f>IF('query (2)'!D908="","UNKNOWN",IF(COUNTIF(Cleaning_Rules!$A$6:$A$11,TRIM('query (2)'!D908))&gt;0,"UNKNOWN",IFERROR(INDEX(Cleaning_Rules!$B$24:$B$28,MATCH(TRIM(UPPER('query (2)'!D908)),Cleaning_Rules!$A$24:$A$28,0)),TRIM(UPPER('query (2)'!D908)))))</f>
        <v>KWD2</v>
      </c>
      <c r="K908" s="25" t="str">
        <f>IF('query (2)'!D908="","",'query (2)'!D908)</f>
        <v>KWD2</v>
      </c>
      <c r="L908" s="24" t="str">
        <f>IF($J908="UNKNOWN","",_xlfn.TEXTBEFORE($J908,{"0","1","2","3","4","5","6","7","8","9"," ","-","."},1,,,$J908))</f>
        <v>KWD</v>
      </c>
      <c r="M908" s="24" t="str">
        <f>IF('query (2)'!I908&lt;&gt;"",TRIM(UPPER('query (2)'!I908)),IF($L908="","UNKNOWN",$L908))</f>
        <v>KWD</v>
      </c>
      <c r="N908" s="24" t="str">
        <f>IF('query (2)'!I908&lt;&gt;"","SOURCE",IF($L908="","UNKNOWN","DERIVED"))</f>
        <v>SOURCE</v>
      </c>
      <c r="O908" s="24" t="str">
        <f>IF('query (2)'!E908="","NOT_SPECIFIED",TRIM(UPPER('query (2)'!E908)))</f>
        <v>ASSEMBLY</v>
      </c>
      <c r="P908" s="24" t="str">
        <f>IF('query (2)'!F908="","",TRIM(UPPER('query (2)'!F908)))</f>
        <v>1007-KW2AI</v>
      </c>
      <c r="Q908" s="24" t="str">
        <f>IF('query (2)'!G908="","UNKNOWN",IFERROR(INDEX(Cleaning_Rules!$B$38:$B$46,MATCH(TRIM(UPPER('query (2)'!G908)),Cleaning_Rules!$A$38:$A$46,0)),"UNKNOWN"))</f>
        <v>OTHER</v>
      </c>
      <c r="R908" s="24" t="str">
        <f>IF('query (2)'!H908="","",TRIM(UPPER('query (2)'!H908)))</f>
        <v>PACKING TABLE M/C</v>
      </c>
      <c r="S908" s="25" t="str">
        <f>IF('query (2)'!H908="","",'query (2)'!H908)</f>
        <v>Packing Table M/C</v>
      </c>
      <c r="T908" s="24" t="str">
        <f>IF('query (2)'!J908="","",TRIM(UPPER('query (2)'!J908)))</f>
        <v>PACKING TABLE M/C</v>
      </c>
      <c r="U908" s="24" t="str">
        <f t="shared" si="101"/>
        <v/>
      </c>
      <c r="V908" s="24" t="str">
        <f>IF('query (2)'!K908="","NOT_SPECIFIED",IFERROR(INDEX(Cleaning_Rules!$B$32:$B$34,MATCH(TRIM(UPPER('query (2)'!K908)),Cleaning_Rules!$A$32:$A$34,0)),"UNKNOWN"))</f>
        <v>NOT_SPECIFIED</v>
      </c>
      <c r="W908" s="24" t="str">
        <f t="shared" si="102"/>
        <v>PK-1517 | FACTORY3 | KWD2 | KWD | ASSEMBLY | 1007-KW2AI | OTHER | PACKING TABLE M/C | PACKING TABLE M/C | NOT_SPECIFIED</v>
      </c>
      <c r="X908" s="24" t="str">
        <f t="shared" si="103"/>
        <v>MISSING_NO</v>
      </c>
      <c r="Y908" s="24" t="str">
        <f t="shared" si="104"/>
        <v>MISSING_STATUS; CATEGORY_NOT_USEFUL</v>
      </c>
    </row>
    <row r="909" spans="1:25" x14ac:dyDescent="0.3">
      <c r="A909" s="24" t="str">
        <f t="shared" si="98"/>
        <v>PK-1518#0908</v>
      </c>
      <c r="B909" s="24" t="str">
        <f>IF('query (2)'!B909="","",TRIM(UPPER('query (2)'!B909)))</f>
        <v>PK-1518</v>
      </c>
      <c r="C909" s="25" t="str">
        <f>IF('query (2)'!B909="","",'query (2)'!B909)</f>
        <v>PK-1518</v>
      </c>
      <c r="D909" s="24" t="str">
        <f t="shared" si="99"/>
        <v>PK</v>
      </c>
      <c r="E909" s="24">
        <f t="shared" si="100"/>
        <v>1</v>
      </c>
      <c r="F909" s="24" t="str">
        <f>IF('query (2)'!A909="","",IFERROR(VALUE('query (2)'!A909),""))</f>
        <v/>
      </c>
      <c r="G909" s="24" t="str">
        <f>IF('query (2)'!C909="","UNKNOWN",IFERROR(INDEX(Cleaning_Rules!$B$15:$B$20,MATCH(TRIM(UPPER('query (2)'!C909)),Cleaning_Rules!$A$15:$A$20,0)),"UNKNOWN"))</f>
        <v>FACTORY3</v>
      </c>
      <c r="H909" s="25" t="str">
        <f>IF('query (2)'!C909="","",'query (2)'!C909)</f>
        <v>FACTORY3</v>
      </c>
      <c r="I909" s="24" t="str" cm="1">
        <f t="array" ref="I909">_xlfn.IFS($G909="UNKNOWN","UNKNOWN",OR($G909="FACTORY1",$G909="FACTORY2",$G909="FACTORY3"),"PLANT",TRUE,"SHARED")</f>
        <v>PLANT</v>
      </c>
      <c r="J909" s="24" t="str">
        <f>IF('query (2)'!D909="","UNKNOWN",IF(COUNTIF(Cleaning_Rules!$A$6:$A$11,TRIM('query (2)'!D909))&gt;0,"UNKNOWN",IFERROR(INDEX(Cleaning_Rules!$B$24:$B$28,MATCH(TRIM(UPPER('query (2)'!D909)),Cleaning_Rules!$A$24:$A$28,0)),TRIM(UPPER('query (2)'!D909)))))</f>
        <v>KWD3</v>
      </c>
      <c r="K909" s="25" t="str">
        <f>IF('query (2)'!D909="","",'query (2)'!D909)</f>
        <v>KWD3</v>
      </c>
      <c r="L909" s="24" t="str">
        <f>IF($J909="UNKNOWN","",_xlfn.TEXTBEFORE($J909,{"0","1","2","3","4","5","6","7","8","9"," ","-","."},1,,,$J909))</f>
        <v>KWD</v>
      </c>
      <c r="M909" s="24" t="str">
        <f>IF('query (2)'!I909&lt;&gt;"",TRIM(UPPER('query (2)'!I909)),IF($L909="","UNKNOWN",$L909))</f>
        <v>KWD</v>
      </c>
      <c r="N909" s="24" t="str">
        <f>IF('query (2)'!I909&lt;&gt;"","SOURCE",IF($L909="","UNKNOWN","DERIVED"))</f>
        <v>SOURCE</v>
      </c>
      <c r="O909" s="24" t="str">
        <f>IF('query (2)'!E909="","NOT_SPECIFIED",TRIM(UPPER('query (2)'!E909)))</f>
        <v>ASSEMBLY</v>
      </c>
      <c r="P909" s="24" t="str">
        <f>IF('query (2)'!F909="","",TRIM(UPPER('query (2)'!F909)))</f>
        <v>1010-KW3AI</v>
      </c>
      <c r="Q909" s="24" t="str">
        <f>IF('query (2)'!G909="","UNKNOWN",IFERROR(INDEX(Cleaning_Rules!$B$38:$B$46,MATCH(TRIM(UPPER('query (2)'!G909)),Cleaning_Rules!$A$38:$A$46,0)),"UNKNOWN"))</f>
        <v>OTHER</v>
      </c>
      <c r="R909" s="24" t="str">
        <f>IF('query (2)'!H909="","",TRIM(UPPER('query (2)'!H909)))</f>
        <v>PACKING TABLE M/C</v>
      </c>
      <c r="S909" s="25" t="str">
        <f>IF('query (2)'!H909="","",'query (2)'!H909)</f>
        <v>Packing Table M/C</v>
      </c>
      <c r="T909" s="24" t="str">
        <f>IF('query (2)'!J909="","",TRIM(UPPER('query (2)'!J909)))</f>
        <v>PACKING TABLE M/C</v>
      </c>
      <c r="U909" s="24" t="str">
        <f t="shared" si="101"/>
        <v/>
      </c>
      <c r="V909" s="24" t="str">
        <f>IF('query (2)'!K909="","NOT_SPECIFIED",IFERROR(INDEX(Cleaning_Rules!$B$32:$B$34,MATCH(TRIM(UPPER('query (2)'!K909)),Cleaning_Rules!$A$32:$A$34,0)),"UNKNOWN"))</f>
        <v>NOT_SPECIFIED</v>
      </c>
      <c r="W909" s="24" t="str">
        <f t="shared" si="102"/>
        <v>PK-1518 | FACTORY3 | KWD3 | KWD | ASSEMBLY | 1010-KW3AI | OTHER | PACKING TABLE M/C | PACKING TABLE M/C | NOT_SPECIFIED</v>
      </c>
      <c r="X909" s="24" t="str">
        <f t="shared" si="103"/>
        <v>MISSING_NO</v>
      </c>
      <c r="Y909" s="24" t="str">
        <f t="shared" si="104"/>
        <v>MISSING_STATUS; CATEGORY_NOT_USEFUL</v>
      </c>
    </row>
    <row r="910" spans="1:25" x14ac:dyDescent="0.3">
      <c r="A910" s="24" t="str">
        <f t="shared" si="98"/>
        <v>PK-1519#0909</v>
      </c>
      <c r="B910" s="24" t="str">
        <f>IF('query (2)'!B910="","",TRIM(UPPER('query (2)'!B910)))</f>
        <v>PK-1519</v>
      </c>
      <c r="C910" s="25" t="str">
        <f>IF('query (2)'!B910="","",'query (2)'!B910)</f>
        <v>PK-1519</v>
      </c>
      <c r="D910" s="24" t="str">
        <f t="shared" si="99"/>
        <v>PK</v>
      </c>
      <c r="E910" s="24">
        <f t="shared" si="100"/>
        <v>1</v>
      </c>
      <c r="F910" s="24" t="str">
        <f>IF('query (2)'!A910="","",IFERROR(VALUE('query (2)'!A910),""))</f>
        <v/>
      </c>
      <c r="G910" s="24" t="str">
        <f>IF('query (2)'!C910="","UNKNOWN",IFERROR(INDEX(Cleaning_Rules!$B$15:$B$20,MATCH(TRIM(UPPER('query (2)'!C910)),Cleaning_Rules!$A$15:$A$20,0)),"UNKNOWN"))</f>
        <v>FACTORY3</v>
      </c>
      <c r="H910" s="25" t="str">
        <f>IF('query (2)'!C910="","",'query (2)'!C910)</f>
        <v>FACTORY3</v>
      </c>
      <c r="I910" s="24" t="str" cm="1">
        <f t="array" ref="I910">_xlfn.IFS($G910="UNKNOWN","UNKNOWN",OR($G910="FACTORY1",$G910="FACTORY2",$G910="FACTORY3"),"PLANT",TRUE,"SHARED")</f>
        <v>PLANT</v>
      </c>
      <c r="J910" s="24" t="str">
        <f>IF('query (2)'!D910="","UNKNOWN",IF(COUNTIF(Cleaning_Rules!$A$6:$A$11,TRIM('query (2)'!D910))&gt;0,"UNKNOWN",IFERROR(INDEX(Cleaning_Rules!$B$24:$B$28,MATCH(TRIM(UPPER('query (2)'!D910)),Cleaning_Rules!$A$24:$A$28,0)),TRIM(UPPER('query (2)'!D910)))))</f>
        <v>KWD4</v>
      </c>
      <c r="K910" s="25" t="str">
        <f>IF('query (2)'!D910="","",'query (2)'!D910)</f>
        <v>KWD4</v>
      </c>
      <c r="L910" s="24" t="str">
        <f>IF($J910="UNKNOWN","",_xlfn.TEXTBEFORE($J910,{"0","1","2","3","4","5","6","7","8","9"," ","-","."},1,,,$J910))</f>
        <v>KWD</v>
      </c>
      <c r="M910" s="24" t="str">
        <f>IF('query (2)'!I910&lt;&gt;"",TRIM(UPPER('query (2)'!I910)),IF($L910="","UNKNOWN",$L910))</f>
        <v>KWD</v>
      </c>
      <c r="N910" s="24" t="str">
        <f>IF('query (2)'!I910&lt;&gt;"","SOURCE",IF($L910="","UNKNOWN","DERIVED"))</f>
        <v>SOURCE</v>
      </c>
      <c r="O910" s="24" t="str">
        <f>IF('query (2)'!E910="","NOT_SPECIFIED",TRIM(UPPER('query (2)'!E910)))</f>
        <v>ASSEMBLY</v>
      </c>
      <c r="P910" s="24" t="str">
        <f>IF('query (2)'!F910="","",TRIM(UPPER('query (2)'!F910)))</f>
        <v>1013-KW4AI</v>
      </c>
      <c r="Q910" s="24" t="str">
        <f>IF('query (2)'!G910="","UNKNOWN",IFERROR(INDEX(Cleaning_Rules!$B$38:$B$46,MATCH(TRIM(UPPER('query (2)'!G910)),Cleaning_Rules!$A$38:$A$46,0)),"UNKNOWN"))</f>
        <v>OTHER</v>
      </c>
      <c r="R910" s="24" t="str">
        <f>IF('query (2)'!H910="","",TRIM(UPPER('query (2)'!H910)))</f>
        <v>PACKING TABLE M/C</v>
      </c>
      <c r="S910" s="25" t="str">
        <f>IF('query (2)'!H910="","",'query (2)'!H910)</f>
        <v>Packing Table M/C</v>
      </c>
      <c r="T910" s="24" t="str">
        <f>IF('query (2)'!J910="","",TRIM(UPPER('query (2)'!J910)))</f>
        <v>PACKING TABLE M/C</v>
      </c>
      <c r="U910" s="24" t="str">
        <f t="shared" si="101"/>
        <v/>
      </c>
      <c r="V910" s="24" t="str">
        <f>IF('query (2)'!K910="","NOT_SPECIFIED",IFERROR(INDEX(Cleaning_Rules!$B$32:$B$34,MATCH(TRIM(UPPER('query (2)'!K910)),Cleaning_Rules!$A$32:$A$34,0)),"UNKNOWN"))</f>
        <v>NOT_SPECIFIED</v>
      </c>
      <c r="W910" s="24" t="str">
        <f t="shared" si="102"/>
        <v>PK-1519 | FACTORY3 | KWD4 | KWD | ASSEMBLY | 1013-KW4AI | OTHER | PACKING TABLE M/C | PACKING TABLE M/C | NOT_SPECIFIED</v>
      </c>
      <c r="X910" s="24" t="str">
        <f t="shared" si="103"/>
        <v>MISSING_NO</v>
      </c>
      <c r="Y910" s="24" t="str">
        <f t="shared" si="104"/>
        <v>MISSING_STATUS; CATEGORY_NOT_USEFUL</v>
      </c>
    </row>
    <row r="911" spans="1:25" x14ac:dyDescent="0.3">
      <c r="A911" s="24" t="str">
        <f t="shared" si="98"/>
        <v>PK-1520#0910</v>
      </c>
      <c r="B911" s="24" t="str">
        <f>IF('query (2)'!B911="","",TRIM(UPPER('query (2)'!B911)))</f>
        <v>PK-1520</v>
      </c>
      <c r="C911" s="25" t="str">
        <f>IF('query (2)'!B911="","",'query (2)'!B911)</f>
        <v>PK-1520</v>
      </c>
      <c r="D911" s="24" t="str">
        <f t="shared" si="99"/>
        <v>PK</v>
      </c>
      <c r="E911" s="24">
        <f t="shared" si="100"/>
        <v>1</v>
      </c>
      <c r="F911" s="24" t="str">
        <f>IF('query (2)'!A911="","",IFERROR(VALUE('query (2)'!A911),""))</f>
        <v/>
      </c>
      <c r="G911" s="24" t="str">
        <f>IF('query (2)'!C911="","UNKNOWN",IFERROR(INDEX(Cleaning_Rules!$B$15:$B$20,MATCH(TRIM(UPPER('query (2)'!C911)),Cleaning_Rules!$A$15:$A$20,0)),"UNKNOWN"))</f>
        <v>FACTORY3</v>
      </c>
      <c r="H911" s="25" t="str">
        <f>IF('query (2)'!C911="","",'query (2)'!C911)</f>
        <v>FACTORY3</v>
      </c>
      <c r="I911" s="24" t="str" cm="1">
        <f t="array" ref="I911">_xlfn.IFS($G911="UNKNOWN","UNKNOWN",OR($G911="FACTORY1",$G911="FACTORY2",$G911="FACTORY3"),"PLANT",TRUE,"SHARED")</f>
        <v>PLANT</v>
      </c>
      <c r="J911" s="24" t="str">
        <f>IF('query (2)'!D911="","UNKNOWN",IF(COUNTIF(Cleaning_Rules!$A$6:$A$11,TRIM('query (2)'!D911))&gt;0,"UNKNOWN",IFERROR(INDEX(Cleaning_Rules!$B$24:$B$28,MATCH(TRIM(UPPER('query (2)'!D911)),Cleaning_Rules!$A$24:$A$28,0)),TRIM(UPPER('query (2)'!D911)))))</f>
        <v>KWD5</v>
      </c>
      <c r="K911" s="25" t="str">
        <f>IF('query (2)'!D911="","",'query (2)'!D911)</f>
        <v>KWD5</v>
      </c>
      <c r="L911" s="24" t="str">
        <f>IF($J911="UNKNOWN","",_xlfn.TEXTBEFORE($J911,{"0","1","2","3","4","5","6","7","8","9"," ","-","."},1,,,$J911))</f>
        <v>KWD</v>
      </c>
      <c r="M911" s="24" t="str">
        <f>IF('query (2)'!I911&lt;&gt;"",TRIM(UPPER('query (2)'!I911)),IF($L911="","UNKNOWN",$L911))</f>
        <v>KWD</v>
      </c>
      <c r="N911" s="24" t="str">
        <f>IF('query (2)'!I911&lt;&gt;"","SOURCE",IF($L911="","UNKNOWN","DERIVED"))</f>
        <v>SOURCE</v>
      </c>
      <c r="O911" s="24" t="str">
        <f>IF('query (2)'!E911="","NOT_SPECIFIED",TRIM(UPPER('query (2)'!E911)))</f>
        <v>ASSEMBLY</v>
      </c>
      <c r="P911" s="24" t="str">
        <f>IF('query (2)'!F911="","",TRIM(UPPER('query (2)'!F911)))</f>
        <v>1016-KW5AI</v>
      </c>
      <c r="Q911" s="24" t="str">
        <f>IF('query (2)'!G911="","UNKNOWN",IFERROR(INDEX(Cleaning_Rules!$B$38:$B$46,MATCH(TRIM(UPPER('query (2)'!G911)),Cleaning_Rules!$A$38:$A$46,0)),"UNKNOWN"))</f>
        <v>OTHER</v>
      </c>
      <c r="R911" s="24" t="str">
        <f>IF('query (2)'!H911="","",TRIM(UPPER('query (2)'!H911)))</f>
        <v>PACKING TABLE M/C</v>
      </c>
      <c r="S911" s="25" t="str">
        <f>IF('query (2)'!H911="","",'query (2)'!H911)</f>
        <v>Packing Table M/C</v>
      </c>
      <c r="T911" s="24" t="str">
        <f>IF('query (2)'!J911="","",TRIM(UPPER('query (2)'!J911)))</f>
        <v>PACKING TABLE M/C</v>
      </c>
      <c r="U911" s="24" t="str">
        <f t="shared" si="101"/>
        <v/>
      </c>
      <c r="V911" s="24" t="str">
        <f>IF('query (2)'!K911="","NOT_SPECIFIED",IFERROR(INDEX(Cleaning_Rules!$B$32:$B$34,MATCH(TRIM(UPPER('query (2)'!K911)),Cleaning_Rules!$A$32:$A$34,0)),"UNKNOWN"))</f>
        <v>NOT_SPECIFIED</v>
      </c>
      <c r="W911" s="24" t="str">
        <f t="shared" si="102"/>
        <v>PK-1520 | FACTORY3 | KWD5 | KWD | ASSEMBLY | 1016-KW5AI | OTHER | PACKING TABLE M/C | PACKING TABLE M/C | NOT_SPECIFIED</v>
      </c>
      <c r="X911" s="24" t="str">
        <f t="shared" si="103"/>
        <v>MISSING_NO</v>
      </c>
      <c r="Y911" s="24" t="str">
        <f t="shared" si="104"/>
        <v>MISSING_STATUS; CATEGORY_NOT_USEFUL</v>
      </c>
    </row>
    <row r="912" spans="1:25" x14ac:dyDescent="0.3">
      <c r="A912" s="24" t="str">
        <f t="shared" si="98"/>
        <v>PK-1521#0911</v>
      </c>
      <c r="B912" s="24" t="str">
        <f>IF('query (2)'!B912="","",TRIM(UPPER('query (2)'!B912)))</f>
        <v>PK-1521</v>
      </c>
      <c r="C912" s="25" t="str">
        <f>IF('query (2)'!B912="","",'query (2)'!B912)</f>
        <v>PK-1521</v>
      </c>
      <c r="D912" s="24" t="str">
        <f t="shared" si="99"/>
        <v>PK</v>
      </c>
      <c r="E912" s="24">
        <f t="shared" si="100"/>
        <v>1</v>
      </c>
      <c r="F912" s="24" t="str">
        <f>IF('query (2)'!A912="","",IFERROR(VALUE('query (2)'!A912),""))</f>
        <v/>
      </c>
      <c r="G912" s="24" t="str">
        <f>IF('query (2)'!C912="","UNKNOWN",IFERROR(INDEX(Cleaning_Rules!$B$15:$B$20,MATCH(TRIM(UPPER('query (2)'!C912)),Cleaning_Rules!$A$15:$A$20,0)),"UNKNOWN"))</f>
        <v>FACTORY3</v>
      </c>
      <c r="H912" s="25" t="str">
        <f>IF('query (2)'!C912="","",'query (2)'!C912)</f>
        <v>FACTORY3</v>
      </c>
      <c r="I912" s="24" t="str" cm="1">
        <f t="array" ref="I912">_xlfn.IFS($G912="UNKNOWN","UNKNOWN",OR($G912="FACTORY1",$G912="FACTORY2",$G912="FACTORY3"),"PLANT",TRUE,"SHARED")</f>
        <v>PLANT</v>
      </c>
      <c r="J912" s="24" t="str">
        <f>IF('query (2)'!D912="","UNKNOWN",IF(COUNTIF(Cleaning_Rules!$A$6:$A$11,TRIM('query (2)'!D912))&gt;0,"UNKNOWN",IFERROR(INDEX(Cleaning_Rules!$B$24:$B$28,MATCH(TRIM(UPPER('query (2)'!D912)),Cleaning_Rules!$A$24:$A$28,0)),TRIM(UPPER('query (2)'!D912)))))</f>
        <v>KWD6</v>
      </c>
      <c r="K912" s="25" t="str">
        <f>IF('query (2)'!D912="","",'query (2)'!D912)</f>
        <v>KWD6</v>
      </c>
      <c r="L912" s="24" t="str">
        <f>IF($J912="UNKNOWN","",_xlfn.TEXTBEFORE($J912,{"0","1","2","3","4","5","6","7","8","9"," ","-","."},1,,,$J912))</f>
        <v>KWD</v>
      </c>
      <c r="M912" s="24" t="str">
        <f>IF('query (2)'!I912&lt;&gt;"",TRIM(UPPER('query (2)'!I912)),IF($L912="","UNKNOWN",$L912))</f>
        <v>KWD</v>
      </c>
      <c r="N912" s="24" t="str">
        <f>IF('query (2)'!I912&lt;&gt;"","SOURCE",IF($L912="","UNKNOWN","DERIVED"))</f>
        <v>SOURCE</v>
      </c>
      <c r="O912" s="24" t="str">
        <f>IF('query (2)'!E912="","NOT_SPECIFIED",TRIM(UPPER('query (2)'!E912)))</f>
        <v>ASSEMBLY</v>
      </c>
      <c r="P912" s="24" t="str">
        <f>IF('query (2)'!F912="","",TRIM(UPPER('query (2)'!F912)))</f>
        <v>1019-KW6AI</v>
      </c>
      <c r="Q912" s="24" t="str">
        <f>IF('query (2)'!G912="","UNKNOWN",IFERROR(INDEX(Cleaning_Rules!$B$38:$B$46,MATCH(TRIM(UPPER('query (2)'!G912)),Cleaning_Rules!$A$38:$A$46,0)),"UNKNOWN"))</f>
        <v>OTHER</v>
      </c>
      <c r="R912" s="24" t="str">
        <f>IF('query (2)'!H912="","",TRIM(UPPER('query (2)'!H912)))</f>
        <v>PACKING TABLE M/C</v>
      </c>
      <c r="S912" s="25" t="str">
        <f>IF('query (2)'!H912="","",'query (2)'!H912)</f>
        <v>Packing Table M/C</v>
      </c>
      <c r="T912" s="24" t="str">
        <f>IF('query (2)'!J912="","",TRIM(UPPER('query (2)'!J912)))</f>
        <v>PACKING TABLE M/C</v>
      </c>
      <c r="U912" s="24" t="str">
        <f t="shared" si="101"/>
        <v/>
      </c>
      <c r="V912" s="24" t="str">
        <f>IF('query (2)'!K912="","NOT_SPECIFIED",IFERROR(INDEX(Cleaning_Rules!$B$32:$B$34,MATCH(TRIM(UPPER('query (2)'!K912)),Cleaning_Rules!$A$32:$A$34,0)),"UNKNOWN"))</f>
        <v>NOT_SPECIFIED</v>
      </c>
      <c r="W912" s="24" t="str">
        <f t="shared" si="102"/>
        <v>PK-1521 | FACTORY3 | KWD6 | KWD | ASSEMBLY | 1019-KW6AI | OTHER | PACKING TABLE M/C | PACKING TABLE M/C | NOT_SPECIFIED</v>
      </c>
      <c r="X912" s="24" t="str">
        <f t="shared" si="103"/>
        <v>MISSING_NO</v>
      </c>
      <c r="Y912" s="24" t="str">
        <f t="shared" si="104"/>
        <v>MISSING_STATUS; CATEGORY_NOT_USEFUL</v>
      </c>
    </row>
    <row r="913" spans="1:25" x14ac:dyDescent="0.3">
      <c r="A913" s="24" t="str">
        <f t="shared" si="98"/>
        <v>PK-1522#0912</v>
      </c>
      <c r="B913" s="24" t="str">
        <f>IF('query (2)'!B913="","",TRIM(UPPER('query (2)'!B913)))</f>
        <v>PK-1522</v>
      </c>
      <c r="C913" s="25" t="str">
        <f>IF('query (2)'!B913="","",'query (2)'!B913)</f>
        <v>PK-1522</v>
      </c>
      <c r="D913" s="24" t="str">
        <f t="shared" si="99"/>
        <v>PK</v>
      </c>
      <c r="E913" s="24">
        <f t="shared" si="100"/>
        <v>1</v>
      </c>
      <c r="F913" s="24" t="str">
        <f>IF('query (2)'!A913="","",IFERROR(VALUE('query (2)'!A913),""))</f>
        <v/>
      </c>
      <c r="G913" s="24" t="str">
        <f>IF('query (2)'!C913="","UNKNOWN",IFERROR(INDEX(Cleaning_Rules!$B$15:$B$20,MATCH(TRIM(UPPER('query (2)'!C913)),Cleaning_Rules!$A$15:$A$20,0)),"UNKNOWN"))</f>
        <v>FACTORY3</v>
      </c>
      <c r="H913" s="25" t="str">
        <f>IF('query (2)'!C913="","",'query (2)'!C913)</f>
        <v>FACTORY3</v>
      </c>
      <c r="I913" s="24" t="str" cm="1">
        <f t="array" ref="I913">_xlfn.IFS($G913="UNKNOWN","UNKNOWN",OR($G913="FACTORY1",$G913="FACTORY2",$G913="FACTORY3"),"PLANT",TRUE,"SHARED")</f>
        <v>PLANT</v>
      </c>
      <c r="J913" s="24" t="str">
        <f>IF('query (2)'!D913="","UNKNOWN",IF(COUNTIF(Cleaning_Rules!$A$6:$A$11,TRIM('query (2)'!D913))&gt;0,"UNKNOWN",IFERROR(INDEX(Cleaning_Rules!$B$24:$B$28,MATCH(TRIM(UPPER('query (2)'!D913)),Cleaning_Rules!$A$24:$A$28,0)),TRIM(UPPER('query (2)'!D913)))))</f>
        <v>KWD7</v>
      </c>
      <c r="K913" s="25" t="str">
        <f>IF('query (2)'!D913="","",'query (2)'!D913)</f>
        <v>KWD7</v>
      </c>
      <c r="L913" s="24" t="str">
        <f>IF($J913="UNKNOWN","",_xlfn.TEXTBEFORE($J913,{"0","1","2","3","4","5","6","7","8","9"," ","-","."},1,,,$J913))</f>
        <v>KWD</v>
      </c>
      <c r="M913" s="24" t="str">
        <f>IF('query (2)'!I913&lt;&gt;"",TRIM(UPPER('query (2)'!I913)),IF($L913="","UNKNOWN",$L913))</f>
        <v>KWD</v>
      </c>
      <c r="N913" s="24" t="str">
        <f>IF('query (2)'!I913&lt;&gt;"","SOURCE",IF($L913="","UNKNOWN","DERIVED"))</f>
        <v>SOURCE</v>
      </c>
      <c r="O913" s="24" t="str">
        <f>IF('query (2)'!E913="","NOT_SPECIFIED",TRIM(UPPER('query (2)'!E913)))</f>
        <v>ASSEMBLY</v>
      </c>
      <c r="P913" s="24" t="str">
        <f>IF('query (2)'!F913="","",TRIM(UPPER('query (2)'!F913)))</f>
        <v>1025-KW7AI</v>
      </c>
      <c r="Q913" s="24" t="str">
        <f>IF('query (2)'!G913="","UNKNOWN",IFERROR(INDEX(Cleaning_Rules!$B$38:$B$46,MATCH(TRIM(UPPER('query (2)'!G913)),Cleaning_Rules!$A$38:$A$46,0)),"UNKNOWN"))</f>
        <v>OTHER</v>
      </c>
      <c r="R913" s="24" t="str">
        <f>IF('query (2)'!H913="","",TRIM(UPPER('query (2)'!H913)))</f>
        <v>PACKING TABLE M/C</v>
      </c>
      <c r="S913" s="25" t="str">
        <f>IF('query (2)'!H913="","",'query (2)'!H913)</f>
        <v>Packing Table M/C</v>
      </c>
      <c r="T913" s="24" t="str">
        <f>IF('query (2)'!J913="","",TRIM(UPPER('query (2)'!J913)))</f>
        <v>PACKING TABLE M/C</v>
      </c>
      <c r="U913" s="24" t="str">
        <f t="shared" si="101"/>
        <v/>
      </c>
      <c r="V913" s="24" t="str">
        <f>IF('query (2)'!K913="","NOT_SPECIFIED",IFERROR(INDEX(Cleaning_Rules!$B$32:$B$34,MATCH(TRIM(UPPER('query (2)'!K913)),Cleaning_Rules!$A$32:$A$34,0)),"UNKNOWN"))</f>
        <v>NOT_SPECIFIED</v>
      </c>
      <c r="W913" s="24" t="str">
        <f t="shared" si="102"/>
        <v>PK-1522 | FACTORY3 | KWD7 | KWD | ASSEMBLY | 1025-KW7AI | OTHER | PACKING TABLE M/C | PACKING TABLE M/C | NOT_SPECIFIED</v>
      </c>
      <c r="X913" s="24" t="str">
        <f t="shared" si="103"/>
        <v>MISSING_NO</v>
      </c>
      <c r="Y913" s="24" t="str">
        <f t="shared" si="104"/>
        <v>MISSING_STATUS; CATEGORY_NOT_USEFUL</v>
      </c>
    </row>
    <row r="914" spans="1:25" x14ac:dyDescent="0.3">
      <c r="A914" s="24" t="str">
        <f t="shared" si="98"/>
        <v>HT1#0913</v>
      </c>
      <c r="B914" s="24" t="str">
        <f>IF('query (2)'!B914="","",TRIM(UPPER('query (2)'!B914)))</f>
        <v>HT1</v>
      </c>
      <c r="C914" s="25" t="str">
        <f>IF('query (2)'!B914="","",'query (2)'!B914)</f>
        <v>HT1</v>
      </c>
      <c r="D914" s="24" t="str">
        <f t="shared" si="99"/>
        <v>NO_PREFIX</v>
      </c>
      <c r="E914" s="24">
        <f t="shared" si="100"/>
        <v>1</v>
      </c>
      <c r="F914" s="24" t="str">
        <f>IF('query (2)'!A914="","",IFERROR(VALUE('query (2)'!A914),""))</f>
        <v/>
      </c>
      <c r="G914" s="24" t="str">
        <f>IF('query (2)'!C914="","UNKNOWN",IFERROR(INDEX(Cleaning_Rules!$B$15:$B$20,MATCH(TRIM(UPPER('query (2)'!C914)),Cleaning_Rules!$A$15:$A$20,0)),"UNKNOWN"))</f>
        <v>FACTORY1</v>
      </c>
      <c r="H914" s="25" t="str">
        <f>IF('query (2)'!C914="","",'query (2)'!C914)</f>
        <v>FACTORY1</v>
      </c>
      <c r="I914" s="24" t="str" cm="1">
        <f t="array" ref="I914">_xlfn.IFS($G914="UNKNOWN","UNKNOWN",OR($G914="FACTORY1",$G914="FACTORY2",$G914="FACTORY3"),"PLANT",TRUE,"SHARED")</f>
        <v>PLANT</v>
      </c>
      <c r="J914" s="24" t="str">
        <f>IF('query (2)'!D914="","UNKNOWN",IF(COUNTIF(Cleaning_Rules!$A$6:$A$11,TRIM('query (2)'!D914))&gt;0,"UNKNOWN",IFERROR(INDEX(Cleaning_Rules!$B$24:$B$28,MATCH(TRIM(UPPER('query (2)'!D914)),Cleaning_Rules!$A$24:$A$28,0)),TRIM(UPPER('query (2)'!D914)))))</f>
        <v>HT</v>
      </c>
      <c r="K914" s="25" t="str">
        <f>IF('query (2)'!D914="","",'query (2)'!D914)</f>
        <v>HT</v>
      </c>
      <c r="L914" s="24" t="str">
        <f>IF($J914="UNKNOWN","",_xlfn.TEXTBEFORE($J914,{"0","1","2","3","4","5","6","7","8","9"," ","-","."},1,,,$J914))</f>
        <v>HT</v>
      </c>
      <c r="M914" s="24" t="str">
        <f>IF('query (2)'!I914&lt;&gt;"",TRIM(UPPER('query (2)'!I914)),IF($L914="","UNKNOWN",$L914))</f>
        <v>HT</v>
      </c>
      <c r="N914" s="24" t="str">
        <f>IF('query (2)'!I914&lt;&gt;"","SOURCE",IF($L914="","UNKNOWN","DERIVED"))</f>
        <v>SOURCE</v>
      </c>
      <c r="O914" s="24" t="str">
        <f>IF('query (2)'!E914="","NOT_SPECIFIED",TRIM(UPPER('query (2)'!E914)))</f>
        <v>GRINDING 1</v>
      </c>
      <c r="P914" s="24" t="str">
        <f>IF('query (2)'!F914="","",TRIM(UPPER('query (2)'!F914)))</f>
        <v/>
      </c>
      <c r="Q914" s="24" t="str">
        <f>IF('query (2)'!G914="","UNKNOWN",IFERROR(INDEX(Cleaning_Rules!$B$38:$B$46,MATCH(TRIM(UPPER('query (2)'!G914)),Cleaning_Rules!$A$38:$A$46,0)),"UNKNOWN"))</f>
        <v>OTHER</v>
      </c>
      <c r="R914" s="24" t="str">
        <f>IF('query (2)'!H914="","",TRIM(UPPER('query (2)'!H914)))</f>
        <v>YMQ1</v>
      </c>
      <c r="S914" s="25" t="str">
        <f>IF('query (2)'!H914="","",'query (2)'!H914)</f>
        <v>YMQ1</v>
      </c>
      <c r="T914" s="24" t="str">
        <f>IF('query (2)'!J914="","",TRIM(UPPER('query (2)'!J914)))</f>
        <v/>
      </c>
      <c r="U914" s="24" t="str">
        <f t="shared" si="101"/>
        <v/>
      </c>
      <c r="V914" s="24" t="str">
        <f>IF('query (2)'!K914="","NOT_SPECIFIED",IFERROR(INDEX(Cleaning_Rules!$B$32:$B$34,MATCH(TRIM(UPPER('query (2)'!K914)),Cleaning_Rules!$A$32:$A$34,0)),"UNKNOWN"))</f>
        <v>REJECTED</v>
      </c>
      <c r="W914" s="24" t="str">
        <f t="shared" si="102"/>
        <v>HT1 | FACTORY1 | HT | HT | GRINDING 1 | OTHER | YMQ1 | REJECTED</v>
      </c>
      <c r="X914" s="24" t="str">
        <f t="shared" si="103"/>
        <v>MISSING_NO; MISSING_COST_CENTER</v>
      </c>
      <c r="Y914" s="24" t="str">
        <f t="shared" si="104"/>
        <v>CATEGORY_NOT_USEFUL; MISSING_PRODUCTION_NAME</v>
      </c>
    </row>
    <row r="915" spans="1:25" x14ac:dyDescent="0.3">
      <c r="A915" s="24" t="str">
        <f t="shared" si="98"/>
        <v>HT2#0914</v>
      </c>
      <c r="B915" s="24" t="str">
        <f>IF('query (2)'!B915="","",TRIM(UPPER('query (2)'!B915)))</f>
        <v>HT2</v>
      </c>
      <c r="C915" s="25" t="str">
        <f>IF('query (2)'!B915="","",'query (2)'!B915)</f>
        <v>HT2</v>
      </c>
      <c r="D915" s="24" t="str">
        <f t="shared" si="99"/>
        <v>NO_PREFIX</v>
      </c>
      <c r="E915" s="24">
        <f t="shared" si="100"/>
        <v>1</v>
      </c>
      <c r="F915" s="24" t="str">
        <f>IF('query (2)'!A915="","",IFERROR(VALUE('query (2)'!A915),""))</f>
        <v/>
      </c>
      <c r="G915" s="24" t="str">
        <f>IF('query (2)'!C915="","UNKNOWN",IFERROR(INDEX(Cleaning_Rules!$B$15:$B$20,MATCH(TRIM(UPPER('query (2)'!C915)),Cleaning_Rules!$A$15:$A$20,0)),"UNKNOWN"))</f>
        <v>FACTORY1</v>
      </c>
      <c r="H915" s="25" t="str">
        <f>IF('query (2)'!C915="","",'query (2)'!C915)</f>
        <v>FACTORY1</v>
      </c>
      <c r="I915" s="24" t="str" cm="1">
        <f t="array" ref="I915">_xlfn.IFS($G915="UNKNOWN","UNKNOWN",OR($G915="FACTORY1",$G915="FACTORY2",$G915="FACTORY3"),"PLANT",TRUE,"SHARED")</f>
        <v>PLANT</v>
      </c>
      <c r="J915" s="24" t="str">
        <f>IF('query (2)'!D915="","UNKNOWN",IF(COUNTIF(Cleaning_Rules!$A$6:$A$11,TRIM('query (2)'!D915))&gt;0,"UNKNOWN",IFERROR(INDEX(Cleaning_Rules!$B$24:$B$28,MATCH(TRIM(UPPER('query (2)'!D915)),Cleaning_Rules!$A$24:$A$28,0)),TRIM(UPPER('query (2)'!D915)))))</f>
        <v>HT</v>
      </c>
      <c r="K915" s="25" t="str">
        <f>IF('query (2)'!D915="","",'query (2)'!D915)</f>
        <v>HT</v>
      </c>
      <c r="L915" s="24" t="str">
        <f>IF($J915="UNKNOWN","",_xlfn.TEXTBEFORE($J915,{"0","1","2","3","4","5","6","7","8","9"," ","-","."},1,,,$J915))</f>
        <v>HT</v>
      </c>
      <c r="M915" s="24" t="str">
        <f>IF('query (2)'!I915&lt;&gt;"",TRIM(UPPER('query (2)'!I915)),IF($L915="","UNKNOWN",$L915))</f>
        <v>HT</v>
      </c>
      <c r="N915" s="24" t="str">
        <f>IF('query (2)'!I915&lt;&gt;"","SOURCE",IF($L915="","UNKNOWN","DERIVED"))</f>
        <v>SOURCE</v>
      </c>
      <c r="O915" s="24" t="str">
        <f>IF('query (2)'!E915="","NOT_SPECIFIED",TRIM(UPPER('query (2)'!E915)))</f>
        <v>GRINDING 1</v>
      </c>
      <c r="P915" s="24" t="str">
        <f>IF('query (2)'!F915="","",TRIM(UPPER('query (2)'!F915)))</f>
        <v/>
      </c>
      <c r="Q915" s="24" t="str">
        <f>IF('query (2)'!G915="","UNKNOWN",IFERROR(INDEX(Cleaning_Rules!$B$38:$B$46,MATCH(TRIM(UPPER('query (2)'!G915)),Cleaning_Rules!$A$38:$A$46,0)),"UNKNOWN"))</f>
        <v>OTHER</v>
      </c>
      <c r="R915" s="24" t="str">
        <f>IF('query (2)'!H915="","",TRIM(UPPER('query (2)'!H915)))</f>
        <v>YMQ2</v>
      </c>
      <c r="S915" s="25" t="str">
        <f>IF('query (2)'!H915="","",'query (2)'!H915)</f>
        <v>YMQ2</v>
      </c>
      <c r="T915" s="24" t="str">
        <f>IF('query (2)'!J915="","",TRIM(UPPER('query (2)'!J915)))</f>
        <v/>
      </c>
      <c r="U915" s="24" t="str">
        <f t="shared" si="101"/>
        <v/>
      </c>
      <c r="V915" s="24" t="str">
        <f>IF('query (2)'!K915="","NOT_SPECIFIED",IFERROR(INDEX(Cleaning_Rules!$B$32:$B$34,MATCH(TRIM(UPPER('query (2)'!K915)),Cleaning_Rules!$A$32:$A$34,0)),"UNKNOWN"))</f>
        <v>REJECTED</v>
      </c>
      <c r="W915" s="24" t="str">
        <f t="shared" si="102"/>
        <v>HT2 | FACTORY1 | HT | HT | GRINDING 1 | OTHER | YMQ2 | REJECTED</v>
      </c>
      <c r="X915" s="24" t="str">
        <f t="shared" si="103"/>
        <v>MISSING_NO; MISSING_COST_CENTER</v>
      </c>
      <c r="Y915" s="24" t="str">
        <f t="shared" si="104"/>
        <v>CATEGORY_NOT_USEFUL; MISSING_PRODUCTION_NAME</v>
      </c>
    </row>
    <row r="916" spans="1:25" x14ac:dyDescent="0.3">
      <c r="A916" s="24" t="str">
        <f t="shared" si="98"/>
        <v>HT3#0915</v>
      </c>
      <c r="B916" s="24" t="str">
        <f>IF('query (2)'!B916="","",TRIM(UPPER('query (2)'!B916)))</f>
        <v>HT3</v>
      </c>
      <c r="C916" s="25" t="str">
        <f>IF('query (2)'!B916="","",'query (2)'!B916)</f>
        <v>HT3</v>
      </c>
      <c r="D916" s="24" t="str">
        <f t="shared" si="99"/>
        <v>NO_PREFIX</v>
      </c>
      <c r="E916" s="24">
        <f t="shared" si="100"/>
        <v>1</v>
      </c>
      <c r="F916" s="24" t="str">
        <f>IF('query (2)'!A916="","",IFERROR(VALUE('query (2)'!A916),""))</f>
        <v/>
      </c>
      <c r="G916" s="24" t="str">
        <f>IF('query (2)'!C916="","UNKNOWN",IFERROR(INDEX(Cleaning_Rules!$B$15:$B$20,MATCH(TRIM(UPPER('query (2)'!C916)),Cleaning_Rules!$A$15:$A$20,0)),"UNKNOWN"))</f>
        <v>FACTORY1</v>
      </c>
      <c r="H916" s="25" t="str">
        <f>IF('query (2)'!C916="","",'query (2)'!C916)</f>
        <v>FACTORY1</v>
      </c>
      <c r="I916" s="24" t="str" cm="1">
        <f t="array" ref="I916">_xlfn.IFS($G916="UNKNOWN","UNKNOWN",OR($G916="FACTORY1",$G916="FACTORY2",$G916="FACTORY3"),"PLANT",TRUE,"SHARED")</f>
        <v>PLANT</v>
      </c>
      <c r="J916" s="24" t="str">
        <f>IF('query (2)'!D916="","UNKNOWN",IF(COUNTIF(Cleaning_Rules!$A$6:$A$11,TRIM('query (2)'!D916))&gt;0,"UNKNOWN",IFERROR(INDEX(Cleaning_Rules!$B$24:$B$28,MATCH(TRIM(UPPER('query (2)'!D916)),Cleaning_Rules!$A$24:$A$28,0)),TRIM(UPPER('query (2)'!D916)))))</f>
        <v>HT</v>
      </c>
      <c r="K916" s="25" t="str">
        <f>IF('query (2)'!D916="","",'query (2)'!D916)</f>
        <v>HT</v>
      </c>
      <c r="L916" s="24" t="str">
        <f>IF($J916="UNKNOWN","",_xlfn.TEXTBEFORE($J916,{"0","1","2","3","4","5","6","7","8","9"," ","-","."},1,,,$J916))</f>
        <v>HT</v>
      </c>
      <c r="M916" s="24" t="str">
        <f>IF('query (2)'!I916&lt;&gt;"",TRIM(UPPER('query (2)'!I916)),IF($L916="","UNKNOWN",$L916))</f>
        <v>HT</v>
      </c>
      <c r="N916" s="24" t="str">
        <f>IF('query (2)'!I916&lt;&gt;"","SOURCE",IF($L916="","UNKNOWN","DERIVED"))</f>
        <v>SOURCE</v>
      </c>
      <c r="O916" s="24" t="str">
        <f>IF('query (2)'!E916="","NOT_SPECIFIED",TRIM(UPPER('query (2)'!E916)))</f>
        <v>GRINDING 1</v>
      </c>
      <c r="P916" s="24" t="str">
        <f>IF('query (2)'!F916="","",TRIM(UPPER('query (2)'!F916)))</f>
        <v/>
      </c>
      <c r="Q916" s="24" t="str">
        <f>IF('query (2)'!G916="","UNKNOWN",IFERROR(INDEX(Cleaning_Rules!$B$38:$B$46,MATCH(TRIM(UPPER('query (2)'!G916)),Cleaning_Rules!$A$38:$A$46,0)),"UNKNOWN"))</f>
        <v>OTHER</v>
      </c>
      <c r="R916" s="24" t="str">
        <f>IF('query (2)'!H916="","",TRIM(UPPER('query (2)'!H916)))</f>
        <v>YMQ3</v>
      </c>
      <c r="S916" s="25" t="str">
        <f>IF('query (2)'!H916="","",'query (2)'!H916)</f>
        <v>YMQ3</v>
      </c>
      <c r="T916" s="24" t="str">
        <f>IF('query (2)'!J916="","",TRIM(UPPER('query (2)'!J916)))</f>
        <v/>
      </c>
      <c r="U916" s="24" t="str">
        <f t="shared" si="101"/>
        <v/>
      </c>
      <c r="V916" s="24" t="str">
        <f>IF('query (2)'!K916="","NOT_SPECIFIED",IFERROR(INDEX(Cleaning_Rules!$B$32:$B$34,MATCH(TRIM(UPPER('query (2)'!K916)),Cleaning_Rules!$A$32:$A$34,0)),"UNKNOWN"))</f>
        <v>REJECTED</v>
      </c>
      <c r="W916" s="24" t="str">
        <f t="shared" si="102"/>
        <v>HT3 | FACTORY1 | HT | HT | GRINDING 1 | OTHER | YMQ3 | REJECTED</v>
      </c>
      <c r="X916" s="24" t="str">
        <f t="shared" si="103"/>
        <v>MISSING_NO; MISSING_COST_CENTER</v>
      </c>
      <c r="Y916" s="24" t="str">
        <f t="shared" si="104"/>
        <v>CATEGORY_NOT_USEFUL; MISSING_PRODUCTION_NAME</v>
      </c>
    </row>
    <row r="917" spans="1:25" x14ac:dyDescent="0.3">
      <c r="A917" s="24" t="str">
        <f t="shared" si="98"/>
        <v>HT4#0916</v>
      </c>
      <c r="B917" s="24" t="str">
        <f>IF('query (2)'!B917="","",TRIM(UPPER('query (2)'!B917)))</f>
        <v>HT4</v>
      </c>
      <c r="C917" s="25" t="str">
        <f>IF('query (2)'!B917="","",'query (2)'!B917)</f>
        <v>HT4</v>
      </c>
      <c r="D917" s="24" t="str">
        <f t="shared" si="99"/>
        <v>NO_PREFIX</v>
      </c>
      <c r="E917" s="24">
        <f t="shared" si="100"/>
        <v>1</v>
      </c>
      <c r="F917" s="24" t="str">
        <f>IF('query (2)'!A917="","",IFERROR(VALUE('query (2)'!A917),""))</f>
        <v/>
      </c>
      <c r="G917" s="24" t="str">
        <f>IF('query (2)'!C917="","UNKNOWN",IFERROR(INDEX(Cleaning_Rules!$B$15:$B$20,MATCH(TRIM(UPPER('query (2)'!C917)),Cleaning_Rules!$A$15:$A$20,0)),"UNKNOWN"))</f>
        <v>FACTORY1</v>
      </c>
      <c r="H917" s="25" t="str">
        <f>IF('query (2)'!C917="","",'query (2)'!C917)</f>
        <v>FACTORY1</v>
      </c>
      <c r="I917" s="24" t="str" cm="1">
        <f t="array" ref="I917">_xlfn.IFS($G917="UNKNOWN","UNKNOWN",OR($G917="FACTORY1",$G917="FACTORY2",$G917="FACTORY3"),"PLANT",TRUE,"SHARED")</f>
        <v>PLANT</v>
      </c>
      <c r="J917" s="24" t="str">
        <f>IF('query (2)'!D917="","UNKNOWN",IF(COUNTIF(Cleaning_Rules!$A$6:$A$11,TRIM('query (2)'!D917))&gt;0,"UNKNOWN",IFERROR(INDEX(Cleaning_Rules!$B$24:$B$28,MATCH(TRIM(UPPER('query (2)'!D917)),Cleaning_Rules!$A$24:$A$28,0)),TRIM(UPPER('query (2)'!D917)))))</f>
        <v>HT</v>
      </c>
      <c r="K917" s="25" t="str">
        <f>IF('query (2)'!D917="","",'query (2)'!D917)</f>
        <v>HT</v>
      </c>
      <c r="L917" s="24" t="str">
        <f>IF($J917="UNKNOWN","",_xlfn.TEXTBEFORE($J917,{"0","1","2","3","4","5","6","7","8","9"," ","-","."},1,,,$J917))</f>
        <v>HT</v>
      </c>
      <c r="M917" s="24" t="str">
        <f>IF('query (2)'!I917&lt;&gt;"",TRIM(UPPER('query (2)'!I917)),IF($L917="","UNKNOWN",$L917))</f>
        <v>HT</v>
      </c>
      <c r="N917" s="24" t="str">
        <f>IF('query (2)'!I917&lt;&gt;"","SOURCE",IF($L917="","UNKNOWN","DERIVED"))</f>
        <v>SOURCE</v>
      </c>
      <c r="O917" s="24" t="str">
        <f>IF('query (2)'!E917="","NOT_SPECIFIED",TRIM(UPPER('query (2)'!E917)))</f>
        <v>GRINDING 1</v>
      </c>
      <c r="P917" s="24" t="str">
        <f>IF('query (2)'!F917="","",TRIM(UPPER('query (2)'!F917)))</f>
        <v/>
      </c>
      <c r="Q917" s="24" t="str">
        <f>IF('query (2)'!G917="","UNKNOWN",IFERROR(INDEX(Cleaning_Rules!$B$38:$B$46,MATCH(TRIM(UPPER('query (2)'!G917)),Cleaning_Rules!$A$38:$A$46,0)),"UNKNOWN"))</f>
        <v>OTHER</v>
      </c>
      <c r="R917" s="24" t="str">
        <f>IF('query (2)'!H917="","",TRIM(UPPER('query (2)'!H917)))</f>
        <v>YMQ4</v>
      </c>
      <c r="S917" s="25" t="str">
        <f>IF('query (2)'!H917="","",'query (2)'!H917)</f>
        <v>YMQ4</v>
      </c>
      <c r="T917" s="24" t="str">
        <f>IF('query (2)'!J917="","",TRIM(UPPER('query (2)'!J917)))</f>
        <v/>
      </c>
      <c r="U917" s="24" t="str">
        <f t="shared" si="101"/>
        <v/>
      </c>
      <c r="V917" s="24" t="str">
        <f>IF('query (2)'!K917="","NOT_SPECIFIED",IFERROR(INDEX(Cleaning_Rules!$B$32:$B$34,MATCH(TRIM(UPPER('query (2)'!K917)),Cleaning_Rules!$A$32:$A$34,0)),"UNKNOWN"))</f>
        <v>REJECTED</v>
      </c>
      <c r="W917" s="24" t="str">
        <f t="shared" si="102"/>
        <v>HT4 | FACTORY1 | HT | HT | GRINDING 1 | OTHER | YMQ4 | REJECTED</v>
      </c>
      <c r="X917" s="24" t="str">
        <f t="shared" si="103"/>
        <v>MISSING_NO; MISSING_COST_CENTER</v>
      </c>
      <c r="Y917" s="24" t="str">
        <f t="shared" si="104"/>
        <v>CATEGORY_NOT_USEFUL; MISSING_PRODUCTION_NAME</v>
      </c>
    </row>
    <row r="918" spans="1:25" x14ac:dyDescent="0.3">
      <c r="A918" s="24" t="str">
        <f t="shared" si="98"/>
        <v>HT5#0917</v>
      </c>
      <c r="B918" s="24" t="str">
        <f>IF('query (2)'!B918="","",TRIM(UPPER('query (2)'!B918)))</f>
        <v>HT5</v>
      </c>
      <c r="C918" s="25" t="str">
        <f>IF('query (2)'!B918="","",'query (2)'!B918)</f>
        <v>HT5</v>
      </c>
      <c r="D918" s="24" t="str">
        <f t="shared" si="99"/>
        <v>NO_PREFIX</v>
      </c>
      <c r="E918" s="24">
        <f t="shared" si="100"/>
        <v>1</v>
      </c>
      <c r="F918" s="24" t="str">
        <f>IF('query (2)'!A918="","",IFERROR(VALUE('query (2)'!A918),""))</f>
        <v/>
      </c>
      <c r="G918" s="24" t="str">
        <f>IF('query (2)'!C918="","UNKNOWN",IFERROR(INDEX(Cleaning_Rules!$B$15:$B$20,MATCH(TRIM(UPPER('query (2)'!C918)),Cleaning_Rules!$A$15:$A$20,0)),"UNKNOWN"))</f>
        <v>FACTORY1</v>
      </c>
      <c r="H918" s="25" t="str">
        <f>IF('query (2)'!C918="","",'query (2)'!C918)</f>
        <v>FACTORY1</v>
      </c>
      <c r="I918" s="24" t="str" cm="1">
        <f t="array" ref="I918">_xlfn.IFS($G918="UNKNOWN","UNKNOWN",OR($G918="FACTORY1",$G918="FACTORY2",$G918="FACTORY3"),"PLANT",TRUE,"SHARED")</f>
        <v>PLANT</v>
      </c>
      <c r="J918" s="24" t="str">
        <f>IF('query (2)'!D918="","UNKNOWN",IF(COUNTIF(Cleaning_Rules!$A$6:$A$11,TRIM('query (2)'!D918))&gt;0,"UNKNOWN",IFERROR(INDEX(Cleaning_Rules!$B$24:$B$28,MATCH(TRIM(UPPER('query (2)'!D918)),Cleaning_Rules!$A$24:$A$28,0)),TRIM(UPPER('query (2)'!D918)))))</f>
        <v>HT</v>
      </c>
      <c r="K918" s="25" t="str">
        <f>IF('query (2)'!D918="","",'query (2)'!D918)</f>
        <v>HT</v>
      </c>
      <c r="L918" s="24" t="str">
        <f>IF($J918="UNKNOWN","",_xlfn.TEXTBEFORE($J918,{"0","1","2","3","4","5","6","7","8","9"," ","-","."},1,,,$J918))</f>
        <v>HT</v>
      </c>
      <c r="M918" s="24" t="str">
        <f>IF('query (2)'!I918&lt;&gt;"",TRIM(UPPER('query (2)'!I918)),IF($L918="","UNKNOWN",$L918))</f>
        <v>HT</v>
      </c>
      <c r="N918" s="24" t="str">
        <f>IF('query (2)'!I918&lt;&gt;"","SOURCE",IF($L918="","UNKNOWN","DERIVED"))</f>
        <v>SOURCE</v>
      </c>
      <c r="O918" s="24" t="str">
        <f>IF('query (2)'!E918="","NOT_SPECIFIED",TRIM(UPPER('query (2)'!E918)))</f>
        <v>GRINDING 1</v>
      </c>
      <c r="P918" s="24" t="str">
        <f>IF('query (2)'!F918="","",TRIM(UPPER('query (2)'!F918)))</f>
        <v/>
      </c>
      <c r="Q918" s="24" t="str">
        <f>IF('query (2)'!G918="","UNKNOWN",IFERROR(INDEX(Cleaning_Rules!$B$38:$B$46,MATCH(TRIM(UPPER('query (2)'!G918)),Cleaning_Rules!$A$38:$A$46,0)),"UNKNOWN"))</f>
        <v>OTHER</v>
      </c>
      <c r="R918" s="24" t="str">
        <f>IF('query (2)'!H918="","",TRIM(UPPER('query (2)'!H918)))</f>
        <v>YMQ5</v>
      </c>
      <c r="S918" s="25" t="str">
        <f>IF('query (2)'!H918="","",'query (2)'!H918)</f>
        <v>YMQ5</v>
      </c>
      <c r="T918" s="24" t="str">
        <f>IF('query (2)'!J918="","",TRIM(UPPER('query (2)'!J918)))</f>
        <v/>
      </c>
      <c r="U918" s="24" t="str">
        <f t="shared" si="101"/>
        <v/>
      </c>
      <c r="V918" s="24" t="str">
        <f>IF('query (2)'!K918="","NOT_SPECIFIED",IFERROR(INDEX(Cleaning_Rules!$B$32:$B$34,MATCH(TRIM(UPPER('query (2)'!K918)),Cleaning_Rules!$A$32:$A$34,0)),"UNKNOWN"))</f>
        <v>REJECTED</v>
      </c>
      <c r="W918" s="24" t="str">
        <f t="shared" si="102"/>
        <v>HT5 | FACTORY1 | HT | HT | GRINDING 1 | OTHER | YMQ5 | REJECTED</v>
      </c>
      <c r="X918" s="24" t="str">
        <f t="shared" si="103"/>
        <v>MISSING_NO; MISSING_COST_CENTER</v>
      </c>
      <c r="Y918" s="24" t="str">
        <f t="shared" si="104"/>
        <v>CATEGORY_NOT_USEFUL; MISSING_PRODUCTION_NAME</v>
      </c>
    </row>
    <row r="919" spans="1:25" x14ac:dyDescent="0.3">
      <c r="A919" s="24" t="str">
        <f t="shared" si="98"/>
        <v>HT#0918</v>
      </c>
      <c r="B919" s="24" t="str">
        <f>IF('query (2)'!B919="","",TRIM(UPPER('query (2)'!B919)))</f>
        <v>HT</v>
      </c>
      <c r="C919" s="25" t="str">
        <f>IF('query (2)'!B919="","",'query (2)'!B919)</f>
        <v>HT</v>
      </c>
      <c r="D919" s="24" t="str">
        <f t="shared" si="99"/>
        <v>NO_PREFIX</v>
      </c>
      <c r="E919" s="24">
        <f t="shared" si="100"/>
        <v>1</v>
      </c>
      <c r="F919" s="24" t="str">
        <f>IF('query (2)'!A919="","",IFERROR(VALUE('query (2)'!A919),""))</f>
        <v/>
      </c>
      <c r="G919" s="24" t="str">
        <f>IF('query (2)'!C919="","UNKNOWN",IFERROR(INDEX(Cleaning_Rules!$B$15:$B$20,MATCH(TRIM(UPPER('query (2)'!C919)),Cleaning_Rules!$A$15:$A$20,0)),"UNKNOWN"))</f>
        <v>FACTORY1</v>
      </c>
      <c r="H919" s="25" t="str">
        <f>IF('query (2)'!C919="","",'query (2)'!C919)</f>
        <v>FACTORY1</v>
      </c>
      <c r="I919" s="24" t="str" cm="1">
        <f t="array" ref="I919">_xlfn.IFS($G919="UNKNOWN","UNKNOWN",OR($G919="FACTORY1",$G919="FACTORY2",$G919="FACTORY3"),"PLANT",TRUE,"SHARED")</f>
        <v>PLANT</v>
      </c>
      <c r="J919" s="24" t="str">
        <f>IF('query (2)'!D919="","UNKNOWN",IF(COUNTIF(Cleaning_Rules!$A$6:$A$11,TRIM('query (2)'!D919))&gt;0,"UNKNOWN",IFERROR(INDEX(Cleaning_Rules!$B$24:$B$28,MATCH(TRIM(UPPER('query (2)'!D919)),Cleaning_Rules!$A$24:$A$28,0)),TRIM(UPPER('query (2)'!D919)))))</f>
        <v>HT</v>
      </c>
      <c r="K919" s="25" t="str">
        <f>IF('query (2)'!D919="","",'query (2)'!D919)</f>
        <v>HT</v>
      </c>
      <c r="L919" s="24" t="str">
        <f>IF($J919="UNKNOWN","",_xlfn.TEXTBEFORE($J919,{"0","1","2","3","4","5","6","7","8","9"," ","-","."},1,,,$J919))</f>
        <v>HT</v>
      </c>
      <c r="M919" s="24" t="str">
        <f>IF('query (2)'!I919&lt;&gt;"",TRIM(UPPER('query (2)'!I919)),IF($L919="","UNKNOWN",$L919))</f>
        <v>HT</v>
      </c>
      <c r="N919" s="24" t="str">
        <f>IF('query (2)'!I919&lt;&gt;"","SOURCE",IF($L919="","UNKNOWN","DERIVED"))</f>
        <v>SOURCE</v>
      </c>
      <c r="O919" s="24" t="str">
        <f>IF('query (2)'!E919="","NOT_SPECIFIED",TRIM(UPPER('query (2)'!E919)))</f>
        <v>GRINDING 1</v>
      </c>
      <c r="P919" s="24" t="str">
        <f>IF('query (2)'!F919="","",TRIM(UPPER('query (2)'!F919)))</f>
        <v/>
      </c>
      <c r="Q919" s="24" t="str">
        <f>IF('query (2)'!G919="","UNKNOWN",IFERROR(INDEX(Cleaning_Rules!$B$38:$B$46,MATCH(TRIM(UPPER('query (2)'!G919)),Cleaning_Rules!$A$38:$A$46,0)),"UNKNOWN"))</f>
        <v>OTHER</v>
      </c>
      <c r="R919" s="24" t="str">
        <f>IF('query (2)'!H919="","",TRIM(UPPER('query (2)'!H919)))</f>
        <v>HT</v>
      </c>
      <c r="S919" s="25" t="str">
        <f>IF('query (2)'!H919="","",'query (2)'!H919)</f>
        <v>HT</v>
      </c>
      <c r="T919" s="24" t="str">
        <f>IF('query (2)'!J919="","",TRIM(UPPER('query (2)'!J919)))</f>
        <v/>
      </c>
      <c r="U919" s="24" t="str">
        <f t="shared" si="101"/>
        <v/>
      </c>
      <c r="V919" s="24" t="str">
        <f>IF('query (2)'!K919="","NOT_SPECIFIED",IFERROR(INDEX(Cleaning_Rules!$B$32:$B$34,MATCH(TRIM(UPPER('query (2)'!K919)),Cleaning_Rules!$A$32:$A$34,0)),"UNKNOWN"))</f>
        <v>REJECTED</v>
      </c>
      <c r="W919" s="24" t="str">
        <f t="shared" si="102"/>
        <v>HT | FACTORY1 | HT | HT | GRINDING 1 | OTHER | HT | REJECTED</v>
      </c>
      <c r="X919" s="24" t="str">
        <f t="shared" si="103"/>
        <v>MISSING_NO; MISSING_COST_CENTER</v>
      </c>
      <c r="Y919" s="24" t="str">
        <f t="shared" si="104"/>
        <v>CATEGORY_NOT_USEFUL; MISSING_PRODUCTION_NAME</v>
      </c>
    </row>
    <row r="920" spans="1:25" x14ac:dyDescent="0.3">
      <c r="A920" s="24" t="str">
        <f t="shared" si="98"/>
        <v>PK-1523#0919</v>
      </c>
      <c r="B920" s="24" t="str">
        <f>IF('query (2)'!B920="","",TRIM(UPPER('query (2)'!B920)))</f>
        <v>PK-1523</v>
      </c>
      <c r="C920" s="25" t="str">
        <f>IF('query (2)'!B920="","",'query (2)'!B920)</f>
        <v>PK-1523</v>
      </c>
      <c r="D920" s="24" t="str">
        <f t="shared" si="99"/>
        <v>PK</v>
      </c>
      <c r="E920" s="24">
        <f t="shared" si="100"/>
        <v>1</v>
      </c>
      <c r="F920" s="24" t="str">
        <f>IF('query (2)'!A920="","",IFERROR(VALUE('query (2)'!A920),""))</f>
        <v/>
      </c>
      <c r="G920" s="24" t="str">
        <f>IF('query (2)'!C920="","UNKNOWN",IFERROR(INDEX(Cleaning_Rules!$B$15:$B$20,MATCH(TRIM(UPPER('query (2)'!C920)),Cleaning_Rules!$A$15:$A$20,0)),"UNKNOWN"))</f>
        <v>FACTORY3</v>
      </c>
      <c r="H920" s="25" t="str">
        <f>IF('query (2)'!C920="","",'query (2)'!C920)</f>
        <v>FACTORY3</v>
      </c>
      <c r="I920" s="24" t="str" cm="1">
        <f t="array" ref="I920">_xlfn.IFS($G920="UNKNOWN","UNKNOWN",OR($G920="FACTORY1",$G920="FACTORY2",$G920="FACTORY3"),"PLANT",TRUE,"SHARED")</f>
        <v>PLANT</v>
      </c>
      <c r="J920" s="24" t="str">
        <f>IF('query (2)'!D920="","UNKNOWN",IF(COUNTIF(Cleaning_Rules!$A$6:$A$11,TRIM('query (2)'!D920))&gt;0,"UNKNOWN",IFERROR(INDEX(Cleaning_Rules!$B$24:$B$28,MATCH(TRIM(UPPER('query (2)'!D920)),Cleaning_Rules!$A$24:$A$28,0)),TRIM(UPPER('query (2)'!D920)))))</f>
        <v>HUB2.5</v>
      </c>
      <c r="K920" s="25" t="str">
        <f>IF('query (2)'!D920="","",'query (2)'!D920)</f>
        <v>HUB2.5</v>
      </c>
      <c r="L920" s="24" t="str">
        <f>IF($J920="UNKNOWN","",_xlfn.TEXTBEFORE($J920,{"0","1","2","3","4","5","6","7","8","9"," ","-","."},1,,,$J920))</f>
        <v>HUB</v>
      </c>
      <c r="M920" s="24" t="str">
        <f>IF('query (2)'!I920&lt;&gt;"",TRIM(UPPER('query (2)'!I920)),IF($L920="","UNKNOWN",$L920))</f>
        <v>HUB</v>
      </c>
      <c r="N920" s="24" t="str">
        <f>IF('query (2)'!I920&lt;&gt;"","SOURCE",IF($L920="","UNKNOWN","DERIVED"))</f>
        <v>SOURCE</v>
      </c>
      <c r="O920" s="24" t="str">
        <f>IF('query (2)'!E920="","NOT_SPECIFIED",TRIM(UPPER('query (2)'!E920)))</f>
        <v>ASSEMBLY</v>
      </c>
      <c r="P920" s="24" t="str">
        <f>IF('query (2)'!F920="","",TRIM(UPPER('query (2)'!F920)))</f>
        <v>3503-H2.5AI</v>
      </c>
      <c r="Q920" s="24" t="str">
        <f>IF('query (2)'!G920="","UNKNOWN",IFERROR(INDEX(Cleaning_Rules!$B$38:$B$46,MATCH(TRIM(UPPER('query (2)'!G920)),Cleaning_Rules!$A$38:$A$46,0)),"UNKNOWN"))</f>
        <v>OTHER</v>
      </c>
      <c r="R920" s="24" t="str">
        <f>IF('query (2)'!H920="","",TRIM(UPPER('query (2)'!H920)))</f>
        <v>PACKING HUB2.5</v>
      </c>
      <c r="S920" s="25" t="str">
        <f>IF('query (2)'!H920="","",'query (2)'!H920)</f>
        <v>Packing HUB2.5</v>
      </c>
      <c r="T920" s="24" t="str">
        <f>IF('query (2)'!J920="","",TRIM(UPPER('query (2)'!J920)))</f>
        <v>PACKING HUB2.5</v>
      </c>
      <c r="U920" s="24" t="str">
        <f t="shared" si="101"/>
        <v/>
      </c>
      <c r="V920" s="24" t="str">
        <f>IF('query (2)'!K920="","NOT_SPECIFIED",IFERROR(INDEX(Cleaning_Rules!$B$32:$B$34,MATCH(TRIM(UPPER('query (2)'!K920)),Cleaning_Rules!$A$32:$A$34,0)),"UNKNOWN"))</f>
        <v>NEW</v>
      </c>
      <c r="W920" s="24" t="str">
        <f t="shared" si="102"/>
        <v>PK-1523 | FACTORY3 | HUB2.5 | HUB | ASSEMBLY | 3503-H2.5AI | OTHER | PACKING HUB2.5 | PACKING HUB2.5 | NEW</v>
      </c>
      <c r="X920" s="24" t="str">
        <f t="shared" si="103"/>
        <v>MISSING_NO</v>
      </c>
      <c r="Y920" s="24" t="str">
        <f t="shared" si="104"/>
        <v>CATEGORY_NOT_USEFUL</v>
      </c>
    </row>
    <row r="921" spans="1:25" x14ac:dyDescent="0.3">
      <c r="A921" s="24" t="str">
        <f t="shared" si="98"/>
        <v>AS-1109#0920</v>
      </c>
      <c r="B921" s="24" t="str">
        <f>IF('query (2)'!B921="","",TRIM(UPPER('query (2)'!B921)))</f>
        <v>AS-1109</v>
      </c>
      <c r="C921" s="25" t="str">
        <f>IF('query (2)'!B921="","",'query (2)'!B921)</f>
        <v>AS-1109</v>
      </c>
      <c r="D921" s="24" t="str">
        <f t="shared" si="99"/>
        <v>AS</v>
      </c>
      <c r="E921" s="24">
        <f t="shared" si="100"/>
        <v>1</v>
      </c>
      <c r="F921" s="24" t="str">
        <f>IF('query (2)'!A921="","",IFERROR(VALUE('query (2)'!A921),""))</f>
        <v/>
      </c>
      <c r="G921" s="24" t="str">
        <f>IF('query (2)'!C921="","UNKNOWN",IFERROR(INDEX(Cleaning_Rules!$B$15:$B$20,MATCH(TRIM(UPPER('query (2)'!C921)),Cleaning_Rules!$A$15:$A$20,0)),"UNKNOWN"))</f>
        <v>FACTORY3</v>
      </c>
      <c r="H921" s="25" t="str">
        <f>IF('query (2)'!C921="","",'query (2)'!C921)</f>
        <v>FACTORY3</v>
      </c>
      <c r="I921" s="24" t="str" cm="1">
        <f t="array" ref="I921">_xlfn.IFS($G921="UNKNOWN","UNKNOWN",OR($G921="FACTORY1",$G921="FACTORY2",$G921="FACTORY3"),"PLANT",TRUE,"SHARED")</f>
        <v>PLANT</v>
      </c>
      <c r="J921" s="24" t="str">
        <f>IF('query (2)'!D921="","UNKNOWN",IF(COUNTIF(Cleaning_Rules!$A$6:$A$11,TRIM('query (2)'!D921))&gt;0,"UNKNOWN",IFERROR(INDEX(Cleaning_Rules!$B$24:$B$28,MATCH(TRIM(UPPER('query (2)'!D921)),Cleaning_Rules!$A$24:$A$28,0)),TRIM(UPPER('query (2)'!D921)))))</f>
        <v>PACKING-FAC3</v>
      </c>
      <c r="K921" s="25" t="str">
        <f>IF('query (2)'!D921="","",'query (2)'!D921)</f>
        <v>Packing-FAC3</v>
      </c>
      <c r="L921" s="24" t="str">
        <f>IF($J921="UNKNOWN","",_xlfn.TEXTBEFORE($J921,{"0","1","2","3","4","5","6","7","8","9"," ","-","."},1,,,$J921))</f>
        <v>PACKING</v>
      </c>
      <c r="M921" s="24" t="str">
        <f>IF('query (2)'!I921&lt;&gt;"",TRIM(UPPER('query (2)'!I921)),IF($L921="","UNKNOWN",$L921))</f>
        <v>PACKING</v>
      </c>
      <c r="N921" s="24" t="str">
        <f>IF('query (2)'!I921&lt;&gt;"","SOURCE",IF($L921="","UNKNOWN","DERIVED"))</f>
        <v>SOURCE</v>
      </c>
      <c r="O921" s="24" t="str">
        <f>IF('query (2)'!E921="","NOT_SPECIFIED",TRIM(UPPER('query (2)'!E921)))</f>
        <v>ASSEMBLY</v>
      </c>
      <c r="P921" s="24" t="str">
        <f>IF('query (2)'!F921="","",TRIM(UPPER('query (2)'!F921)))</f>
        <v>2410-PSP</v>
      </c>
      <c r="Q921" s="24" t="str">
        <f>IF('query (2)'!G921="","UNKNOWN",IFERROR(INDEX(Cleaning_Rules!$B$38:$B$46,MATCH(TRIM(UPPER('query (2)'!G921)),Cleaning_Rules!$A$38:$A$46,0)),"UNKNOWN"))</f>
        <v>OTHER</v>
      </c>
      <c r="R921" s="24" t="str">
        <f>IF('query (2)'!H921="","",TRIM(UPPER('query (2)'!H921)))</f>
        <v>AUTO BAG SEALER</v>
      </c>
      <c r="S921" s="25" t="str">
        <f>IF('query (2)'!H921="","",'query (2)'!H921)</f>
        <v>Auto bag sealer</v>
      </c>
      <c r="T921" s="24" t="str">
        <f>IF('query (2)'!J921="","",TRIM(UPPER('query (2)'!J921)))</f>
        <v/>
      </c>
      <c r="U921" s="24" t="str">
        <f t="shared" si="101"/>
        <v/>
      </c>
      <c r="V921" s="24" t="str">
        <f>IF('query (2)'!K921="","NOT_SPECIFIED",IFERROR(INDEX(Cleaning_Rules!$B$32:$B$34,MATCH(TRIM(UPPER('query (2)'!K921)),Cleaning_Rules!$A$32:$A$34,0)),"UNKNOWN"))</f>
        <v>NEW</v>
      </c>
      <c r="W921" s="24" t="str">
        <f t="shared" si="102"/>
        <v>AS-1109 | FACTORY3 | PACKING-FAC3 | PACKING | ASSEMBLY | 2410-PSP | OTHER | AUTO BAG SEALER | NEW</v>
      </c>
      <c r="X921" s="24" t="str">
        <f t="shared" si="103"/>
        <v>MISSING_NO</v>
      </c>
      <c r="Y921" s="24" t="str">
        <f t="shared" si="104"/>
        <v>CATEGORY_NOT_USEFUL; MISSING_PRODUCTION_NAME</v>
      </c>
    </row>
    <row r="922" spans="1:25" x14ac:dyDescent="0.3">
      <c r="A922" s="24" t="str">
        <f t="shared" si="98"/>
        <v>MA-635#0921</v>
      </c>
      <c r="B922" s="24" t="str">
        <f>IF('query (2)'!B922="","",TRIM(UPPER('query (2)'!B922)))</f>
        <v>MA-635</v>
      </c>
      <c r="C922" s="25" t="str">
        <f>IF('query (2)'!B922="","",'query (2)'!B922)</f>
        <v>MA-635</v>
      </c>
      <c r="D922" s="24" t="str">
        <f t="shared" si="99"/>
        <v>MA</v>
      </c>
      <c r="E922" s="24">
        <f t="shared" si="100"/>
        <v>2</v>
      </c>
      <c r="F922" s="24" t="str">
        <f>IF('query (2)'!A922="","",IFERROR(VALUE('query (2)'!A922),""))</f>
        <v/>
      </c>
      <c r="G922" s="24" t="str">
        <f>IF('query (2)'!C922="","UNKNOWN",IFERROR(INDEX(Cleaning_Rules!$B$15:$B$20,MATCH(TRIM(UPPER('query (2)'!C922)),Cleaning_Rules!$A$15:$A$20,0)),"UNKNOWN"))</f>
        <v>FACTORY3</v>
      </c>
      <c r="H922" s="25" t="str">
        <f>IF('query (2)'!C922="","",'query (2)'!C922)</f>
        <v>FACTORY3</v>
      </c>
      <c r="I922" s="24" t="str" cm="1">
        <f t="array" ref="I922">_xlfn.IFS($G922="UNKNOWN","UNKNOWN",OR($G922="FACTORY1",$G922="FACTORY2",$G922="FACTORY3"),"PLANT",TRUE,"SHARED")</f>
        <v>PLANT</v>
      </c>
      <c r="J922" s="24" t="str">
        <f>IF('query (2)'!D922="","UNKNOWN",IF(COUNTIF(Cleaning_Rules!$A$6:$A$11,TRIM('query (2)'!D922))&gt;0,"UNKNOWN",IFERROR(INDEX(Cleaning_Rules!$B$24:$B$28,MATCH(TRIM(UPPER('query (2)'!D922)),Cleaning_Rules!$A$24:$A$28,0)),TRIM(UPPER('query (2)'!D922)))))</f>
        <v>PACKING-FAC2</v>
      </c>
      <c r="K922" s="25" t="str">
        <f>IF('query (2)'!D922="","",'query (2)'!D922)</f>
        <v>Packing-FAC2</v>
      </c>
      <c r="L922" s="24" t="str">
        <f>IF($J922="UNKNOWN","",_xlfn.TEXTBEFORE($J922,{"0","1","2","3","4","5","6","7","8","9"," ","-","."},1,,,$J922))</f>
        <v>PACKING</v>
      </c>
      <c r="M922" s="24" t="str">
        <f>IF('query (2)'!I922&lt;&gt;"",TRIM(UPPER('query (2)'!I922)),IF($L922="","UNKNOWN",$L922))</f>
        <v>PACKING</v>
      </c>
      <c r="N922" s="24" t="str">
        <f>IF('query (2)'!I922&lt;&gt;"","SOURCE",IF($L922="","UNKNOWN","DERIVED"))</f>
        <v>SOURCE</v>
      </c>
      <c r="O922" s="24" t="str">
        <f>IF('query (2)'!E922="","NOT_SPECIFIED",TRIM(UPPER('query (2)'!E922)))</f>
        <v>ASSEMBLY</v>
      </c>
      <c r="P922" s="24" t="str">
        <f>IF('query (2)'!F922="","",TRIM(UPPER('query (2)'!F922)))</f>
        <v>2410-PSP</v>
      </c>
      <c r="Q922" s="24" t="str">
        <f>IF('query (2)'!G922="","UNKNOWN",IFERROR(INDEX(Cleaning_Rules!$B$38:$B$46,MATCH(TRIM(UPPER('query (2)'!G922)),Cleaning_Rules!$A$38:$A$46,0)),"UNKNOWN"))</f>
        <v>OTHER</v>
      </c>
      <c r="R922" s="24" t="str">
        <f>IF('query (2)'!H922="","",TRIM(UPPER('query (2)'!H922)))</f>
        <v>INK JET MARKING MACHINE</v>
      </c>
      <c r="S922" s="25" t="str">
        <f>IF('query (2)'!H922="","",'query (2)'!H922)</f>
        <v>Ink jet marking machine</v>
      </c>
      <c r="T922" s="24" t="str">
        <f>IF('query (2)'!J922="","",TRIM(UPPER('query (2)'!J922)))</f>
        <v/>
      </c>
      <c r="U922" s="24" t="str">
        <f t="shared" si="101"/>
        <v/>
      </c>
      <c r="V922" s="24" t="str">
        <f>IF('query (2)'!K922="","NOT_SPECIFIED",IFERROR(INDEX(Cleaning_Rules!$B$32:$B$34,MATCH(TRIM(UPPER('query (2)'!K922)),Cleaning_Rules!$A$32:$A$34,0)),"UNKNOWN"))</f>
        <v>NEW</v>
      </c>
      <c r="W922" s="24" t="str">
        <f t="shared" si="102"/>
        <v>MA-635 | FACTORY3 | PACKING-FAC2 | PACKING | ASSEMBLY | 2410-PSP | OTHER | INK JET MARKING MACHINE | NEW</v>
      </c>
      <c r="X922" s="24" t="str">
        <f t="shared" si="103"/>
        <v>DUPLICATE_QR; MISSING_NO</v>
      </c>
      <c r="Y922" s="24" t="str">
        <f t="shared" si="104"/>
        <v>CATEGORY_NOT_USEFUL; MISSING_PRODUCTION_NAME</v>
      </c>
    </row>
    <row r="923" spans="1:25" x14ac:dyDescent="0.3">
      <c r="A923" s="24" t="str">
        <f t="shared" si="98"/>
        <v>SU-1204#0922</v>
      </c>
      <c r="B923" s="24" t="str">
        <f>IF('query (2)'!B923="","",TRIM(UPPER('query (2)'!B923)))</f>
        <v>SU-1204</v>
      </c>
      <c r="C923" s="25" t="str">
        <f>IF('query (2)'!B923="","",'query (2)'!B923)</f>
        <v>SU-1204</v>
      </c>
      <c r="D923" s="24" t="str">
        <f t="shared" si="99"/>
        <v>SU</v>
      </c>
      <c r="E923" s="24">
        <f t="shared" si="100"/>
        <v>1</v>
      </c>
      <c r="F923" s="24" t="str">
        <f>IF('query (2)'!A923="","",IFERROR(VALUE('query (2)'!A923),""))</f>
        <v/>
      </c>
      <c r="G923" s="24" t="str">
        <f>IF('query (2)'!C923="","UNKNOWN",IFERROR(INDEX(Cleaning_Rules!$B$15:$B$20,MATCH(TRIM(UPPER('query (2)'!C923)),Cleaning_Rules!$A$15:$A$20,0)),"UNKNOWN"))</f>
        <v>FACTORY1</v>
      </c>
      <c r="H923" s="25" t="str">
        <f>IF('query (2)'!C923="","",'query (2)'!C923)</f>
        <v>FACTORY1</v>
      </c>
      <c r="I923" s="24" t="str" cm="1">
        <f t="array" ref="I923">_xlfn.IFS($G923="UNKNOWN","UNKNOWN",OR($G923="FACTORY1",$G923="FACTORY2",$G923="FACTORY3"),"PLANT",TRUE,"SHARED")</f>
        <v>PLANT</v>
      </c>
      <c r="J923" s="24" t="str">
        <f>IF('query (2)'!D923="","UNKNOWN",IF(COUNTIF(Cleaning_Rules!$A$6:$A$11,TRIM('query (2)'!D923))&gt;0,"UNKNOWN",IFERROR(INDEX(Cleaning_Rules!$B$24:$B$28,MATCH(TRIM(UPPER('query (2)'!D923)),Cleaning_Rules!$A$24:$A$28,0)),TRIM(UPPER('query (2)'!D923)))))</f>
        <v>G1</v>
      </c>
      <c r="K923" s="25" t="str">
        <f>IF('query (2)'!D923="","",'query (2)'!D923)</f>
        <v>G1</v>
      </c>
      <c r="L923" s="24" t="str">
        <f>IF($J923="UNKNOWN","",_xlfn.TEXTBEFORE($J923,{"0","1","2","3","4","5","6","7","8","9"," ","-","."},1,,,$J923))</f>
        <v>G</v>
      </c>
      <c r="M923" s="24" t="str">
        <f>IF('query (2)'!I923&lt;&gt;"",TRIM(UPPER('query (2)'!I923)),IF($L923="","UNKNOWN",$L923))</f>
        <v>G1</v>
      </c>
      <c r="N923" s="24" t="str">
        <f>IF('query (2)'!I923&lt;&gt;"","SOURCE",IF($L923="","UNKNOWN","DERIVED"))</f>
        <v>SOURCE</v>
      </c>
      <c r="O923" s="24" t="str">
        <f>IF('query (2)'!E923="","NOT_SPECIFIED",TRIM(UPPER('query (2)'!E923)))</f>
        <v>GRINDING 1</v>
      </c>
      <c r="P923" s="24" t="str">
        <f>IF('query (2)'!F923="","",TRIM(UPPER('query (2)'!F923)))</f>
        <v/>
      </c>
      <c r="Q923" s="24" t="str">
        <f>IF('query (2)'!G923="","UNKNOWN",IFERROR(INDEX(Cleaning_Rules!$B$38:$B$46,MATCH(TRIM(UPPER('query (2)'!G923)),Cleaning_Rules!$A$38:$A$46,0)),"UNKNOWN"))</f>
        <v>OTHER</v>
      </c>
      <c r="R923" s="24" t="str">
        <f>IF('query (2)'!H923="","",TRIM(UPPER('query (2)'!H923)))</f>
        <v>AUTO SUPPLY FOR HDG-760C</v>
      </c>
      <c r="S923" s="25" t="str">
        <f>IF('query (2)'!H923="","",'query (2)'!H923)</f>
        <v>AUTO SUPPLY FOR HDG-760C</v>
      </c>
      <c r="T923" s="24" t="str">
        <f>IF('query (2)'!J923="","",TRIM(UPPER('query (2)'!J923)))</f>
        <v>AUTO SUPPLY</v>
      </c>
      <c r="U923" s="24" t="str">
        <f t="shared" si="101"/>
        <v/>
      </c>
      <c r="V923" s="24" t="str">
        <f>IF('query (2)'!K923="","NOT_SPECIFIED",IFERROR(INDEX(Cleaning_Rules!$B$32:$B$34,MATCH(TRIM(UPPER('query (2)'!K923)),Cleaning_Rules!$A$32:$A$34,0)),"UNKNOWN"))</f>
        <v>NEW</v>
      </c>
      <c r="W923" s="24" t="str">
        <f t="shared" si="102"/>
        <v>SU-1204 | FACTORY1 | G1 | G1 | GRINDING 1 | OTHER | AUTO SUPPLY FOR HDG-760C | AUTO SUPPLY | NEW</v>
      </c>
      <c r="X923" s="24" t="str">
        <f t="shared" si="103"/>
        <v>MISSING_NO; MISSING_COST_CENTER</v>
      </c>
      <c r="Y923" s="24" t="str">
        <f t="shared" si="104"/>
        <v>CATEGORY_NOT_USEFUL</v>
      </c>
    </row>
    <row r="924" spans="1:25" x14ac:dyDescent="0.3">
      <c r="A924" s="24" t="str">
        <f t="shared" si="98"/>
        <v>WA-766#0923</v>
      </c>
      <c r="B924" s="24" t="str">
        <f>IF('query (2)'!B924="","",TRIM(UPPER('query (2)'!B924)))</f>
        <v>WA-766</v>
      </c>
      <c r="C924" s="25" t="str">
        <f>IF('query (2)'!B924="","",'query (2)'!B924)</f>
        <v>WA-766</v>
      </c>
      <c r="D924" s="24" t="str">
        <f t="shared" si="99"/>
        <v>WA</v>
      </c>
      <c r="E924" s="24">
        <f t="shared" si="100"/>
        <v>1</v>
      </c>
      <c r="F924" s="24" t="str">
        <f>IF('query (2)'!A924="","",IFERROR(VALUE('query (2)'!A924),""))</f>
        <v/>
      </c>
      <c r="G924" s="24" t="str">
        <f>IF('query (2)'!C924="","UNKNOWN",IFERROR(INDEX(Cleaning_Rules!$B$15:$B$20,MATCH(TRIM(UPPER('query (2)'!C924)),Cleaning_Rules!$A$15:$A$20,0)),"UNKNOWN"))</f>
        <v>FACTORY2</v>
      </c>
      <c r="H924" s="25" t="str">
        <f>IF('query (2)'!C924="","",'query (2)'!C924)</f>
        <v>FACTORY2</v>
      </c>
      <c r="I924" s="24" t="str" cm="1">
        <f t="array" ref="I924">_xlfn.IFS($G924="UNKNOWN","UNKNOWN",OR($G924="FACTORY1",$G924="FACTORY2",$G924="FACTORY3"),"PLANT",TRUE,"SHARED")</f>
        <v>PLANT</v>
      </c>
      <c r="J924" s="24" t="str">
        <f>IF('query (2)'!D924="","UNKNOWN",IF(COUNTIF(Cleaning_Rules!$A$6:$A$11,TRIM('query (2)'!D924))&gt;0,"UNKNOWN",IFERROR(INDEX(Cleaning_Rules!$B$24:$B$28,MATCH(TRIM(UPPER('query (2)'!D924)),Cleaning_Rules!$A$24:$A$28,0)),TRIM(UPPER('query (2)'!D924)))))</f>
        <v>SNAPRING</v>
      </c>
      <c r="K924" s="25" t="str">
        <f>IF('query (2)'!D924="","",'query (2)'!D924)</f>
        <v>Snapring</v>
      </c>
      <c r="L924" s="24" t="str">
        <f>IF($J924="UNKNOWN","",_xlfn.TEXTBEFORE($J924,{"0","1","2","3","4","5","6","7","8","9"," ","-","."},1,,,$J924))</f>
        <v>SNAPRING</v>
      </c>
      <c r="M924" s="24" t="str">
        <f>IF('query (2)'!I924&lt;&gt;"",TRIM(UPPER('query (2)'!I924)),IF($L924="","UNKNOWN",$L924))</f>
        <v>SNAPRING</v>
      </c>
      <c r="N924" s="24" t="str">
        <f>IF('query (2)'!I924&lt;&gt;"","SOURCE",IF($L924="","UNKNOWN","DERIVED"))</f>
        <v>SOURCE</v>
      </c>
      <c r="O924" s="24" t="str">
        <f>IF('query (2)'!E924="","NOT_SPECIFIED",TRIM(UPPER('query (2)'!E924)))</f>
        <v>ASSEMBLY</v>
      </c>
      <c r="P924" s="24" t="str">
        <f>IF('query (2)'!F924="","",TRIM(UPPER('query (2)'!F924)))</f>
        <v>3406-SR1AI</v>
      </c>
      <c r="Q924" s="24" t="str">
        <f>IF('query (2)'!G924="","UNKNOWN",IFERROR(INDEX(Cleaning_Rules!$B$38:$B$46,MATCH(TRIM(UPPER('query (2)'!G924)),Cleaning_Rules!$A$38:$A$46,0)),"UNKNOWN"))</f>
        <v>OTHER</v>
      </c>
      <c r="R924" s="24" t="str">
        <f>IF('query (2)'!H924="","",TRIM(UPPER('query (2)'!H924)))</f>
        <v>FINISH WASH EQUIPMENT</v>
      </c>
      <c r="S924" s="25" t="str">
        <f>IF('query (2)'!H924="","",'query (2)'!H924)</f>
        <v>Finish wash equipment</v>
      </c>
      <c r="T924" s="24" t="str">
        <f>IF('query (2)'!J924="","",TRIM(UPPER('query (2)'!J924)))</f>
        <v/>
      </c>
      <c r="U924" s="24" t="str">
        <f t="shared" si="101"/>
        <v/>
      </c>
      <c r="V924" s="24" t="str">
        <f>IF('query (2)'!K924="","NOT_SPECIFIED",IFERROR(INDEX(Cleaning_Rules!$B$32:$B$34,MATCH(TRIM(UPPER('query (2)'!K924)),Cleaning_Rules!$A$32:$A$34,0)),"UNKNOWN"))</f>
        <v>NEW</v>
      </c>
      <c r="W924" s="24" t="str">
        <f t="shared" si="102"/>
        <v>WA-766 | FACTORY2 | SNAPRING | SNAPRING | ASSEMBLY | 3406-SR1AI | OTHER | FINISH WASH EQUIPMENT | NEW</v>
      </c>
      <c r="X924" s="24" t="str">
        <f t="shared" si="103"/>
        <v>MISSING_NO</v>
      </c>
      <c r="Y924" s="24" t="str">
        <f t="shared" si="104"/>
        <v>CATEGORY_NOT_USEFUL; MISSING_PRODUCTION_NAME</v>
      </c>
    </row>
    <row r="925" spans="1:25" x14ac:dyDescent="0.3">
      <c r="A925" s="24" t="str">
        <f t="shared" si="98"/>
        <v>CH-093#0924</v>
      </c>
      <c r="B925" s="24" t="str">
        <f>IF('query (2)'!B925="","",TRIM(UPPER('query (2)'!B925)))</f>
        <v>CH-093</v>
      </c>
      <c r="C925" s="25" t="str">
        <f>IF('query (2)'!B925="","",'query (2)'!B925)</f>
        <v>CH-093</v>
      </c>
      <c r="D925" s="24" t="str">
        <f t="shared" si="99"/>
        <v>CH</v>
      </c>
      <c r="E925" s="24">
        <f t="shared" si="100"/>
        <v>2</v>
      </c>
      <c r="F925" s="24" t="str">
        <f>IF('query (2)'!A925="","",IFERROR(VALUE('query (2)'!A925),""))</f>
        <v/>
      </c>
      <c r="G925" s="24" t="str">
        <f>IF('query (2)'!C925="","UNKNOWN",IFERROR(INDEX(Cleaning_Rules!$B$15:$B$20,MATCH(TRIM(UPPER('query (2)'!C925)),Cleaning_Rules!$A$15:$A$20,0)),"UNKNOWN"))</f>
        <v>FACTORY2</v>
      </c>
      <c r="H925" s="25" t="str">
        <f>IF('query (2)'!C925="","",'query (2)'!C925)</f>
        <v>FACTORY2</v>
      </c>
      <c r="I925" s="24" t="str" cm="1">
        <f t="array" ref="I925">_xlfn.IFS($G925="UNKNOWN","UNKNOWN",OR($G925="FACTORY1",$G925="FACTORY2",$G925="FACTORY3"),"PLANT",TRUE,"SHARED")</f>
        <v>PLANT</v>
      </c>
      <c r="J925" s="24" t="str">
        <f>IF('query (2)'!D925="","UNKNOWN",IF(COUNTIF(Cleaning_Rules!$A$6:$A$11,TRIM('query (2)'!D925))&gt;0,"UNKNOWN",IFERROR(INDEX(Cleaning_Rules!$B$24:$B$28,MATCH(TRIM(UPPER('query (2)'!D925)),Cleaning_Rules!$A$24:$A$28,0)),TRIM(UPPER('query (2)'!D925)))))</f>
        <v>SNAPRING</v>
      </c>
      <c r="K925" s="25" t="str">
        <f>IF('query (2)'!D925="","",'query (2)'!D925)</f>
        <v>Snapring</v>
      </c>
      <c r="L925" s="24" t="str">
        <f>IF($J925="UNKNOWN","",_xlfn.TEXTBEFORE($J925,{"0","1","2","3","4","5","6","7","8","9"," ","-","."},1,,,$J925))</f>
        <v>SNAPRING</v>
      </c>
      <c r="M925" s="24" t="str">
        <f>IF('query (2)'!I925&lt;&gt;"",TRIM(UPPER('query (2)'!I925)),IF($L925="","UNKNOWN",$L925))</f>
        <v>SNAPRING</v>
      </c>
      <c r="N925" s="24" t="str">
        <f>IF('query (2)'!I925&lt;&gt;"","SOURCE",IF($L925="","UNKNOWN","DERIVED"))</f>
        <v>SOURCE</v>
      </c>
      <c r="O925" s="24" t="str">
        <f>IF('query (2)'!E925="","NOT_SPECIFIED",TRIM(UPPER('query (2)'!E925)))</f>
        <v>ASSEMBLY</v>
      </c>
      <c r="P925" s="24" t="str">
        <f>IF('query (2)'!F925="","",TRIM(UPPER('query (2)'!F925)))</f>
        <v>3406-SR1AI</v>
      </c>
      <c r="Q925" s="24" t="str">
        <f>IF('query (2)'!G925="","UNKNOWN",IFERROR(INDEX(Cleaning_Rules!$B$38:$B$46,MATCH(TRIM(UPPER('query (2)'!G925)),Cleaning_Rules!$A$38:$A$46,0)),"UNKNOWN"))</f>
        <v>OTHER</v>
      </c>
      <c r="R925" s="24" t="str">
        <f>IF('query (2)'!H925="","",TRIM(UPPER('query (2)'!H925)))</f>
        <v>NOISE MANUAL INSPECTION SNAP RING PRESS</v>
      </c>
      <c r="S925" s="25" t="str">
        <f>IF('query (2)'!H925="","",'query (2)'!H925)</f>
        <v>Noise manual inspection Snap ring press</v>
      </c>
      <c r="T925" s="24" t="str">
        <f>IF('query (2)'!J925="","",TRIM(UPPER('query (2)'!J925)))</f>
        <v/>
      </c>
      <c r="U925" s="24" t="str">
        <f t="shared" si="101"/>
        <v/>
      </c>
      <c r="V925" s="24" t="str">
        <f>IF('query (2)'!K925="","NOT_SPECIFIED",IFERROR(INDEX(Cleaning_Rules!$B$32:$B$34,MATCH(TRIM(UPPER('query (2)'!K925)),Cleaning_Rules!$A$32:$A$34,0)),"UNKNOWN"))</f>
        <v>NEW</v>
      </c>
      <c r="W925" s="24" t="str">
        <f t="shared" si="102"/>
        <v>CH-093 | FACTORY2 | SNAPRING | SNAPRING | ASSEMBLY | 3406-SR1AI | OTHER | NOISE MANUAL INSPECTION SNAP RING PRESS | NEW</v>
      </c>
      <c r="X925" s="24" t="str">
        <f t="shared" si="103"/>
        <v>DUPLICATE_QR; MISSING_NO</v>
      </c>
      <c r="Y925" s="24" t="str">
        <f t="shared" si="104"/>
        <v>CATEGORY_NOT_USEFUL; MISSING_PRODUCTION_NAME</v>
      </c>
    </row>
    <row r="926" spans="1:25" x14ac:dyDescent="0.3">
      <c r="A926" s="24" t="str">
        <f t="shared" si="98"/>
        <v>AS-767#0925</v>
      </c>
      <c r="B926" s="24" t="str">
        <f>IF('query (2)'!B926="","",TRIM(UPPER('query (2)'!B926)))</f>
        <v>AS-767</v>
      </c>
      <c r="C926" s="25" t="str">
        <f>IF('query (2)'!B926="","",'query (2)'!B926)</f>
        <v>AS-767</v>
      </c>
      <c r="D926" s="24" t="str">
        <f t="shared" si="99"/>
        <v>AS</v>
      </c>
      <c r="E926" s="24">
        <f t="shared" si="100"/>
        <v>1</v>
      </c>
      <c r="F926" s="24" t="str">
        <f>IF('query (2)'!A926="","",IFERROR(VALUE('query (2)'!A926),""))</f>
        <v/>
      </c>
      <c r="G926" s="24" t="str">
        <f>IF('query (2)'!C926="","UNKNOWN",IFERROR(INDEX(Cleaning_Rules!$B$15:$B$20,MATCH(TRIM(UPPER('query (2)'!C926)),Cleaning_Rules!$A$15:$A$20,0)),"UNKNOWN"))</f>
        <v>FACTORY2</v>
      </c>
      <c r="H926" s="25" t="str">
        <f>IF('query (2)'!C926="","",'query (2)'!C926)</f>
        <v>FACTORY2</v>
      </c>
      <c r="I926" s="24" t="str" cm="1">
        <f t="array" ref="I926">_xlfn.IFS($G926="UNKNOWN","UNKNOWN",OR($G926="FACTORY1",$G926="FACTORY2",$G926="FACTORY3"),"PLANT",TRUE,"SHARED")</f>
        <v>PLANT</v>
      </c>
      <c r="J926" s="24" t="str">
        <f>IF('query (2)'!D926="","UNKNOWN",IF(COUNTIF(Cleaning_Rules!$A$6:$A$11,TRIM('query (2)'!D926))&gt;0,"UNKNOWN",IFERROR(INDEX(Cleaning_Rules!$B$24:$B$28,MATCH(TRIM(UPPER('query (2)'!D926)),Cleaning_Rules!$A$24:$A$28,0)),TRIM(UPPER('query (2)'!D926)))))</f>
        <v>SNAPRING</v>
      </c>
      <c r="K926" s="25" t="str">
        <f>IF('query (2)'!D926="","",'query (2)'!D926)</f>
        <v>Snapring</v>
      </c>
      <c r="L926" s="24" t="str">
        <f>IF($J926="UNKNOWN","",_xlfn.TEXTBEFORE($J926,{"0","1","2","3","4","5","6","7","8","9"," ","-","."},1,,,$J926))</f>
        <v>SNAPRING</v>
      </c>
      <c r="M926" s="24" t="str">
        <f>IF('query (2)'!I926&lt;&gt;"",TRIM(UPPER('query (2)'!I926)),IF($L926="","UNKNOWN",$L926))</f>
        <v>SNAPRING</v>
      </c>
      <c r="N926" s="24" t="str">
        <f>IF('query (2)'!I926&lt;&gt;"","SOURCE",IF($L926="","UNKNOWN","DERIVED"))</f>
        <v>SOURCE</v>
      </c>
      <c r="O926" s="24" t="str">
        <f>IF('query (2)'!E926="","NOT_SPECIFIED",TRIM(UPPER('query (2)'!E926)))</f>
        <v>ASSEMBLY</v>
      </c>
      <c r="P926" s="24" t="str">
        <f>IF('query (2)'!F926="","",TRIM(UPPER('query (2)'!F926)))</f>
        <v>3406-SR1AI</v>
      </c>
      <c r="Q926" s="24" t="str">
        <f>IF('query (2)'!G926="","UNKNOWN",IFERROR(INDEX(Cleaning_Rules!$B$38:$B$46,MATCH(TRIM(UPPER('query (2)'!G926)),Cleaning_Rules!$A$38:$A$46,0)),"UNKNOWN"))</f>
        <v>OTHER</v>
      </c>
      <c r="R926" s="24" t="str">
        <f>IF('query (2)'!H926="","",TRIM(UPPER('query (2)'!H926)))</f>
        <v>ANTIRUS PREVENTION MACHINE</v>
      </c>
      <c r="S926" s="25" t="str">
        <f>IF('query (2)'!H926="","",'query (2)'!H926)</f>
        <v>Antirus prevention machine</v>
      </c>
      <c r="T926" s="24" t="str">
        <f>IF('query (2)'!J926="","",TRIM(UPPER('query (2)'!J926)))</f>
        <v/>
      </c>
      <c r="U926" s="24" t="str">
        <f t="shared" si="101"/>
        <v/>
      </c>
      <c r="V926" s="24" t="str">
        <f>IF('query (2)'!K926="","NOT_SPECIFIED",IFERROR(INDEX(Cleaning_Rules!$B$32:$B$34,MATCH(TRIM(UPPER('query (2)'!K926)),Cleaning_Rules!$A$32:$A$34,0)),"UNKNOWN"))</f>
        <v>NEW</v>
      </c>
      <c r="W926" s="24" t="str">
        <f t="shared" si="102"/>
        <v>AS-767 | FACTORY2 | SNAPRING | SNAPRING | ASSEMBLY | 3406-SR1AI | OTHER | ANTIRUS PREVENTION MACHINE | NEW</v>
      </c>
      <c r="X926" s="24" t="str">
        <f t="shared" si="103"/>
        <v>MISSING_NO</v>
      </c>
      <c r="Y926" s="24" t="str">
        <f t="shared" si="104"/>
        <v>CATEGORY_NOT_USEFUL; MISSING_PRODUCTION_NAME</v>
      </c>
    </row>
    <row r="927" spans="1:25" x14ac:dyDescent="0.3">
      <c r="A927" s="24" t="str">
        <f t="shared" si="98"/>
        <v>AS-768#0926</v>
      </c>
      <c r="B927" s="24" t="str">
        <f>IF('query (2)'!B927="","",TRIM(UPPER('query (2)'!B927)))</f>
        <v>AS-768</v>
      </c>
      <c r="C927" s="25" t="str">
        <f>IF('query (2)'!B927="","",'query (2)'!B927)</f>
        <v>AS-768</v>
      </c>
      <c r="D927" s="24" t="str">
        <f t="shared" si="99"/>
        <v>AS</v>
      </c>
      <c r="E927" s="24">
        <f t="shared" si="100"/>
        <v>1</v>
      </c>
      <c r="F927" s="24" t="str">
        <f>IF('query (2)'!A927="","",IFERROR(VALUE('query (2)'!A927),""))</f>
        <v/>
      </c>
      <c r="G927" s="24" t="str">
        <f>IF('query (2)'!C927="","UNKNOWN",IFERROR(INDEX(Cleaning_Rules!$B$15:$B$20,MATCH(TRIM(UPPER('query (2)'!C927)),Cleaning_Rules!$A$15:$A$20,0)),"UNKNOWN"))</f>
        <v>FACTORY2</v>
      </c>
      <c r="H927" s="25" t="str">
        <f>IF('query (2)'!C927="","",'query (2)'!C927)</f>
        <v>FACTORY2</v>
      </c>
      <c r="I927" s="24" t="str" cm="1">
        <f t="array" ref="I927">_xlfn.IFS($G927="UNKNOWN","UNKNOWN",OR($G927="FACTORY1",$G927="FACTORY2",$G927="FACTORY3"),"PLANT",TRUE,"SHARED")</f>
        <v>PLANT</v>
      </c>
      <c r="J927" s="24" t="str">
        <f>IF('query (2)'!D927="","UNKNOWN",IF(COUNTIF(Cleaning_Rules!$A$6:$A$11,TRIM('query (2)'!D927))&gt;0,"UNKNOWN",IFERROR(INDEX(Cleaning_Rules!$B$24:$B$28,MATCH(TRIM(UPPER('query (2)'!D927)),Cleaning_Rules!$A$24:$A$28,0)),TRIM(UPPER('query (2)'!D927)))))</f>
        <v>SNAPRING</v>
      </c>
      <c r="K927" s="25" t="str">
        <f>IF('query (2)'!D927="","",'query (2)'!D927)</f>
        <v>Snapring</v>
      </c>
      <c r="L927" s="24" t="str">
        <f>IF($J927="UNKNOWN","",_xlfn.TEXTBEFORE($J927,{"0","1","2","3","4","5","6","7","8","9"," ","-","."},1,,,$J927))</f>
        <v>SNAPRING</v>
      </c>
      <c r="M927" s="24" t="str">
        <f>IF('query (2)'!I927&lt;&gt;"",TRIM(UPPER('query (2)'!I927)),IF($L927="","UNKNOWN",$L927))</f>
        <v>SNAPRING</v>
      </c>
      <c r="N927" s="24" t="str">
        <f>IF('query (2)'!I927&lt;&gt;"","SOURCE",IF($L927="","UNKNOWN","DERIVED"))</f>
        <v>SOURCE</v>
      </c>
      <c r="O927" s="24" t="str">
        <f>IF('query (2)'!E927="","NOT_SPECIFIED",TRIM(UPPER('query (2)'!E927)))</f>
        <v>ASSEMBLY</v>
      </c>
      <c r="P927" s="24" t="str">
        <f>IF('query (2)'!F927="","",TRIM(UPPER('query (2)'!F927)))</f>
        <v>3406-SR1AI</v>
      </c>
      <c r="Q927" s="24" t="str">
        <f>IF('query (2)'!G927="","UNKNOWN",IFERROR(INDEX(Cleaning_Rules!$B$38:$B$46,MATCH(TRIM(UPPER('query (2)'!G927)),Cleaning_Rules!$A$38:$A$46,0)),"UNKNOWN"))</f>
        <v>OTHER</v>
      </c>
      <c r="R927" s="24" t="str">
        <f>IF('query (2)'!H927="","",TRIM(UPPER('query (2)'!H927)))</f>
        <v>SNAP RING PRESS</v>
      </c>
      <c r="S927" s="25" t="str">
        <f>IF('query (2)'!H927="","",'query (2)'!H927)</f>
        <v>Snap ring press</v>
      </c>
      <c r="T927" s="24" t="str">
        <f>IF('query (2)'!J927="","",TRIM(UPPER('query (2)'!J927)))</f>
        <v/>
      </c>
      <c r="U927" s="24" t="str">
        <f t="shared" si="101"/>
        <v/>
      </c>
      <c r="V927" s="24" t="str">
        <f>IF('query (2)'!K927="","NOT_SPECIFIED",IFERROR(INDEX(Cleaning_Rules!$B$32:$B$34,MATCH(TRIM(UPPER('query (2)'!K927)),Cleaning_Rules!$A$32:$A$34,0)),"UNKNOWN"))</f>
        <v>NEW</v>
      </c>
      <c r="W927" s="24" t="str">
        <f t="shared" si="102"/>
        <v>AS-768 | FACTORY2 | SNAPRING | SNAPRING | ASSEMBLY | 3406-SR1AI | OTHER | SNAP RING PRESS | NEW</v>
      </c>
      <c r="X927" s="24" t="str">
        <f t="shared" si="103"/>
        <v>MISSING_NO</v>
      </c>
      <c r="Y927" s="24" t="str">
        <f t="shared" si="104"/>
        <v>CATEGORY_NOT_USEFUL; MISSING_PRODUCTION_NAME</v>
      </c>
    </row>
    <row r="928" spans="1:25" x14ac:dyDescent="0.3">
      <c r="A928" s="24" t="str">
        <f t="shared" si="98"/>
        <v>ML-1193#0927</v>
      </c>
      <c r="B928" s="24" t="str">
        <f>IF('query (2)'!B928="","",TRIM(UPPER('query (2)'!B928)))</f>
        <v>ML-1193</v>
      </c>
      <c r="C928" s="25" t="str">
        <f>IF('query (2)'!B928="","",'query (2)'!B928)</f>
        <v>ML-1193</v>
      </c>
      <c r="D928" s="24" t="str">
        <f t="shared" si="99"/>
        <v>ML</v>
      </c>
      <c r="E928" s="24">
        <f t="shared" si="100"/>
        <v>1</v>
      </c>
      <c r="F928" s="24" t="str">
        <f>IF('query (2)'!A928="","",IFERROR(VALUE('query (2)'!A928),""))</f>
        <v/>
      </c>
      <c r="G928" s="24" t="str">
        <f>IF('query (2)'!C928="","UNKNOWN",IFERROR(INDEX(Cleaning_Rules!$B$15:$B$20,MATCH(TRIM(UPPER('query (2)'!C928)),Cleaning_Rules!$A$15:$A$20,0)),"UNKNOWN"))</f>
        <v>FACTORY2</v>
      </c>
      <c r="H928" s="25" t="str">
        <f>IF('query (2)'!C928="","",'query (2)'!C928)</f>
        <v>FACTORY2</v>
      </c>
      <c r="I928" s="24" t="str" cm="1">
        <f t="array" ref="I928">_xlfn.IFS($G928="UNKNOWN","UNKNOWN",OR($G928="FACTORY1",$G928="FACTORY2",$G928="FACTORY3"),"PLANT",TRUE,"SHARED")</f>
        <v>PLANT</v>
      </c>
      <c r="J928" s="24" t="str">
        <f>IF('query (2)'!D928="","UNKNOWN",IF(COUNTIF(Cleaning_Rules!$A$6:$A$11,TRIM('query (2)'!D928))&gt;0,"UNKNOWN",IFERROR(INDEX(Cleaning_Rules!$B$24:$B$28,MATCH(TRIM(UPPER('query (2)'!D928)),Cleaning_Rules!$A$24:$A$28,0)),TRIM(UPPER('query (2)'!D928)))))</f>
        <v>TOOLING SHOP</v>
      </c>
      <c r="K928" s="25" t="str">
        <f>IF('query (2)'!D928="","",'query (2)'!D928)</f>
        <v>TOOL Shop</v>
      </c>
      <c r="L928" s="24" t="str">
        <f>IF($J928="UNKNOWN","",_xlfn.TEXTBEFORE($J928,{"0","1","2","3","4","5","6","7","8","9"," ","-","."},1,,,$J928))</f>
        <v>TOOLING</v>
      </c>
      <c r="M928" s="24" t="str">
        <f>IF('query (2)'!I928&lt;&gt;"",TRIM(UPPER('query (2)'!I928)),IF($L928="","UNKNOWN",$L928))</f>
        <v>TOOLING</v>
      </c>
      <c r="N928" s="24" t="str">
        <f>IF('query (2)'!I928&lt;&gt;"","SOURCE",IF($L928="","UNKNOWN","DERIVED"))</f>
        <v>SOURCE</v>
      </c>
      <c r="O928" s="24" t="str">
        <f>IF('query (2)'!E928="","NOT_SPECIFIED",TRIM(UPPER('query (2)'!E928)))</f>
        <v>NOT_SPECIFIED</v>
      </c>
      <c r="P928" s="24" t="str">
        <f>IF('query (2)'!F928="","",TRIM(UPPER('query (2)'!F928)))</f>
        <v>2108-EMTC</v>
      </c>
      <c r="Q928" s="24" t="str">
        <f>IF('query (2)'!G928="","UNKNOWN",IFERROR(INDEX(Cleaning_Rules!$B$38:$B$46,MATCH(TRIM(UPPER('query (2)'!G928)),Cleaning_Rules!$A$38:$A$46,0)),"UNKNOWN"))</f>
        <v>OTHER</v>
      </c>
      <c r="R928" s="24" t="str">
        <f>IF('query (2)'!H928="","",TRIM(UPPER('query (2)'!H928)))</f>
        <v>VERTICAL MILLING MACHINE</v>
      </c>
      <c r="S928" s="25" t="str">
        <f>IF('query (2)'!H928="","",'query (2)'!H928)</f>
        <v>Vertical milling machine</v>
      </c>
      <c r="T928" s="24" t="str">
        <f>IF('query (2)'!J928="","",TRIM(UPPER('query (2)'!J928)))</f>
        <v/>
      </c>
      <c r="U928" s="24" t="str">
        <f t="shared" si="101"/>
        <v/>
      </c>
      <c r="V928" s="24" t="str">
        <f>IF('query (2)'!K928="","NOT_SPECIFIED",IFERROR(INDEX(Cleaning_Rules!$B$32:$B$34,MATCH(TRIM(UPPER('query (2)'!K928)),Cleaning_Rules!$A$32:$A$34,0)),"UNKNOWN"))</f>
        <v>NEW</v>
      </c>
      <c r="W928" s="24" t="str">
        <f t="shared" si="102"/>
        <v>ML-1193 | FACTORY2 | TOOLING SHOP | TOOLING | NOT_SPECIFIED | 2108-EMTC | OTHER | VERTICAL MILLING MACHINE | NEW</v>
      </c>
      <c r="X928" s="24" t="str">
        <f t="shared" si="103"/>
        <v>MISSING_NO; MISSING_RESPONSIBLE</v>
      </c>
      <c r="Y928" s="24" t="str">
        <f t="shared" si="104"/>
        <v>CATEGORY_NOT_USEFUL; MISSING_PRODUCTION_NAME</v>
      </c>
    </row>
    <row r="929" spans="1:25" x14ac:dyDescent="0.3">
      <c r="A929" s="24" t="str">
        <f t="shared" si="98"/>
        <v>CNCTU-1194#0928</v>
      </c>
      <c r="B929" s="24" t="str">
        <f>IF('query (2)'!B929="","",TRIM(UPPER('query (2)'!B929)))</f>
        <v>CNCTU-1194</v>
      </c>
      <c r="C929" s="25" t="str">
        <f>IF('query (2)'!B929="","",'query (2)'!B929)</f>
        <v>CNCTU-1194</v>
      </c>
      <c r="D929" s="24" t="str">
        <f t="shared" si="99"/>
        <v>CNCTU</v>
      </c>
      <c r="E929" s="24">
        <f t="shared" si="100"/>
        <v>1</v>
      </c>
      <c r="F929" s="24" t="str">
        <f>IF('query (2)'!A929="","",IFERROR(VALUE('query (2)'!A929),""))</f>
        <v/>
      </c>
      <c r="G929" s="24" t="str">
        <f>IF('query (2)'!C929="","UNKNOWN",IFERROR(INDEX(Cleaning_Rules!$B$15:$B$20,MATCH(TRIM(UPPER('query (2)'!C929)),Cleaning_Rules!$A$15:$A$20,0)),"UNKNOWN"))</f>
        <v>FACTORY2</v>
      </c>
      <c r="H929" s="25" t="str">
        <f>IF('query (2)'!C929="","",'query (2)'!C929)</f>
        <v>FACTORY2</v>
      </c>
      <c r="I929" s="24" t="str" cm="1">
        <f t="array" ref="I929">_xlfn.IFS($G929="UNKNOWN","UNKNOWN",OR($G929="FACTORY1",$G929="FACTORY2",$G929="FACTORY3"),"PLANT",TRUE,"SHARED")</f>
        <v>PLANT</v>
      </c>
      <c r="J929" s="24" t="str">
        <f>IF('query (2)'!D929="","UNKNOWN",IF(COUNTIF(Cleaning_Rules!$A$6:$A$11,TRIM('query (2)'!D929))&gt;0,"UNKNOWN",IFERROR(INDEX(Cleaning_Rules!$B$24:$B$28,MATCH(TRIM(UPPER('query (2)'!D929)),Cleaning_Rules!$A$24:$A$28,0)),TRIM(UPPER('query (2)'!D929)))))</f>
        <v>TOOLING SHOP</v>
      </c>
      <c r="K929" s="25" t="str">
        <f>IF('query (2)'!D929="","",'query (2)'!D929)</f>
        <v>TOOL Shop</v>
      </c>
      <c r="L929" s="24" t="str">
        <f>IF($J929="UNKNOWN","",_xlfn.TEXTBEFORE($J929,{"0","1","2","3","4","5","6","7","8","9"," ","-","."},1,,,$J929))</f>
        <v>TOOLING</v>
      </c>
      <c r="M929" s="24" t="str">
        <f>IF('query (2)'!I929&lt;&gt;"",TRIM(UPPER('query (2)'!I929)),IF($L929="","UNKNOWN",$L929))</f>
        <v>TOOLING</v>
      </c>
      <c r="N929" s="24" t="str">
        <f>IF('query (2)'!I929&lt;&gt;"","SOURCE",IF($L929="","UNKNOWN","DERIVED"))</f>
        <v>SOURCE</v>
      </c>
      <c r="O929" s="24" t="str">
        <f>IF('query (2)'!E929="","NOT_SPECIFIED",TRIM(UPPER('query (2)'!E929)))</f>
        <v>NOT_SPECIFIED</v>
      </c>
      <c r="P929" s="24" t="str">
        <f>IF('query (2)'!F929="","",TRIM(UPPER('query (2)'!F929)))</f>
        <v>2108-EMTC</v>
      </c>
      <c r="Q929" s="24" t="str">
        <f>IF('query (2)'!G929="","UNKNOWN",IFERROR(INDEX(Cleaning_Rules!$B$38:$B$46,MATCH(TRIM(UPPER('query (2)'!G929)),Cleaning_Rules!$A$38:$A$46,0)),"UNKNOWN"))</f>
        <v>OTHER</v>
      </c>
      <c r="R929" s="24" t="str">
        <f>IF('query (2)'!H929="","",TRIM(UPPER('query (2)'!H929)))</f>
        <v>CNC TURNING  CENTER MACHINE</v>
      </c>
      <c r="S929" s="25" t="str">
        <f>IF('query (2)'!H929="","",'query (2)'!H929)</f>
        <v>CNC Turning  center machine</v>
      </c>
      <c r="T929" s="24" t="str">
        <f>IF('query (2)'!J929="","",TRIM(UPPER('query (2)'!J929)))</f>
        <v/>
      </c>
      <c r="U929" s="24" t="str">
        <f t="shared" si="101"/>
        <v/>
      </c>
      <c r="V929" s="24" t="str">
        <f>IF('query (2)'!K929="","NOT_SPECIFIED",IFERROR(INDEX(Cleaning_Rules!$B$32:$B$34,MATCH(TRIM(UPPER('query (2)'!K929)),Cleaning_Rules!$A$32:$A$34,0)),"UNKNOWN"))</f>
        <v>NEW</v>
      </c>
      <c r="W929" s="24" t="str">
        <f t="shared" si="102"/>
        <v>CNCTU-1194 | FACTORY2 | TOOLING SHOP | TOOLING | NOT_SPECIFIED | 2108-EMTC | OTHER | CNC TURNING  CENTER MACHINE | NEW</v>
      </c>
      <c r="X929" s="24" t="str">
        <f t="shared" si="103"/>
        <v>MISSING_NO; MISSING_RESPONSIBLE</v>
      </c>
      <c r="Y929" s="24" t="str">
        <f t="shared" si="104"/>
        <v>CATEGORY_NOT_USEFUL; MISSING_PRODUCTION_NAME</v>
      </c>
    </row>
    <row r="930" spans="1:25" x14ac:dyDescent="0.3">
      <c r="A930" s="24" t="str">
        <f t="shared" si="98"/>
        <v>LA-1195#0929</v>
      </c>
      <c r="B930" s="24" t="str">
        <f>IF('query (2)'!B930="","",TRIM(UPPER('query (2)'!B930)))</f>
        <v>LA-1195</v>
      </c>
      <c r="C930" s="25" t="str">
        <f>IF('query (2)'!B930="","",'query (2)'!B930)</f>
        <v>LA-1195</v>
      </c>
      <c r="D930" s="24" t="str">
        <f t="shared" si="99"/>
        <v>LA</v>
      </c>
      <c r="E930" s="24">
        <f t="shared" si="100"/>
        <v>1</v>
      </c>
      <c r="F930" s="24" t="str">
        <f>IF('query (2)'!A930="","",IFERROR(VALUE('query (2)'!A930),""))</f>
        <v/>
      </c>
      <c r="G930" s="24" t="str">
        <f>IF('query (2)'!C930="","UNKNOWN",IFERROR(INDEX(Cleaning_Rules!$B$15:$B$20,MATCH(TRIM(UPPER('query (2)'!C930)),Cleaning_Rules!$A$15:$A$20,0)),"UNKNOWN"))</f>
        <v>FACTORY2</v>
      </c>
      <c r="H930" s="25" t="str">
        <f>IF('query (2)'!C930="","",'query (2)'!C930)</f>
        <v>FACTORY2</v>
      </c>
      <c r="I930" s="24" t="str" cm="1">
        <f t="array" ref="I930">_xlfn.IFS($G930="UNKNOWN","UNKNOWN",OR($G930="FACTORY1",$G930="FACTORY2",$G930="FACTORY3"),"PLANT",TRUE,"SHARED")</f>
        <v>PLANT</v>
      </c>
      <c r="J930" s="24" t="str">
        <f>IF('query (2)'!D930="","UNKNOWN",IF(COUNTIF(Cleaning_Rules!$A$6:$A$11,TRIM('query (2)'!D930))&gt;0,"UNKNOWN",IFERROR(INDEX(Cleaning_Rules!$B$24:$B$28,MATCH(TRIM(UPPER('query (2)'!D930)),Cleaning_Rules!$A$24:$A$28,0)),TRIM(UPPER('query (2)'!D930)))))</f>
        <v>TOOLING SHOP</v>
      </c>
      <c r="K930" s="25" t="str">
        <f>IF('query (2)'!D930="","",'query (2)'!D930)</f>
        <v>TOOL Shop</v>
      </c>
      <c r="L930" s="24" t="str">
        <f>IF($J930="UNKNOWN","",_xlfn.TEXTBEFORE($J930,{"0","1","2","3","4","5","6","7","8","9"," ","-","."},1,,,$J930))</f>
        <v>TOOLING</v>
      </c>
      <c r="M930" s="24" t="str">
        <f>IF('query (2)'!I930&lt;&gt;"",TRIM(UPPER('query (2)'!I930)),IF($L930="","UNKNOWN",$L930))</f>
        <v>TOOLING</v>
      </c>
      <c r="N930" s="24" t="str">
        <f>IF('query (2)'!I930&lt;&gt;"","SOURCE",IF($L930="","UNKNOWN","DERIVED"))</f>
        <v>SOURCE</v>
      </c>
      <c r="O930" s="24" t="str">
        <f>IF('query (2)'!E930="","NOT_SPECIFIED",TRIM(UPPER('query (2)'!E930)))</f>
        <v>NOT_SPECIFIED</v>
      </c>
      <c r="P930" s="24" t="str">
        <f>IF('query (2)'!F930="","",TRIM(UPPER('query (2)'!F930)))</f>
        <v>2108-EMTC</v>
      </c>
      <c r="Q930" s="24" t="str">
        <f>IF('query (2)'!G930="","UNKNOWN",IFERROR(INDEX(Cleaning_Rules!$B$38:$B$46,MATCH(TRIM(UPPER('query (2)'!G930)),Cleaning_Rules!$A$38:$A$46,0)),"UNKNOWN"))</f>
        <v>OTHER</v>
      </c>
      <c r="R930" s="24" t="str">
        <f>IF('query (2)'!H930="","",TRIM(UPPER('query (2)'!H930)))</f>
        <v>HIGH SPEED PRECISION LATHE MACHINE</v>
      </c>
      <c r="S930" s="25" t="str">
        <f>IF('query (2)'!H930="","",'query (2)'!H930)</f>
        <v>High speed precision lathe machine</v>
      </c>
      <c r="T930" s="24" t="str">
        <f>IF('query (2)'!J930="","",TRIM(UPPER('query (2)'!J930)))</f>
        <v/>
      </c>
      <c r="U930" s="24" t="str">
        <f t="shared" si="101"/>
        <v/>
      </c>
      <c r="V930" s="24" t="str">
        <f>IF('query (2)'!K930="","NOT_SPECIFIED",IFERROR(INDEX(Cleaning_Rules!$B$32:$B$34,MATCH(TRIM(UPPER('query (2)'!K930)),Cleaning_Rules!$A$32:$A$34,0)),"UNKNOWN"))</f>
        <v>NEW</v>
      </c>
      <c r="W930" s="24" t="str">
        <f t="shared" si="102"/>
        <v>LA-1195 | FACTORY2 | TOOLING SHOP | TOOLING | NOT_SPECIFIED | 2108-EMTC | OTHER | HIGH SPEED PRECISION LATHE MACHINE | NEW</v>
      </c>
      <c r="X930" s="24" t="str">
        <f t="shared" si="103"/>
        <v>MISSING_NO; MISSING_RESPONSIBLE</v>
      </c>
      <c r="Y930" s="24" t="str">
        <f t="shared" si="104"/>
        <v>CATEGORY_NOT_USEFUL; MISSING_PRODUCTION_NAME</v>
      </c>
    </row>
    <row r="931" spans="1:25" x14ac:dyDescent="0.3">
      <c r="A931" s="24" t="str">
        <f t="shared" si="98"/>
        <v>CNCML-1196#0930</v>
      </c>
      <c r="B931" s="24" t="str">
        <f>IF('query (2)'!B931="","",TRIM(UPPER('query (2)'!B931)))</f>
        <v>CNCML-1196</v>
      </c>
      <c r="C931" s="25" t="str">
        <f>IF('query (2)'!B931="","",'query (2)'!B931)</f>
        <v>CNCML-1196</v>
      </c>
      <c r="D931" s="24" t="str">
        <f t="shared" si="99"/>
        <v>CNCML</v>
      </c>
      <c r="E931" s="24">
        <f t="shared" si="100"/>
        <v>1</v>
      </c>
      <c r="F931" s="24" t="str">
        <f>IF('query (2)'!A931="","",IFERROR(VALUE('query (2)'!A931),""))</f>
        <v/>
      </c>
      <c r="G931" s="24" t="str">
        <f>IF('query (2)'!C931="","UNKNOWN",IFERROR(INDEX(Cleaning_Rules!$B$15:$B$20,MATCH(TRIM(UPPER('query (2)'!C931)),Cleaning_Rules!$A$15:$A$20,0)),"UNKNOWN"))</f>
        <v>FACTORY2</v>
      </c>
      <c r="H931" s="25" t="str">
        <f>IF('query (2)'!C931="","",'query (2)'!C931)</f>
        <v>FACTORY2</v>
      </c>
      <c r="I931" s="24" t="str" cm="1">
        <f t="array" ref="I931">_xlfn.IFS($G931="UNKNOWN","UNKNOWN",OR($G931="FACTORY1",$G931="FACTORY2",$G931="FACTORY3"),"PLANT",TRUE,"SHARED")</f>
        <v>PLANT</v>
      </c>
      <c r="J931" s="24" t="str">
        <f>IF('query (2)'!D931="","UNKNOWN",IF(COUNTIF(Cleaning_Rules!$A$6:$A$11,TRIM('query (2)'!D931))&gt;0,"UNKNOWN",IFERROR(INDEX(Cleaning_Rules!$B$24:$B$28,MATCH(TRIM(UPPER('query (2)'!D931)),Cleaning_Rules!$A$24:$A$28,0)),TRIM(UPPER('query (2)'!D931)))))</f>
        <v>TOOLING SHOP</v>
      </c>
      <c r="K931" s="25" t="str">
        <f>IF('query (2)'!D931="","",'query (2)'!D931)</f>
        <v>TOOL Shop</v>
      </c>
      <c r="L931" s="24" t="str">
        <f>IF($J931="UNKNOWN","",_xlfn.TEXTBEFORE($J931,{"0","1","2","3","4","5","6","7","8","9"," ","-","."},1,,,$J931))</f>
        <v>TOOLING</v>
      </c>
      <c r="M931" s="24" t="str">
        <f>IF('query (2)'!I931&lt;&gt;"",TRIM(UPPER('query (2)'!I931)),IF($L931="","UNKNOWN",$L931))</f>
        <v>TOOLING</v>
      </c>
      <c r="N931" s="24" t="str">
        <f>IF('query (2)'!I931&lt;&gt;"","SOURCE",IF($L931="","UNKNOWN","DERIVED"))</f>
        <v>SOURCE</v>
      </c>
      <c r="O931" s="24" t="str">
        <f>IF('query (2)'!E931="","NOT_SPECIFIED",TRIM(UPPER('query (2)'!E931)))</f>
        <v>NOT_SPECIFIED</v>
      </c>
      <c r="P931" s="24" t="str">
        <f>IF('query (2)'!F931="","",TRIM(UPPER('query (2)'!F931)))</f>
        <v>2108-EMTC</v>
      </c>
      <c r="Q931" s="24" t="str">
        <f>IF('query (2)'!G931="","UNKNOWN",IFERROR(INDEX(Cleaning_Rules!$B$38:$B$46,MATCH(TRIM(UPPER('query (2)'!G931)),Cleaning_Rules!$A$38:$A$46,0)),"UNKNOWN"))</f>
        <v>OTHER</v>
      </c>
      <c r="R931" s="24" t="str">
        <f>IF('query (2)'!H931="","",TRIM(UPPER('query (2)'!H931)))</f>
        <v>VERTICAL MACHINING CENTER MACHINE</v>
      </c>
      <c r="S931" s="25" t="str">
        <f>IF('query (2)'!H931="","",'query (2)'!H931)</f>
        <v>Vertical machining center machine</v>
      </c>
      <c r="T931" s="24" t="str">
        <f>IF('query (2)'!J931="","",TRIM(UPPER('query (2)'!J931)))</f>
        <v/>
      </c>
      <c r="U931" s="24" t="str">
        <f t="shared" si="101"/>
        <v/>
      </c>
      <c r="V931" s="24" t="str">
        <f>IF('query (2)'!K931="","NOT_SPECIFIED",IFERROR(INDEX(Cleaning_Rules!$B$32:$B$34,MATCH(TRIM(UPPER('query (2)'!K931)),Cleaning_Rules!$A$32:$A$34,0)),"UNKNOWN"))</f>
        <v>NEW</v>
      </c>
      <c r="W931" s="24" t="str">
        <f t="shared" si="102"/>
        <v>CNCML-1196 | FACTORY2 | TOOLING SHOP | TOOLING | NOT_SPECIFIED | 2108-EMTC | OTHER | VERTICAL MACHINING CENTER MACHINE | NEW</v>
      </c>
      <c r="X931" s="24" t="str">
        <f t="shared" si="103"/>
        <v>MISSING_NO; MISSING_RESPONSIBLE</v>
      </c>
      <c r="Y931" s="24" t="str">
        <f t="shared" si="104"/>
        <v>CATEGORY_NOT_USEFUL; MISSING_PRODUCTION_NAME</v>
      </c>
    </row>
    <row r="932" spans="1:25" x14ac:dyDescent="0.3">
      <c r="A932" s="24" t="str">
        <f t="shared" si="98"/>
        <v>SGR-1197#0931</v>
      </c>
      <c r="B932" s="24" t="str">
        <f>IF('query (2)'!B932="","",TRIM(UPPER('query (2)'!B932)))</f>
        <v>SGR-1197</v>
      </c>
      <c r="C932" s="25" t="str">
        <f>IF('query (2)'!B932="","",'query (2)'!B932)</f>
        <v>SGR-1197</v>
      </c>
      <c r="D932" s="24" t="str">
        <f t="shared" si="99"/>
        <v>SGR</v>
      </c>
      <c r="E932" s="24">
        <f t="shared" si="100"/>
        <v>1</v>
      </c>
      <c r="F932" s="24" t="str">
        <f>IF('query (2)'!A932="","",IFERROR(VALUE('query (2)'!A932),""))</f>
        <v/>
      </c>
      <c r="G932" s="24" t="str">
        <f>IF('query (2)'!C932="","UNKNOWN",IFERROR(INDEX(Cleaning_Rules!$B$15:$B$20,MATCH(TRIM(UPPER('query (2)'!C932)),Cleaning_Rules!$A$15:$A$20,0)),"UNKNOWN"))</f>
        <v>FACTORY2</v>
      </c>
      <c r="H932" s="25" t="str">
        <f>IF('query (2)'!C932="","",'query (2)'!C932)</f>
        <v>FACTORY2</v>
      </c>
      <c r="I932" s="24" t="str" cm="1">
        <f t="array" ref="I932">_xlfn.IFS($G932="UNKNOWN","UNKNOWN",OR($G932="FACTORY1",$G932="FACTORY2",$G932="FACTORY3"),"PLANT",TRUE,"SHARED")</f>
        <v>PLANT</v>
      </c>
      <c r="J932" s="24" t="str">
        <f>IF('query (2)'!D932="","UNKNOWN",IF(COUNTIF(Cleaning_Rules!$A$6:$A$11,TRIM('query (2)'!D932))&gt;0,"UNKNOWN",IFERROR(INDEX(Cleaning_Rules!$B$24:$B$28,MATCH(TRIM(UPPER('query (2)'!D932)),Cleaning_Rules!$A$24:$A$28,0)),TRIM(UPPER('query (2)'!D932)))))</f>
        <v>TOOLING SHOP</v>
      </c>
      <c r="K932" s="25" t="str">
        <f>IF('query (2)'!D932="","",'query (2)'!D932)</f>
        <v>TOOL Shop</v>
      </c>
      <c r="L932" s="24" t="str">
        <f>IF($J932="UNKNOWN","",_xlfn.TEXTBEFORE($J932,{"0","1","2","3","4","5","6","7","8","9"," ","-","."},1,,,$J932))</f>
        <v>TOOLING</v>
      </c>
      <c r="M932" s="24" t="str">
        <f>IF('query (2)'!I932&lt;&gt;"",TRIM(UPPER('query (2)'!I932)),IF($L932="","UNKNOWN",$L932))</f>
        <v>TOOLING</v>
      </c>
      <c r="N932" s="24" t="str">
        <f>IF('query (2)'!I932&lt;&gt;"","SOURCE",IF($L932="","UNKNOWN","DERIVED"))</f>
        <v>SOURCE</v>
      </c>
      <c r="O932" s="24" t="str">
        <f>IF('query (2)'!E932="","NOT_SPECIFIED",TRIM(UPPER('query (2)'!E932)))</f>
        <v>NOT_SPECIFIED</v>
      </c>
      <c r="P932" s="24" t="str">
        <f>IF('query (2)'!F932="","",TRIM(UPPER('query (2)'!F932)))</f>
        <v>2108-EMTC</v>
      </c>
      <c r="Q932" s="24" t="str">
        <f>IF('query (2)'!G932="","UNKNOWN",IFERROR(INDEX(Cleaning_Rules!$B$38:$B$46,MATCH(TRIM(UPPER('query (2)'!G932)),Cleaning_Rules!$A$38:$A$46,0)),"UNKNOWN"))</f>
        <v>OTHER</v>
      </c>
      <c r="R932" s="24" t="str">
        <f>IF('query (2)'!H932="","",TRIM(UPPER('query (2)'!H932)))</f>
        <v>SURFACE GRINDING MACHINE</v>
      </c>
      <c r="S932" s="25" t="str">
        <f>IF('query (2)'!H932="","",'query (2)'!H932)</f>
        <v>Surface grinding machine</v>
      </c>
      <c r="T932" s="24" t="str">
        <f>IF('query (2)'!J932="","",TRIM(UPPER('query (2)'!J932)))</f>
        <v/>
      </c>
      <c r="U932" s="24" t="str">
        <f t="shared" si="101"/>
        <v/>
      </c>
      <c r="V932" s="24" t="str">
        <f>IF('query (2)'!K932="","NOT_SPECIFIED",IFERROR(INDEX(Cleaning_Rules!$B$32:$B$34,MATCH(TRIM(UPPER('query (2)'!K932)),Cleaning_Rules!$A$32:$A$34,0)),"UNKNOWN"))</f>
        <v>NEW</v>
      </c>
      <c r="W932" s="24" t="str">
        <f t="shared" si="102"/>
        <v>SGR-1197 | FACTORY2 | TOOLING SHOP | TOOLING | NOT_SPECIFIED | 2108-EMTC | OTHER | SURFACE GRINDING MACHINE | NEW</v>
      </c>
      <c r="X932" s="24" t="str">
        <f t="shared" si="103"/>
        <v>MISSING_NO; MISSING_RESPONSIBLE</v>
      </c>
      <c r="Y932" s="24" t="str">
        <f t="shared" si="104"/>
        <v>CATEGORY_NOT_USEFUL; MISSING_PRODUCTION_NAME</v>
      </c>
    </row>
    <row r="933" spans="1:25" x14ac:dyDescent="0.3">
      <c r="A933" s="24" t="str">
        <f t="shared" si="98"/>
        <v>WC-1198#0932</v>
      </c>
      <c r="B933" s="24" t="str">
        <f>IF('query (2)'!B933="","",TRIM(UPPER('query (2)'!B933)))</f>
        <v>WC-1198</v>
      </c>
      <c r="C933" s="25" t="str">
        <f>IF('query (2)'!B933="","",'query (2)'!B933)</f>
        <v>WC-1198</v>
      </c>
      <c r="D933" s="24" t="str">
        <f t="shared" si="99"/>
        <v>WC</v>
      </c>
      <c r="E933" s="24">
        <f t="shared" si="100"/>
        <v>1</v>
      </c>
      <c r="F933" s="24" t="str">
        <f>IF('query (2)'!A933="","",IFERROR(VALUE('query (2)'!A933),""))</f>
        <v/>
      </c>
      <c r="G933" s="24" t="str">
        <f>IF('query (2)'!C933="","UNKNOWN",IFERROR(INDEX(Cleaning_Rules!$B$15:$B$20,MATCH(TRIM(UPPER('query (2)'!C933)),Cleaning_Rules!$A$15:$A$20,0)),"UNKNOWN"))</f>
        <v>FACTORY2</v>
      </c>
      <c r="H933" s="25" t="str">
        <f>IF('query (2)'!C933="","",'query (2)'!C933)</f>
        <v>FACTORY2</v>
      </c>
      <c r="I933" s="24" t="str" cm="1">
        <f t="array" ref="I933">_xlfn.IFS($G933="UNKNOWN","UNKNOWN",OR($G933="FACTORY1",$G933="FACTORY2",$G933="FACTORY3"),"PLANT",TRUE,"SHARED")</f>
        <v>PLANT</v>
      </c>
      <c r="J933" s="24" t="str">
        <f>IF('query (2)'!D933="","UNKNOWN",IF(COUNTIF(Cleaning_Rules!$A$6:$A$11,TRIM('query (2)'!D933))&gt;0,"UNKNOWN",IFERROR(INDEX(Cleaning_Rules!$B$24:$B$28,MATCH(TRIM(UPPER('query (2)'!D933)),Cleaning_Rules!$A$24:$A$28,0)),TRIM(UPPER('query (2)'!D933)))))</f>
        <v>TOOLING SHOP</v>
      </c>
      <c r="K933" s="25" t="str">
        <f>IF('query (2)'!D933="","",'query (2)'!D933)</f>
        <v>TOOL Shop</v>
      </c>
      <c r="L933" s="24" t="str">
        <f>IF($J933="UNKNOWN","",_xlfn.TEXTBEFORE($J933,{"0","1","2","3","4","5","6","7","8","9"," ","-","."},1,,,$J933))</f>
        <v>TOOLING</v>
      </c>
      <c r="M933" s="24" t="str">
        <f>IF('query (2)'!I933&lt;&gt;"",TRIM(UPPER('query (2)'!I933)),IF($L933="","UNKNOWN",$L933))</f>
        <v>TOOLING</v>
      </c>
      <c r="N933" s="24" t="str">
        <f>IF('query (2)'!I933&lt;&gt;"","SOURCE",IF($L933="","UNKNOWN","DERIVED"))</f>
        <v>SOURCE</v>
      </c>
      <c r="O933" s="24" t="str">
        <f>IF('query (2)'!E933="","NOT_SPECIFIED",TRIM(UPPER('query (2)'!E933)))</f>
        <v>NOT_SPECIFIED</v>
      </c>
      <c r="P933" s="24" t="str">
        <f>IF('query (2)'!F933="","",TRIM(UPPER('query (2)'!F933)))</f>
        <v>2108-EMTC</v>
      </c>
      <c r="Q933" s="24" t="str">
        <f>IF('query (2)'!G933="","UNKNOWN",IFERROR(INDEX(Cleaning_Rules!$B$38:$B$46,MATCH(TRIM(UPPER('query (2)'!G933)),Cleaning_Rules!$A$38:$A$46,0)),"UNKNOWN"))</f>
        <v>OTHER</v>
      </c>
      <c r="R933" s="24" t="str">
        <f>IF('query (2)'!H933="","",TRIM(UPPER('query (2)'!H933)))</f>
        <v>CNC WIDE-CUT MACHINE</v>
      </c>
      <c r="S933" s="25" t="str">
        <f>IF('query (2)'!H933="","",'query (2)'!H933)</f>
        <v>CNC Wide-Cut machine</v>
      </c>
      <c r="T933" s="24" t="str">
        <f>IF('query (2)'!J933="","",TRIM(UPPER('query (2)'!J933)))</f>
        <v/>
      </c>
      <c r="U933" s="24" t="str">
        <f t="shared" si="101"/>
        <v/>
      </c>
      <c r="V933" s="24" t="str">
        <f>IF('query (2)'!K933="","NOT_SPECIFIED",IFERROR(INDEX(Cleaning_Rules!$B$32:$B$34,MATCH(TRIM(UPPER('query (2)'!K933)),Cleaning_Rules!$A$32:$A$34,0)),"UNKNOWN"))</f>
        <v>NEW</v>
      </c>
      <c r="W933" s="24" t="str">
        <f t="shared" si="102"/>
        <v>WC-1198 | FACTORY2 | TOOLING SHOP | TOOLING | NOT_SPECIFIED | 2108-EMTC | OTHER | CNC WIDE-CUT MACHINE | NEW</v>
      </c>
      <c r="X933" s="24" t="str">
        <f t="shared" si="103"/>
        <v>MISSING_NO; MISSING_RESPONSIBLE</v>
      </c>
      <c r="Y933" s="24" t="str">
        <f t="shared" si="104"/>
        <v>CATEGORY_NOT_USEFUL; MISSING_PRODUCTION_NAME</v>
      </c>
    </row>
    <row r="934" spans="1:25" x14ac:dyDescent="0.3">
      <c r="A934" s="24" t="str">
        <f t="shared" si="98"/>
        <v>ODGR-1199#0933</v>
      </c>
      <c r="B934" s="24" t="str">
        <f>IF('query (2)'!B934="","",TRIM(UPPER('query (2)'!B934)))</f>
        <v>ODGR-1199</v>
      </c>
      <c r="C934" s="25" t="str">
        <f>IF('query (2)'!B934="","",'query (2)'!B934)</f>
        <v>ODGR-1199</v>
      </c>
      <c r="D934" s="24" t="str">
        <f t="shared" si="99"/>
        <v>ODGR</v>
      </c>
      <c r="E934" s="24">
        <f t="shared" si="100"/>
        <v>1</v>
      </c>
      <c r="F934" s="24" t="str">
        <f>IF('query (2)'!A934="","",IFERROR(VALUE('query (2)'!A934),""))</f>
        <v/>
      </c>
      <c r="G934" s="24" t="str">
        <f>IF('query (2)'!C934="","UNKNOWN",IFERROR(INDEX(Cleaning_Rules!$B$15:$B$20,MATCH(TRIM(UPPER('query (2)'!C934)),Cleaning_Rules!$A$15:$A$20,0)),"UNKNOWN"))</f>
        <v>FACTORY2</v>
      </c>
      <c r="H934" s="25" t="str">
        <f>IF('query (2)'!C934="","",'query (2)'!C934)</f>
        <v>FACTORY2</v>
      </c>
      <c r="I934" s="24" t="str" cm="1">
        <f t="array" ref="I934">_xlfn.IFS($G934="UNKNOWN","UNKNOWN",OR($G934="FACTORY1",$G934="FACTORY2",$G934="FACTORY3"),"PLANT",TRUE,"SHARED")</f>
        <v>PLANT</v>
      </c>
      <c r="J934" s="24" t="str">
        <f>IF('query (2)'!D934="","UNKNOWN",IF(COUNTIF(Cleaning_Rules!$A$6:$A$11,TRIM('query (2)'!D934))&gt;0,"UNKNOWN",IFERROR(INDEX(Cleaning_Rules!$B$24:$B$28,MATCH(TRIM(UPPER('query (2)'!D934)),Cleaning_Rules!$A$24:$A$28,0)),TRIM(UPPER('query (2)'!D934)))))</f>
        <v>TOOLING SHOP</v>
      </c>
      <c r="K934" s="25" t="str">
        <f>IF('query (2)'!D934="","",'query (2)'!D934)</f>
        <v>TOOL Shop</v>
      </c>
      <c r="L934" s="24" t="str">
        <f>IF($J934="UNKNOWN","",_xlfn.TEXTBEFORE($J934,{"0","1","2","3","4","5","6","7","8","9"," ","-","."},1,,,$J934))</f>
        <v>TOOLING</v>
      </c>
      <c r="M934" s="24" t="str">
        <f>IF('query (2)'!I934&lt;&gt;"",TRIM(UPPER('query (2)'!I934)),IF($L934="","UNKNOWN",$L934))</f>
        <v>TOOLING</v>
      </c>
      <c r="N934" s="24" t="str">
        <f>IF('query (2)'!I934&lt;&gt;"","SOURCE",IF($L934="","UNKNOWN","DERIVED"))</f>
        <v>SOURCE</v>
      </c>
      <c r="O934" s="24" t="str">
        <f>IF('query (2)'!E934="","NOT_SPECIFIED",TRIM(UPPER('query (2)'!E934)))</f>
        <v>NOT_SPECIFIED</v>
      </c>
      <c r="P934" s="24" t="str">
        <f>IF('query (2)'!F934="","",TRIM(UPPER('query (2)'!F934)))</f>
        <v>2108-EMTC</v>
      </c>
      <c r="Q934" s="24" t="str">
        <f>IF('query (2)'!G934="","UNKNOWN",IFERROR(INDEX(Cleaning_Rules!$B$38:$B$46,MATCH(TRIM(UPPER('query (2)'!G934)),Cleaning_Rules!$A$38:$A$46,0)),"UNKNOWN"))</f>
        <v>OTHER</v>
      </c>
      <c r="R934" s="24" t="str">
        <f>IF('query (2)'!H934="","",TRIM(UPPER('query (2)'!H934)))</f>
        <v>OD GRINDING MACHINE</v>
      </c>
      <c r="S934" s="25" t="str">
        <f>IF('query (2)'!H934="","",'query (2)'!H934)</f>
        <v>OD grinding machine</v>
      </c>
      <c r="T934" s="24" t="str">
        <f>IF('query (2)'!J934="","",TRIM(UPPER('query (2)'!J934)))</f>
        <v/>
      </c>
      <c r="U934" s="24" t="str">
        <f t="shared" si="101"/>
        <v/>
      </c>
      <c r="V934" s="24" t="str">
        <f>IF('query (2)'!K934="","NOT_SPECIFIED",IFERROR(INDEX(Cleaning_Rules!$B$32:$B$34,MATCH(TRIM(UPPER('query (2)'!K934)),Cleaning_Rules!$A$32:$A$34,0)),"UNKNOWN"))</f>
        <v>NEW</v>
      </c>
      <c r="W934" s="24" t="str">
        <f t="shared" si="102"/>
        <v>ODGR-1199 | FACTORY2 | TOOLING SHOP | TOOLING | NOT_SPECIFIED | 2108-EMTC | OTHER | OD GRINDING MACHINE | NEW</v>
      </c>
      <c r="X934" s="24" t="str">
        <f t="shared" si="103"/>
        <v>MISSING_NO; MISSING_RESPONSIBLE</v>
      </c>
      <c r="Y934" s="24" t="str">
        <f t="shared" si="104"/>
        <v>CATEGORY_NOT_USEFUL; MISSING_PRODUCTION_NAME</v>
      </c>
    </row>
    <row r="935" spans="1:25" x14ac:dyDescent="0.3">
      <c r="A935" s="24" t="str">
        <f t="shared" si="98"/>
        <v>LA-307#0934</v>
      </c>
      <c r="B935" s="24" t="str">
        <f>IF('query (2)'!B935="","",TRIM(UPPER('query (2)'!B935)))</f>
        <v>LA-307</v>
      </c>
      <c r="C935" s="25" t="str">
        <f>IF('query (2)'!B935="","",'query (2)'!B935)</f>
        <v>LA-307</v>
      </c>
      <c r="D935" s="24" t="str">
        <f t="shared" si="99"/>
        <v>LA</v>
      </c>
      <c r="E935" s="24">
        <f t="shared" si="100"/>
        <v>1</v>
      </c>
      <c r="F935" s="24" t="str">
        <f>IF('query (2)'!A935="","",IFERROR(VALUE('query (2)'!A935),""))</f>
        <v/>
      </c>
      <c r="G935" s="24" t="str">
        <f>IF('query (2)'!C935="","UNKNOWN",IFERROR(INDEX(Cleaning_Rules!$B$15:$B$20,MATCH(TRIM(UPPER('query (2)'!C935)),Cleaning_Rules!$A$15:$A$20,0)),"UNKNOWN"))</f>
        <v>FACTORY1</v>
      </c>
      <c r="H935" s="25" t="str">
        <f>IF('query (2)'!C935="","",'query (2)'!C935)</f>
        <v>FACTORY1</v>
      </c>
      <c r="I935" s="24" t="str" cm="1">
        <f t="array" ref="I935">_xlfn.IFS($G935="UNKNOWN","UNKNOWN",OR($G935="FACTORY1",$G935="FACTORY2",$G935="FACTORY3"),"PLANT",TRUE,"SHARED")</f>
        <v>PLANT</v>
      </c>
      <c r="J935" s="24" t="str">
        <f>IF('query (2)'!D935="","UNKNOWN",IF(COUNTIF(Cleaning_Rules!$A$6:$A$11,TRIM('query (2)'!D935))&gt;0,"UNKNOWN",IFERROR(INDEX(Cleaning_Rules!$B$24:$B$28,MATCH(TRIM(UPPER('query (2)'!D935)),Cleaning_Rules!$A$24:$A$28,0)),TRIM(UPPER('query (2)'!D935)))))</f>
        <v>TOOLING ENGINEER</v>
      </c>
      <c r="K935" s="25" t="str">
        <f>IF('query (2)'!D935="","",'query (2)'!D935)</f>
        <v>Tooling Engineer</v>
      </c>
      <c r="L935" s="24" t="str">
        <f>IF($J935="UNKNOWN","",_xlfn.TEXTBEFORE($J935,{"0","1","2","3","4","5","6","7","8","9"," ","-","."},1,,,$J935))</f>
        <v>TOOLING</v>
      </c>
      <c r="M935" s="24" t="str">
        <f>IF('query (2)'!I935&lt;&gt;"",TRIM(UPPER('query (2)'!I935)),IF($L935="","UNKNOWN",$L935))</f>
        <v>TOOLING</v>
      </c>
      <c r="N935" s="24" t="str">
        <f>IF('query (2)'!I935&lt;&gt;"","SOURCE",IF($L935="","UNKNOWN","DERIVED"))</f>
        <v>SOURCE</v>
      </c>
      <c r="O935" s="24" t="str">
        <f>IF('query (2)'!E935="","NOT_SPECIFIED",TRIM(UPPER('query (2)'!E935)))</f>
        <v>NOT_SPECIFIED</v>
      </c>
      <c r="P935" s="24" t="str">
        <f>IF('query (2)'!F935="","",TRIM(UPPER('query (2)'!F935)))</f>
        <v>2108-EMTC</v>
      </c>
      <c r="Q935" s="24" t="str">
        <f>IF('query (2)'!G935="","UNKNOWN",IFERROR(INDEX(Cleaning_Rules!$B$38:$B$46,MATCH(TRIM(UPPER('query (2)'!G935)),Cleaning_Rules!$A$38:$A$46,0)),"UNKNOWN"))</f>
        <v>OTHER</v>
      </c>
      <c r="R935" s="24" t="str">
        <f>IF('query (2)'!H935="","",TRIM(UPPER('query (2)'!H935)))</f>
        <v>HORIZONTAL LATHE M/C</v>
      </c>
      <c r="S935" s="25" t="str">
        <f>IF('query (2)'!H935="","",'query (2)'!H935)</f>
        <v>Horizontal Lathe M/C</v>
      </c>
      <c r="T935" s="24" t="str">
        <f>IF('query (2)'!J935="","",TRIM(UPPER('query (2)'!J935)))</f>
        <v/>
      </c>
      <c r="U935" s="24" t="str">
        <f t="shared" si="101"/>
        <v/>
      </c>
      <c r="V935" s="24" t="str">
        <f>IF('query (2)'!K935="","NOT_SPECIFIED",IFERROR(INDEX(Cleaning_Rules!$B$32:$B$34,MATCH(TRIM(UPPER('query (2)'!K935)),Cleaning_Rules!$A$32:$A$34,0)),"UNKNOWN"))</f>
        <v>NEW</v>
      </c>
      <c r="W935" s="24" t="str">
        <f t="shared" si="102"/>
        <v>LA-307 | FACTORY1 | TOOLING ENGINEER | TOOLING | NOT_SPECIFIED | 2108-EMTC | OTHER | HORIZONTAL LATHE M/C | NEW</v>
      </c>
      <c r="X935" s="24" t="str">
        <f t="shared" si="103"/>
        <v>MISSING_NO; MISSING_RESPONSIBLE</v>
      </c>
      <c r="Y935" s="24" t="str">
        <f t="shared" si="104"/>
        <v>CATEGORY_NOT_USEFUL; MISSING_PRODUCTION_NAME</v>
      </c>
    </row>
    <row r="936" spans="1:25" x14ac:dyDescent="0.3">
      <c r="A936" s="24" t="str">
        <f t="shared" si="98"/>
        <v>GR - 032#0935</v>
      </c>
      <c r="B936" s="24" t="str">
        <f>IF('query (2)'!B936="","",TRIM(UPPER('query (2)'!B936)))</f>
        <v>GR - 032</v>
      </c>
      <c r="C936" s="25" t="str">
        <f>IF('query (2)'!B936="","",'query (2)'!B936)</f>
        <v>GR - 032</v>
      </c>
      <c r="D936" s="24" t="str">
        <f t="shared" si="99"/>
        <v xml:space="preserve">GR </v>
      </c>
      <c r="E936" s="24">
        <f t="shared" si="100"/>
        <v>1</v>
      </c>
      <c r="F936" s="24" t="str">
        <f>IF('query (2)'!A936="","",IFERROR(VALUE('query (2)'!A936),""))</f>
        <v/>
      </c>
      <c r="G936" s="24" t="str">
        <f>IF('query (2)'!C936="","UNKNOWN",IFERROR(INDEX(Cleaning_Rules!$B$15:$B$20,MATCH(TRIM(UPPER('query (2)'!C936)),Cleaning_Rules!$A$15:$A$20,0)),"UNKNOWN"))</f>
        <v>FACTORY1</v>
      </c>
      <c r="H936" s="25" t="str">
        <f>IF('query (2)'!C936="","",'query (2)'!C936)</f>
        <v>FACTORY1</v>
      </c>
      <c r="I936" s="24" t="str" cm="1">
        <f t="array" ref="I936">_xlfn.IFS($G936="UNKNOWN","UNKNOWN",OR($G936="FACTORY1",$G936="FACTORY2",$G936="FACTORY3"),"PLANT",TRUE,"SHARED")</f>
        <v>PLANT</v>
      </c>
      <c r="J936" s="24" t="str">
        <f>IF('query (2)'!D936="","UNKNOWN",IF(COUNTIF(Cleaning_Rules!$A$6:$A$11,TRIM('query (2)'!D936))&gt;0,"UNKNOWN",IFERROR(INDEX(Cleaning_Rules!$B$24:$B$28,MATCH(TRIM(UPPER('query (2)'!D936)),Cleaning_Rules!$A$24:$A$28,0)),TRIM(UPPER('query (2)'!D936)))))</f>
        <v>TOOLING ENGINEER</v>
      </c>
      <c r="K936" s="25" t="str">
        <f>IF('query (2)'!D936="","",'query (2)'!D936)</f>
        <v>Tooling Engineer</v>
      </c>
      <c r="L936" s="24" t="str">
        <f>IF($J936="UNKNOWN","",_xlfn.TEXTBEFORE($J936,{"0","1","2","3","4","5","6","7","8","9"," ","-","."},1,,,$J936))</f>
        <v>TOOLING</v>
      </c>
      <c r="M936" s="24" t="str">
        <f>IF('query (2)'!I936&lt;&gt;"",TRIM(UPPER('query (2)'!I936)),IF($L936="","UNKNOWN",$L936))</f>
        <v>TOOLING</v>
      </c>
      <c r="N936" s="24" t="str">
        <f>IF('query (2)'!I936&lt;&gt;"","SOURCE",IF($L936="","UNKNOWN","DERIVED"))</f>
        <v>SOURCE</v>
      </c>
      <c r="O936" s="24" t="str">
        <f>IF('query (2)'!E936="","NOT_SPECIFIED",TRIM(UPPER('query (2)'!E936)))</f>
        <v>NOT_SPECIFIED</v>
      </c>
      <c r="P936" s="24" t="str">
        <f>IF('query (2)'!F936="","",TRIM(UPPER('query (2)'!F936)))</f>
        <v>2108-EMTC</v>
      </c>
      <c r="Q936" s="24" t="str">
        <f>IF('query (2)'!G936="","UNKNOWN",IFERROR(INDEX(Cleaning_Rules!$B$38:$B$46,MATCH(TRIM(UPPER('query (2)'!G936)),Cleaning_Rules!$A$38:$A$46,0)),"UNKNOWN"))</f>
        <v>OTHER</v>
      </c>
      <c r="R936" s="24" t="str">
        <f>IF('query (2)'!H936="","",TRIM(UPPER('query (2)'!H936)))</f>
        <v>SHUE GRINDING MACHINE.</v>
      </c>
      <c r="S936" s="25" t="str">
        <f>IF('query (2)'!H936="","",'query (2)'!H936)</f>
        <v>Shue grinding machine.</v>
      </c>
      <c r="T936" s="24" t="str">
        <f>IF('query (2)'!J936="","",TRIM(UPPER('query (2)'!J936)))</f>
        <v/>
      </c>
      <c r="U936" s="24" t="str">
        <f t="shared" si="101"/>
        <v/>
      </c>
      <c r="V936" s="24" t="str">
        <f>IF('query (2)'!K936="","NOT_SPECIFIED",IFERROR(INDEX(Cleaning_Rules!$B$32:$B$34,MATCH(TRIM(UPPER('query (2)'!K936)),Cleaning_Rules!$A$32:$A$34,0)),"UNKNOWN"))</f>
        <v>NEW</v>
      </c>
      <c r="W936" s="24" t="str">
        <f t="shared" si="102"/>
        <v>GR - 032 | FACTORY1 | TOOLING ENGINEER | TOOLING | NOT_SPECIFIED | 2108-EMTC | OTHER | SHUE GRINDING MACHINE. | NEW</v>
      </c>
      <c r="X936" s="24" t="str">
        <f t="shared" si="103"/>
        <v>MISSING_NO; MISSING_RESPONSIBLE</v>
      </c>
      <c r="Y936" s="24" t="str">
        <f t="shared" si="104"/>
        <v>CATEGORY_NOT_USEFUL; MISSING_PRODUCTION_NAME</v>
      </c>
    </row>
    <row r="937" spans="1:25" x14ac:dyDescent="0.3">
      <c r="A937" s="24" t="str">
        <f t="shared" si="98"/>
        <v>GR - 033#0936</v>
      </c>
      <c r="B937" s="24" t="str">
        <f>IF('query (2)'!B937="","",TRIM(UPPER('query (2)'!B937)))</f>
        <v>GR - 033</v>
      </c>
      <c r="C937" s="25" t="str">
        <f>IF('query (2)'!B937="","",'query (2)'!B937)</f>
        <v>GR - 033</v>
      </c>
      <c r="D937" s="24" t="str">
        <f t="shared" si="99"/>
        <v xml:space="preserve">GR </v>
      </c>
      <c r="E937" s="24">
        <f t="shared" si="100"/>
        <v>1</v>
      </c>
      <c r="F937" s="24" t="str">
        <f>IF('query (2)'!A937="","",IFERROR(VALUE('query (2)'!A937),""))</f>
        <v/>
      </c>
      <c r="G937" s="24" t="str">
        <f>IF('query (2)'!C937="","UNKNOWN",IFERROR(INDEX(Cleaning_Rules!$B$15:$B$20,MATCH(TRIM(UPPER('query (2)'!C937)),Cleaning_Rules!$A$15:$A$20,0)),"UNKNOWN"))</f>
        <v>FACTORY1</v>
      </c>
      <c r="H937" s="25" t="str">
        <f>IF('query (2)'!C937="","",'query (2)'!C937)</f>
        <v>FACTORY1</v>
      </c>
      <c r="I937" s="24" t="str" cm="1">
        <f t="array" ref="I937">_xlfn.IFS($G937="UNKNOWN","UNKNOWN",OR($G937="FACTORY1",$G937="FACTORY2",$G937="FACTORY3"),"PLANT",TRUE,"SHARED")</f>
        <v>PLANT</v>
      </c>
      <c r="J937" s="24" t="str">
        <f>IF('query (2)'!D937="","UNKNOWN",IF(COUNTIF(Cleaning_Rules!$A$6:$A$11,TRIM('query (2)'!D937))&gt;0,"UNKNOWN",IFERROR(INDEX(Cleaning_Rules!$B$24:$B$28,MATCH(TRIM(UPPER('query (2)'!D937)),Cleaning_Rules!$A$24:$A$28,0)),TRIM(UPPER('query (2)'!D937)))))</f>
        <v>TOOLING ENGINEER</v>
      </c>
      <c r="K937" s="25" t="str">
        <f>IF('query (2)'!D937="","",'query (2)'!D937)</f>
        <v>Tooling Engineer</v>
      </c>
      <c r="L937" s="24" t="str">
        <f>IF($J937="UNKNOWN","",_xlfn.TEXTBEFORE($J937,{"0","1","2","3","4","5","6","7","8","9"," ","-","."},1,,,$J937))</f>
        <v>TOOLING</v>
      </c>
      <c r="M937" s="24" t="str">
        <f>IF('query (2)'!I937&lt;&gt;"",TRIM(UPPER('query (2)'!I937)),IF($L937="","UNKNOWN",$L937))</f>
        <v>TOOLING</v>
      </c>
      <c r="N937" s="24" t="str">
        <f>IF('query (2)'!I937&lt;&gt;"","SOURCE",IF($L937="","UNKNOWN","DERIVED"))</f>
        <v>SOURCE</v>
      </c>
      <c r="O937" s="24" t="str">
        <f>IF('query (2)'!E937="","NOT_SPECIFIED",TRIM(UPPER('query (2)'!E937)))</f>
        <v>NOT_SPECIFIED</v>
      </c>
      <c r="P937" s="24" t="str">
        <f>IF('query (2)'!F937="","",TRIM(UPPER('query (2)'!F937)))</f>
        <v>2108-EMTC</v>
      </c>
      <c r="Q937" s="24" t="str">
        <f>IF('query (2)'!G937="","UNKNOWN",IFERROR(INDEX(Cleaning_Rules!$B$38:$B$46,MATCH(TRIM(UPPER('query (2)'!G937)),Cleaning_Rules!$A$38:$A$46,0)),"UNKNOWN"))</f>
        <v>OTHER</v>
      </c>
      <c r="R937" s="24" t="str">
        <f>IF('query (2)'!H937="","",TRIM(UPPER('query (2)'!H937)))</f>
        <v>ROTARY SURFACE GRINDING MACHINE.</v>
      </c>
      <c r="S937" s="25" t="str">
        <f>IF('query (2)'!H937="","",'query (2)'!H937)</f>
        <v>Rotary surface grinding machine.</v>
      </c>
      <c r="T937" s="24" t="str">
        <f>IF('query (2)'!J937="","",TRIM(UPPER('query (2)'!J937)))</f>
        <v/>
      </c>
      <c r="U937" s="24" t="str">
        <f t="shared" si="101"/>
        <v/>
      </c>
      <c r="V937" s="24" t="str">
        <f>IF('query (2)'!K937="","NOT_SPECIFIED",IFERROR(INDEX(Cleaning_Rules!$B$32:$B$34,MATCH(TRIM(UPPER('query (2)'!K937)),Cleaning_Rules!$A$32:$A$34,0)),"UNKNOWN"))</f>
        <v>NEW</v>
      </c>
      <c r="W937" s="24" t="str">
        <f t="shared" si="102"/>
        <v>GR - 033 | FACTORY1 | TOOLING ENGINEER | TOOLING | NOT_SPECIFIED | 2108-EMTC | OTHER | ROTARY SURFACE GRINDING MACHINE. | NEW</v>
      </c>
      <c r="X937" s="24" t="str">
        <f t="shared" si="103"/>
        <v>MISSING_NO; MISSING_RESPONSIBLE</v>
      </c>
      <c r="Y937" s="24" t="str">
        <f t="shared" si="104"/>
        <v>CATEGORY_NOT_USEFUL; MISSING_PRODUCTION_NAME</v>
      </c>
    </row>
    <row r="938" spans="1:25" x14ac:dyDescent="0.3">
      <c r="A938" s="24" t="str">
        <f t="shared" si="98"/>
        <v>MI-306#0937</v>
      </c>
      <c r="B938" s="24" t="str">
        <f>IF('query (2)'!B938="","",TRIM(UPPER('query (2)'!B938)))</f>
        <v>MI-306</v>
      </c>
      <c r="C938" s="25" t="str">
        <f>IF('query (2)'!B938="","",'query (2)'!B938)</f>
        <v>MI-306</v>
      </c>
      <c r="D938" s="24" t="str">
        <f t="shared" si="99"/>
        <v>MI</v>
      </c>
      <c r="E938" s="24">
        <f t="shared" si="100"/>
        <v>1</v>
      </c>
      <c r="F938" s="24" t="str">
        <f>IF('query (2)'!A938="","",IFERROR(VALUE('query (2)'!A938),""))</f>
        <v/>
      </c>
      <c r="G938" s="24" t="str">
        <f>IF('query (2)'!C938="","UNKNOWN",IFERROR(INDEX(Cleaning_Rules!$B$15:$B$20,MATCH(TRIM(UPPER('query (2)'!C938)),Cleaning_Rules!$A$15:$A$20,0)),"UNKNOWN"))</f>
        <v>FACTORY1</v>
      </c>
      <c r="H938" s="25" t="str">
        <f>IF('query (2)'!C938="","",'query (2)'!C938)</f>
        <v>FACTORY1</v>
      </c>
      <c r="I938" s="24" t="str" cm="1">
        <f t="array" ref="I938">_xlfn.IFS($G938="UNKNOWN","UNKNOWN",OR($G938="FACTORY1",$G938="FACTORY2",$G938="FACTORY3"),"PLANT",TRUE,"SHARED")</f>
        <v>PLANT</v>
      </c>
      <c r="J938" s="24" t="str">
        <f>IF('query (2)'!D938="","UNKNOWN",IF(COUNTIF(Cleaning_Rules!$A$6:$A$11,TRIM('query (2)'!D938))&gt;0,"UNKNOWN",IFERROR(INDEX(Cleaning_Rules!$B$24:$B$28,MATCH(TRIM(UPPER('query (2)'!D938)),Cleaning_Rules!$A$24:$A$28,0)),TRIM(UPPER('query (2)'!D938)))))</f>
        <v>TOOLING ENGINEER</v>
      </c>
      <c r="K938" s="25" t="str">
        <f>IF('query (2)'!D938="","",'query (2)'!D938)</f>
        <v>Tooling Engineer</v>
      </c>
      <c r="L938" s="24" t="str">
        <f>IF($J938="UNKNOWN","",_xlfn.TEXTBEFORE($J938,{"0","1","2","3","4","5","6","7","8","9"," ","-","."},1,,,$J938))</f>
        <v>TOOLING</v>
      </c>
      <c r="M938" s="24" t="str">
        <f>IF('query (2)'!I938&lt;&gt;"",TRIM(UPPER('query (2)'!I938)),IF($L938="","UNKNOWN",$L938))</f>
        <v>TOOLING</v>
      </c>
      <c r="N938" s="24" t="str">
        <f>IF('query (2)'!I938&lt;&gt;"","SOURCE",IF($L938="","UNKNOWN","DERIVED"))</f>
        <v>SOURCE</v>
      </c>
      <c r="O938" s="24" t="str">
        <f>IF('query (2)'!E938="","NOT_SPECIFIED",TRIM(UPPER('query (2)'!E938)))</f>
        <v>NOT_SPECIFIED</v>
      </c>
      <c r="P938" s="24" t="str">
        <f>IF('query (2)'!F938="","",TRIM(UPPER('query (2)'!F938)))</f>
        <v>2108-EMTC</v>
      </c>
      <c r="Q938" s="24" t="str">
        <f>IF('query (2)'!G938="","UNKNOWN",IFERROR(INDEX(Cleaning_Rules!$B$38:$B$46,MATCH(TRIM(UPPER('query (2)'!G938)),Cleaning_Rules!$A$38:$A$46,0)),"UNKNOWN"))</f>
        <v>OTHER</v>
      </c>
      <c r="R938" s="24" t="str">
        <f>IF('query (2)'!H938="","",TRIM(UPPER('query (2)'!H938)))</f>
        <v>KNEE - TYPE VERTICAL MILLING MACHINE.</v>
      </c>
      <c r="S938" s="25" t="str">
        <f>IF('query (2)'!H938="","",'query (2)'!H938)</f>
        <v xml:space="preserve">Knee - type vertical milling machine. </v>
      </c>
      <c r="T938" s="24" t="str">
        <f>IF('query (2)'!J938="","",TRIM(UPPER('query (2)'!J938)))</f>
        <v/>
      </c>
      <c r="U938" s="24" t="str">
        <f t="shared" si="101"/>
        <v/>
      </c>
      <c r="V938" s="24" t="str">
        <f>IF('query (2)'!K938="","NOT_SPECIFIED",IFERROR(INDEX(Cleaning_Rules!$B$32:$B$34,MATCH(TRIM(UPPER('query (2)'!K938)),Cleaning_Rules!$A$32:$A$34,0)),"UNKNOWN"))</f>
        <v>NEW</v>
      </c>
      <c r="W938" s="24" t="str">
        <f t="shared" si="102"/>
        <v>MI-306 | FACTORY1 | TOOLING ENGINEER | TOOLING | NOT_SPECIFIED | 2108-EMTC | OTHER | KNEE - TYPE VERTICAL MILLING MACHINE. | NEW</v>
      </c>
      <c r="X938" s="24" t="str">
        <f t="shared" si="103"/>
        <v>MISSING_NO; MISSING_RESPONSIBLE</v>
      </c>
      <c r="Y938" s="24" t="str">
        <f t="shared" si="104"/>
        <v>CATEGORY_NOT_USEFUL; MISSING_PRODUCTION_NAME</v>
      </c>
    </row>
    <row r="939" spans="1:25" x14ac:dyDescent="0.3">
      <c r="A939" s="24" t="str">
        <f t="shared" si="98"/>
        <v>GR-308#0938</v>
      </c>
      <c r="B939" s="24" t="str">
        <f>IF('query (2)'!B939="","",TRIM(UPPER('query (2)'!B939)))</f>
        <v>GR-308</v>
      </c>
      <c r="C939" s="25" t="str">
        <f>IF('query (2)'!B939="","",'query (2)'!B939)</f>
        <v>GR-308</v>
      </c>
      <c r="D939" s="24" t="str">
        <f t="shared" si="99"/>
        <v>GR</v>
      </c>
      <c r="E939" s="24">
        <f t="shared" si="100"/>
        <v>1</v>
      </c>
      <c r="F939" s="24" t="str">
        <f>IF('query (2)'!A939="","",IFERROR(VALUE('query (2)'!A939),""))</f>
        <v/>
      </c>
      <c r="G939" s="24" t="str">
        <f>IF('query (2)'!C939="","UNKNOWN",IFERROR(INDEX(Cleaning_Rules!$B$15:$B$20,MATCH(TRIM(UPPER('query (2)'!C939)),Cleaning_Rules!$A$15:$A$20,0)),"UNKNOWN"))</f>
        <v>FACTORY1</v>
      </c>
      <c r="H939" s="25" t="str">
        <f>IF('query (2)'!C939="","",'query (2)'!C939)</f>
        <v>FACTORY1</v>
      </c>
      <c r="I939" s="24" t="str" cm="1">
        <f t="array" ref="I939">_xlfn.IFS($G939="UNKNOWN","UNKNOWN",OR($G939="FACTORY1",$G939="FACTORY2",$G939="FACTORY3"),"PLANT",TRUE,"SHARED")</f>
        <v>PLANT</v>
      </c>
      <c r="J939" s="24" t="str">
        <f>IF('query (2)'!D939="","UNKNOWN",IF(COUNTIF(Cleaning_Rules!$A$6:$A$11,TRIM('query (2)'!D939))&gt;0,"UNKNOWN",IFERROR(INDEX(Cleaning_Rules!$B$24:$B$28,MATCH(TRIM(UPPER('query (2)'!D939)),Cleaning_Rules!$A$24:$A$28,0)),TRIM(UPPER('query (2)'!D939)))))</f>
        <v>TOOLING ENGINEER</v>
      </c>
      <c r="K939" s="25" t="str">
        <f>IF('query (2)'!D939="","",'query (2)'!D939)</f>
        <v>Tooling Engineer</v>
      </c>
      <c r="L939" s="24" t="str">
        <f>IF($J939="UNKNOWN","",_xlfn.TEXTBEFORE($J939,{"0","1","2","3","4","5","6","7","8","9"," ","-","."},1,,,$J939))</f>
        <v>TOOLING</v>
      </c>
      <c r="M939" s="24" t="str">
        <f>IF('query (2)'!I939&lt;&gt;"",TRIM(UPPER('query (2)'!I939)),IF($L939="","UNKNOWN",$L939))</f>
        <v>TOOLING</v>
      </c>
      <c r="N939" s="24" t="str">
        <f>IF('query (2)'!I939&lt;&gt;"","SOURCE",IF($L939="","UNKNOWN","DERIVED"))</f>
        <v>SOURCE</v>
      </c>
      <c r="O939" s="24" t="str">
        <f>IF('query (2)'!E939="","NOT_SPECIFIED",TRIM(UPPER('query (2)'!E939)))</f>
        <v>NOT_SPECIFIED</v>
      </c>
      <c r="P939" s="24" t="str">
        <f>IF('query (2)'!F939="","",TRIM(UPPER('query (2)'!F939)))</f>
        <v>2108-EMTC</v>
      </c>
      <c r="Q939" s="24" t="str">
        <f>IF('query (2)'!G939="","UNKNOWN",IFERROR(INDEX(Cleaning_Rules!$B$38:$B$46,MATCH(TRIM(UPPER('query (2)'!G939)),Cleaning_Rules!$A$38:$A$46,0)),"UNKNOWN"))</f>
        <v>OTHER</v>
      </c>
      <c r="R939" s="24" t="str">
        <f>IF('query (2)'!H939="","",TRIM(UPPER('query (2)'!H939)))</f>
        <v>SURFACE GRINDING MACHINE.</v>
      </c>
      <c r="S939" s="25" t="str">
        <f>IF('query (2)'!H939="","",'query (2)'!H939)</f>
        <v>Surface grinding machine.</v>
      </c>
      <c r="T939" s="24" t="str">
        <f>IF('query (2)'!J939="","",TRIM(UPPER('query (2)'!J939)))</f>
        <v/>
      </c>
      <c r="U939" s="24" t="str">
        <f t="shared" si="101"/>
        <v/>
      </c>
      <c r="V939" s="24" t="str">
        <f>IF('query (2)'!K939="","NOT_SPECIFIED",IFERROR(INDEX(Cleaning_Rules!$B$32:$B$34,MATCH(TRIM(UPPER('query (2)'!K939)),Cleaning_Rules!$A$32:$A$34,0)),"UNKNOWN"))</f>
        <v>NEW</v>
      </c>
      <c r="W939" s="24" t="str">
        <f t="shared" si="102"/>
        <v>GR-308 | FACTORY1 | TOOLING ENGINEER | TOOLING | NOT_SPECIFIED | 2108-EMTC | OTHER | SURFACE GRINDING MACHINE. | NEW</v>
      </c>
      <c r="X939" s="24" t="str">
        <f t="shared" si="103"/>
        <v>MISSING_NO; MISSING_RESPONSIBLE</v>
      </c>
      <c r="Y939" s="24" t="str">
        <f t="shared" si="104"/>
        <v>CATEGORY_NOT_USEFUL; MISSING_PRODUCTION_NAME</v>
      </c>
    </row>
    <row r="940" spans="1:25" x14ac:dyDescent="0.3">
      <c r="A940" s="24" t="str">
        <f t="shared" si="98"/>
        <v>GR-514#0939</v>
      </c>
      <c r="B940" s="24" t="str">
        <f>IF('query (2)'!B940="","",TRIM(UPPER('query (2)'!B940)))</f>
        <v>GR-514</v>
      </c>
      <c r="C940" s="25" t="str">
        <f>IF('query (2)'!B940="","",'query (2)'!B940)</f>
        <v>GR-514</v>
      </c>
      <c r="D940" s="24" t="str">
        <f t="shared" si="99"/>
        <v>GR</v>
      </c>
      <c r="E940" s="24">
        <f t="shared" si="100"/>
        <v>1</v>
      </c>
      <c r="F940" s="24" t="str">
        <f>IF('query (2)'!A940="","",IFERROR(VALUE('query (2)'!A940),""))</f>
        <v/>
      </c>
      <c r="G940" s="24" t="str">
        <f>IF('query (2)'!C940="","UNKNOWN",IFERROR(INDEX(Cleaning_Rules!$B$15:$B$20,MATCH(TRIM(UPPER('query (2)'!C940)),Cleaning_Rules!$A$15:$A$20,0)),"UNKNOWN"))</f>
        <v>FACTORY1</v>
      </c>
      <c r="H940" s="25" t="str">
        <f>IF('query (2)'!C940="","",'query (2)'!C940)</f>
        <v>FACTORY1</v>
      </c>
      <c r="I940" s="24" t="str" cm="1">
        <f t="array" ref="I940">_xlfn.IFS($G940="UNKNOWN","UNKNOWN",OR($G940="FACTORY1",$G940="FACTORY2",$G940="FACTORY3"),"PLANT",TRUE,"SHARED")</f>
        <v>PLANT</v>
      </c>
      <c r="J940" s="24" t="str">
        <f>IF('query (2)'!D940="","UNKNOWN",IF(COUNTIF(Cleaning_Rules!$A$6:$A$11,TRIM('query (2)'!D940))&gt;0,"UNKNOWN",IFERROR(INDEX(Cleaning_Rules!$B$24:$B$28,MATCH(TRIM(UPPER('query (2)'!D940)),Cleaning_Rules!$A$24:$A$28,0)),TRIM(UPPER('query (2)'!D940)))))</f>
        <v>TOOLING ENGINEER</v>
      </c>
      <c r="K940" s="25" t="str">
        <f>IF('query (2)'!D940="","",'query (2)'!D940)</f>
        <v>Tooling Engineer</v>
      </c>
      <c r="L940" s="24" t="str">
        <f>IF($J940="UNKNOWN","",_xlfn.TEXTBEFORE($J940,{"0","1","2","3","4","5","6","7","8","9"," ","-","."},1,,,$J940))</f>
        <v>TOOLING</v>
      </c>
      <c r="M940" s="24" t="str">
        <f>IF('query (2)'!I940&lt;&gt;"",TRIM(UPPER('query (2)'!I940)),IF($L940="","UNKNOWN",$L940))</f>
        <v>TOOLING</v>
      </c>
      <c r="N940" s="24" t="str">
        <f>IF('query (2)'!I940&lt;&gt;"","SOURCE",IF($L940="","UNKNOWN","DERIVED"))</f>
        <v>SOURCE</v>
      </c>
      <c r="O940" s="24" t="str">
        <f>IF('query (2)'!E940="","NOT_SPECIFIED",TRIM(UPPER('query (2)'!E940)))</f>
        <v>NOT_SPECIFIED</v>
      </c>
      <c r="P940" s="24" t="str">
        <f>IF('query (2)'!F940="","",TRIM(UPPER('query (2)'!F940)))</f>
        <v>2108-EMTC</v>
      </c>
      <c r="Q940" s="24" t="str">
        <f>IF('query (2)'!G940="","UNKNOWN",IFERROR(INDEX(Cleaning_Rules!$B$38:$B$46,MATCH(TRIM(UPPER('query (2)'!G940)),Cleaning_Rules!$A$38:$A$46,0)),"UNKNOWN"))</f>
        <v>OTHER</v>
      </c>
      <c r="R940" s="24" t="str">
        <f>IF('query (2)'!H940="","",TRIM(UPPER('query (2)'!H940)))</f>
        <v>HIGH PRECISION UNIVERSAL CYLINDRICAL GRINDING MACHINE.</v>
      </c>
      <c r="S940" s="25" t="str">
        <f>IF('query (2)'!H940="","",'query (2)'!H940)</f>
        <v>High precision universal cylindrical grinding machine.</v>
      </c>
      <c r="T940" s="24" t="str">
        <f>IF('query (2)'!J940="","",TRIM(UPPER('query (2)'!J940)))</f>
        <v/>
      </c>
      <c r="U940" s="24" t="str">
        <f t="shared" si="101"/>
        <v/>
      </c>
      <c r="V940" s="24" t="str">
        <f>IF('query (2)'!K940="","NOT_SPECIFIED",IFERROR(INDEX(Cleaning_Rules!$B$32:$B$34,MATCH(TRIM(UPPER('query (2)'!K940)),Cleaning_Rules!$A$32:$A$34,0)),"UNKNOWN"))</f>
        <v>NEW</v>
      </c>
      <c r="W940" s="24" t="str">
        <f t="shared" si="102"/>
        <v>GR-514 | FACTORY1 | TOOLING ENGINEER | TOOLING | NOT_SPECIFIED | 2108-EMTC | OTHER | HIGH PRECISION UNIVERSAL CYLINDRICAL GRINDING MACHINE. | NEW</v>
      </c>
      <c r="X940" s="24" t="str">
        <f t="shared" si="103"/>
        <v>MISSING_NO; MISSING_RESPONSIBLE</v>
      </c>
      <c r="Y940" s="24" t="str">
        <f t="shared" si="104"/>
        <v>CATEGORY_NOT_USEFUL; MISSING_PRODUCTION_NAME</v>
      </c>
    </row>
    <row r="941" spans="1:25" x14ac:dyDescent="0.3">
      <c r="A941" s="24" t="str">
        <f t="shared" si="98"/>
        <v>GR-658#0940</v>
      </c>
      <c r="B941" s="24" t="str">
        <f>IF('query (2)'!B941="","",TRIM(UPPER('query (2)'!B941)))</f>
        <v>GR-658</v>
      </c>
      <c r="C941" s="25" t="str">
        <f>IF('query (2)'!B941="","",'query (2)'!B941)</f>
        <v>GR-658</v>
      </c>
      <c r="D941" s="24" t="str">
        <f t="shared" si="99"/>
        <v>GR</v>
      </c>
      <c r="E941" s="24">
        <f t="shared" si="100"/>
        <v>1</v>
      </c>
      <c r="F941" s="24" t="str">
        <f>IF('query (2)'!A941="","",IFERROR(VALUE('query (2)'!A941),""))</f>
        <v/>
      </c>
      <c r="G941" s="24" t="str">
        <f>IF('query (2)'!C941="","UNKNOWN",IFERROR(INDEX(Cleaning_Rules!$B$15:$B$20,MATCH(TRIM(UPPER('query (2)'!C941)),Cleaning_Rules!$A$15:$A$20,0)),"UNKNOWN"))</f>
        <v>FACTORY1</v>
      </c>
      <c r="H941" s="25" t="str">
        <f>IF('query (2)'!C941="","",'query (2)'!C941)</f>
        <v>FACTORY1</v>
      </c>
      <c r="I941" s="24" t="str" cm="1">
        <f t="array" ref="I941">_xlfn.IFS($G941="UNKNOWN","UNKNOWN",OR($G941="FACTORY1",$G941="FACTORY2",$G941="FACTORY3"),"PLANT",TRUE,"SHARED")</f>
        <v>PLANT</v>
      </c>
      <c r="J941" s="24" t="str">
        <f>IF('query (2)'!D941="","UNKNOWN",IF(COUNTIF(Cleaning_Rules!$A$6:$A$11,TRIM('query (2)'!D941))&gt;0,"UNKNOWN",IFERROR(INDEX(Cleaning_Rules!$B$24:$B$28,MATCH(TRIM(UPPER('query (2)'!D941)),Cleaning_Rules!$A$24:$A$28,0)),TRIM(UPPER('query (2)'!D941)))))</f>
        <v>TOOLING ENGINEER</v>
      </c>
      <c r="K941" s="25" t="str">
        <f>IF('query (2)'!D941="","",'query (2)'!D941)</f>
        <v>Tooling Engineer</v>
      </c>
      <c r="L941" s="24" t="str">
        <f>IF($J941="UNKNOWN","",_xlfn.TEXTBEFORE($J941,{"0","1","2","3","4","5","6","7","8","9"," ","-","."},1,,,$J941))</f>
        <v>TOOLING</v>
      </c>
      <c r="M941" s="24" t="str">
        <f>IF('query (2)'!I941&lt;&gt;"",TRIM(UPPER('query (2)'!I941)),IF($L941="","UNKNOWN",$L941))</f>
        <v>TOOLING</v>
      </c>
      <c r="N941" s="24" t="str">
        <f>IF('query (2)'!I941&lt;&gt;"","SOURCE",IF($L941="","UNKNOWN","DERIVED"))</f>
        <v>SOURCE</v>
      </c>
      <c r="O941" s="24" t="str">
        <f>IF('query (2)'!E941="","NOT_SPECIFIED",TRIM(UPPER('query (2)'!E941)))</f>
        <v>NOT_SPECIFIED</v>
      </c>
      <c r="P941" s="24" t="str">
        <f>IF('query (2)'!F941="","",TRIM(UPPER('query (2)'!F941)))</f>
        <v>2108-EMTC</v>
      </c>
      <c r="Q941" s="24" t="str">
        <f>IF('query (2)'!G941="","UNKNOWN",IFERROR(INDEX(Cleaning_Rules!$B$38:$B$46,MATCH(TRIM(UPPER('query (2)'!G941)),Cleaning_Rules!$A$38:$A$46,0)),"UNKNOWN"))</f>
        <v>OTHER</v>
      </c>
      <c r="R941" s="24" t="str">
        <f>IF('query (2)'!H941="","",TRIM(UPPER('query (2)'!H941)))</f>
        <v>CYLINDICAL GRINDING MACHINE.</v>
      </c>
      <c r="S941" s="25" t="str">
        <f>IF('query (2)'!H941="","",'query (2)'!H941)</f>
        <v>Cylindical grinding machine.</v>
      </c>
      <c r="T941" s="24" t="str">
        <f>IF('query (2)'!J941="","",TRIM(UPPER('query (2)'!J941)))</f>
        <v/>
      </c>
      <c r="U941" s="24" t="str">
        <f t="shared" si="101"/>
        <v/>
      </c>
      <c r="V941" s="24" t="str">
        <f>IF('query (2)'!K941="","NOT_SPECIFIED",IFERROR(INDEX(Cleaning_Rules!$B$32:$B$34,MATCH(TRIM(UPPER('query (2)'!K941)),Cleaning_Rules!$A$32:$A$34,0)),"UNKNOWN"))</f>
        <v>NEW</v>
      </c>
      <c r="W941" s="24" t="str">
        <f t="shared" si="102"/>
        <v>GR-658 | FACTORY1 | TOOLING ENGINEER | TOOLING | NOT_SPECIFIED | 2108-EMTC | OTHER | CYLINDICAL GRINDING MACHINE. | NEW</v>
      </c>
      <c r="X941" s="24" t="str">
        <f t="shared" si="103"/>
        <v>MISSING_NO; MISSING_RESPONSIBLE</v>
      </c>
      <c r="Y941" s="24" t="str">
        <f t="shared" si="104"/>
        <v>CATEGORY_NOT_USEFUL; MISSING_PRODUCTION_NAME</v>
      </c>
    </row>
    <row r="942" spans="1:25" x14ac:dyDescent="0.3">
      <c r="A942" s="24" t="str">
        <f t="shared" si="98"/>
        <v>MI-659#0941</v>
      </c>
      <c r="B942" s="24" t="str">
        <f>IF('query (2)'!B942="","",TRIM(UPPER('query (2)'!B942)))</f>
        <v>MI-659</v>
      </c>
      <c r="C942" s="25" t="str">
        <f>IF('query (2)'!B942="","",'query (2)'!B942)</f>
        <v>MI-659</v>
      </c>
      <c r="D942" s="24" t="str">
        <f t="shared" si="99"/>
        <v>MI</v>
      </c>
      <c r="E942" s="24">
        <f t="shared" si="100"/>
        <v>1</v>
      </c>
      <c r="F942" s="24" t="str">
        <f>IF('query (2)'!A942="","",IFERROR(VALUE('query (2)'!A942),""))</f>
        <v/>
      </c>
      <c r="G942" s="24" t="str">
        <f>IF('query (2)'!C942="","UNKNOWN",IFERROR(INDEX(Cleaning_Rules!$B$15:$B$20,MATCH(TRIM(UPPER('query (2)'!C942)),Cleaning_Rules!$A$15:$A$20,0)),"UNKNOWN"))</f>
        <v>FACTORY1</v>
      </c>
      <c r="H942" s="25" t="str">
        <f>IF('query (2)'!C942="","",'query (2)'!C942)</f>
        <v>FACTORY1</v>
      </c>
      <c r="I942" s="24" t="str" cm="1">
        <f t="array" ref="I942">_xlfn.IFS($G942="UNKNOWN","UNKNOWN",OR($G942="FACTORY1",$G942="FACTORY2",$G942="FACTORY3"),"PLANT",TRUE,"SHARED")</f>
        <v>PLANT</v>
      </c>
      <c r="J942" s="24" t="str">
        <f>IF('query (2)'!D942="","UNKNOWN",IF(COUNTIF(Cleaning_Rules!$A$6:$A$11,TRIM('query (2)'!D942))&gt;0,"UNKNOWN",IFERROR(INDEX(Cleaning_Rules!$B$24:$B$28,MATCH(TRIM(UPPER('query (2)'!D942)),Cleaning_Rules!$A$24:$A$28,0)),TRIM(UPPER('query (2)'!D942)))))</f>
        <v>TOOLING ENGINEER</v>
      </c>
      <c r="K942" s="25" t="str">
        <f>IF('query (2)'!D942="","",'query (2)'!D942)</f>
        <v>Tooling Engineer</v>
      </c>
      <c r="L942" s="24" t="str">
        <f>IF($J942="UNKNOWN","",_xlfn.TEXTBEFORE($J942,{"0","1","2","3","4","5","6","7","8","9"," ","-","."},1,,,$J942))</f>
        <v>TOOLING</v>
      </c>
      <c r="M942" s="24" t="str">
        <f>IF('query (2)'!I942&lt;&gt;"",TRIM(UPPER('query (2)'!I942)),IF($L942="","UNKNOWN",$L942))</f>
        <v>TOOLING</v>
      </c>
      <c r="N942" s="24" t="str">
        <f>IF('query (2)'!I942&lt;&gt;"","SOURCE",IF($L942="","UNKNOWN","DERIVED"))</f>
        <v>SOURCE</v>
      </c>
      <c r="O942" s="24" t="str">
        <f>IF('query (2)'!E942="","NOT_SPECIFIED",TRIM(UPPER('query (2)'!E942)))</f>
        <v>NOT_SPECIFIED</v>
      </c>
      <c r="P942" s="24" t="str">
        <f>IF('query (2)'!F942="","",TRIM(UPPER('query (2)'!F942)))</f>
        <v>2108-EMTC</v>
      </c>
      <c r="Q942" s="24" t="str">
        <f>IF('query (2)'!G942="","UNKNOWN",IFERROR(INDEX(Cleaning_Rules!$B$38:$B$46,MATCH(TRIM(UPPER('query (2)'!G942)),Cleaning_Rules!$A$38:$A$46,0)),"UNKNOWN"))</f>
        <v>OTHER</v>
      </c>
      <c r="R942" s="24" t="str">
        <f>IF('query (2)'!H942="","",TRIM(UPPER('query (2)'!H942)))</f>
        <v>VERTICAL MILLING MACHINE.</v>
      </c>
      <c r="S942" s="25" t="str">
        <f>IF('query (2)'!H942="","",'query (2)'!H942)</f>
        <v xml:space="preserve">Vertical milling machine. </v>
      </c>
      <c r="T942" s="24" t="str">
        <f>IF('query (2)'!J942="","",TRIM(UPPER('query (2)'!J942)))</f>
        <v/>
      </c>
      <c r="U942" s="24" t="str">
        <f t="shared" si="101"/>
        <v/>
      </c>
      <c r="V942" s="24" t="str">
        <f>IF('query (2)'!K942="","NOT_SPECIFIED",IFERROR(INDEX(Cleaning_Rules!$B$32:$B$34,MATCH(TRIM(UPPER('query (2)'!K942)),Cleaning_Rules!$A$32:$A$34,0)),"UNKNOWN"))</f>
        <v>NEW</v>
      </c>
      <c r="W942" s="24" t="str">
        <f t="shared" si="102"/>
        <v>MI-659 | FACTORY1 | TOOLING ENGINEER | TOOLING | NOT_SPECIFIED | 2108-EMTC | OTHER | VERTICAL MILLING MACHINE. | NEW</v>
      </c>
      <c r="X942" s="24" t="str">
        <f t="shared" si="103"/>
        <v>MISSING_NO; MISSING_RESPONSIBLE</v>
      </c>
      <c r="Y942" s="24" t="str">
        <f t="shared" si="104"/>
        <v>CATEGORY_NOT_USEFUL; MISSING_PRODUCTION_NAME</v>
      </c>
    </row>
    <row r="943" spans="1:25" x14ac:dyDescent="0.3">
      <c r="A943" s="24" t="str">
        <f t="shared" si="98"/>
        <v>LA-670#0942</v>
      </c>
      <c r="B943" s="24" t="str">
        <f>IF('query (2)'!B943="","",TRIM(UPPER('query (2)'!B943)))</f>
        <v>LA-670</v>
      </c>
      <c r="C943" s="25" t="str">
        <f>IF('query (2)'!B943="","",'query (2)'!B943)</f>
        <v>LA-670</v>
      </c>
      <c r="D943" s="24" t="str">
        <f t="shared" si="99"/>
        <v>LA</v>
      </c>
      <c r="E943" s="24">
        <f t="shared" si="100"/>
        <v>1</v>
      </c>
      <c r="F943" s="24" t="str">
        <f>IF('query (2)'!A943="","",IFERROR(VALUE('query (2)'!A943),""))</f>
        <v/>
      </c>
      <c r="G943" s="24" t="str">
        <f>IF('query (2)'!C943="","UNKNOWN",IFERROR(INDEX(Cleaning_Rules!$B$15:$B$20,MATCH(TRIM(UPPER('query (2)'!C943)),Cleaning_Rules!$A$15:$A$20,0)),"UNKNOWN"))</f>
        <v>FACTORY1</v>
      </c>
      <c r="H943" s="25" t="str">
        <f>IF('query (2)'!C943="","",'query (2)'!C943)</f>
        <v>FACTORY1</v>
      </c>
      <c r="I943" s="24" t="str" cm="1">
        <f t="array" ref="I943">_xlfn.IFS($G943="UNKNOWN","UNKNOWN",OR($G943="FACTORY1",$G943="FACTORY2",$G943="FACTORY3"),"PLANT",TRUE,"SHARED")</f>
        <v>PLANT</v>
      </c>
      <c r="J943" s="24" t="str">
        <f>IF('query (2)'!D943="","UNKNOWN",IF(COUNTIF(Cleaning_Rules!$A$6:$A$11,TRIM('query (2)'!D943))&gt;0,"UNKNOWN",IFERROR(INDEX(Cleaning_Rules!$B$24:$B$28,MATCH(TRIM(UPPER('query (2)'!D943)),Cleaning_Rules!$A$24:$A$28,0)),TRIM(UPPER('query (2)'!D943)))))</f>
        <v>TOOLING ENGINEER</v>
      </c>
      <c r="K943" s="25" t="str">
        <f>IF('query (2)'!D943="","",'query (2)'!D943)</f>
        <v>Tooling Engineer</v>
      </c>
      <c r="L943" s="24" t="str">
        <f>IF($J943="UNKNOWN","",_xlfn.TEXTBEFORE($J943,{"0","1","2","3","4","5","6","7","8","9"," ","-","."},1,,,$J943))</f>
        <v>TOOLING</v>
      </c>
      <c r="M943" s="24" t="str">
        <f>IF('query (2)'!I943&lt;&gt;"",TRIM(UPPER('query (2)'!I943)),IF($L943="","UNKNOWN",$L943))</f>
        <v>TOOLING</v>
      </c>
      <c r="N943" s="24" t="str">
        <f>IF('query (2)'!I943&lt;&gt;"","SOURCE",IF($L943="","UNKNOWN","DERIVED"))</f>
        <v>SOURCE</v>
      </c>
      <c r="O943" s="24" t="str">
        <f>IF('query (2)'!E943="","NOT_SPECIFIED",TRIM(UPPER('query (2)'!E943)))</f>
        <v>NOT_SPECIFIED</v>
      </c>
      <c r="P943" s="24" t="str">
        <f>IF('query (2)'!F943="","",TRIM(UPPER('query (2)'!F943)))</f>
        <v>2108-EMTC</v>
      </c>
      <c r="Q943" s="24" t="str">
        <f>IF('query (2)'!G943="","UNKNOWN",IFERROR(INDEX(Cleaning_Rules!$B$38:$B$46,MATCH(TRIM(UPPER('query (2)'!G943)),Cleaning_Rules!$A$38:$A$46,0)),"UNKNOWN"))</f>
        <v>OTHER</v>
      </c>
      <c r="R943" s="24" t="str">
        <f>IF('query (2)'!H943="","",TRIM(UPPER('query (2)'!H943)))</f>
        <v>HORIZONTAL LATHE MACHINE.</v>
      </c>
      <c r="S943" s="25" t="str">
        <f>IF('query (2)'!H943="","",'query (2)'!H943)</f>
        <v>Horizontal lathe machine.</v>
      </c>
      <c r="T943" s="24" t="str">
        <f>IF('query (2)'!J943="","",TRIM(UPPER('query (2)'!J943)))</f>
        <v/>
      </c>
      <c r="U943" s="24" t="str">
        <f t="shared" si="101"/>
        <v/>
      </c>
      <c r="V943" s="24" t="str">
        <f>IF('query (2)'!K943="","NOT_SPECIFIED",IFERROR(INDEX(Cleaning_Rules!$B$32:$B$34,MATCH(TRIM(UPPER('query (2)'!K943)),Cleaning_Rules!$A$32:$A$34,0)),"UNKNOWN"))</f>
        <v>NEW</v>
      </c>
      <c r="W943" s="24" t="str">
        <f t="shared" si="102"/>
        <v>LA-670 | FACTORY1 | TOOLING ENGINEER | TOOLING | NOT_SPECIFIED | 2108-EMTC | OTHER | HORIZONTAL LATHE MACHINE. | NEW</v>
      </c>
      <c r="X943" s="24" t="str">
        <f t="shared" si="103"/>
        <v>MISSING_NO; MISSING_RESPONSIBLE</v>
      </c>
      <c r="Y943" s="24" t="str">
        <f t="shared" si="104"/>
        <v>CATEGORY_NOT_USEFUL; MISSING_PRODUCTION_NAME</v>
      </c>
    </row>
    <row r="944" spans="1:25" x14ac:dyDescent="0.3">
      <c r="A944" s="24" t="str">
        <f t="shared" si="98"/>
        <v>BS-671#0943</v>
      </c>
      <c r="B944" s="24" t="str">
        <f>IF('query (2)'!B944="","",TRIM(UPPER('query (2)'!B944)))</f>
        <v>BS-671</v>
      </c>
      <c r="C944" s="25" t="str">
        <f>IF('query (2)'!B944="","",'query (2)'!B944)</f>
        <v>BS-671</v>
      </c>
      <c r="D944" s="24" t="str">
        <f t="shared" si="99"/>
        <v>BS</v>
      </c>
      <c r="E944" s="24">
        <f t="shared" si="100"/>
        <v>1</v>
      </c>
      <c r="F944" s="24" t="str">
        <f>IF('query (2)'!A944="","",IFERROR(VALUE('query (2)'!A944),""))</f>
        <v/>
      </c>
      <c r="G944" s="24" t="str">
        <f>IF('query (2)'!C944="","UNKNOWN",IFERROR(INDEX(Cleaning_Rules!$B$15:$B$20,MATCH(TRIM(UPPER('query (2)'!C944)),Cleaning_Rules!$A$15:$A$20,0)),"UNKNOWN"))</f>
        <v>FACTORY1</v>
      </c>
      <c r="H944" s="25" t="str">
        <f>IF('query (2)'!C944="","",'query (2)'!C944)</f>
        <v>FACTORY1</v>
      </c>
      <c r="I944" s="24" t="str" cm="1">
        <f t="array" ref="I944">_xlfn.IFS($G944="UNKNOWN","UNKNOWN",OR($G944="FACTORY1",$G944="FACTORY2",$G944="FACTORY3"),"PLANT",TRUE,"SHARED")</f>
        <v>PLANT</v>
      </c>
      <c r="J944" s="24" t="str">
        <f>IF('query (2)'!D944="","UNKNOWN",IF(COUNTIF(Cleaning_Rules!$A$6:$A$11,TRIM('query (2)'!D944))&gt;0,"UNKNOWN",IFERROR(INDEX(Cleaning_Rules!$B$24:$B$28,MATCH(TRIM(UPPER('query (2)'!D944)),Cleaning_Rules!$A$24:$A$28,0)),TRIM(UPPER('query (2)'!D944)))))</f>
        <v>TOOLING ENGINEER</v>
      </c>
      <c r="K944" s="25" t="str">
        <f>IF('query (2)'!D944="","",'query (2)'!D944)</f>
        <v>Tooling Engineer</v>
      </c>
      <c r="L944" s="24" t="str">
        <f>IF($J944="UNKNOWN","",_xlfn.TEXTBEFORE($J944,{"0","1","2","3","4","5","6","7","8","9"," ","-","."},1,,,$J944))</f>
        <v>TOOLING</v>
      </c>
      <c r="M944" s="24" t="str">
        <f>IF('query (2)'!I944&lt;&gt;"",TRIM(UPPER('query (2)'!I944)),IF($L944="","UNKNOWN",$L944))</f>
        <v>TOOLING</v>
      </c>
      <c r="N944" s="24" t="str">
        <f>IF('query (2)'!I944&lt;&gt;"","SOURCE",IF($L944="","UNKNOWN","DERIVED"))</f>
        <v>SOURCE</v>
      </c>
      <c r="O944" s="24" t="str">
        <f>IF('query (2)'!E944="","NOT_SPECIFIED",TRIM(UPPER('query (2)'!E944)))</f>
        <v>NOT_SPECIFIED</v>
      </c>
      <c r="P944" s="24" t="str">
        <f>IF('query (2)'!F944="","",TRIM(UPPER('query (2)'!F944)))</f>
        <v>2108-EMTC</v>
      </c>
      <c r="Q944" s="24" t="str">
        <f>IF('query (2)'!G944="","UNKNOWN",IFERROR(INDEX(Cleaning_Rules!$B$38:$B$46,MATCH(TRIM(UPPER('query (2)'!G944)),Cleaning_Rules!$A$38:$A$46,0)),"UNKNOWN"))</f>
        <v>OTHER</v>
      </c>
      <c r="R944" s="24" t="str">
        <f>IF('query (2)'!H944="","",TRIM(UPPER('query (2)'!H944)))</f>
        <v>VERTICAL BAND SAW MACHINE.</v>
      </c>
      <c r="S944" s="25" t="str">
        <f>IF('query (2)'!H944="","",'query (2)'!H944)</f>
        <v xml:space="preserve">Vertical Band saw machine. </v>
      </c>
      <c r="T944" s="24" t="str">
        <f>IF('query (2)'!J944="","",TRIM(UPPER('query (2)'!J944)))</f>
        <v/>
      </c>
      <c r="U944" s="24" t="str">
        <f t="shared" si="101"/>
        <v/>
      </c>
      <c r="V944" s="24" t="str">
        <f>IF('query (2)'!K944="","NOT_SPECIFIED",IFERROR(INDEX(Cleaning_Rules!$B$32:$B$34,MATCH(TRIM(UPPER('query (2)'!K944)),Cleaning_Rules!$A$32:$A$34,0)),"UNKNOWN"))</f>
        <v>NEW</v>
      </c>
      <c r="W944" s="24" t="str">
        <f t="shared" si="102"/>
        <v>BS-671 | FACTORY1 | TOOLING ENGINEER | TOOLING | NOT_SPECIFIED | 2108-EMTC | OTHER | VERTICAL BAND SAW MACHINE. | NEW</v>
      </c>
      <c r="X944" s="24" t="str">
        <f t="shared" si="103"/>
        <v>MISSING_NO; MISSING_RESPONSIBLE</v>
      </c>
      <c r="Y944" s="24" t="str">
        <f t="shared" si="104"/>
        <v>CATEGORY_NOT_USEFUL; MISSING_PRODUCTION_NAME</v>
      </c>
    </row>
    <row r="945" spans="1:25" x14ac:dyDescent="0.3">
      <c r="A945" s="24" t="str">
        <f t="shared" si="98"/>
        <v>HS-674#0944</v>
      </c>
      <c r="B945" s="24" t="str">
        <f>IF('query (2)'!B945="","",TRIM(UPPER('query (2)'!B945)))</f>
        <v>HS-674</v>
      </c>
      <c r="C945" s="25" t="str">
        <f>IF('query (2)'!B945="","",'query (2)'!B945)</f>
        <v>HS-674</v>
      </c>
      <c r="D945" s="24" t="str">
        <f t="shared" si="99"/>
        <v>HS</v>
      </c>
      <c r="E945" s="24">
        <f t="shared" si="100"/>
        <v>1</v>
      </c>
      <c r="F945" s="24" t="str">
        <f>IF('query (2)'!A945="","",IFERROR(VALUE('query (2)'!A945),""))</f>
        <v/>
      </c>
      <c r="G945" s="24" t="str">
        <f>IF('query (2)'!C945="","UNKNOWN",IFERROR(INDEX(Cleaning_Rules!$B$15:$B$20,MATCH(TRIM(UPPER('query (2)'!C945)),Cleaning_Rules!$A$15:$A$20,0)),"UNKNOWN"))</f>
        <v>FACTORY1</v>
      </c>
      <c r="H945" s="25" t="str">
        <f>IF('query (2)'!C945="","",'query (2)'!C945)</f>
        <v>FACTORY1</v>
      </c>
      <c r="I945" s="24" t="str" cm="1">
        <f t="array" ref="I945">_xlfn.IFS($G945="UNKNOWN","UNKNOWN",OR($G945="FACTORY1",$G945="FACTORY2",$G945="FACTORY3"),"PLANT",TRUE,"SHARED")</f>
        <v>PLANT</v>
      </c>
      <c r="J945" s="24" t="str">
        <f>IF('query (2)'!D945="","UNKNOWN",IF(COUNTIF(Cleaning_Rules!$A$6:$A$11,TRIM('query (2)'!D945))&gt;0,"UNKNOWN",IFERROR(INDEX(Cleaning_Rules!$B$24:$B$28,MATCH(TRIM(UPPER('query (2)'!D945)),Cleaning_Rules!$A$24:$A$28,0)),TRIM(UPPER('query (2)'!D945)))))</f>
        <v>TOOLING ENGINEER</v>
      </c>
      <c r="K945" s="25" t="str">
        <f>IF('query (2)'!D945="","",'query (2)'!D945)</f>
        <v>Tooling Engineer</v>
      </c>
      <c r="L945" s="24" t="str">
        <f>IF($J945="UNKNOWN","",_xlfn.TEXTBEFORE($J945,{"0","1","2","3","4","5","6","7","8","9"," ","-","."},1,,,$J945))</f>
        <v>TOOLING</v>
      </c>
      <c r="M945" s="24" t="str">
        <f>IF('query (2)'!I945&lt;&gt;"",TRIM(UPPER('query (2)'!I945)),IF($L945="","UNKNOWN",$L945))</f>
        <v>TOOLING</v>
      </c>
      <c r="N945" s="24" t="str">
        <f>IF('query (2)'!I945&lt;&gt;"","SOURCE",IF($L945="","UNKNOWN","DERIVED"))</f>
        <v>SOURCE</v>
      </c>
      <c r="O945" s="24" t="str">
        <f>IF('query (2)'!E945="","NOT_SPECIFIED",TRIM(UPPER('query (2)'!E945)))</f>
        <v>NOT_SPECIFIED</v>
      </c>
      <c r="P945" s="24" t="str">
        <f>IF('query (2)'!F945="","",TRIM(UPPER('query (2)'!F945)))</f>
        <v>2108-EMTC</v>
      </c>
      <c r="Q945" s="24" t="str">
        <f>IF('query (2)'!G945="","UNKNOWN",IFERROR(INDEX(Cleaning_Rules!$B$38:$B$46,MATCH(TRIM(UPPER('query (2)'!G945)),Cleaning_Rules!$A$38:$A$46,0)),"UNKNOWN"))</f>
        <v>OTHER</v>
      </c>
      <c r="R945" s="24" t="str">
        <f>IF('query (2)'!H945="","",TRIM(UPPER('query (2)'!H945)))</f>
        <v>HACK SAW MACHINE.</v>
      </c>
      <c r="S945" s="25" t="str">
        <f>IF('query (2)'!H945="","",'query (2)'!H945)</f>
        <v>Hack saw machine.</v>
      </c>
      <c r="T945" s="24" t="str">
        <f>IF('query (2)'!J945="","",TRIM(UPPER('query (2)'!J945)))</f>
        <v/>
      </c>
      <c r="U945" s="24" t="str">
        <f t="shared" si="101"/>
        <v/>
      </c>
      <c r="V945" s="24" t="str">
        <f>IF('query (2)'!K945="","NOT_SPECIFIED",IFERROR(INDEX(Cleaning_Rules!$B$32:$B$34,MATCH(TRIM(UPPER('query (2)'!K945)),Cleaning_Rules!$A$32:$A$34,0)),"UNKNOWN"))</f>
        <v>NEW</v>
      </c>
      <c r="W945" s="24" t="str">
        <f t="shared" si="102"/>
        <v>HS-674 | FACTORY1 | TOOLING ENGINEER | TOOLING | NOT_SPECIFIED | 2108-EMTC | OTHER | HACK SAW MACHINE. | NEW</v>
      </c>
      <c r="X945" s="24" t="str">
        <f t="shared" si="103"/>
        <v>MISSING_NO; MISSING_RESPONSIBLE</v>
      </c>
      <c r="Y945" s="24" t="str">
        <f t="shared" si="104"/>
        <v>CATEGORY_NOT_USEFUL; MISSING_PRODUCTION_NAME</v>
      </c>
    </row>
    <row r="946" spans="1:25" x14ac:dyDescent="0.3">
      <c r="A946" s="24" t="str">
        <f t="shared" si="98"/>
        <v>DR-672#0945</v>
      </c>
      <c r="B946" s="24" t="str">
        <f>IF('query (2)'!B946="","",TRIM(UPPER('query (2)'!B946)))</f>
        <v>DR-672</v>
      </c>
      <c r="C946" s="25" t="str">
        <f>IF('query (2)'!B946="","",'query (2)'!B946)</f>
        <v>DR-672</v>
      </c>
      <c r="D946" s="24" t="str">
        <f t="shared" si="99"/>
        <v>DR</v>
      </c>
      <c r="E946" s="24">
        <f t="shared" si="100"/>
        <v>1</v>
      </c>
      <c r="F946" s="24" t="str">
        <f>IF('query (2)'!A946="","",IFERROR(VALUE('query (2)'!A946),""))</f>
        <v/>
      </c>
      <c r="G946" s="24" t="str">
        <f>IF('query (2)'!C946="","UNKNOWN",IFERROR(INDEX(Cleaning_Rules!$B$15:$B$20,MATCH(TRIM(UPPER('query (2)'!C946)),Cleaning_Rules!$A$15:$A$20,0)),"UNKNOWN"))</f>
        <v>FACTORY1</v>
      </c>
      <c r="H946" s="25" t="str">
        <f>IF('query (2)'!C946="","",'query (2)'!C946)</f>
        <v>FACTORY1</v>
      </c>
      <c r="I946" s="24" t="str" cm="1">
        <f t="array" ref="I946">_xlfn.IFS($G946="UNKNOWN","UNKNOWN",OR($G946="FACTORY1",$G946="FACTORY2",$G946="FACTORY3"),"PLANT",TRUE,"SHARED")</f>
        <v>PLANT</v>
      </c>
      <c r="J946" s="24" t="str">
        <f>IF('query (2)'!D946="","UNKNOWN",IF(COUNTIF(Cleaning_Rules!$A$6:$A$11,TRIM('query (2)'!D946))&gt;0,"UNKNOWN",IFERROR(INDEX(Cleaning_Rules!$B$24:$B$28,MATCH(TRIM(UPPER('query (2)'!D946)),Cleaning_Rules!$A$24:$A$28,0)),TRIM(UPPER('query (2)'!D946)))))</f>
        <v>TOOLING ENGINEER</v>
      </c>
      <c r="K946" s="25" t="str">
        <f>IF('query (2)'!D946="","",'query (2)'!D946)</f>
        <v>Tooling Engineer</v>
      </c>
      <c r="L946" s="24" t="str">
        <f>IF($J946="UNKNOWN","",_xlfn.TEXTBEFORE($J946,{"0","1","2","3","4","5","6","7","8","9"," ","-","."},1,,,$J946))</f>
        <v>TOOLING</v>
      </c>
      <c r="M946" s="24" t="str">
        <f>IF('query (2)'!I946&lt;&gt;"",TRIM(UPPER('query (2)'!I946)),IF($L946="","UNKNOWN",$L946))</f>
        <v>TOOLING</v>
      </c>
      <c r="N946" s="24" t="str">
        <f>IF('query (2)'!I946&lt;&gt;"","SOURCE",IF($L946="","UNKNOWN","DERIVED"))</f>
        <v>SOURCE</v>
      </c>
      <c r="O946" s="24" t="str">
        <f>IF('query (2)'!E946="","NOT_SPECIFIED",TRIM(UPPER('query (2)'!E946)))</f>
        <v>NOT_SPECIFIED</v>
      </c>
      <c r="P946" s="24" t="str">
        <f>IF('query (2)'!F946="","",TRIM(UPPER('query (2)'!F946)))</f>
        <v>2108-EMTC</v>
      </c>
      <c r="Q946" s="24" t="str">
        <f>IF('query (2)'!G946="","UNKNOWN",IFERROR(INDEX(Cleaning_Rules!$B$38:$B$46,MATCH(TRIM(UPPER('query (2)'!G946)),Cleaning_Rules!$A$38:$A$46,0)),"UNKNOWN"))</f>
        <v>OTHER</v>
      </c>
      <c r="R946" s="24" t="str">
        <f>IF('query (2)'!H946="","",TRIM(UPPER('query (2)'!H946)))</f>
        <v>DRILL PRESS MACHINE.</v>
      </c>
      <c r="S946" s="25" t="str">
        <f>IF('query (2)'!H946="","",'query (2)'!H946)</f>
        <v>Drill Press machine.</v>
      </c>
      <c r="T946" s="24" t="str">
        <f>IF('query (2)'!J946="","",TRIM(UPPER('query (2)'!J946)))</f>
        <v/>
      </c>
      <c r="U946" s="24" t="str">
        <f t="shared" si="101"/>
        <v/>
      </c>
      <c r="V946" s="24" t="str">
        <f>IF('query (2)'!K946="","NOT_SPECIFIED",IFERROR(INDEX(Cleaning_Rules!$B$32:$B$34,MATCH(TRIM(UPPER('query (2)'!K946)),Cleaning_Rules!$A$32:$A$34,0)),"UNKNOWN"))</f>
        <v>NEW</v>
      </c>
      <c r="W946" s="24" t="str">
        <f t="shared" si="102"/>
        <v>DR-672 | FACTORY1 | TOOLING ENGINEER | TOOLING | NOT_SPECIFIED | 2108-EMTC | OTHER | DRILL PRESS MACHINE. | NEW</v>
      </c>
      <c r="X946" s="24" t="str">
        <f t="shared" si="103"/>
        <v>MISSING_NO; MISSING_RESPONSIBLE</v>
      </c>
      <c r="Y946" s="24" t="str">
        <f t="shared" si="104"/>
        <v>CATEGORY_NOT_USEFUL; MISSING_PRODUCTION_NAME</v>
      </c>
    </row>
    <row r="947" spans="1:25" x14ac:dyDescent="0.3">
      <c r="A947" s="24" t="str">
        <f t="shared" si="98"/>
        <v>DR-673#0946</v>
      </c>
      <c r="B947" s="24" t="str">
        <f>IF('query (2)'!B947="","",TRIM(UPPER('query (2)'!B947)))</f>
        <v>DR-673</v>
      </c>
      <c r="C947" s="25" t="str">
        <f>IF('query (2)'!B947="","",'query (2)'!B947)</f>
        <v>DR-673</v>
      </c>
      <c r="D947" s="24" t="str">
        <f t="shared" si="99"/>
        <v>DR</v>
      </c>
      <c r="E947" s="24">
        <f t="shared" si="100"/>
        <v>1</v>
      </c>
      <c r="F947" s="24" t="str">
        <f>IF('query (2)'!A947="","",IFERROR(VALUE('query (2)'!A947),""))</f>
        <v/>
      </c>
      <c r="G947" s="24" t="str">
        <f>IF('query (2)'!C947="","UNKNOWN",IFERROR(INDEX(Cleaning_Rules!$B$15:$B$20,MATCH(TRIM(UPPER('query (2)'!C947)),Cleaning_Rules!$A$15:$A$20,0)),"UNKNOWN"))</f>
        <v>FACTORY1</v>
      </c>
      <c r="H947" s="25" t="str">
        <f>IF('query (2)'!C947="","",'query (2)'!C947)</f>
        <v>FACTORY1</v>
      </c>
      <c r="I947" s="24" t="str" cm="1">
        <f t="array" ref="I947">_xlfn.IFS($G947="UNKNOWN","UNKNOWN",OR($G947="FACTORY1",$G947="FACTORY2",$G947="FACTORY3"),"PLANT",TRUE,"SHARED")</f>
        <v>PLANT</v>
      </c>
      <c r="J947" s="24" t="str">
        <f>IF('query (2)'!D947="","UNKNOWN",IF(COUNTIF(Cleaning_Rules!$A$6:$A$11,TRIM('query (2)'!D947))&gt;0,"UNKNOWN",IFERROR(INDEX(Cleaning_Rules!$B$24:$B$28,MATCH(TRIM(UPPER('query (2)'!D947)),Cleaning_Rules!$A$24:$A$28,0)),TRIM(UPPER('query (2)'!D947)))))</f>
        <v>TOOLING ENGINEER</v>
      </c>
      <c r="K947" s="25" t="str">
        <f>IF('query (2)'!D947="","",'query (2)'!D947)</f>
        <v>Tooling Engineer</v>
      </c>
      <c r="L947" s="24" t="str">
        <f>IF($J947="UNKNOWN","",_xlfn.TEXTBEFORE($J947,{"0","1","2","3","4","5","6","7","8","9"," ","-","."},1,,,$J947))</f>
        <v>TOOLING</v>
      </c>
      <c r="M947" s="24" t="str">
        <f>IF('query (2)'!I947&lt;&gt;"",TRIM(UPPER('query (2)'!I947)),IF($L947="","UNKNOWN",$L947))</f>
        <v>TOOLING</v>
      </c>
      <c r="N947" s="24" t="str">
        <f>IF('query (2)'!I947&lt;&gt;"","SOURCE",IF($L947="","UNKNOWN","DERIVED"))</f>
        <v>SOURCE</v>
      </c>
      <c r="O947" s="24" t="str">
        <f>IF('query (2)'!E947="","NOT_SPECIFIED",TRIM(UPPER('query (2)'!E947)))</f>
        <v>NOT_SPECIFIED</v>
      </c>
      <c r="P947" s="24" t="str">
        <f>IF('query (2)'!F947="","",TRIM(UPPER('query (2)'!F947)))</f>
        <v>2108-EMTC</v>
      </c>
      <c r="Q947" s="24" t="str">
        <f>IF('query (2)'!G947="","UNKNOWN",IFERROR(INDEX(Cleaning_Rules!$B$38:$B$46,MATCH(TRIM(UPPER('query (2)'!G947)),Cleaning_Rules!$A$38:$A$46,0)),"UNKNOWN"))</f>
        <v>OTHER</v>
      </c>
      <c r="R947" s="24" t="str">
        <f>IF('query (2)'!H947="","",TRIM(UPPER('query (2)'!H947)))</f>
        <v>GAERED HEAD DRILL PRESS MACHINE.</v>
      </c>
      <c r="S947" s="25" t="str">
        <f>IF('query (2)'!H947="","",'query (2)'!H947)</f>
        <v>Gaered Head drill press machine.</v>
      </c>
      <c r="T947" s="24" t="str">
        <f>IF('query (2)'!J947="","",TRIM(UPPER('query (2)'!J947)))</f>
        <v/>
      </c>
      <c r="U947" s="24" t="str">
        <f t="shared" si="101"/>
        <v/>
      </c>
      <c r="V947" s="24" t="str">
        <f>IF('query (2)'!K947="","NOT_SPECIFIED",IFERROR(INDEX(Cleaning_Rules!$B$32:$B$34,MATCH(TRIM(UPPER('query (2)'!K947)),Cleaning_Rules!$A$32:$A$34,0)),"UNKNOWN"))</f>
        <v>NEW</v>
      </c>
      <c r="W947" s="24" t="str">
        <f t="shared" si="102"/>
        <v>DR-673 | FACTORY1 | TOOLING ENGINEER | TOOLING | NOT_SPECIFIED | 2108-EMTC | OTHER | GAERED HEAD DRILL PRESS MACHINE. | NEW</v>
      </c>
      <c r="X947" s="24" t="str">
        <f t="shared" si="103"/>
        <v>MISSING_NO; MISSING_RESPONSIBLE</v>
      </c>
      <c r="Y947" s="24" t="str">
        <f t="shared" si="104"/>
        <v>CATEGORY_NOT_USEFUL; MISSING_PRODUCTION_NAME</v>
      </c>
    </row>
    <row r="948" spans="1:25" x14ac:dyDescent="0.3">
      <c r="A948" s="24" t="str">
        <f t="shared" si="98"/>
        <v>LA-564#0947</v>
      </c>
      <c r="B948" s="24" t="str">
        <f>IF('query (2)'!B948="","",TRIM(UPPER('query (2)'!B948)))</f>
        <v>LA-564</v>
      </c>
      <c r="C948" s="25" t="str">
        <f>IF('query (2)'!B948="","",'query (2)'!B948)</f>
        <v>LA-564</v>
      </c>
      <c r="D948" s="24" t="str">
        <f t="shared" si="99"/>
        <v>LA</v>
      </c>
      <c r="E948" s="24">
        <f t="shared" si="100"/>
        <v>1</v>
      </c>
      <c r="F948" s="24" t="str">
        <f>IF('query (2)'!A948="","",IFERROR(VALUE('query (2)'!A948),""))</f>
        <v/>
      </c>
      <c r="G948" s="24" t="str">
        <f>IF('query (2)'!C948="","UNKNOWN",IFERROR(INDEX(Cleaning_Rules!$B$15:$B$20,MATCH(TRIM(UPPER('query (2)'!C948)),Cleaning_Rules!$A$15:$A$20,0)),"UNKNOWN"))</f>
        <v>FACTORY1</v>
      </c>
      <c r="H948" s="25" t="str">
        <f>IF('query (2)'!C948="","",'query (2)'!C948)</f>
        <v>FACTORY1</v>
      </c>
      <c r="I948" s="24" t="str" cm="1">
        <f t="array" ref="I948">_xlfn.IFS($G948="UNKNOWN","UNKNOWN",OR($G948="FACTORY1",$G948="FACTORY2",$G948="FACTORY3"),"PLANT",TRUE,"SHARED")</f>
        <v>PLANT</v>
      </c>
      <c r="J948" s="24" t="str">
        <f>IF('query (2)'!D948="","UNKNOWN",IF(COUNTIF(Cleaning_Rules!$A$6:$A$11,TRIM('query (2)'!D948))&gt;0,"UNKNOWN",IFERROR(INDEX(Cleaning_Rules!$B$24:$B$28,MATCH(TRIM(UPPER('query (2)'!D948)),Cleaning_Rules!$A$24:$A$28,0)),TRIM(UPPER('query (2)'!D948)))))</f>
        <v>TOOLING ENGINEER</v>
      </c>
      <c r="K948" s="25" t="str">
        <f>IF('query (2)'!D948="","",'query (2)'!D948)</f>
        <v>Tooling Engineer</v>
      </c>
      <c r="L948" s="24" t="str">
        <f>IF($J948="UNKNOWN","",_xlfn.TEXTBEFORE($J948,{"0","1","2","3","4","5","6","7","8","9"," ","-","."},1,,,$J948))</f>
        <v>TOOLING</v>
      </c>
      <c r="M948" s="24" t="str">
        <f>IF('query (2)'!I948&lt;&gt;"",TRIM(UPPER('query (2)'!I948)),IF($L948="","UNKNOWN",$L948))</f>
        <v>TOOLING</v>
      </c>
      <c r="N948" s="24" t="str">
        <f>IF('query (2)'!I948&lt;&gt;"","SOURCE",IF($L948="","UNKNOWN","DERIVED"))</f>
        <v>SOURCE</v>
      </c>
      <c r="O948" s="24" t="str">
        <f>IF('query (2)'!E948="","NOT_SPECIFIED",TRIM(UPPER('query (2)'!E948)))</f>
        <v>NOT_SPECIFIED</v>
      </c>
      <c r="P948" s="24" t="str">
        <f>IF('query (2)'!F948="","",TRIM(UPPER('query (2)'!F948)))</f>
        <v>2108-EMTC</v>
      </c>
      <c r="Q948" s="24" t="str">
        <f>IF('query (2)'!G948="","UNKNOWN",IFERROR(INDEX(Cleaning_Rules!$B$38:$B$46,MATCH(TRIM(UPPER('query (2)'!G948)),Cleaning_Rules!$A$38:$A$46,0)),"UNKNOWN"))</f>
        <v>OTHER</v>
      </c>
      <c r="R948" s="24" t="str">
        <f>IF('query (2)'!H948="","",TRIM(UPPER('query (2)'!H948)))</f>
        <v>METAL LATHES MACHINE : GH-1640 ZC</v>
      </c>
      <c r="S948" s="25" t="str">
        <f>IF('query (2)'!H948="","",'query (2)'!H948)</f>
        <v>METAL LATHES MACHINE  : GH-1640 ZC</v>
      </c>
      <c r="T948" s="24" t="str">
        <f>IF('query (2)'!J948="","",TRIM(UPPER('query (2)'!J948)))</f>
        <v/>
      </c>
      <c r="U948" s="24" t="str">
        <f t="shared" si="101"/>
        <v/>
      </c>
      <c r="V948" s="24" t="str">
        <f>IF('query (2)'!K948="","NOT_SPECIFIED",IFERROR(INDEX(Cleaning_Rules!$B$32:$B$34,MATCH(TRIM(UPPER('query (2)'!K948)),Cleaning_Rules!$A$32:$A$34,0)),"UNKNOWN"))</f>
        <v>NEW</v>
      </c>
      <c r="W948" s="24" t="str">
        <f t="shared" si="102"/>
        <v>LA-564 | FACTORY1 | TOOLING ENGINEER | TOOLING | NOT_SPECIFIED | 2108-EMTC | OTHER | METAL LATHES MACHINE : GH-1640 ZC | NEW</v>
      </c>
      <c r="X948" s="24" t="str">
        <f t="shared" si="103"/>
        <v>MISSING_NO; MISSING_RESPONSIBLE</v>
      </c>
      <c r="Y948" s="24" t="str">
        <f t="shared" si="104"/>
        <v>CATEGORY_NOT_USEFUL; MISSING_PRODUCTION_NAME</v>
      </c>
    </row>
    <row r="949" spans="1:25" x14ac:dyDescent="0.3">
      <c r="A949" s="24" t="str">
        <f t="shared" si="98"/>
        <v>DR-568#0948</v>
      </c>
      <c r="B949" s="24" t="str">
        <f>IF('query (2)'!B949="","",TRIM(UPPER('query (2)'!B949)))</f>
        <v>DR-568</v>
      </c>
      <c r="C949" s="25" t="str">
        <f>IF('query (2)'!B949="","",'query (2)'!B949)</f>
        <v>DR-568</v>
      </c>
      <c r="D949" s="24" t="str">
        <f t="shared" si="99"/>
        <v>DR</v>
      </c>
      <c r="E949" s="24">
        <f t="shared" si="100"/>
        <v>1</v>
      </c>
      <c r="F949" s="24" t="str">
        <f>IF('query (2)'!A949="","",IFERROR(VALUE('query (2)'!A949),""))</f>
        <v/>
      </c>
      <c r="G949" s="24" t="str">
        <f>IF('query (2)'!C949="","UNKNOWN",IFERROR(INDEX(Cleaning_Rules!$B$15:$B$20,MATCH(TRIM(UPPER('query (2)'!C949)),Cleaning_Rules!$A$15:$A$20,0)),"UNKNOWN"))</f>
        <v>FACTORY1</v>
      </c>
      <c r="H949" s="25" t="str">
        <f>IF('query (2)'!C949="","",'query (2)'!C949)</f>
        <v>FACTORY1</v>
      </c>
      <c r="I949" s="24" t="str" cm="1">
        <f t="array" ref="I949">_xlfn.IFS($G949="UNKNOWN","UNKNOWN",OR($G949="FACTORY1",$G949="FACTORY2",$G949="FACTORY3"),"PLANT",TRUE,"SHARED")</f>
        <v>PLANT</v>
      </c>
      <c r="J949" s="24" t="str">
        <f>IF('query (2)'!D949="","UNKNOWN",IF(COUNTIF(Cleaning_Rules!$A$6:$A$11,TRIM('query (2)'!D949))&gt;0,"UNKNOWN",IFERROR(INDEX(Cleaning_Rules!$B$24:$B$28,MATCH(TRIM(UPPER('query (2)'!D949)),Cleaning_Rules!$A$24:$A$28,0)),TRIM(UPPER('query (2)'!D949)))))</f>
        <v>TOOLING ENGINEER</v>
      </c>
      <c r="K949" s="25" t="str">
        <f>IF('query (2)'!D949="","",'query (2)'!D949)</f>
        <v>Tooling Engineer</v>
      </c>
      <c r="L949" s="24" t="str">
        <f>IF($J949="UNKNOWN","",_xlfn.TEXTBEFORE($J949,{"0","1","2","3","4","5","6","7","8","9"," ","-","."},1,,,$J949))</f>
        <v>TOOLING</v>
      </c>
      <c r="M949" s="24" t="str">
        <f>IF('query (2)'!I949&lt;&gt;"",TRIM(UPPER('query (2)'!I949)),IF($L949="","UNKNOWN",$L949))</f>
        <v>TOOLING</v>
      </c>
      <c r="N949" s="24" t="str">
        <f>IF('query (2)'!I949&lt;&gt;"","SOURCE",IF($L949="","UNKNOWN","DERIVED"))</f>
        <v>SOURCE</v>
      </c>
      <c r="O949" s="24" t="str">
        <f>IF('query (2)'!E949="","NOT_SPECIFIED",TRIM(UPPER('query (2)'!E949)))</f>
        <v>NOT_SPECIFIED</v>
      </c>
      <c r="P949" s="24" t="str">
        <f>IF('query (2)'!F949="","",TRIM(UPPER('query (2)'!F949)))</f>
        <v>2108-EMTC</v>
      </c>
      <c r="Q949" s="24" t="str">
        <f>IF('query (2)'!G949="","UNKNOWN",IFERROR(INDEX(Cleaning_Rules!$B$38:$B$46,MATCH(TRIM(UPPER('query (2)'!G949)),Cleaning_Rules!$A$38:$A$46,0)),"UNKNOWN"))</f>
        <v>OTHER</v>
      </c>
      <c r="R949" s="24" t="str">
        <f>IF('query (2)'!H949="","",TRIM(UPPER('query (2)'!H949)))</f>
        <v>CYCLEMATIC DRILLING MACHINE</v>
      </c>
      <c r="S949" s="25" t="str">
        <f>IF('query (2)'!H949="","",'query (2)'!H949)</f>
        <v>CYCLEMATIC DRILLING MACHINE</v>
      </c>
      <c r="T949" s="24" t="str">
        <f>IF('query (2)'!J949="","",TRIM(UPPER('query (2)'!J949)))</f>
        <v/>
      </c>
      <c r="U949" s="24" t="str">
        <f t="shared" si="101"/>
        <v/>
      </c>
      <c r="V949" s="24" t="str">
        <f>IF('query (2)'!K949="","NOT_SPECIFIED",IFERROR(INDEX(Cleaning_Rules!$B$32:$B$34,MATCH(TRIM(UPPER('query (2)'!K949)),Cleaning_Rules!$A$32:$A$34,0)),"UNKNOWN"))</f>
        <v>NEW</v>
      </c>
      <c r="W949" s="24" t="str">
        <f t="shared" si="102"/>
        <v>DR-568 | FACTORY1 | TOOLING ENGINEER | TOOLING | NOT_SPECIFIED | 2108-EMTC | OTHER | CYCLEMATIC DRILLING MACHINE | NEW</v>
      </c>
      <c r="X949" s="24" t="str">
        <f t="shared" si="103"/>
        <v>MISSING_NO; MISSING_RESPONSIBLE</v>
      </c>
      <c r="Y949" s="24" t="str">
        <f t="shared" si="104"/>
        <v>CATEGORY_NOT_USEFUL; MISSING_PRODUCTION_NAME</v>
      </c>
    </row>
    <row r="950" spans="1:25" x14ac:dyDescent="0.3">
      <c r="A950" s="24" t="str">
        <f t="shared" si="98"/>
        <v>MI-563#0949</v>
      </c>
      <c r="B950" s="24" t="str">
        <f>IF('query (2)'!B950="","",TRIM(UPPER('query (2)'!B950)))</f>
        <v>MI-563</v>
      </c>
      <c r="C950" s="25" t="str">
        <f>IF('query (2)'!B950="","",'query (2)'!B950)</f>
        <v>MI-563</v>
      </c>
      <c r="D950" s="24" t="str">
        <f t="shared" si="99"/>
        <v>MI</v>
      </c>
      <c r="E950" s="24">
        <f t="shared" si="100"/>
        <v>1</v>
      </c>
      <c r="F950" s="24" t="str">
        <f>IF('query (2)'!A950="","",IFERROR(VALUE('query (2)'!A950),""))</f>
        <v/>
      </c>
      <c r="G950" s="24" t="str">
        <f>IF('query (2)'!C950="","UNKNOWN",IFERROR(INDEX(Cleaning_Rules!$B$15:$B$20,MATCH(TRIM(UPPER('query (2)'!C950)),Cleaning_Rules!$A$15:$A$20,0)),"UNKNOWN"))</f>
        <v>FACTORY1</v>
      </c>
      <c r="H950" s="25" t="str">
        <f>IF('query (2)'!C950="","",'query (2)'!C950)</f>
        <v>FACTORY1</v>
      </c>
      <c r="I950" s="24" t="str" cm="1">
        <f t="array" ref="I950">_xlfn.IFS($G950="UNKNOWN","UNKNOWN",OR($G950="FACTORY1",$G950="FACTORY2",$G950="FACTORY3"),"PLANT",TRUE,"SHARED")</f>
        <v>PLANT</v>
      </c>
      <c r="J950" s="24" t="str">
        <f>IF('query (2)'!D950="","UNKNOWN",IF(COUNTIF(Cleaning_Rules!$A$6:$A$11,TRIM('query (2)'!D950))&gt;0,"UNKNOWN",IFERROR(INDEX(Cleaning_Rules!$B$24:$B$28,MATCH(TRIM(UPPER('query (2)'!D950)),Cleaning_Rules!$A$24:$A$28,0)),TRIM(UPPER('query (2)'!D950)))))</f>
        <v>TOOLING ENGINEER</v>
      </c>
      <c r="K950" s="25" t="str">
        <f>IF('query (2)'!D950="","",'query (2)'!D950)</f>
        <v>Tooling Engineer</v>
      </c>
      <c r="L950" s="24" t="str">
        <f>IF($J950="UNKNOWN","",_xlfn.TEXTBEFORE($J950,{"0","1","2","3","4","5","6","7","8","9"," ","-","."},1,,,$J950))</f>
        <v>TOOLING</v>
      </c>
      <c r="M950" s="24" t="str">
        <f>IF('query (2)'!I950&lt;&gt;"",TRIM(UPPER('query (2)'!I950)),IF($L950="","UNKNOWN",$L950))</f>
        <v>TOOLING</v>
      </c>
      <c r="N950" s="24" t="str">
        <f>IF('query (2)'!I950&lt;&gt;"","SOURCE",IF($L950="","UNKNOWN","DERIVED"))</f>
        <v>SOURCE</v>
      </c>
      <c r="O950" s="24" t="str">
        <f>IF('query (2)'!E950="","NOT_SPECIFIED",TRIM(UPPER('query (2)'!E950)))</f>
        <v>NOT_SPECIFIED</v>
      </c>
      <c r="P950" s="24" t="str">
        <f>IF('query (2)'!F950="","",TRIM(UPPER('query (2)'!F950)))</f>
        <v>2108-EMTC</v>
      </c>
      <c r="Q950" s="24" t="str">
        <f>IF('query (2)'!G950="","UNKNOWN",IFERROR(INDEX(Cleaning_Rules!$B$38:$B$46,MATCH(TRIM(UPPER('query (2)'!G950)),Cleaning_Rules!$A$38:$A$46,0)),"UNKNOWN"))</f>
        <v>OTHER</v>
      </c>
      <c r="R950" s="24" t="str">
        <f>IF('query (2)'!H950="","",TRIM(UPPER('query (2)'!H950)))</f>
        <v>VERTICAL MILLING MACHINE</v>
      </c>
      <c r="S950" s="25" t="str">
        <f>IF('query (2)'!H950="","",'query (2)'!H950)</f>
        <v xml:space="preserve">VERTICAL MILLING MACHINE </v>
      </c>
      <c r="T950" s="24" t="str">
        <f>IF('query (2)'!J950="","",TRIM(UPPER('query (2)'!J950)))</f>
        <v/>
      </c>
      <c r="U950" s="24" t="str">
        <f t="shared" si="101"/>
        <v/>
      </c>
      <c r="V950" s="24" t="str">
        <f>IF('query (2)'!K950="","NOT_SPECIFIED",IFERROR(INDEX(Cleaning_Rules!$B$32:$B$34,MATCH(TRIM(UPPER('query (2)'!K950)),Cleaning_Rules!$A$32:$A$34,0)),"UNKNOWN"))</f>
        <v>NEW</v>
      </c>
      <c r="W950" s="24" t="str">
        <f t="shared" si="102"/>
        <v>MI-563 | FACTORY1 | TOOLING ENGINEER | TOOLING | NOT_SPECIFIED | 2108-EMTC | OTHER | VERTICAL MILLING MACHINE | NEW</v>
      </c>
      <c r="X950" s="24" t="str">
        <f t="shared" si="103"/>
        <v>MISSING_NO; MISSING_RESPONSIBLE</v>
      </c>
      <c r="Y950" s="24" t="str">
        <f t="shared" si="104"/>
        <v>CATEGORY_NOT_USEFUL; MISSING_PRODUCTION_NAME</v>
      </c>
    </row>
    <row r="951" spans="1:25" x14ac:dyDescent="0.3">
      <c r="A951" s="24" t="str">
        <f t="shared" si="98"/>
        <v>ALL-001#0950</v>
      </c>
      <c r="B951" s="24" t="str">
        <f>IF('query (2)'!B951="","",TRIM(UPPER('query (2)'!B951)))</f>
        <v>ALL-001</v>
      </c>
      <c r="C951" s="25" t="str">
        <f>IF('query (2)'!B951="","",'query (2)'!B951)</f>
        <v>ALL-001</v>
      </c>
      <c r="D951" s="24" t="str">
        <f t="shared" si="99"/>
        <v>ALL</v>
      </c>
      <c r="E951" s="24">
        <f t="shared" si="100"/>
        <v>1</v>
      </c>
      <c r="F951" s="24" t="str">
        <f>IF('query (2)'!A951="","",IFERROR(VALUE('query (2)'!A951),""))</f>
        <v/>
      </c>
      <c r="G951" s="24" t="str">
        <f>IF('query (2)'!C951="","UNKNOWN",IFERROR(INDEX(Cleaning_Rules!$B$15:$B$20,MATCH(TRIM(UPPER('query (2)'!C951)),Cleaning_Rules!$A$15:$A$20,0)),"UNKNOWN"))</f>
        <v>ALL FACTORY</v>
      </c>
      <c r="H951" s="25" t="str">
        <f>IF('query (2)'!C951="","",'query (2)'!C951)</f>
        <v>ALL FACTORY</v>
      </c>
      <c r="I951" s="24" t="str" cm="1">
        <f t="array" ref="I951">_xlfn.IFS($G951="UNKNOWN","UNKNOWN",OR($G951="FACTORY1",$G951="FACTORY2",$G951="FACTORY3"),"PLANT",TRUE,"SHARED")</f>
        <v>SHARED</v>
      </c>
      <c r="J951" s="24" t="str">
        <f>IF('query (2)'!D951="","UNKNOWN",IF(COUNTIF(Cleaning_Rules!$A$6:$A$11,TRIM('query (2)'!D951))&gt;0,"UNKNOWN",IFERROR(INDEX(Cleaning_Rules!$B$24:$B$28,MATCH(TRIM(UPPER('query (2)'!D951)),Cleaning_Rules!$A$24:$A$28,0)),TRIM(UPPER('query (2)'!D951)))))</f>
        <v>ALL FACTORY</v>
      </c>
      <c r="K951" s="25" t="str">
        <f>IF('query (2)'!D951="","",'query (2)'!D951)</f>
        <v>ALL FACTORY</v>
      </c>
      <c r="L951" s="24" t="str">
        <f>IF($J951="UNKNOWN","",_xlfn.TEXTBEFORE($J951,{"0","1","2","3","4","5","6","7","8","9"," ","-","."},1,,,$J951))</f>
        <v>ALL</v>
      </c>
      <c r="M951" s="24" t="str">
        <f>IF('query (2)'!I951&lt;&gt;"",TRIM(UPPER('query (2)'!I951)),IF($L951="","UNKNOWN",$L951))</f>
        <v>ALL FACTORY</v>
      </c>
      <c r="N951" s="24" t="str">
        <f>IF('query (2)'!I951&lt;&gt;"","SOURCE",IF($L951="","UNKNOWN","DERIVED"))</f>
        <v>SOURCE</v>
      </c>
      <c r="O951" s="24" t="str">
        <f>IF('query (2)'!E951="","NOT_SPECIFIED",TRIM(UPPER('query (2)'!E951)))</f>
        <v>NOT_SPECIFIED</v>
      </c>
      <c r="P951" s="24" t="str">
        <f>IF('query (2)'!F951="","",TRIM(UPPER('query (2)'!F951)))</f>
        <v>2501-PD</v>
      </c>
      <c r="Q951" s="24" t="str">
        <f>IF('query (2)'!G951="","UNKNOWN",IFERROR(INDEX(Cleaning_Rules!$B$38:$B$46,MATCH(TRIM(UPPER('query (2)'!G951)),Cleaning_Rules!$A$38:$A$46,0)),"UNKNOWN"))</f>
        <v>OTHER</v>
      </c>
      <c r="R951" s="24" t="str">
        <f>IF('query (2)'!H951="","",TRIM(UPPER('query (2)'!H951)))</f>
        <v>ALL MACHINE</v>
      </c>
      <c r="S951" s="25" t="str">
        <f>IF('query (2)'!H951="","",'query (2)'!H951)</f>
        <v>ALL MACHINE</v>
      </c>
      <c r="T951" s="24" t="str">
        <f>IF('query (2)'!J951="","",TRIM(UPPER('query (2)'!J951)))</f>
        <v/>
      </c>
      <c r="U951" s="24" t="str">
        <f t="shared" si="101"/>
        <v/>
      </c>
      <c r="V951" s="24" t="str">
        <f>IF('query (2)'!K951="","NOT_SPECIFIED",IFERROR(INDEX(Cleaning_Rules!$B$32:$B$34,MATCH(TRIM(UPPER('query (2)'!K951)),Cleaning_Rules!$A$32:$A$34,0)),"UNKNOWN"))</f>
        <v>APPROVED</v>
      </c>
      <c r="W951" s="24" t="str">
        <f t="shared" si="102"/>
        <v>ALL-001 | ALL FACTORY | ALL FACTORY | ALL FACTORY | NOT_SPECIFIED | 2501-PD | OTHER | ALL MACHINE | APPROVED</v>
      </c>
      <c r="X951" s="24" t="str">
        <f t="shared" si="103"/>
        <v>MISSING_NO; MISSING_RESPONSIBLE</v>
      </c>
      <c r="Y951" s="24" t="str">
        <f t="shared" si="104"/>
        <v>CATEGORY_NOT_USEFUL; MISSING_PRODUCTION_NAME</v>
      </c>
    </row>
    <row r="952" spans="1:25" x14ac:dyDescent="0.3">
      <c r="A952" s="24" t="str">
        <f t="shared" si="98"/>
        <v>ALL-002#0951</v>
      </c>
      <c r="B952" s="24" t="str">
        <f>IF('query (2)'!B952="","",TRIM(UPPER('query (2)'!B952)))</f>
        <v>ALL-002</v>
      </c>
      <c r="C952" s="25" t="str">
        <f>IF('query (2)'!B952="","",'query (2)'!B952)</f>
        <v>ALL-002</v>
      </c>
      <c r="D952" s="24" t="str">
        <f t="shared" si="99"/>
        <v>ALL</v>
      </c>
      <c r="E952" s="24">
        <f t="shared" si="100"/>
        <v>1</v>
      </c>
      <c r="F952" s="24" t="str">
        <f>IF('query (2)'!A952="","",IFERROR(VALUE('query (2)'!A952),""))</f>
        <v/>
      </c>
      <c r="G952" s="24" t="str">
        <f>IF('query (2)'!C952="","UNKNOWN",IFERROR(INDEX(Cleaning_Rules!$B$15:$B$20,MATCH(TRIM(UPPER('query (2)'!C952)),Cleaning_Rules!$A$15:$A$20,0)),"UNKNOWN"))</f>
        <v>ALL FACTORY</v>
      </c>
      <c r="H952" s="25" t="str">
        <f>IF('query (2)'!C952="","",'query (2)'!C952)</f>
        <v>ALL FACTORY</v>
      </c>
      <c r="I952" s="24" t="str" cm="1">
        <f t="array" ref="I952">_xlfn.IFS($G952="UNKNOWN","UNKNOWN",OR($G952="FACTORY1",$G952="FACTORY2",$G952="FACTORY3"),"PLANT",TRUE,"SHARED")</f>
        <v>SHARED</v>
      </c>
      <c r="J952" s="24" t="str">
        <f>IF('query (2)'!D952="","UNKNOWN",IF(COUNTIF(Cleaning_Rules!$A$6:$A$11,TRIM('query (2)'!D952))&gt;0,"UNKNOWN",IFERROR(INDEX(Cleaning_Rules!$B$24:$B$28,MATCH(TRIM(UPPER('query (2)'!D952)),Cleaning_Rules!$A$24:$A$28,0)),TRIM(UPPER('query (2)'!D952)))))</f>
        <v>ALL FACTORY</v>
      </c>
      <c r="K952" s="25" t="str">
        <f>IF('query (2)'!D952="","",'query (2)'!D952)</f>
        <v>ALL FACTORY</v>
      </c>
      <c r="L952" s="24" t="str">
        <f>IF($J952="UNKNOWN","",_xlfn.TEXTBEFORE($J952,{"0","1","2","3","4","5","6","7","8","9"," ","-","."},1,,,$J952))</f>
        <v>ALL</v>
      </c>
      <c r="M952" s="24" t="str">
        <f>IF('query (2)'!I952&lt;&gt;"",TRIM(UPPER('query (2)'!I952)),IF($L952="","UNKNOWN",$L952))</f>
        <v>ALL FACTORY</v>
      </c>
      <c r="N952" s="24" t="str">
        <f>IF('query (2)'!I952&lt;&gt;"","SOURCE",IF($L952="","UNKNOWN","DERIVED"))</f>
        <v>SOURCE</v>
      </c>
      <c r="O952" s="24" t="str">
        <f>IF('query (2)'!E952="","NOT_SPECIFIED",TRIM(UPPER('query (2)'!E952)))</f>
        <v>NOT_SPECIFIED</v>
      </c>
      <c r="P952" s="24" t="str">
        <f>IF('query (2)'!F952="","",TRIM(UPPER('query (2)'!F952)))</f>
        <v>1900-G1</v>
      </c>
      <c r="Q952" s="24" t="str">
        <f>IF('query (2)'!G952="","UNKNOWN",IFERROR(INDEX(Cleaning_Rules!$B$38:$B$46,MATCH(TRIM(UPPER('query (2)'!G952)),Cleaning_Rules!$A$38:$A$46,0)),"UNKNOWN"))</f>
        <v>OTHER</v>
      </c>
      <c r="R952" s="24" t="str">
        <f>IF('query (2)'!H952="","",TRIM(UPPER('query (2)'!H952)))</f>
        <v>G1</v>
      </c>
      <c r="S952" s="25" t="str">
        <f>IF('query (2)'!H952="","",'query (2)'!H952)</f>
        <v>G1</v>
      </c>
      <c r="T952" s="24" t="str">
        <f>IF('query (2)'!J952="","",TRIM(UPPER('query (2)'!J952)))</f>
        <v/>
      </c>
      <c r="U952" s="24" t="str">
        <f t="shared" si="101"/>
        <v/>
      </c>
      <c r="V952" s="24" t="str">
        <f>IF('query (2)'!K952="","NOT_SPECIFIED",IFERROR(INDEX(Cleaning_Rules!$B$32:$B$34,MATCH(TRIM(UPPER('query (2)'!K952)),Cleaning_Rules!$A$32:$A$34,0)),"UNKNOWN"))</f>
        <v>APPROVED</v>
      </c>
      <c r="W952" s="24" t="str">
        <f t="shared" si="102"/>
        <v>ALL-002 | ALL FACTORY | ALL FACTORY | ALL FACTORY | NOT_SPECIFIED | 1900-G1 | OTHER | G1 | APPROVED</v>
      </c>
      <c r="X952" s="24" t="str">
        <f t="shared" si="103"/>
        <v>MISSING_NO; MISSING_RESPONSIBLE</v>
      </c>
      <c r="Y952" s="24" t="str">
        <f t="shared" si="104"/>
        <v>CATEGORY_NOT_USEFUL; MISSING_PRODUCTION_NAME</v>
      </c>
    </row>
    <row r="953" spans="1:25" x14ac:dyDescent="0.3">
      <c r="A953" s="24" t="str">
        <f t="shared" si="98"/>
        <v>ALL-003#0952</v>
      </c>
      <c r="B953" s="24" t="str">
        <f>IF('query (2)'!B953="","",TRIM(UPPER('query (2)'!B953)))</f>
        <v>ALL-003</v>
      </c>
      <c r="C953" s="25" t="str">
        <f>IF('query (2)'!B953="","",'query (2)'!B953)</f>
        <v>ALL-003</v>
      </c>
      <c r="D953" s="24" t="str">
        <f t="shared" si="99"/>
        <v>ALL</v>
      </c>
      <c r="E953" s="24">
        <f t="shared" si="100"/>
        <v>1</v>
      </c>
      <c r="F953" s="24" t="str">
        <f>IF('query (2)'!A953="","",IFERROR(VALUE('query (2)'!A953),""))</f>
        <v/>
      </c>
      <c r="G953" s="24" t="str">
        <f>IF('query (2)'!C953="","UNKNOWN",IFERROR(INDEX(Cleaning_Rules!$B$15:$B$20,MATCH(TRIM(UPPER('query (2)'!C953)),Cleaning_Rules!$A$15:$A$20,0)),"UNKNOWN"))</f>
        <v>ALL FACTORY</v>
      </c>
      <c r="H953" s="25" t="str">
        <f>IF('query (2)'!C953="","",'query (2)'!C953)</f>
        <v>ALL FACTORY</v>
      </c>
      <c r="I953" s="24" t="str" cm="1">
        <f t="array" ref="I953">_xlfn.IFS($G953="UNKNOWN","UNKNOWN",OR($G953="FACTORY1",$G953="FACTORY2",$G953="FACTORY3"),"PLANT",TRUE,"SHARED")</f>
        <v>SHARED</v>
      </c>
      <c r="J953" s="24" t="str">
        <f>IF('query (2)'!D953="","UNKNOWN",IF(COUNTIF(Cleaning_Rules!$A$6:$A$11,TRIM('query (2)'!D953))&gt;0,"UNKNOWN",IFERROR(INDEX(Cleaning_Rules!$B$24:$B$28,MATCH(TRIM(UPPER('query (2)'!D953)),Cleaning_Rules!$A$24:$A$28,0)),TRIM(UPPER('query (2)'!D953)))))</f>
        <v>ALL FACTORY</v>
      </c>
      <c r="K953" s="25" t="str">
        <f>IF('query (2)'!D953="","",'query (2)'!D953)</f>
        <v>ALL FACTORY</v>
      </c>
      <c r="L953" s="24" t="str">
        <f>IF($J953="UNKNOWN","",_xlfn.TEXTBEFORE($J953,{"0","1","2","3","4","5","6","7","8","9"," ","-","."},1,,,$J953))</f>
        <v>ALL</v>
      </c>
      <c r="M953" s="24" t="str">
        <f>IF('query (2)'!I953&lt;&gt;"",TRIM(UPPER('query (2)'!I953)),IF($L953="","UNKNOWN",$L953))</f>
        <v>ALL FACTORY</v>
      </c>
      <c r="N953" s="24" t="str">
        <f>IF('query (2)'!I953&lt;&gt;"","SOURCE",IF($L953="","UNKNOWN","DERIVED"))</f>
        <v>SOURCE</v>
      </c>
      <c r="O953" s="24" t="str">
        <f>IF('query (2)'!E953="","NOT_SPECIFIED",TRIM(UPPER('query (2)'!E953)))</f>
        <v>NOT_SPECIFIED</v>
      </c>
      <c r="P953" s="24" t="str">
        <f>IF('query (2)'!F953="","",TRIM(UPPER('query (2)'!F953)))</f>
        <v>2000-HT</v>
      </c>
      <c r="Q953" s="24" t="str">
        <f>IF('query (2)'!G953="","UNKNOWN",IFERROR(INDEX(Cleaning_Rules!$B$38:$B$46,MATCH(TRIM(UPPER('query (2)'!G953)),Cleaning_Rules!$A$38:$A$46,0)),"UNKNOWN"))</f>
        <v>OTHER</v>
      </c>
      <c r="R953" s="24" t="str">
        <f>IF('query (2)'!H953="","",TRIM(UPPER('query (2)'!H953)))</f>
        <v>HT</v>
      </c>
      <c r="S953" s="25" t="str">
        <f>IF('query (2)'!H953="","",'query (2)'!H953)</f>
        <v>HT</v>
      </c>
      <c r="T953" s="24" t="str">
        <f>IF('query (2)'!J953="","",TRIM(UPPER('query (2)'!J953)))</f>
        <v/>
      </c>
      <c r="U953" s="24" t="str">
        <f t="shared" si="101"/>
        <v/>
      </c>
      <c r="V953" s="24" t="str">
        <f>IF('query (2)'!K953="","NOT_SPECIFIED",IFERROR(INDEX(Cleaning_Rules!$B$32:$B$34,MATCH(TRIM(UPPER('query (2)'!K953)),Cleaning_Rules!$A$32:$A$34,0)),"UNKNOWN"))</f>
        <v>APPROVED</v>
      </c>
      <c r="W953" s="24" t="str">
        <f t="shared" si="102"/>
        <v>ALL-003 | ALL FACTORY | ALL FACTORY | ALL FACTORY | NOT_SPECIFIED | 2000-HT | OTHER | HT | APPROVED</v>
      </c>
      <c r="X953" s="24" t="str">
        <f t="shared" si="103"/>
        <v>MISSING_NO; MISSING_RESPONSIBLE</v>
      </c>
      <c r="Y953" s="24" t="str">
        <f t="shared" si="104"/>
        <v>CATEGORY_NOT_USEFUL; MISSING_PRODUCTION_NAME</v>
      </c>
    </row>
    <row r="954" spans="1:25" x14ac:dyDescent="0.3">
      <c r="A954" s="24" t="str">
        <f t="shared" si="98"/>
        <v>ALL-004#0953</v>
      </c>
      <c r="B954" s="24" t="str">
        <f>IF('query (2)'!B954="","",TRIM(UPPER('query (2)'!B954)))</f>
        <v>ALL-004</v>
      </c>
      <c r="C954" s="25" t="str">
        <f>IF('query (2)'!B954="","",'query (2)'!B954)</f>
        <v>ALL-004</v>
      </c>
      <c r="D954" s="24" t="str">
        <f t="shared" si="99"/>
        <v>ALL</v>
      </c>
      <c r="E954" s="24">
        <f t="shared" si="100"/>
        <v>1</v>
      </c>
      <c r="F954" s="24" t="str">
        <f>IF('query (2)'!A954="","",IFERROR(VALUE('query (2)'!A954),""))</f>
        <v/>
      </c>
      <c r="G954" s="24" t="str">
        <f>IF('query (2)'!C954="","UNKNOWN",IFERROR(INDEX(Cleaning_Rules!$B$15:$B$20,MATCH(TRIM(UPPER('query (2)'!C954)),Cleaning_Rules!$A$15:$A$20,0)),"UNKNOWN"))</f>
        <v>ALL FACTORY</v>
      </c>
      <c r="H954" s="25" t="str">
        <f>IF('query (2)'!C954="","",'query (2)'!C954)</f>
        <v>ALL FACTORY</v>
      </c>
      <c r="I954" s="24" t="str" cm="1">
        <f t="array" ref="I954">_xlfn.IFS($G954="UNKNOWN","UNKNOWN",OR($G954="FACTORY1",$G954="FACTORY2",$G954="FACTORY3"),"PLANT",TRUE,"SHARED")</f>
        <v>SHARED</v>
      </c>
      <c r="J954" s="24" t="str">
        <f>IF('query (2)'!D954="","UNKNOWN",IF(COUNTIF(Cleaning_Rules!$A$6:$A$11,TRIM('query (2)'!D954))&gt;0,"UNKNOWN",IFERROR(INDEX(Cleaning_Rules!$B$24:$B$28,MATCH(TRIM(UPPER('query (2)'!D954)),Cleaning_Rules!$A$24:$A$28,0)),TRIM(UPPER('query (2)'!D954)))))</f>
        <v>ALL FACTORY</v>
      </c>
      <c r="K954" s="25" t="str">
        <f>IF('query (2)'!D954="","",'query (2)'!D954)</f>
        <v>ALL FACTORY</v>
      </c>
      <c r="L954" s="24" t="str">
        <f>IF($J954="UNKNOWN","",_xlfn.TEXTBEFORE($J954,{"0","1","2","3","4","5","6","7","8","9"," ","-","."},1,,,$J954))</f>
        <v>ALL</v>
      </c>
      <c r="M954" s="24" t="str">
        <f>IF('query (2)'!I954&lt;&gt;"",TRIM(UPPER('query (2)'!I954)),IF($L954="","UNKNOWN",$L954))</f>
        <v>ALL FACTORY</v>
      </c>
      <c r="N954" s="24" t="str">
        <f>IF('query (2)'!I954&lt;&gt;"","SOURCE",IF($L954="","UNKNOWN","DERIVED"))</f>
        <v>SOURCE</v>
      </c>
      <c r="O954" s="24" t="str">
        <f>IF('query (2)'!E954="","NOT_SPECIFIED",TRIM(UPPER('query (2)'!E954)))</f>
        <v>NOT_SPECIFIED</v>
      </c>
      <c r="P954" s="24" t="str">
        <f>IF('query (2)'!F954="","",TRIM(UPPER('query (2)'!F954)))</f>
        <v>1300-MCB</v>
      </c>
      <c r="Q954" s="24" t="str">
        <f>IF('query (2)'!G954="","UNKNOWN",IFERROR(INDEX(Cleaning_Rules!$B$38:$B$46,MATCH(TRIM(UPPER('query (2)'!G954)),Cleaning_Rules!$A$38:$A$46,0)),"UNKNOWN"))</f>
        <v>OTHER</v>
      </c>
      <c r="R954" s="24" t="str">
        <f>IF('query (2)'!H954="","",TRIM(UPPER('query (2)'!H954)))</f>
        <v>MCB</v>
      </c>
      <c r="S954" s="25" t="str">
        <f>IF('query (2)'!H954="","",'query (2)'!H954)</f>
        <v>MCB</v>
      </c>
      <c r="T954" s="24" t="str">
        <f>IF('query (2)'!J954="","",TRIM(UPPER('query (2)'!J954)))</f>
        <v/>
      </c>
      <c r="U954" s="24" t="str">
        <f t="shared" si="101"/>
        <v/>
      </c>
      <c r="V954" s="24" t="str">
        <f>IF('query (2)'!K954="","NOT_SPECIFIED",IFERROR(INDEX(Cleaning_Rules!$B$32:$B$34,MATCH(TRIM(UPPER('query (2)'!K954)),Cleaning_Rules!$A$32:$A$34,0)),"UNKNOWN"))</f>
        <v>APPROVED</v>
      </c>
      <c r="W954" s="24" t="str">
        <f t="shared" si="102"/>
        <v>ALL-004 | ALL FACTORY | ALL FACTORY | ALL FACTORY | NOT_SPECIFIED | 1300-MCB | OTHER | MCB | APPROVED</v>
      </c>
      <c r="X954" s="24" t="str">
        <f t="shared" si="103"/>
        <v>MISSING_NO; MISSING_RESPONSIBLE</v>
      </c>
      <c r="Y954" s="24" t="str">
        <f t="shared" si="104"/>
        <v>CATEGORY_NOT_USEFUL; MISSING_PRODUCTION_NAME</v>
      </c>
    </row>
    <row r="955" spans="1:25" x14ac:dyDescent="0.3">
      <c r="A955" s="24" t="str">
        <f t="shared" si="98"/>
        <v>ALL-005#0954</v>
      </c>
      <c r="B955" s="24" t="str">
        <f>IF('query (2)'!B955="","",TRIM(UPPER('query (2)'!B955)))</f>
        <v>ALL-005</v>
      </c>
      <c r="C955" s="25" t="str">
        <f>IF('query (2)'!B955="","",'query (2)'!B955)</f>
        <v>ALL-005</v>
      </c>
      <c r="D955" s="24" t="str">
        <f t="shared" si="99"/>
        <v>ALL</v>
      </c>
      <c r="E955" s="24">
        <f t="shared" si="100"/>
        <v>1</v>
      </c>
      <c r="F955" s="24" t="str">
        <f>IF('query (2)'!A955="","",IFERROR(VALUE('query (2)'!A955),""))</f>
        <v/>
      </c>
      <c r="G955" s="24" t="str">
        <f>IF('query (2)'!C955="","UNKNOWN",IFERROR(INDEX(Cleaning_Rules!$B$15:$B$20,MATCH(TRIM(UPPER('query (2)'!C955)),Cleaning_Rules!$A$15:$A$20,0)),"UNKNOWN"))</f>
        <v>ALL FACTORY</v>
      </c>
      <c r="H955" s="25" t="str">
        <f>IF('query (2)'!C955="","",'query (2)'!C955)</f>
        <v>ALL FACTORY</v>
      </c>
      <c r="I955" s="24" t="str" cm="1">
        <f t="array" ref="I955">_xlfn.IFS($G955="UNKNOWN","UNKNOWN",OR($G955="FACTORY1",$G955="FACTORY2",$G955="FACTORY3"),"PLANT",TRUE,"SHARED")</f>
        <v>SHARED</v>
      </c>
      <c r="J955" s="24" t="str">
        <f>IF('query (2)'!D955="","UNKNOWN",IF(COUNTIF(Cleaning_Rules!$A$6:$A$11,TRIM('query (2)'!D955))&gt;0,"UNKNOWN",IFERROR(INDEX(Cleaning_Rules!$B$24:$B$28,MATCH(TRIM(UPPER('query (2)'!D955)),Cleaning_Rules!$A$24:$A$28,0)),TRIM(UPPER('query (2)'!D955)))))</f>
        <v>ALL FACTORY</v>
      </c>
      <c r="K955" s="25" t="str">
        <f>IF('query (2)'!D955="","",'query (2)'!D955)</f>
        <v>ALL FACTORY</v>
      </c>
      <c r="L955" s="24" t="str">
        <f>IF($J955="UNKNOWN","",_xlfn.TEXTBEFORE($J955,{"0","1","2","3","4","5","6","7","8","9"," ","-","."},1,,,$J955))</f>
        <v>ALL</v>
      </c>
      <c r="M955" s="24" t="str">
        <f>IF('query (2)'!I955&lt;&gt;"",TRIM(UPPER('query (2)'!I955)),IF($L955="","UNKNOWN",$L955))</f>
        <v>ALL FACTORY</v>
      </c>
      <c r="N955" s="24" t="str">
        <f>IF('query (2)'!I955&lt;&gt;"","SOURCE",IF($L955="","UNKNOWN","DERIVED"))</f>
        <v>SOURCE</v>
      </c>
      <c r="O955" s="24" t="str">
        <f>IF('query (2)'!E955="","NOT_SPECIFIED",TRIM(UPPER('query (2)'!E955)))</f>
        <v>NOT_SPECIFIED</v>
      </c>
      <c r="P955" s="24" t="str">
        <f>IF('query (2)'!F955="","",TRIM(UPPER('query (2)'!F955)))</f>
        <v>1400-WP</v>
      </c>
      <c r="Q955" s="24" t="str">
        <f>IF('query (2)'!G955="","UNKNOWN",IFERROR(INDEX(Cleaning_Rules!$B$38:$B$46,MATCH(TRIM(UPPER('query (2)'!G955)),Cleaning_Rules!$A$38:$A$46,0)),"UNKNOWN"))</f>
        <v>OTHER</v>
      </c>
      <c r="R955" s="24" t="str">
        <f>IF('query (2)'!H955="","",TRIM(UPPER('query (2)'!H955)))</f>
        <v>WP</v>
      </c>
      <c r="S955" s="25" t="str">
        <f>IF('query (2)'!H955="","",'query (2)'!H955)</f>
        <v>WP</v>
      </c>
      <c r="T955" s="24" t="str">
        <f>IF('query (2)'!J955="","",TRIM(UPPER('query (2)'!J955)))</f>
        <v/>
      </c>
      <c r="U955" s="24" t="str">
        <f t="shared" si="101"/>
        <v/>
      </c>
      <c r="V955" s="24" t="str">
        <f>IF('query (2)'!K955="","NOT_SPECIFIED",IFERROR(INDEX(Cleaning_Rules!$B$32:$B$34,MATCH(TRIM(UPPER('query (2)'!K955)),Cleaning_Rules!$A$32:$A$34,0)),"UNKNOWN"))</f>
        <v>APPROVED</v>
      </c>
      <c r="W955" s="24" t="str">
        <f t="shared" si="102"/>
        <v>ALL-005 | ALL FACTORY | ALL FACTORY | ALL FACTORY | NOT_SPECIFIED | 1400-WP | OTHER | WP | APPROVED</v>
      </c>
      <c r="X955" s="24" t="str">
        <f t="shared" si="103"/>
        <v>MISSING_NO; MISSING_RESPONSIBLE</v>
      </c>
      <c r="Y955" s="24" t="str">
        <f t="shared" si="104"/>
        <v>CATEGORY_NOT_USEFUL; MISSING_PRODUCTION_NAME</v>
      </c>
    </row>
    <row r="956" spans="1:25" x14ac:dyDescent="0.3">
      <c r="A956" s="24" t="str">
        <f t="shared" si="98"/>
        <v>ALL-006#0955</v>
      </c>
      <c r="B956" s="24" t="str">
        <f>IF('query (2)'!B956="","",TRIM(UPPER('query (2)'!B956)))</f>
        <v>ALL-006</v>
      </c>
      <c r="C956" s="25" t="str">
        <f>IF('query (2)'!B956="","",'query (2)'!B956)</f>
        <v>ALL-006</v>
      </c>
      <c r="D956" s="24" t="str">
        <f t="shared" si="99"/>
        <v>ALL</v>
      </c>
      <c r="E956" s="24">
        <f t="shared" si="100"/>
        <v>1</v>
      </c>
      <c r="F956" s="24" t="str">
        <f>IF('query (2)'!A956="","",IFERROR(VALUE('query (2)'!A956),""))</f>
        <v/>
      </c>
      <c r="G956" s="24" t="str">
        <f>IF('query (2)'!C956="","UNKNOWN",IFERROR(INDEX(Cleaning_Rules!$B$15:$B$20,MATCH(TRIM(UPPER('query (2)'!C956)),Cleaning_Rules!$A$15:$A$20,0)),"UNKNOWN"))</f>
        <v>ALL FACTORY</v>
      </c>
      <c r="H956" s="25" t="str">
        <f>IF('query (2)'!C956="","",'query (2)'!C956)</f>
        <v>ALL FACTORY</v>
      </c>
      <c r="I956" s="24" t="str" cm="1">
        <f t="array" ref="I956">_xlfn.IFS($G956="UNKNOWN","UNKNOWN",OR($G956="FACTORY1",$G956="FACTORY2",$G956="FACTORY3"),"PLANT",TRUE,"SHARED")</f>
        <v>SHARED</v>
      </c>
      <c r="J956" s="24" t="str">
        <f>IF('query (2)'!D956="","UNKNOWN",IF(COUNTIF(Cleaning_Rules!$A$6:$A$11,TRIM('query (2)'!D956))&gt;0,"UNKNOWN",IFERROR(INDEX(Cleaning_Rules!$B$24:$B$28,MATCH(TRIM(UPPER('query (2)'!D956)),Cleaning_Rules!$A$24:$A$28,0)),TRIM(UPPER('query (2)'!D956)))))</f>
        <v>ALL FACTORY</v>
      </c>
      <c r="K956" s="25" t="str">
        <f>IF('query (2)'!D956="","",'query (2)'!D956)</f>
        <v>ALL FACTORY</v>
      </c>
      <c r="L956" s="24" t="str">
        <f>IF($J956="UNKNOWN","",_xlfn.TEXTBEFORE($J956,{"0","1","2","3","4","5","6","7","8","9"," ","-","."},1,,,$J956))</f>
        <v>ALL</v>
      </c>
      <c r="M956" s="24" t="str">
        <f>IF('query (2)'!I956&lt;&gt;"",TRIM(UPPER('query (2)'!I956)),IF($L956="","UNKNOWN",$L956))</f>
        <v>ALL FACTORY</v>
      </c>
      <c r="N956" s="24" t="str">
        <f>IF('query (2)'!I956&lt;&gt;"","SOURCE",IF($L956="","UNKNOWN","DERIVED"))</f>
        <v>SOURCE</v>
      </c>
      <c r="O956" s="24" t="str">
        <f>IF('query (2)'!E956="","NOT_SPECIFIED",TRIM(UPPER('query (2)'!E956)))</f>
        <v>NOT_SPECIFIED</v>
      </c>
      <c r="P956" s="24" t="str">
        <f>IF('query (2)'!F956="","",TRIM(UPPER('query (2)'!F956)))</f>
        <v>1800-HUB3</v>
      </c>
      <c r="Q956" s="24" t="str">
        <f>IF('query (2)'!G956="","UNKNOWN",IFERROR(INDEX(Cleaning_Rules!$B$38:$B$46,MATCH(TRIM(UPPER('query (2)'!G956)),Cleaning_Rules!$A$38:$A$46,0)),"UNKNOWN"))</f>
        <v>OTHER</v>
      </c>
      <c r="R956" s="24" t="str">
        <f>IF('query (2)'!H956="","",TRIM(UPPER('query (2)'!H956)))</f>
        <v>HUB</v>
      </c>
      <c r="S956" s="25" t="str">
        <f>IF('query (2)'!H956="","",'query (2)'!H956)</f>
        <v>HUB</v>
      </c>
      <c r="T956" s="24" t="str">
        <f>IF('query (2)'!J956="","",TRIM(UPPER('query (2)'!J956)))</f>
        <v/>
      </c>
      <c r="U956" s="24" t="str">
        <f t="shared" si="101"/>
        <v/>
      </c>
      <c r="V956" s="24" t="str">
        <f>IF('query (2)'!K956="","NOT_SPECIFIED",IFERROR(INDEX(Cleaning_Rules!$B$32:$B$34,MATCH(TRIM(UPPER('query (2)'!K956)),Cleaning_Rules!$A$32:$A$34,0)),"UNKNOWN"))</f>
        <v>APPROVED</v>
      </c>
      <c r="W956" s="24" t="str">
        <f t="shared" si="102"/>
        <v>ALL-006 | ALL FACTORY | ALL FACTORY | ALL FACTORY | NOT_SPECIFIED | 1800-HUB3 | OTHER | HUB | APPROVED</v>
      </c>
      <c r="X956" s="24" t="str">
        <f t="shared" si="103"/>
        <v>MISSING_NO; MISSING_RESPONSIBLE</v>
      </c>
      <c r="Y956" s="24" t="str">
        <f t="shared" si="104"/>
        <v>CATEGORY_NOT_USEFUL; MISSING_PRODUCTION_NAME</v>
      </c>
    </row>
    <row r="957" spans="1:25" x14ac:dyDescent="0.3">
      <c r="A957" s="24" t="str">
        <f t="shared" si="98"/>
        <v>ALL-007#0956</v>
      </c>
      <c r="B957" s="24" t="str">
        <f>IF('query (2)'!B957="","",TRIM(UPPER('query (2)'!B957)))</f>
        <v>ALL-007</v>
      </c>
      <c r="C957" s="25" t="str">
        <f>IF('query (2)'!B957="","",'query (2)'!B957)</f>
        <v>ALL-007</v>
      </c>
      <c r="D957" s="24" t="str">
        <f t="shared" si="99"/>
        <v>ALL</v>
      </c>
      <c r="E957" s="24">
        <f t="shared" si="100"/>
        <v>1</v>
      </c>
      <c r="F957" s="24" t="str">
        <f>IF('query (2)'!A957="","",IFERROR(VALUE('query (2)'!A957),""))</f>
        <v/>
      </c>
      <c r="G957" s="24" t="str">
        <f>IF('query (2)'!C957="","UNKNOWN",IFERROR(INDEX(Cleaning_Rules!$B$15:$B$20,MATCH(TRIM(UPPER('query (2)'!C957)),Cleaning_Rules!$A$15:$A$20,0)),"UNKNOWN"))</f>
        <v>ALL FACTORY</v>
      </c>
      <c r="H957" s="25" t="str">
        <f>IF('query (2)'!C957="","",'query (2)'!C957)</f>
        <v>ALL FACTORY</v>
      </c>
      <c r="I957" s="24" t="str" cm="1">
        <f t="array" ref="I957">_xlfn.IFS($G957="UNKNOWN","UNKNOWN",OR($G957="FACTORY1",$G957="FACTORY2",$G957="FACTORY3"),"PLANT",TRUE,"SHARED")</f>
        <v>SHARED</v>
      </c>
      <c r="J957" s="24" t="str">
        <f>IF('query (2)'!D957="","UNKNOWN",IF(COUNTIF(Cleaning_Rules!$A$6:$A$11,TRIM('query (2)'!D957))&gt;0,"UNKNOWN",IFERROR(INDEX(Cleaning_Rules!$B$24:$B$28,MATCH(TRIM(UPPER('query (2)'!D957)),Cleaning_Rules!$A$24:$A$28,0)),TRIM(UPPER('query (2)'!D957)))))</f>
        <v>ALL FACTORY</v>
      </c>
      <c r="K957" s="25" t="str">
        <f>IF('query (2)'!D957="","",'query (2)'!D957)</f>
        <v>ALL FACTORY</v>
      </c>
      <c r="L957" s="24" t="str">
        <f>IF($J957="UNKNOWN","",_xlfn.TEXTBEFORE($J957,{"0","1","2","3","4","5","6","7","8","9"," ","-","."},1,,,$J957))</f>
        <v>ALL</v>
      </c>
      <c r="M957" s="24" t="str">
        <f>IF('query (2)'!I957&lt;&gt;"",TRIM(UPPER('query (2)'!I957)),IF($L957="","UNKNOWN",$L957))</f>
        <v>ALL FACTORY</v>
      </c>
      <c r="N957" s="24" t="str">
        <f>IF('query (2)'!I957&lt;&gt;"","SOURCE",IF($L957="","UNKNOWN","DERIVED"))</f>
        <v>SOURCE</v>
      </c>
      <c r="O957" s="24" t="str">
        <f>IF('query (2)'!E957="","NOT_SPECIFIED",TRIM(UPPER('query (2)'!E957)))</f>
        <v>NOT_SPECIFIED</v>
      </c>
      <c r="P957" s="24" t="str">
        <f>IF('query (2)'!F957="","",TRIM(UPPER('query (2)'!F957)))</f>
        <v>1000-KWD</v>
      </c>
      <c r="Q957" s="24" t="str">
        <f>IF('query (2)'!G957="","UNKNOWN",IFERROR(INDEX(Cleaning_Rules!$B$38:$B$46,MATCH(TRIM(UPPER('query (2)'!G957)),Cleaning_Rules!$A$38:$A$46,0)),"UNKNOWN"))</f>
        <v>OTHER</v>
      </c>
      <c r="R957" s="24" t="str">
        <f>IF('query (2)'!H957="","",TRIM(UPPER('query (2)'!H957)))</f>
        <v>KWD</v>
      </c>
      <c r="S957" s="25" t="str">
        <f>IF('query (2)'!H957="","",'query (2)'!H957)</f>
        <v>KWD</v>
      </c>
      <c r="T957" s="24" t="str">
        <f>IF('query (2)'!J957="","",TRIM(UPPER('query (2)'!J957)))</f>
        <v/>
      </c>
      <c r="U957" s="24" t="str">
        <f t="shared" si="101"/>
        <v/>
      </c>
      <c r="V957" s="24" t="str">
        <f>IF('query (2)'!K957="","NOT_SPECIFIED",IFERROR(INDEX(Cleaning_Rules!$B$32:$B$34,MATCH(TRIM(UPPER('query (2)'!K957)),Cleaning_Rules!$A$32:$A$34,0)),"UNKNOWN"))</f>
        <v>APPROVED</v>
      </c>
      <c r="W957" s="24" t="str">
        <f t="shared" si="102"/>
        <v>ALL-007 | ALL FACTORY | ALL FACTORY | ALL FACTORY | NOT_SPECIFIED | 1000-KWD | OTHER | KWD | APPROVED</v>
      </c>
      <c r="X957" s="24" t="str">
        <f t="shared" si="103"/>
        <v>MISSING_NO; MISSING_RESPONSIBLE</v>
      </c>
      <c r="Y957" s="24" t="str">
        <f t="shared" si="104"/>
        <v>CATEGORY_NOT_USEFUL; MISSING_PRODUCTION_NAME</v>
      </c>
    </row>
    <row r="958" spans="1:25" x14ac:dyDescent="0.3">
      <c r="A958" s="24" t="str">
        <f t="shared" si="98"/>
        <v>ALL-008#0957</v>
      </c>
      <c r="B958" s="24" t="str">
        <f>IF('query (2)'!B958="","",TRIM(UPPER('query (2)'!B958)))</f>
        <v>ALL-008</v>
      </c>
      <c r="C958" s="25" t="str">
        <f>IF('query (2)'!B958="","",'query (2)'!B958)</f>
        <v>ALL-008</v>
      </c>
      <c r="D958" s="24" t="str">
        <f t="shared" si="99"/>
        <v>ALL</v>
      </c>
      <c r="E958" s="24">
        <f t="shared" si="100"/>
        <v>1</v>
      </c>
      <c r="F958" s="24" t="str">
        <f>IF('query (2)'!A958="","",IFERROR(VALUE('query (2)'!A958),""))</f>
        <v/>
      </c>
      <c r="G958" s="24" t="str">
        <f>IF('query (2)'!C958="","UNKNOWN",IFERROR(INDEX(Cleaning_Rules!$B$15:$B$20,MATCH(TRIM(UPPER('query (2)'!C958)),Cleaning_Rules!$A$15:$A$20,0)),"UNKNOWN"))</f>
        <v>ALL FACTORY</v>
      </c>
      <c r="H958" s="25" t="str">
        <f>IF('query (2)'!C958="","",'query (2)'!C958)</f>
        <v>ALL FACTORY</v>
      </c>
      <c r="I958" s="24" t="str" cm="1">
        <f t="array" ref="I958">_xlfn.IFS($G958="UNKNOWN","UNKNOWN",OR($G958="FACTORY1",$G958="FACTORY2",$G958="FACTORY3"),"PLANT",TRUE,"SHARED")</f>
        <v>SHARED</v>
      </c>
      <c r="J958" s="24" t="str">
        <f>IF('query (2)'!D958="","UNKNOWN",IF(COUNTIF(Cleaning_Rules!$A$6:$A$11,TRIM('query (2)'!D958))&gt;0,"UNKNOWN",IFERROR(INDEX(Cleaning_Rules!$B$24:$B$28,MATCH(TRIM(UPPER('query (2)'!D958)),Cleaning_Rules!$A$24:$A$28,0)),TRIM(UPPER('query (2)'!D958)))))</f>
        <v>ALL FACTORY</v>
      </c>
      <c r="K958" s="25" t="str">
        <f>IF('query (2)'!D958="","",'query (2)'!D958)</f>
        <v>ALL FACTORY</v>
      </c>
      <c r="L958" s="24" t="str">
        <f>IF($J958="UNKNOWN","",_xlfn.TEXTBEFORE($J958,{"0","1","2","3","4","5","6","7","8","9"," ","-","."},1,,,$J958))</f>
        <v>ALL</v>
      </c>
      <c r="M958" s="24" t="str">
        <f>IF('query (2)'!I958&lt;&gt;"",TRIM(UPPER('query (2)'!I958)),IF($L958="","UNKNOWN",$L958))</f>
        <v>ALL FACTORY</v>
      </c>
      <c r="N958" s="24" t="str">
        <f>IF('query (2)'!I958&lt;&gt;"","SOURCE",IF($L958="","UNKNOWN","DERIVED"))</f>
        <v>SOURCE</v>
      </c>
      <c r="O958" s="24" t="str">
        <f>IF('query (2)'!E958="","NOT_SPECIFIED",TRIM(UPPER('query (2)'!E958)))</f>
        <v>NOT_SPECIFIED</v>
      </c>
      <c r="P958" s="24" t="str">
        <f>IF('query (2)'!F958="","",TRIM(UPPER('query (2)'!F958)))</f>
        <v>1200-SB</v>
      </c>
      <c r="Q958" s="24" t="str">
        <f>IF('query (2)'!G958="","UNKNOWN",IFERROR(INDEX(Cleaning_Rules!$B$38:$B$46,MATCH(TRIM(UPPER('query (2)'!G958)),Cleaning_Rules!$A$38:$A$46,0)),"UNKNOWN"))</f>
        <v>OTHER</v>
      </c>
      <c r="R958" s="24" t="str">
        <f>IF('query (2)'!H958="","",TRIM(UPPER('query (2)'!H958)))</f>
        <v>SB</v>
      </c>
      <c r="S958" s="25" t="str">
        <f>IF('query (2)'!H958="","",'query (2)'!H958)</f>
        <v>SB</v>
      </c>
      <c r="T958" s="24" t="str">
        <f>IF('query (2)'!J958="","",TRIM(UPPER('query (2)'!J958)))</f>
        <v/>
      </c>
      <c r="U958" s="24" t="str">
        <f t="shared" si="101"/>
        <v/>
      </c>
      <c r="V958" s="24" t="str">
        <f>IF('query (2)'!K958="","NOT_SPECIFIED",IFERROR(INDEX(Cleaning_Rules!$B$32:$B$34,MATCH(TRIM(UPPER('query (2)'!K958)),Cleaning_Rules!$A$32:$A$34,0)),"UNKNOWN"))</f>
        <v>APPROVED</v>
      </c>
      <c r="W958" s="24" t="str">
        <f t="shared" si="102"/>
        <v>ALL-008 | ALL FACTORY | ALL FACTORY | ALL FACTORY | NOT_SPECIFIED | 1200-SB | OTHER | SB | APPROVED</v>
      </c>
      <c r="X958" s="24" t="str">
        <f t="shared" si="103"/>
        <v>MISSING_NO; MISSING_RESPONSIBLE</v>
      </c>
      <c r="Y958" s="24" t="str">
        <f t="shared" si="104"/>
        <v>CATEGORY_NOT_USEFUL; MISSING_PRODUCTION_NAME</v>
      </c>
    </row>
    <row r="959" spans="1:25" x14ac:dyDescent="0.3">
      <c r="A959" s="24" t="str">
        <f t="shared" si="98"/>
        <v>ALL-009#0958</v>
      </c>
      <c r="B959" s="24" t="str">
        <f>IF('query (2)'!B959="","",TRIM(UPPER('query (2)'!B959)))</f>
        <v>ALL-009</v>
      </c>
      <c r="C959" s="25" t="str">
        <f>IF('query (2)'!B959="","",'query (2)'!B959)</f>
        <v>ALL-009</v>
      </c>
      <c r="D959" s="24" t="str">
        <f t="shared" si="99"/>
        <v>ALL</v>
      </c>
      <c r="E959" s="24">
        <f t="shared" si="100"/>
        <v>1</v>
      </c>
      <c r="F959" s="24" t="str">
        <f>IF('query (2)'!A959="","",IFERROR(VALUE('query (2)'!A959),""))</f>
        <v/>
      </c>
      <c r="G959" s="24" t="str">
        <f>IF('query (2)'!C959="","UNKNOWN",IFERROR(INDEX(Cleaning_Rules!$B$15:$B$20,MATCH(TRIM(UPPER('query (2)'!C959)),Cleaning_Rules!$A$15:$A$20,0)),"UNKNOWN"))</f>
        <v>ALL FACTORY</v>
      </c>
      <c r="H959" s="25" t="str">
        <f>IF('query (2)'!C959="","",'query (2)'!C959)</f>
        <v>ALL FACTORY</v>
      </c>
      <c r="I959" s="24" t="str" cm="1">
        <f t="array" ref="I959">_xlfn.IFS($G959="UNKNOWN","UNKNOWN",OR($G959="FACTORY1",$G959="FACTORY2",$G959="FACTORY3"),"PLANT",TRUE,"SHARED")</f>
        <v>SHARED</v>
      </c>
      <c r="J959" s="24" t="str">
        <f>IF('query (2)'!D959="","UNKNOWN",IF(COUNTIF(Cleaning_Rules!$A$6:$A$11,TRIM('query (2)'!D959))&gt;0,"UNKNOWN",IFERROR(INDEX(Cleaning_Rules!$B$24:$B$28,MATCH(TRIM(UPPER('query (2)'!D959)),Cleaning_Rules!$A$24:$A$28,0)),TRIM(UPPER('query (2)'!D959)))))</f>
        <v>ALL FACTORY</v>
      </c>
      <c r="K959" s="25" t="str">
        <f>IF('query (2)'!D959="","",'query (2)'!D959)</f>
        <v>ALL FACTORY</v>
      </c>
      <c r="L959" s="24" t="str">
        <f>IF($J959="UNKNOWN","",_xlfn.TEXTBEFORE($J959,{"0","1","2","3","4","5","6","7","8","9"," ","-","."},1,,,$J959))</f>
        <v>ALL</v>
      </c>
      <c r="M959" s="24" t="str">
        <f>IF('query (2)'!I959&lt;&gt;"",TRIM(UPPER('query (2)'!I959)),IF($L959="","UNKNOWN",$L959))</f>
        <v>ALL FACTORY</v>
      </c>
      <c r="N959" s="24" t="str">
        <f>IF('query (2)'!I959&lt;&gt;"","SOURCE",IF($L959="","UNKNOWN","DERIVED"))</f>
        <v>SOURCE</v>
      </c>
      <c r="O959" s="24" t="str">
        <f>IF('query (2)'!E959="","NOT_SPECIFIED",TRIM(UPPER('query (2)'!E959)))</f>
        <v>NOT_SPECIFIED</v>
      </c>
      <c r="P959" s="24" t="str">
        <f>IF('query (2)'!F959="","",TRIM(UPPER('query (2)'!F959)))</f>
        <v>1603-CR</v>
      </c>
      <c r="Q959" s="24" t="str">
        <f>IF('query (2)'!G959="","UNKNOWN",IFERROR(INDEX(Cleaning_Rules!$B$38:$B$46,MATCH(TRIM(UPPER('query (2)'!G959)),Cleaning_Rules!$A$38:$A$46,0)),"UNKNOWN"))</f>
        <v>OTHER</v>
      </c>
      <c r="R959" s="24" t="str">
        <f>IF('query (2)'!H959="","",TRIM(UPPER('query (2)'!H959)))</f>
        <v>CR</v>
      </c>
      <c r="S959" s="25" t="str">
        <f>IF('query (2)'!H959="","",'query (2)'!H959)</f>
        <v>CR</v>
      </c>
      <c r="T959" s="24" t="str">
        <f>IF('query (2)'!J959="","",TRIM(UPPER('query (2)'!J959)))</f>
        <v/>
      </c>
      <c r="U959" s="24" t="str">
        <f t="shared" si="101"/>
        <v/>
      </c>
      <c r="V959" s="24" t="str">
        <f>IF('query (2)'!K959="","NOT_SPECIFIED",IFERROR(INDEX(Cleaning_Rules!$B$32:$B$34,MATCH(TRIM(UPPER('query (2)'!K959)),Cleaning_Rules!$A$32:$A$34,0)),"UNKNOWN"))</f>
        <v>APPROVED</v>
      </c>
      <c r="W959" s="24" t="str">
        <f t="shared" si="102"/>
        <v>ALL-009 | ALL FACTORY | ALL FACTORY | ALL FACTORY | NOT_SPECIFIED | 1603-CR | OTHER | CR | APPROVED</v>
      </c>
      <c r="X959" s="24" t="str">
        <f t="shared" si="103"/>
        <v>MISSING_NO; MISSING_RESPONSIBLE</v>
      </c>
      <c r="Y959" s="24" t="str">
        <f t="shared" si="104"/>
        <v>CATEGORY_NOT_USEFUL; MISSING_PRODUCTION_NAME</v>
      </c>
    </row>
    <row r="960" spans="1:25" x14ac:dyDescent="0.3">
      <c r="A960" s="24" t="str">
        <f t="shared" si="98"/>
        <v>ALL-010#0959</v>
      </c>
      <c r="B960" s="24" t="str">
        <f>IF('query (2)'!B960="","",TRIM(UPPER('query (2)'!B960)))</f>
        <v>ALL-010</v>
      </c>
      <c r="C960" s="25" t="str">
        <f>IF('query (2)'!B960="","",'query (2)'!B960)</f>
        <v>ALL-010</v>
      </c>
      <c r="D960" s="24" t="str">
        <f t="shared" si="99"/>
        <v>ALL</v>
      </c>
      <c r="E960" s="24">
        <f t="shared" si="100"/>
        <v>1</v>
      </c>
      <c r="F960" s="24" t="str">
        <f>IF('query (2)'!A960="","",IFERROR(VALUE('query (2)'!A960),""))</f>
        <v/>
      </c>
      <c r="G960" s="24" t="str">
        <f>IF('query (2)'!C960="","UNKNOWN",IFERROR(INDEX(Cleaning_Rules!$B$15:$B$20,MATCH(TRIM(UPPER('query (2)'!C960)),Cleaning_Rules!$A$15:$A$20,0)),"UNKNOWN"))</f>
        <v>ALL FACTORY</v>
      </c>
      <c r="H960" s="25" t="str">
        <f>IF('query (2)'!C960="","",'query (2)'!C960)</f>
        <v>ALL FACTORY</v>
      </c>
      <c r="I960" s="24" t="str" cm="1">
        <f t="array" ref="I960">_xlfn.IFS($G960="UNKNOWN","UNKNOWN",OR($G960="FACTORY1",$G960="FACTORY2",$G960="FACTORY3"),"PLANT",TRUE,"SHARED")</f>
        <v>SHARED</v>
      </c>
      <c r="J960" s="24" t="str">
        <f>IF('query (2)'!D960="","UNKNOWN",IF(COUNTIF(Cleaning_Rules!$A$6:$A$11,TRIM('query (2)'!D960))&gt;0,"UNKNOWN",IFERROR(INDEX(Cleaning_Rules!$B$24:$B$28,MATCH(TRIM(UPPER('query (2)'!D960)),Cleaning_Rules!$A$24:$A$28,0)),TRIM(UPPER('query (2)'!D960)))))</f>
        <v>ALL FACTORY</v>
      </c>
      <c r="K960" s="25" t="str">
        <f>IF('query (2)'!D960="","",'query (2)'!D960)</f>
        <v>ALL FACTORY</v>
      </c>
      <c r="L960" s="24" t="str">
        <f>IF($J960="UNKNOWN","",_xlfn.TEXTBEFORE($J960,{"0","1","2","3","4","5","6","7","8","9"," ","-","."},1,,,$J960))</f>
        <v>ALL</v>
      </c>
      <c r="M960" s="24" t="str">
        <f>IF('query (2)'!I960&lt;&gt;"",TRIM(UPPER('query (2)'!I960)),IF($L960="","UNKNOWN",$L960))</f>
        <v>ALL FACTORY</v>
      </c>
      <c r="N960" s="24" t="str">
        <f>IF('query (2)'!I960&lt;&gt;"","SOURCE",IF($L960="","UNKNOWN","DERIVED"))</f>
        <v>SOURCE</v>
      </c>
      <c r="O960" s="24" t="str">
        <f>IF('query (2)'!E960="","NOT_SPECIFIED",TRIM(UPPER('query (2)'!E960)))</f>
        <v>NOT_SPECIFIED</v>
      </c>
      <c r="P960" s="24" t="str">
        <f>IF('query (2)'!F960="","",TRIM(UPPER('query (2)'!F960)))</f>
        <v>3400-SR</v>
      </c>
      <c r="Q960" s="24" t="str">
        <f>IF('query (2)'!G960="","UNKNOWN",IFERROR(INDEX(Cleaning_Rules!$B$38:$B$46,MATCH(TRIM(UPPER('query (2)'!G960)),Cleaning_Rules!$A$38:$A$46,0)),"UNKNOWN"))</f>
        <v>OTHER</v>
      </c>
      <c r="R960" s="24" t="str">
        <f>IF('query (2)'!H960="","",TRIM(UPPER('query (2)'!H960)))</f>
        <v>SR</v>
      </c>
      <c r="S960" s="25" t="str">
        <f>IF('query (2)'!H960="","",'query (2)'!H960)</f>
        <v>SR</v>
      </c>
      <c r="T960" s="24" t="str">
        <f>IF('query (2)'!J960="","",TRIM(UPPER('query (2)'!J960)))</f>
        <v/>
      </c>
      <c r="U960" s="24" t="str">
        <f t="shared" si="101"/>
        <v/>
      </c>
      <c r="V960" s="24" t="str">
        <f>IF('query (2)'!K960="","NOT_SPECIFIED",IFERROR(INDEX(Cleaning_Rules!$B$32:$B$34,MATCH(TRIM(UPPER('query (2)'!K960)),Cleaning_Rules!$A$32:$A$34,0)),"UNKNOWN"))</f>
        <v>APPROVED</v>
      </c>
      <c r="W960" s="24" t="str">
        <f t="shared" si="102"/>
        <v>ALL-010 | ALL FACTORY | ALL FACTORY | ALL FACTORY | NOT_SPECIFIED | 3400-SR | OTHER | SR | APPROVED</v>
      </c>
      <c r="X960" s="24" t="str">
        <f t="shared" si="103"/>
        <v>MISSING_NO; MISSING_RESPONSIBLE</v>
      </c>
      <c r="Y960" s="24" t="str">
        <f t="shared" si="104"/>
        <v>CATEGORY_NOT_USEFUL; MISSING_PRODUCTION_NAME</v>
      </c>
    </row>
    <row r="961" spans="1:25" x14ac:dyDescent="0.3">
      <c r="A961" s="24" t="str">
        <f t="shared" si="98"/>
        <v>ALL-011#0960</v>
      </c>
      <c r="B961" s="24" t="str">
        <f>IF('query (2)'!B961="","",TRIM(UPPER('query (2)'!B961)))</f>
        <v>ALL-011</v>
      </c>
      <c r="C961" s="25" t="str">
        <f>IF('query (2)'!B961="","",'query (2)'!B961)</f>
        <v>ALL-011</v>
      </c>
      <c r="D961" s="24" t="str">
        <f t="shared" si="99"/>
        <v>ALL</v>
      </c>
      <c r="E961" s="24">
        <f t="shared" si="100"/>
        <v>1</v>
      </c>
      <c r="F961" s="24" t="str">
        <f>IF('query (2)'!A961="","",IFERROR(VALUE('query (2)'!A961),""))</f>
        <v/>
      </c>
      <c r="G961" s="24" t="str">
        <f>IF('query (2)'!C961="","UNKNOWN",IFERROR(INDEX(Cleaning_Rules!$B$15:$B$20,MATCH(TRIM(UPPER('query (2)'!C961)),Cleaning_Rules!$A$15:$A$20,0)),"UNKNOWN"))</f>
        <v>ALL FACTORY</v>
      </c>
      <c r="H961" s="25" t="str">
        <f>IF('query (2)'!C961="","",'query (2)'!C961)</f>
        <v>ALL FACTORY</v>
      </c>
      <c r="I961" s="24" t="str" cm="1">
        <f t="array" ref="I961">_xlfn.IFS($G961="UNKNOWN","UNKNOWN",OR($G961="FACTORY1",$G961="FACTORY2",$G961="FACTORY3"),"PLANT",TRUE,"SHARED")</f>
        <v>SHARED</v>
      </c>
      <c r="J961" s="24" t="str">
        <f>IF('query (2)'!D961="","UNKNOWN",IF(COUNTIF(Cleaning_Rules!$A$6:$A$11,TRIM('query (2)'!D961))&gt;0,"UNKNOWN",IFERROR(INDEX(Cleaning_Rules!$B$24:$B$28,MATCH(TRIM(UPPER('query (2)'!D961)),Cleaning_Rules!$A$24:$A$28,0)),TRIM(UPPER('query (2)'!D961)))))</f>
        <v>ALL FACTORY</v>
      </c>
      <c r="K961" s="25" t="str">
        <f>IF('query (2)'!D961="","",'query (2)'!D961)</f>
        <v>ALL FACTORY</v>
      </c>
      <c r="L961" s="24" t="str">
        <f>IF($J961="UNKNOWN","",_xlfn.TEXTBEFORE($J961,{"0","1","2","3","4","5","6","7","8","9"," ","-","."},1,,,$J961))</f>
        <v>ALL</v>
      </c>
      <c r="M961" s="24" t="str">
        <f>IF('query (2)'!I961&lt;&gt;"",TRIM(UPPER('query (2)'!I961)),IF($L961="","UNKNOWN",$L961))</f>
        <v>ALL FACTORY</v>
      </c>
      <c r="N961" s="24" t="str">
        <f>IF('query (2)'!I961&lt;&gt;"","SOURCE",IF($L961="","UNKNOWN","DERIVED"))</f>
        <v>SOURCE</v>
      </c>
      <c r="O961" s="24" t="str">
        <f>IF('query (2)'!E961="","NOT_SPECIFIED",TRIM(UPPER('query (2)'!E961)))</f>
        <v>NOT_SPECIFIED</v>
      </c>
      <c r="P961" s="24" t="str">
        <f>IF('query (2)'!F961="","",TRIM(UPPER('query (2)'!F961)))</f>
        <v>1700-TP</v>
      </c>
      <c r="Q961" s="24" t="str">
        <f>IF('query (2)'!G961="","UNKNOWN",IFERROR(INDEX(Cleaning_Rules!$B$38:$B$46,MATCH(TRIM(UPPER('query (2)'!G961)),Cleaning_Rules!$A$38:$A$46,0)),"UNKNOWN"))</f>
        <v>OTHER</v>
      </c>
      <c r="R961" s="24" t="str">
        <f>IF('query (2)'!H961="","",TRIM(UPPER('query (2)'!H961)))</f>
        <v>TP</v>
      </c>
      <c r="S961" s="25" t="str">
        <f>IF('query (2)'!H961="","",'query (2)'!H961)</f>
        <v>TP</v>
      </c>
      <c r="T961" s="24" t="str">
        <f>IF('query (2)'!J961="","",TRIM(UPPER('query (2)'!J961)))</f>
        <v/>
      </c>
      <c r="U961" s="24" t="str">
        <f t="shared" si="101"/>
        <v/>
      </c>
      <c r="V961" s="24" t="str">
        <f>IF('query (2)'!K961="","NOT_SPECIFIED",IFERROR(INDEX(Cleaning_Rules!$B$32:$B$34,MATCH(TRIM(UPPER('query (2)'!K961)),Cleaning_Rules!$A$32:$A$34,0)),"UNKNOWN"))</f>
        <v>APPROVED</v>
      </c>
      <c r="W961" s="24" t="str">
        <f t="shared" si="102"/>
        <v>ALL-011 | ALL FACTORY | ALL FACTORY | ALL FACTORY | NOT_SPECIFIED | 1700-TP | OTHER | TP | APPROVED</v>
      </c>
      <c r="X961" s="24" t="str">
        <f t="shared" si="103"/>
        <v>MISSING_NO; MISSING_RESPONSIBLE</v>
      </c>
      <c r="Y961" s="24" t="str">
        <f t="shared" si="104"/>
        <v>CATEGORY_NOT_USEFUL; MISSING_PRODUCTION_NAME</v>
      </c>
    </row>
    <row r="962" spans="1:25" x14ac:dyDescent="0.3">
      <c r="A962" s="24" t="str">
        <f t="shared" si="98"/>
        <v>ALL-012#0961</v>
      </c>
      <c r="B962" s="24" t="str">
        <f>IF('query (2)'!B962="","",TRIM(UPPER('query (2)'!B962)))</f>
        <v>ALL-012</v>
      </c>
      <c r="C962" s="25" t="str">
        <f>IF('query (2)'!B962="","",'query (2)'!B962)</f>
        <v>ALL-012</v>
      </c>
      <c r="D962" s="24" t="str">
        <f t="shared" si="99"/>
        <v>ALL</v>
      </c>
      <c r="E962" s="24">
        <f t="shared" si="100"/>
        <v>1</v>
      </c>
      <c r="F962" s="24" t="str">
        <f>IF('query (2)'!A962="","",IFERROR(VALUE('query (2)'!A962),""))</f>
        <v/>
      </c>
      <c r="G962" s="24" t="str">
        <f>IF('query (2)'!C962="","UNKNOWN",IFERROR(INDEX(Cleaning_Rules!$B$15:$B$20,MATCH(TRIM(UPPER('query (2)'!C962)),Cleaning_Rules!$A$15:$A$20,0)),"UNKNOWN"))</f>
        <v>ALL FACTORY</v>
      </c>
      <c r="H962" s="25" t="str">
        <f>IF('query (2)'!C962="","",'query (2)'!C962)</f>
        <v>ALL FACTORY</v>
      </c>
      <c r="I962" s="24" t="str" cm="1">
        <f t="array" ref="I962">_xlfn.IFS($G962="UNKNOWN","UNKNOWN",OR($G962="FACTORY1",$G962="FACTORY2",$G962="FACTORY3"),"PLANT",TRUE,"SHARED")</f>
        <v>SHARED</v>
      </c>
      <c r="J962" s="24" t="str">
        <f>IF('query (2)'!D962="","UNKNOWN",IF(COUNTIF(Cleaning_Rules!$A$6:$A$11,TRIM('query (2)'!D962))&gt;0,"UNKNOWN",IFERROR(INDEX(Cleaning_Rules!$B$24:$B$28,MATCH(TRIM(UPPER('query (2)'!D962)),Cleaning_Rules!$A$24:$A$28,0)),TRIM(UPPER('query (2)'!D962)))))</f>
        <v>ALL FACTORY</v>
      </c>
      <c r="K962" s="25" t="str">
        <f>IF('query (2)'!D962="","",'query (2)'!D962)</f>
        <v>ALL FACTORY</v>
      </c>
      <c r="L962" s="24" t="str">
        <f>IF($J962="UNKNOWN","",_xlfn.TEXTBEFORE($J962,{"0","1","2","3","4","5","6","7","8","9"," ","-","."},1,,,$J962))</f>
        <v>ALL</v>
      </c>
      <c r="M962" s="24" t="str">
        <f>IF('query (2)'!I962&lt;&gt;"",TRIM(UPPER('query (2)'!I962)),IF($L962="","UNKNOWN",$L962))</f>
        <v>ALL FACTORY</v>
      </c>
      <c r="N962" s="24" t="str">
        <f>IF('query (2)'!I962&lt;&gt;"","SOURCE",IF($L962="","UNKNOWN","DERIVED"))</f>
        <v>SOURCE</v>
      </c>
      <c r="O962" s="24" t="str">
        <f>IF('query (2)'!E962="","NOT_SPECIFIED",TRIM(UPPER('query (2)'!E962)))</f>
        <v>NOT_SPECIFIED</v>
      </c>
      <c r="P962" s="24" t="str">
        <f>IF('query (2)'!F962="","",TRIM(UPPER('query (2)'!F962)))</f>
        <v>1100- BWD</v>
      </c>
      <c r="Q962" s="24" t="str">
        <f>IF('query (2)'!G962="","UNKNOWN",IFERROR(INDEX(Cleaning_Rules!$B$38:$B$46,MATCH(TRIM(UPPER('query (2)'!G962)),Cleaning_Rules!$A$38:$A$46,0)),"UNKNOWN"))</f>
        <v>OTHER</v>
      </c>
      <c r="R962" s="24" t="str">
        <f>IF('query (2)'!H962="","",TRIM(UPPER('query (2)'!H962)))</f>
        <v>BWD</v>
      </c>
      <c r="S962" s="25" t="str">
        <f>IF('query (2)'!H962="","",'query (2)'!H962)</f>
        <v>BWD</v>
      </c>
      <c r="T962" s="24" t="str">
        <f>IF('query (2)'!J962="","",TRIM(UPPER('query (2)'!J962)))</f>
        <v/>
      </c>
      <c r="U962" s="24" t="str">
        <f t="shared" si="101"/>
        <v/>
      </c>
      <c r="V962" s="24" t="str">
        <f>IF('query (2)'!K962="","NOT_SPECIFIED",IFERROR(INDEX(Cleaning_Rules!$B$32:$B$34,MATCH(TRIM(UPPER('query (2)'!K962)),Cleaning_Rules!$A$32:$A$34,0)),"UNKNOWN"))</f>
        <v>APPROVED</v>
      </c>
      <c r="W962" s="24" t="str">
        <f t="shared" si="102"/>
        <v>ALL-012 | ALL FACTORY | ALL FACTORY | ALL FACTORY | NOT_SPECIFIED | 1100- BWD | OTHER | BWD | APPROVED</v>
      </c>
      <c r="X962" s="24" t="str">
        <f t="shared" si="103"/>
        <v>MISSING_NO; MISSING_RESPONSIBLE</v>
      </c>
      <c r="Y962" s="24" t="str">
        <f t="shared" si="104"/>
        <v>CATEGORY_NOT_USEFUL; MISSING_PRODUCTION_NAME</v>
      </c>
    </row>
    <row r="963" spans="1:25" x14ac:dyDescent="0.3">
      <c r="A963" s="24" t="str">
        <f t="shared" ref="A963:A974" si="105">IF($B963="","NO_QR#"&amp;TEXT(ROW()-1,"0000"),$B963&amp;"#"&amp;TEXT(ROW()-1,"0000"))</f>
        <v>ALL-013#0962</v>
      </c>
      <c r="B963" s="24" t="str">
        <f>IF('query (2)'!B963="","",TRIM(UPPER('query (2)'!B963)))</f>
        <v>ALL-013</v>
      </c>
      <c r="C963" s="25" t="str">
        <f>IF('query (2)'!B963="","",'query (2)'!B963)</f>
        <v>ALL-013</v>
      </c>
      <c r="D963" s="24" t="str">
        <f t="shared" ref="D963:D974" si="106">IF($B963="","",IFERROR(_xlfn.TEXTBEFORE($B963,"-"),"NO_PREFIX"))</f>
        <v>ALL</v>
      </c>
      <c r="E963" s="24">
        <f t="shared" ref="E963:E974" si="107">IF($B963="","",COUNTIF($B$2:$B$974,$B963))</f>
        <v>1</v>
      </c>
      <c r="F963" s="24" t="str">
        <f>IF('query (2)'!A963="","",IFERROR(VALUE('query (2)'!A963),""))</f>
        <v/>
      </c>
      <c r="G963" s="24" t="str">
        <f>IF('query (2)'!C963="","UNKNOWN",IFERROR(INDEX(Cleaning_Rules!$B$15:$B$20,MATCH(TRIM(UPPER('query (2)'!C963)),Cleaning_Rules!$A$15:$A$20,0)),"UNKNOWN"))</f>
        <v>ALL FACTORY</v>
      </c>
      <c r="H963" s="25" t="str">
        <f>IF('query (2)'!C963="","",'query (2)'!C963)</f>
        <v>ALL FACTORY</v>
      </c>
      <c r="I963" s="24" t="str" cm="1">
        <f t="array" ref="I963">_xlfn.IFS($G963="UNKNOWN","UNKNOWN",OR($G963="FACTORY1",$G963="FACTORY2",$G963="FACTORY3"),"PLANT",TRUE,"SHARED")</f>
        <v>SHARED</v>
      </c>
      <c r="J963" s="24" t="str">
        <f>IF('query (2)'!D963="","UNKNOWN",IF(COUNTIF(Cleaning_Rules!$A$6:$A$11,TRIM('query (2)'!D963))&gt;0,"UNKNOWN",IFERROR(INDEX(Cleaning_Rules!$B$24:$B$28,MATCH(TRIM(UPPER('query (2)'!D963)),Cleaning_Rules!$A$24:$A$28,0)),TRIM(UPPER('query (2)'!D963)))))</f>
        <v>ALL FACTORY</v>
      </c>
      <c r="K963" s="25" t="str">
        <f>IF('query (2)'!D963="","",'query (2)'!D963)</f>
        <v>ALL FACTORY</v>
      </c>
      <c r="L963" s="24" t="str">
        <f>IF($J963="UNKNOWN","",_xlfn.TEXTBEFORE($J963,{"0","1","2","3","4","5","6","7","8","9"," ","-","."},1,,,$J963))</f>
        <v>ALL</v>
      </c>
      <c r="M963" s="24" t="str">
        <f>IF('query (2)'!I963&lt;&gt;"",TRIM(UPPER('query (2)'!I963)),IF($L963="","UNKNOWN",$L963))</f>
        <v>ALL FACTORY</v>
      </c>
      <c r="N963" s="24" t="str">
        <f>IF('query (2)'!I963&lt;&gt;"","SOURCE",IF($L963="","UNKNOWN","DERIVED"))</f>
        <v>SOURCE</v>
      </c>
      <c r="O963" s="24" t="str">
        <f>IF('query (2)'!E963="","NOT_SPECIFIED",TRIM(UPPER('query (2)'!E963)))</f>
        <v>NOT_SPECIFIED</v>
      </c>
      <c r="P963" s="24" t="str">
        <f>IF('query (2)'!F963="","",TRIM(UPPER('query (2)'!F963)))</f>
        <v/>
      </c>
      <c r="Q963" s="24" t="str">
        <f>IF('query (2)'!G963="","UNKNOWN",IFERROR(INDEX(Cleaning_Rules!$B$38:$B$46,MATCH(TRIM(UPPER('query (2)'!G963)),Cleaning_Rules!$A$38:$A$46,0)),"UNKNOWN"))</f>
        <v>OTHER</v>
      </c>
      <c r="R963" s="24" t="str">
        <f>IF('query (2)'!H963="","",TRIM(UPPER('query (2)'!H963)))</f>
        <v>PACKING SERVICE</v>
      </c>
      <c r="S963" s="25" t="str">
        <f>IF('query (2)'!H963="","",'query (2)'!H963)</f>
        <v>Packing Service</v>
      </c>
      <c r="T963" s="24" t="str">
        <f>IF('query (2)'!J963="","",TRIM(UPPER('query (2)'!J963)))</f>
        <v/>
      </c>
      <c r="U963" s="24" t="str">
        <f t="shared" ref="U963:U974" si="108">IFERROR(IF(ISNUMBER(VALUE(MID($R963,SEARCH("(??-???)",$R963)+4,3))),MID($R963,SEARCH("(??-???)",$R963)+1,6),""),"")</f>
        <v/>
      </c>
      <c r="V963" s="24" t="str">
        <f>IF('query (2)'!K963="","NOT_SPECIFIED",IFERROR(INDEX(Cleaning_Rules!$B$32:$B$34,MATCH(TRIM(UPPER('query (2)'!K963)),Cleaning_Rules!$A$32:$A$34,0)),"UNKNOWN"))</f>
        <v>APPROVED</v>
      </c>
      <c r="W963" s="24" t="str">
        <f t="shared" ref="W963:W974" si="109">_xlfn.TEXTJOIN(" | ",TRUE,$B963,$G963,$J963,$M963,$O963,$P963,$Q963,$R963,$T963,$V963)</f>
        <v>ALL-013 | ALL FACTORY | ALL FACTORY | ALL FACTORY | NOT_SPECIFIED | OTHER | PACKING SERVICE | APPROVED</v>
      </c>
      <c r="X963" s="24" t="str">
        <f t="shared" ref="X963:X974" si="110">_xlfn.TEXTJOIN("; ",TRUE,IF($B963="","MISSING_QR",""),IF(N($E963)&gt;1,"DUPLICATE_QR",""),IF($F963="","MISSING_NO",""),IF($G963="UNKNOWN","MISSING_LOCATION",""),IF($J963="UNKNOWN","MISSING_DEPARTMENT",""),IF($N963="UNKNOWN","MISSING_SECTION",""),IF($O963="NOT_SPECIFIED","MISSING_RESPONSIBLE",""),IF($P963="","MISSING_COST_CENTER",""),IF($Q963="UNKNOWN","MISSING_CATEGORY",""),IF($R963="","MISSING_DESCRIPTION",""))</f>
        <v>MISSING_NO; MISSING_RESPONSIBLE; MISSING_COST_CENTER</v>
      </c>
      <c r="Y963" s="24" t="str">
        <f t="shared" ref="Y963:Y974" si="111">_xlfn.TEXTJOIN("; ",TRUE,IF($V963="NOT_SPECIFIED","MISSING_STATUS",""),IF($Q963="OTHER","CATEGORY_NOT_USEFUL",""),IF($T963="","MISSING_PRODUCTION_NAME",""),IF($N963="DERIVED","SECTION_DERIVED",""))</f>
        <v>CATEGORY_NOT_USEFUL; MISSING_PRODUCTION_NAME</v>
      </c>
    </row>
    <row r="964" spans="1:25" x14ac:dyDescent="0.3">
      <c r="A964" s="24" t="str">
        <f t="shared" si="105"/>
        <v>SP-0001#0963</v>
      </c>
      <c r="B964" s="24" t="str">
        <f>IF('query (2)'!B964="","",TRIM(UPPER('query (2)'!B964)))</f>
        <v>SP-0001</v>
      </c>
      <c r="C964" s="25" t="str">
        <f>IF('query (2)'!B964="","",'query (2)'!B964)</f>
        <v>SP-0001</v>
      </c>
      <c r="D964" s="24" t="str">
        <f t="shared" si="106"/>
        <v>SP</v>
      </c>
      <c r="E964" s="24">
        <f t="shared" si="107"/>
        <v>1</v>
      </c>
      <c r="F964" s="24" t="str">
        <f>IF('query (2)'!A964="","",IFERROR(VALUE('query (2)'!A964),""))</f>
        <v/>
      </c>
      <c r="G964" s="24" t="str">
        <f>IF('query (2)'!C964="","UNKNOWN",IFERROR(INDEX(Cleaning_Rules!$B$15:$B$20,MATCH(TRIM(UPPER('query (2)'!C964)),Cleaning_Rules!$A$15:$A$20,0)),"UNKNOWN"))</f>
        <v>FACTORY1</v>
      </c>
      <c r="H964" s="25" t="str">
        <f>IF('query (2)'!C964="","",'query (2)'!C964)</f>
        <v>FACTORY1</v>
      </c>
      <c r="I964" s="24" t="str" cm="1">
        <f t="array" ref="I964">_xlfn.IFS($G964="UNKNOWN","UNKNOWN",OR($G964="FACTORY1",$G964="FACTORY2",$G964="FACTORY3"),"PLANT",TRUE,"SHARED")</f>
        <v>PLANT</v>
      </c>
      <c r="J964" s="24" t="str">
        <f>IF('query (2)'!D964="","UNKNOWN",IF(COUNTIF(Cleaning_Rules!$A$6:$A$11,TRIM('query (2)'!D964))&gt;0,"UNKNOWN",IFERROR(INDEX(Cleaning_Rules!$B$24:$B$28,MATCH(TRIM(UPPER('query (2)'!D964)),Cleaning_Rules!$A$24:$A$28,0)),TRIM(UPPER('query (2)'!D964)))))</f>
        <v>G1</v>
      </c>
      <c r="K964" s="25" t="str">
        <f>IF('query (2)'!D964="","",'query (2)'!D964)</f>
        <v>G1</v>
      </c>
      <c r="L964" s="24" t="str">
        <f>IF($J964="UNKNOWN","",_xlfn.TEXTBEFORE($J964,{"0","1","2","3","4","5","6","7","8","9"," ","-","."},1,,,$J964))</f>
        <v>G</v>
      </c>
      <c r="M964" s="24" t="str">
        <f>IF('query (2)'!I964&lt;&gt;"",TRIM(UPPER('query (2)'!I964)),IF($L964="","UNKNOWN",$L964))</f>
        <v>G1</v>
      </c>
      <c r="N964" s="24" t="str">
        <f>IF('query (2)'!I964&lt;&gt;"","SOURCE",IF($L964="","UNKNOWN","DERIVED"))</f>
        <v>SOURCE</v>
      </c>
      <c r="O964" s="24" t="str">
        <f>IF('query (2)'!E964="","NOT_SPECIFIED",TRIM(UPPER('query (2)'!E964)))</f>
        <v>NOT_SPECIFIED</v>
      </c>
      <c r="P964" s="24" t="str">
        <f>IF('query (2)'!F964="","",TRIM(UPPER('query (2)'!F964)))</f>
        <v/>
      </c>
      <c r="Q964" s="24" t="str">
        <f>IF('query (2)'!G964="","UNKNOWN",IFERROR(INDEX(Cleaning_Rules!$B$38:$B$46,MATCH(TRIM(UPPER('query (2)'!G964)),Cleaning_Rules!$A$38:$A$46,0)),"UNKNOWN"))</f>
        <v>OTHER</v>
      </c>
      <c r="R964" s="24" t="str">
        <f>IF('query (2)'!H964="","",TRIM(UPPER('query (2)'!H964)))</f>
        <v>CARTS SUPPLY</v>
      </c>
      <c r="S964" s="25" t="str">
        <f>IF('query (2)'!H964="","",'query (2)'!H964)</f>
        <v>Carts Supply</v>
      </c>
      <c r="T964" s="24" t="str">
        <f>IF('query (2)'!J964="","",TRIM(UPPER('query (2)'!J964)))</f>
        <v>CARTS SUPPLY</v>
      </c>
      <c r="U964" s="24" t="str">
        <f t="shared" si="108"/>
        <v/>
      </c>
      <c r="V964" s="24" t="str">
        <f>IF('query (2)'!K964="","NOT_SPECIFIED",IFERROR(INDEX(Cleaning_Rules!$B$32:$B$34,MATCH(TRIM(UPPER('query (2)'!K964)),Cleaning_Rules!$A$32:$A$34,0)),"UNKNOWN"))</f>
        <v>APPROVED</v>
      </c>
      <c r="W964" s="24" t="str">
        <f t="shared" si="109"/>
        <v>SP-0001 | FACTORY1 | G1 | G1 | NOT_SPECIFIED | OTHER | CARTS SUPPLY | CARTS SUPPLY | APPROVED</v>
      </c>
      <c r="X964" s="24" t="str">
        <f t="shared" si="110"/>
        <v>MISSING_NO; MISSING_RESPONSIBLE; MISSING_COST_CENTER</v>
      </c>
      <c r="Y964" s="24" t="str">
        <f t="shared" si="111"/>
        <v>CATEGORY_NOT_USEFUL</v>
      </c>
    </row>
    <row r="965" spans="1:25" x14ac:dyDescent="0.3">
      <c r="A965" s="24" t="str">
        <f t="shared" si="105"/>
        <v>SP-0002#0964</v>
      </c>
      <c r="B965" s="24" t="str">
        <f>IF('query (2)'!B965="","",TRIM(UPPER('query (2)'!B965)))</f>
        <v>SP-0002</v>
      </c>
      <c r="C965" s="25" t="str">
        <f>IF('query (2)'!B965="","",'query (2)'!B965)</f>
        <v>SP-0002</v>
      </c>
      <c r="D965" s="24" t="str">
        <f t="shared" si="106"/>
        <v>SP</v>
      </c>
      <c r="E965" s="24">
        <f t="shared" si="107"/>
        <v>1</v>
      </c>
      <c r="F965" s="24" t="str">
        <f>IF('query (2)'!A965="","",IFERROR(VALUE('query (2)'!A965),""))</f>
        <v/>
      </c>
      <c r="G965" s="24" t="str">
        <f>IF('query (2)'!C965="","UNKNOWN",IFERROR(INDEX(Cleaning_Rules!$B$15:$B$20,MATCH(TRIM(UPPER('query (2)'!C965)),Cleaning_Rules!$A$15:$A$20,0)),"UNKNOWN"))</f>
        <v>FACTORY1</v>
      </c>
      <c r="H965" s="25" t="str">
        <f>IF('query (2)'!C965="","",'query (2)'!C965)</f>
        <v>FACTORY1</v>
      </c>
      <c r="I965" s="24" t="str" cm="1">
        <f t="array" ref="I965">_xlfn.IFS($G965="UNKNOWN","UNKNOWN",OR($G965="FACTORY1",$G965="FACTORY2",$G965="FACTORY3"),"PLANT",TRUE,"SHARED")</f>
        <v>PLANT</v>
      </c>
      <c r="J965" s="24" t="str">
        <f>IF('query (2)'!D965="","UNKNOWN",IF(COUNTIF(Cleaning_Rules!$A$6:$A$11,TRIM('query (2)'!D965))&gt;0,"UNKNOWN",IFERROR(INDEX(Cleaning_Rules!$B$24:$B$28,MATCH(TRIM(UPPER('query (2)'!D965)),Cleaning_Rules!$A$24:$A$28,0)),TRIM(UPPER('query (2)'!D965)))))</f>
        <v>HT</v>
      </c>
      <c r="K965" s="25" t="str">
        <f>IF('query (2)'!D965="","",'query (2)'!D965)</f>
        <v>HT</v>
      </c>
      <c r="L965" s="24" t="str">
        <f>IF($J965="UNKNOWN","",_xlfn.TEXTBEFORE($J965,{"0","1","2","3","4","5","6","7","8","9"," ","-","."},1,,,$J965))</f>
        <v>HT</v>
      </c>
      <c r="M965" s="24" t="str">
        <f>IF('query (2)'!I965&lt;&gt;"",TRIM(UPPER('query (2)'!I965)),IF($L965="","UNKNOWN",$L965))</f>
        <v>HT</v>
      </c>
      <c r="N965" s="24" t="str">
        <f>IF('query (2)'!I965&lt;&gt;"","SOURCE",IF($L965="","UNKNOWN","DERIVED"))</f>
        <v>SOURCE</v>
      </c>
      <c r="O965" s="24" t="str">
        <f>IF('query (2)'!E965="","NOT_SPECIFIED",TRIM(UPPER('query (2)'!E965)))</f>
        <v>NOT_SPECIFIED</v>
      </c>
      <c r="P965" s="24" t="str">
        <f>IF('query (2)'!F965="","",TRIM(UPPER('query (2)'!F965)))</f>
        <v/>
      </c>
      <c r="Q965" s="24" t="str">
        <f>IF('query (2)'!G965="","UNKNOWN",IFERROR(INDEX(Cleaning_Rules!$B$38:$B$46,MATCH(TRIM(UPPER('query (2)'!G965)),Cleaning_Rules!$A$38:$A$46,0)),"UNKNOWN"))</f>
        <v>OTHER</v>
      </c>
      <c r="R965" s="24" t="str">
        <f>IF('query (2)'!H965="","",TRIM(UPPER('query (2)'!H965)))</f>
        <v>CARTS SUPPLY</v>
      </c>
      <c r="S965" s="25" t="str">
        <f>IF('query (2)'!H965="","",'query (2)'!H965)</f>
        <v>Carts Supply</v>
      </c>
      <c r="T965" s="24" t="str">
        <f>IF('query (2)'!J965="","",TRIM(UPPER('query (2)'!J965)))</f>
        <v/>
      </c>
      <c r="U965" s="24" t="str">
        <f t="shared" si="108"/>
        <v/>
      </c>
      <c r="V965" s="24" t="str">
        <f>IF('query (2)'!K965="","NOT_SPECIFIED",IFERROR(INDEX(Cleaning_Rules!$B$32:$B$34,MATCH(TRIM(UPPER('query (2)'!K965)),Cleaning_Rules!$A$32:$A$34,0)),"UNKNOWN"))</f>
        <v>APPROVED</v>
      </c>
      <c r="W965" s="24" t="str">
        <f t="shared" si="109"/>
        <v>SP-0002 | FACTORY1 | HT | HT | NOT_SPECIFIED | OTHER | CARTS SUPPLY | APPROVED</v>
      </c>
      <c r="X965" s="24" t="str">
        <f t="shared" si="110"/>
        <v>MISSING_NO; MISSING_RESPONSIBLE; MISSING_COST_CENTER</v>
      </c>
      <c r="Y965" s="24" t="str">
        <f t="shared" si="111"/>
        <v>CATEGORY_NOT_USEFUL; MISSING_PRODUCTION_NAME</v>
      </c>
    </row>
    <row r="966" spans="1:25" x14ac:dyDescent="0.3">
      <c r="A966" s="24" t="str">
        <f t="shared" si="105"/>
        <v>NO_QR#0965</v>
      </c>
      <c r="B966" s="24" t="str">
        <f>IF('query (2)'!B966="","",TRIM(UPPER('query (2)'!B966)))</f>
        <v/>
      </c>
      <c r="C966" s="25" t="str">
        <f>IF('query (2)'!B966="","",'query (2)'!B966)</f>
        <v/>
      </c>
      <c r="D966" s="24" t="str">
        <f t="shared" si="106"/>
        <v/>
      </c>
      <c r="E966" s="24" t="str">
        <f t="shared" si="107"/>
        <v/>
      </c>
      <c r="F966" s="24" t="str">
        <f>IF('query (2)'!A966="","",IFERROR(VALUE('query (2)'!A966),""))</f>
        <v/>
      </c>
      <c r="G966" s="24" t="str">
        <f>IF('query (2)'!C966="","UNKNOWN",IFERROR(INDEX(Cleaning_Rules!$B$15:$B$20,MATCH(TRIM(UPPER('query (2)'!C966)),Cleaning_Rules!$A$15:$A$20,0)),"UNKNOWN"))</f>
        <v>UNKNOWN</v>
      </c>
      <c r="H966" s="25" t="str">
        <f>IF('query (2)'!C966="","",'query (2)'!C966)</f>
        <v/>
      </c>
      <c r="I966" s="24" t="str" cm="1">
        <f t="array" ref="I966">_xlfn.IFS($G966="UNKNOWN","UNKNOWN",OR($G966="FACTORY1",$G966="FACTORY2",$G966="FACTORY3"),"PLANT",TRUE,"SHARED")</f>
        <v>UNKNOWN</v>
      </c>
      <c r="J966" s="24" t="str">
        <f>IF('query (2)'!D966="","UNKNOWN",IF(COUNTIF(Cleaning_Rules!$A$6:$A$11,TRIM('query (2)'!D966))&gt;0,"UNKNOWN",IFERROR(INDEX(Cleaning_Rules!$B$24:$B$28,MATCH(TRIM(UPPER('query (2)'!D966)),Cleaning_Rules!$A$24:$A$28,0)),TRIM(UPPER('query (2)'!D966)))))</f>
        <v>UNKNOWN</v>
      </c>
      <c r="K966" s="25" t="str">
        <f>IF('query (2)'!D966="","",'query (2)'!D966)</f>
        <v/>
      </c>
      <c r="L966" s="24" t="str">
        <f>IF($J966="UNKNOWN","",_xlfn.TEXTBEFORE($J966,{"0","1","2","3","4","5","6","7","8","9"," ","-","."},1,,,$J966))</f>
        <v/>
      </c>
      <c r="M966" s="24" t="str">
        <f>IF('query (2)'!I966&lt;&gt;"",TRIM(UPPER('query (2)'!I966)),IF($L966="","UNKNOWN",$L966))</f>
        <v>UNKNOWN</v>
      </c>
      <c r="N966" s="24" t="str">
        <f>IF('query (2)'!I966&lt;&gt;"","SOURCE",IF($L966="","UNKNOWN","DERIVED"))</f>
        <v>UNKNOWN</v>
      </c>
      <c r="O966" s="24" t="str">
        <f>IF('query (2)'!E966="","NOT_SPECIFIED",TRIM(UPPER('query (2)'!E966)))</f>
        <v>NOT_SPECIFIED</v>
      </c>
      <c r="P966" s="24" t="str">
        <f>IF('query (2)'!F966="","",TRIM(UPPER('query (2)'!F966)))</f>
        <v/>
      </c>
      <c r="Q966" s="24" t="str">
        <f>IF('query (2)'!G966="","UNKNOWN",IFERROR(INDEX(Cleaning_Rules!$B$38:$B$46,MATCH(TRIM(UPPER('query (2)'!G966)),Cleaning_Rules!$A$38:$A$46,0)),"UNKNOWN"))</f>
        <v>UNKNOWN</v>
      </c>
      <c r="R966" s="24" t="str">
        <f>IF('query (2)'!H966="","",TRIM(UPPER('query (2)'!H966)))</f>
        <v/>
      </c>
      <c r="S966" s="25" t="str">
        <f>IF('query (2)'!H966="","",'query (2)'!H966)</f>
        <v/>
      </c>
      <c r="T966" s="24" t="str">
        <f>IF('query (2)'!J966="","",TRIM(UPPER('query (2)'!J966)))</f>
        <v/>
      </c>
      <c r="U966" s="24" t="str">
        <f t="shared" si="108"/>
        <v/>
      </c>
      <c r="V966" s="24" t="str">
        <f>IF('query (2)'!K966="","NOT_SPECIFIED",IFERROR(INDEX(Cleaning_Rules!$B$32:$B$34,MATCH(TRIM(UPPER('query (2)'!K966)),Cleaning_Rules!$A$32:$A$34,0)),"UNKNOWN"))</f>
        <v>NEW</v>
      </c>
      <c r="W966" s="24" t="str">
        <f t="shared" si="109"/>
        <v>UNKNOWN | UNKNOWN | UNKNOWN | NOT_SPECIFIED | UNKNOWN | NEW</v>
      </c>
      <c r="X966" s="24" t="str">
        <f t="shared" si="110"/>
        <v>MISSING_QR; MISSING_NO; MISSING_LOCATION; MISSING_DEPARTMENT; MISSING_SECTION; MISSING_RESPONSIBLE; MISSING_COST_CENTER; MISSING_CATEGORY; MISSING_DESCRIPTION</v>
      </c>
      <c r="Y966" s="24" t="str">
        <f t="shared" si="111"/>
        <v>MISSING_PRODUCTION_NAME</v>
      </c>
    </row>
    <row r="967" spans="1:25" x14ac:dyDescent="0.3">
      <c r="A967" s="24" t="str">
        <f t="shared" si="105"/>
        <v>CTG-001#0966</v>
      </c>
      <c r="B967" s="24" t="str">
        <f>IF('query (2)'!B967="","",TRIM(UPPER('query (2)'!B967)))</f>
        <v>CTG-001</v>
      </c>
      <c r="C967" s="25" t="str">
        <f>IF('query (2)'!B967="","",'query (2)'!B967)</f>
        <v>CTG-001</v>
      </c>
      <c r="D967" s="24" t="str">
        <f t="shared" si="106"/>
        <v>CTG</v>
      </c>
      <c r="E967" s="24">
        <f t="shared" si="107"/>
        <v>1</v>
      </c>
      <c r="F967" s="24" t="str">
        <f>IF('query (2)'!A967="","",IFERROR(VALUE('query (2)'!A967),""))</f>
        <v/>
      </c>
      <c r="G967" s="24" t="str">
        <f>IF('query (2)'!C967="","UNKNOWN",IFERROR(INDEX(Cleaning_Rules!$B$15:$B$20,MATCH(TRIM(UPPER('query (2)'!C967)),Cleaning_Rules!$A$15:$A$20,0)),"UNKNOWN"))</f>
        <v>UTILITY</v>
      </c>
      <c r="H967" s="25" t="str">
        <f>IF('query (2)'!C967="","",'query (2)'!C967)</f>
        <v>UTILITY</v>
      </c>
      <c r="I967" s="24" t="str" cm="1">
        <f t="array" ref="I967">_xlfn.IFS($G967="UNKNOWN","UNKNOWN",OR($G967="FACTORY1",$G967="FACTORY2",$G967="FACTORY3"),"PLANT",TRUE,"SHARED")</f>
        <v>SHARED</v>
      </c>
      <c r="J967" s="24" t="str">
        <f>IF('query (2)'!D967="","UNKNOWN",IF(COUNTIF(Cleaning_Rules!$A$6:$A$11,TRIM('query (2)'!D967))&gt;0,"UNKNOWN",IFERROR(INDEX(Cleaning_Rules!$B$24:$B$28,MATCH(TRIM(UPPER('query (2)'!D967)),Cleaning_Rules!$A$24:$A$28,0)),TRIM(UPPER('query (2)'!D967)))))</f>
        <v>UT</v>
      </c>
      <c r="K967" s="25" t="str">
        <f>IF('query (2)'!D967="","",'query (2)'!D967)</f>
        <v>UT</v>
      </c>
      <c r="L967" s="24" t="str">
        <f>IF($J967="UNKNOWN","",_xlfn.TEXTBEFORE($J967,{"0","1","2","3","4","5","6","7","8","9"," ","-","."},1,,,$J967))</f>
        <v>UT</v>
      </c>
      <c r="M967" s="24" t="str">
        <f>IF('query (2)'!I967&lt;&gt;"",TRIM(UPPER('query (2)'!I967)),IF($L967="","UNKNOWN",$L967))</f>
        <v>UT</v>
      </c>
      <c r="N967" s="24" t="str">
        <f>IF('query (2)'!I967&lt;&gt;"","SOURCE",IF($L967="","UNKNOWN","DERIVED"))</f>
        <v>DERIVED</v>
      </c>
      <c r="O967" s="24" t="str">
        <f>IF('query (2)'!E967="","NOT_SPECIFIED",TRIM(UPPER('query (2)'!E967)))</f>
        <v>NOT_SPECIFIED</v>
      </c>
      <c r="P967" s="24" t="str">
        <f>IF('query (2)'!F967="","",TRIM(UPPER('query (2)'!F967)))</f>
        <v/>
      </c>
      <c r="Q967" s="24" t="str">
        <f>IF('query (2)'!G967="","UNKNOWN",IFERROR(INDEX(Cleaning_Rules!$B$38:$B$46,MATCH(TRIM(UPPER('query (2)'!G967)),Cleaning_Rules!$A$38:$A$46,0)),"UNKNOWN"))</f>
        <v>OTHER</v>
      </c>
      <c r="R967" s="24" t="str">
        <f>IF('query (2)'!H967="","",TRIM(UPPER('query (2)'!H967)))</f>
        <v>CENTRAL GREASE KWD</v>
      </c>
      <c r="S967" s="25" t="str">
        <f>IF('query (2)'!H967="","",'query (2)'!H967)</f>
        <v>Central Grease KWD</v>
      </c>
      <c r="T967" s="24" t="str">
        <f>IF('query (2)'!J967="","",TRIM(UPPER('query (2)'!J967)))</f>
        <v/>
      </c>
      <c r="U967" s="24" t="str">
        <f t="shared" si="108"/>
        <v/>
      </c>
      <c r="V967" s="24" t="str">
        <f>IF('query (2)'!K967="","NOT_SPECIFIED",IFERROR(INDEX(Cleaning_Rules!$B$32:$B$34,MATCH(TRIM(UPPER('query (2)'!K967)),Cleaning_Rules!$A$32:$A$34,0)),"UNKNOWN"))</f>
        <v>NEW</v>
      </c>
      <c r="W967" s="24" t="str">
        <f t="shared" si="109"/>
        <v>CTG-001 | UTILITY | UT | UT | NOT_SPECIFIED | OTHER | CENTRAL GREASE KWD | NEW</v>
      </c>
      <c r="X967" s="24" t="str">
        <f t="shared" si="110"/>
        <v>MISSING_NO; MISSING_RESPONSIBLE; MISSING_COST_CENTER</v>
      </c>
      <c r="Y967" s="24" t="str">
        <f t="shared" si="111"/>
        <v>CATEGORY_NOT_USEFUL; MISSING_PRODUCTION_NAME; SECTION_DERIVED</v>
      </c>
    </row>
    <row r="968" spans="1:25" x14ac:dyDescent="0.3">
      <c r="A968" s="24" t="str">
        <f t="shared" si="105"/>
        <v>CTG-002#0967</v>
      </c>
      <c r="B968" s="24" t="str">
        <f>IF('query (2)'!B968="","",TRIM(UPPER('query (2)'!B968)))</f>
        <v>CTG-002</v>
      </c>
      <c r="C968" s="25" t="str">
        <f>IF('query (2)'!B968="","",'query (2)'!B968)</f>
        <v>CTG-002</v>
      </c>
      <c r="D968" s="24" t="str">
        <f t="shared" si="106"/>
        <v>CTG</v>
      </c>
      <c r="E968" s="24">
        <f t="shared" si="107"/>
        <v>1</v>
      </c>
      <c r="F968" s="24" t="str">
        <f>IF('query (2)'!A968="","",IFERROR(VALUE('query (2)'!A968),""))</f>
        <v/>
      </c>
      <c r="G968" s="24" t="str">
        <f>IF('query (2)'!C968="","UNKNOWN",IFERROR(INDEX(Cleaning_Rules!$B$15:$B$20,MATCH(TRIM(UPPER('query (2)'!C968)),Cleaning_Rules!$A$15:$A$20,0)),"UNKNOWN"))</f>
        <v>UTILITY</v>
      </c>
      <c r="H968" s="25" t="str">
        <f>IF('query (2)'!C968="","",'query (2)'!C968)</f>
        <v>UTILITY</v>
      </c>
      <c r="I968" s="24" t="str" cm="1">
        <f t="array" ref="I968">_xlfn.IFS($G968="UNKNOWN","UNKNOWN",OR($G968="FACTORY1",$G968="FACTORY2",$G968="FACTORY3"),"PLANT",TRUE,"SHARED")</f>
        <v>SHARED</v>
      </c>
      <c r="J968" s="24" t="str">
        <f>IF('query (2)'!D968="","UNKNOWN",IF(COUNTIF(Cleaning_Rules!$A$6:$A$11,TRIM('query (2)'!D968))&gt;0,"UNKNOWN",IFERROR(INDEX(Cleaning_Rules!$B$24:$B$28,MATCH(TRIM(UPPER('query (2)'!D968)),Cleaning_Rules!$A$24:$A$28,0)),TRIM(UPPER('query (2)'!D968)))))</f>
        <v>UT</v>
      </c>
      <c r="K968" s="25" t="str">
        <f>IF('query (2)'!D968="","",'query (2)'!D968)</f>
        <v>UT</v>
      </c>
      <c r="L968" s="24" t="str">
        <f>IF($J968="UNKNOWN","",_xlfn.TEXTBEFORE($J968,{"0","1","2","3","4","5","6","7","8","9"," ","-","."},1,,,$J968))</f>
        <v>UT</v>
      </c>
      <c r="M968" s="24" t="str">
        <f>IF('query (2)'!I968&lt;&gt;"",TRIM(UPPER('query (2)'!I968)),IF($L968="","UNKNOWN",$L968))</f>
        <v>UT</v>
      </c>
      <c r="N968" s="24" t="str">
        <f>IF('query (2)'!I968&lt;&gt;"","SOURCE",IF($L968="","UNKNOWN","DERIVED"))</f>
        <v>DERIVED</v>
      </c>
      <c r="O968" s="24" t="str">
        <f>IF('query (2)'!E968="","NOT_SPECIFIED",TRIM(UPPER('query (2)'!E968)))</f>
        <v>NOT_SPECIFIED</v>
      </c>
      <c r="P968" s="24" t="str">
        <f>IF('query (2)'!F968="","",TRIM(UPPER('query (2)'!F968)))</f>
        <v/>
      </c>
      <c r="Q968" s="24" t="str">
        <f>IF('query (2)'!G968="","UNKNOWN",IFERROR(INDEX(Cleaning_Rules!$B$38:$B$46,MATCH(TRIM(UPPER('query (2)'!G968)),Cleaning_Rules!$A$38:$A$46,0)),"UNKNOWN"))</f>
        <v>OTHER</v>
      </c>
      <c r="R968" s="24" t="str">
        <f>IF('query (2)'!H968="","",TRIM(UPPER('query (2)'!H968)))</f>
        <v>CENTRAL GREASE SB/MCB</v>
      </c>
      <c r="S968" s="25" t="str">
        <f>IF('query (2)'!H968="","",'query (2)'!H968)</f>
        <v>Central Grease SB/MCB</v>
      </c>
      <c r="T968" s="24" t="str">
        <f>IF('query (2)'!J968="","",TRIM(UPPER('query (2)'!J968)))</f>
        <v/>
      </c>
      <c r="U968" s="24" t="str">
        <f t="shared" si="108"/>
        <v/>
      </c>
      <c r="V968" s="24" t="str">
        <f>IF('query (2)'!K968="","NOT_SPECIFIED",IFERROR(INDEX(Cleaning_Rules!$B$32:$B$34,MATCH(TRIM(UPPER('query (2)'!K968)),Cleaning_Rules!$A$32:$A$34,0)),"UNKNOWN"))</f>
        <v>NEW</v>
      </c>
      <c r="W968" s="24" t="str">
        <f t="shared" si="109"/>
        <v>CTG-002 | UTILITY | UT | UT | NOT_SPECIFIED | OTHER | CENTRAL GREASE SB/MCB | NEW</v>
      </c>
      <c r="X968" s="24" t="str">
        <f t="shared" si="110"/>
        <v>MISSING_NO; MISSING_RESPONSIBLE; MISSING_COST_CENTER</v>
      </c>
      <c r="Y968" s="24" t="str">
        <f t="shared" si="111"/>
        <v>CATEGORY_NOT_USEFUL; MISSING_PRODUCTION_NAME; SECTION_DERIVED</v>
      </c>
    </row>
    <row r="969" spans="1:25" x14ac:dyDescent="0.3">
      <c r="A969" s="24" t="str">
        <f t="shared" si="105"/>
        <v>BG-001#0968</v>
      </c>
      <c r="B969" s="24" t="str">
        <f>IF('query (2)'!B969="","",TRIM(UPPER('query (2)'!B969)))</f>
        <v>BG-001</v>
      </c>
      <c r="C969" s="25" t="str">
        <f>IF('query (2)'!B969="","",'query (2)'!B969)</f>
        <v>BG-001</v>
      </c>
      <c r="D969" s="24" t="str">
        <f t="shared" si="106"/>
        <v>BG</v>
      </c>
      <c r="E969" s="24">
        <f t="shared" si="107"/>
        <v>1</v>
      </c>
      <c r="F969" s="24" t="str">
        <f>IF('query (2)'!A969="","",IFERROR(VALUE('query (2)'!A969),""))</f>
        <v/>
      </c>
      <c r="G969" s="24" t="str">
        <f>IF('query (2)'!C969="","UNKNOWN",IFERROR(INDEX(Cleaning_Rules!$B$15:$B$20,MATCH(TRIM(UPPER('query (2)'!C969)),Cleaning_Rules!$A$15:$A$20,0)),"UNKNOWN"))</f>
        <v>UTILITY</v>
      </c>
      <c r="H969" s="25" t="str">
        <f>IF('query (2)'!C969="","",'query (2)'!C969)</f>
        <v>UTILITY</v>
      </c>
      <c r="I969" s="24" t="str" cm="1">
        <f t="array" ref="I969">_xlfn.IFS($G969="UNKNOWN","UNKNOWN",OR($G969="FACTORY1",$G969="FACTORY2",$G969="FACTORY3"),"PLANT",TRUE,"SHARED")</f>
        <v>SHARED</v>
      </c>
      <c r="J969" s="24" t="str">
        <f>IF('query (2)'!D969="","UNKNOWN",IF(COUNTIF(Cleaning_Rules!$A$6:$A$11,TRIM('query (2)'!D969))&gt;0,"UNKNOWN",IFERROR(INDEX(Cleaning_Rules!$B$24:$B$28,MATCH(TRIM(UPPER('query (2)'!D969)),Cleaning_Rules!$A$24:$A$28,0)),TRIM(UPPER('query (2)'!D969)))))</f>
        <v>UT</v>
      </c>
      <c r="K969" s="25" t="str">
        <f>IF('query (2)'!D969="","",'query (2)'!D969)</f>
        <v>UT</v>
      </c>
      <c r="L969" s="24" t="str">
        <f>IF($J969="UNKNOWN","",_xlfn.TEXTBEFORE($J969,{"0","1","2","3","4","5","6","7","8","9"," ","-","."},1,,,$J969))</f>
        <v>UT</v>
      </c>
      <c r="M969" s="24" t="str">
        <f>IF('query (2)'!I969&lt;&gt;"",TRIM(UPPER('query (2)'!I969)),IF($L969="","UNKNOWN",$L969))</f>
        <v>UT</v>
      </c>
      <c r="N969" s="24" t="str">
        <f>IF('query (2)'!I969&lt;&gt;"","SOURCE",IF($L969="","UNKNOWN","DERIVED"))</f>
        <v>DERIVED</v>
      </c>
      <c r="O969" s="24" t="str">
        <f>IF('query (2)'!E969="","NOT_SPECIFIED",TRIM(UPPER('query (2)'!E969)))</f>
        <v>NOT_SPECIFIED</v>
      </c>
      <c r="P969" s="24" t="str">
        <f>IF('query (2)'!F969="","",TRIM(UPPER('query (2)'!F969)))</f>
        <v/>
      </c>
      <c r="Q969" s="24" t="str">
        <f>IF('query (2)'!G969="","UNKNOWN",IFERROR(INDEX(Cleaning_Rules!$B$38:$B$46,MATCH(TRIM(UPPER('query (2)'!G969)),Cleaning_Rules!$A$38:$A$46,0)),"UNKNOWN"))</f>
        <v>OTHER</v>
      </c>
      <c r="R969" s="24" t="str">
        <f>IF('query (2)'!H969="","",TRIM(UPPER('query (2)'!H969)))</f>
        <v>BELT FILTER G1 NO.1</v>
      </c>
      <c r="S969" s="25" t="str">
        <f>IF('query (2)'!H969="","",'query (2)'!H969)</f>
        <v>BELT FILTER G1 NO.1</v>
      </c>
      <c r="T969" s="24" t="str">
        <f>IF('query (2)'!J969="","",TRIM(UPPER('query (2)'!J969)))</f>
        <v/>
      </c>
      <c r="U969" s="24" t="str">
        <f t="shared" si="108"/>
        <v/>
      </c>
      <c r="V969" s="24" t="str">
        <f>IF('query (2)'!K969="","NOT_SPECIFIED",IFERROR(INDEX(Cleaning_Rules!$B$32:$B$34,MATCH(TRIM(UPPER('query (2)'!K969)),Cleaning_Rules!$A$32:$A$34,0)),"UNKNOWN"))</f>
        <v>NEW</v>
      </c>
      <c r="W969" s="24" t="str">
        <f t="shared" si="109"/>
        <v>BG-001 | UTILITY | UT | UT | NOT_SPECIFIED | OTHER | BELT FILTER G1 NO.1 | NEW</v>
      </c>
      <c r="X969" s="24" t="str">
        <f t="shared" si="110"/>
        <v>MISSING_NO; MISSING_RESPONSIBLE; MISSING_COST_CENTER</v>
      </c>
      <c r="Y969" s="24" t="str">
        <f t="shared" si="111"/>
        <v>CATEGORY_NOT_USEFUL; MISSING_PRODUCTION_NAME; SECTION_DERIVED</v>
      </c>
    </row>
    <row r="970" spans="1:25" x14ac:dyDescent="0.3">
      <c r="A970" s="24" t="str">
        <f t="shared" si="105"/>
        <v>BG-002#0969</v>
      </c>
      <c r="B970" s="24" t="str">
        <f>IF('query (2)'!B970="","",TRIM(UPPER('query (2)'!B970)))</f>
        <v>BG-002</v>
      </c>
      <c r="C970" s="25" t="str">
        <f>IF('query (2)'!B970="","",'query (2)'!B970)</f>
        <v>BG-002</v>
      </c>
      <c r="D970" s="24" t="str">
        <f t="shared" si="106"/>
        <v>BG</v>
      </c>
      <c r="E970" s="24">
        <f t="shared" si="107"/>
        <v>1</v>
      </c>
      <c r="F970" s="24" t="str">
        <f>IF('query (2)'!A970="","",IFERROR(VALUE('query (2)'!A970),""))</f>
        <v/>
      </c>
      <c r="G970" s="24" t="str">
        <f>IF('query (2)'!C970="","UNKNOWN",IFERROR(INDEX(Cleaning_Rules!$B$15:$B$20,MATCH(TRIM(UPPER('query (2)'!C970)),Cleaning_Rules!$A$15:$A$20,0)),"UNKNOWN"))</f>
        <v>UTILITY</v>
      </c>
      <c r="H970" s="25" t="str">
        <f>IF('query (2)'!C970="","",'query (2)'!C970)</f>
        <v>UTILITY</v>
      </c>
      <c r="I970" s="24" t="str" cm="1">
        <f t="array" ref="I970">_xlfn.IFS($G970="UNKNOWN","UNKNOWN",OR($G970="FACTORY1",$G970="FACTORY2",$G970="FACTORY3"),"PLANT",TRUE,"SHARED")</f>
        <v>SHARED</v>
      </c>
      <c r="J970" s="24" t="str">
        <f>IF('query (2)'!D970="","UNKNOWN",IF(COUNTIF(Cleaning_Rules!$A$6:$A$11,TRIM('query (2)'!D970))&gt;0,"UNKNOWN",IFERROR(INDEX(Cleaning_Rules!$B$24:$B$28,MATCH(TRIM(UPPER('query (2)'!D970)),Cleaning_Rules!$A$24:$A$28,0)),TRIM(UPPER('query (2)'!D970)))))</f>
        <v>UT</v>
      </c>
      <c r="K970" s="25" t="str">
        <f>IF('query (2)'!D970="","",'query (2)'!D970)</f>
        <v>UT</v>
      </c>
      <c r="L970" s="24" t="str">
        <f>IF($J970="UNKNOWN","",_xlfn.TEXTBEFORE($J970,{"0","1","2","3","4","5","6","7","8","9"," ","-","."},1,,,$J970))</f>
        <v>UT</v>
      </c>
      <c r="M970" s="24" t="str">
        <f>IF('query (2)'!I970&lt;&gt;"",TRIM(UPPER('query (2)'!I970)),IF($L970="","UNKNOWN",$L970))</f>
        <v>UT</v>
      </c>
      <c r="N970" s="24" t="str">
        <f>IF('query (2)'!I970&lt;&gt;"","SOURCE",IF($L970="","UNKNOWN","DERIVED"))</f>
        <v>DERIVED</v>
      </c>
      <c r="O970" s="24" t="str">
        <f>IF('query (2)'!E970="","NOT_SPECIFIED",TRIM(UPPER('query (2)'!E970)))</f>
        <v>NOT_SPECIFIED</v>
      </c>
      <c r="P970" s="24" t="str">
        <f>IF('query (2)'!F970="","",TRIM(UPPER('query (2)'!F970)))</f>
        <v/>
      </c>
      <c r="Q970" s="24" t="str">
        <f>IF('query (2)'!G970="","UNKNOWN",IFERROR(INDEX(Cleaning_Rules!$B$38:$B$46,MATCH(TRIM(UPPER('query (2)'!G970)),Cleaning_Rules!$A$38:$A$46,0)),"UNKNOWN"))</f>
        <v>OTHER</v>
      </c>
      <c r="R970" s="24" t="str">
        <f>IF('query (2)'!H970="","",TRIM(UPPER('query (2)'!H970)))</f>
        <v>BELT FILTER G1 NO.2</v>
      </c>
      <c r="S970" s="25" t="str">
        <f>IF('query (2)'!H970="","",'query (2)'!H970)</f>
        <v>BELT FILTER G1 NO.2</v>
      </c>
      <c r="T970" s="24" t="str">
        <f>IF('query (2)'!J970="","",TRIM(UPPER('query (2)'!J970)))</f>
        <v/>
      </c>
      <c r="U970" s="24" t="str">
        <f t="shared" si="108"/>
        <v/>
      </c>
      <c r="V970" s="24" t="str">
        <f>IF('query (2)'!K970="","NOT_SPECIFIED",IFERROR(INDEX(Cleaning_Rules!$B$32:$B$34,MATCH(TRIM(UPPER('query (2)'!K970)),Cleaning_Rules!$A$32:$A$34,0)),"UNKNOWN"))</f>
        <v>NEW</v>
      </c>
      <c r="W970" s="24" t="str">
        <f t="shared" si="109"/>
        <v>BG-002 | UTILITY | UT | UT | NOT_SPECIFIED | OTHER | BELT FILTER G1 NO.2 | NEW</v>
      </c>
      <c r="X970" s="24" t="str">
        <f t="shared" si="110"/>
        <v>MISSING_NO; MISSING_RESPONSIBLE; MISSING_COST_CENTER</v>
      </c>
      <c r="Y970" s="24" t="str">
        <f t="shared" si="111"/>
        <v>CATEGORY_NOT_USEFUL; MISSING_PRODUCTION_NAME; SECTION_DERIVED</v>
      </c>
    </row>
    <row r="971" spans="1:25" x14ac:dyDescent="0.3">
      <c r="A971" s="24" t="str">
        <f t="shared" si="105"/>
        <v>CTG-003#0970</v>
      </c>
      <c r="B971" s="24" t="str">
        <f>IF('query (2)'!B971="","",TRIM(UPPER('query (2)'!B971)))</f>
        <v>CTG-003</v>
      </c>
      <c r="C971" s="25" t="str">
        <f>IF('query (2)'!B971="","",'query (2)'!B971)</f>
        <v>CTG-003</v>
      </c>
      <c r="D971" s="24" t="str">
        <f t="shared" si="106"/>
        <v>CTG</v>
      </c>
      <c r="E971" s="24">
        <f t="shared" si="107"/>
        <v>1</v>
      </c>
      <c r="F971" s="24" t="str">
        <f>IF('query (2)'!A971="","",IFERROR(VALUE('query (2)'!A971),""))</f>
        <v/>
      </c>
      <c r="G971" s="24" t="str">
        <f>IF('query (2)'!C971="","UNKNOWN",IFERROR(INDEX(Cleaning_Rules!$B$15:$B$20,MATCH(TRIM(UPPER('query (2)'!C971)),Cleaning_Rules!$A$15:$A$20,0)),"UNKNOWN"))</f>
        <v>UTILITY</v>
      </c>
      <c r="H971" s="25" t="str">
        <f>IF('query (2)'!C971="","",'query (2)'!C971)</f>
        <v>UTILITY</v>
      </c>
      <c r="I971" s="24" t="str" cm="1">
        <f t="array" ref="I971">_xlfn.IFS($G971="UNKNOWN","UNKNOWN",OR($G971="FACTORY1",$G971="FACTORY2",$G971="FACTORY3"),"PLANT",TRUE,"SHARED")</f>
        <v>SHARED</v>
      </c>
      <c r="J971" s="24" t="str">
        <f>IF('query (2)'!D971="","UNKNOWN",IF(COUNTIF(Cleaning_Rules!$A$6:$A$11,TRIM('query (2)'!D971))&gt;0,"UNKNOWN",IFERROR(INDEX(Cleaning_Rules!$B$24:$B$28,MATCH(TRIM(UPPER('query (2)'!D971)),Cleaning_Rules!$A$24:$A$28,0)),TRIM(UPPER('query (2)'!D971)))))</f>
        <v>UT</v>
      </c>
      <c r="K971" s="25" t="str">
        <f>IF('query (2)'!D971="","",'query (2)'!D971)</f>
        <v>UT</v>
      </c>
      <c r="L971" s="24" t="str">
        <f>IF($J971="UNKNOWN","",_xlfn.TEXTBEFORE($J971,{"0","1","2","3","4","5","6","7","8","9"," ","-","."},1,,,$J971))</f>
        <v>UT</v>
      </c>
      <c r="M971" s="24" t="str">
        <f>IF('query (2)'!I971&lt;&gt;"",TRIM(UPPER('query (2)'!I971)),IF($L971="","UNKNOWN",$L971))</f>
        <v>UT</v>
      </c>
      <c r="N971" s="24" t="str">
        <f>IF('query (2)'!I971&lt;&gt;"","SOURCE",IF($L971="","UNKNOWN","DERIVED"))</f>
        <v>DERIVED</v>
      </c>
      <c r="O971" s="24" t="str">
        <f>IF('query (2)'!E971="","NOT_SPECIFIED",TRIM(UPPER('query (2)'!E971)))</f>
        <v>NOT_SPECIFIED</v>
      </c>
      <c r="P971" s="24" t="str">
        <f>IF('query (2)'!F971="","",TRIM(UPPER('query (2)'!F971)))</f>
        <v/>
      </c>
      <c r="Q971" s="24" t="str">
        <f>IF('query (2)'!G971="","UNKNOWN",IFERROR(INDEX(Cleaning_Rules!$B$38:$B$46,MATCH(TRIM(UPPER('query (2)'!G971)),Cleaning_Rules!$A$38:$A$46,0)),"UNKNOWN"))</f>
        <v>OTHER</v>
      </c>
      <c r="R971" s="24" t="str">
        <f>IF('query (2)'!H971="","",TRIM(UPPER('query (2)'!H971)))</f>
        <v>CENTRAL GREASE HUB</v>
      </c>
      <c r="S971" s="25" t="str">
        <f>IF('query (2)'!H971="","",'query (2)'!H971)</f>
        <v>Central Grease HUB</v>
      </c>
      <c r="T971" s="24" t="str">
        <f>IF('query (2)'!J971="","",TRIM(UPPER('query (2)'!J971)))</f>
        <v/>
      </c>
      <c r="U971" s="24" t="str">
        <f t="shared" si="108"/>
        <v/>
      </c>
      <c r="V971" s="24" t="str">
        <f>IF('query (2)'!K971="","NOT_SPECIFIED",IFERROR(INDEX(Cleaning_Rules!$B$32:$B$34,MATCH(TRIM(UPPER('query (2)'!K971)),Cleaning_Rules!$A$32:$A$34,0)),"UNKNOWN"))</f>
        <v>NEW</v>
      </c>
      <c r="W971" s="24" t="str">
        <f t="shared" si="109"/>
        <v>CTG-003 | UTILITY | UT | UT | NOT_SPECIFIED | OTHER | CENTRAL GREASE HUB | NEW</v>
      </c>
      <c r="X971" s="24" t="str">
        <f t="shared" si="110"/>
        <v>MISSING_NO; MISSING_RESPONSIBLE; MISSING_COST_CENTER</v>
      </c>
      <c r="Y971" s="24" t="str">
        <f t="shared" si="111"/>
        <v>CATEGORY_NOT_USEFUL; MISSING_PRODUCTION_NAME; SECTION_DERIVED</v>
      </c>
    </row>
    <row r="972" spans="1:25" x14ac:dyDescent="0.3">
      <c r="A972" s="24" t="str">
        <f t="shared" si="105"/>
        <v>NO_QR#0971</v>
      </c>
      <c r="B972" s="24" t="str">
        <f>IF('query (2)'!B972="","",TRIM(UPPER('query (2)'!B972)))</f>
        <v/>
      </c>
      <c r="C972" s="25" t="str">
        <f>IF('query (2)'!B972="","",'query (2)'!B972)</f>
        <v/>
      </c>
      <c r="D972" s="24" t="str">
        <f t="shared" si="106"/>
        <v/>
      </c>
      <c r="E972" s="24" t="str">
        <f t="shared" si="107"/>
        <v/>
      </c>
      <c r="F972" s="24" t="str">
        <f>IF('query (2)'!A972="","",IFERROR(VALUE('query (2)'!A972),""))</f>
        <v/>
      </c>
      <c r="G972" s="24" t="str">
        <f>IF('query (2)'!C972="","UNKNOWN",IFERROR(INDEX(Cleaning_Rules!$B$15:$B$20,MATCH(TRIM(UPPER('query (2)'!C972)),Cleaning_Rules!$A$15:$A$20,0)),"UNKNOWN"))</f>
        <v>UNKNOWN</v>
      </c>
      <c r="H972" s="25" t="str">
        <f>IF('query (2)'!C972="","",'query (2)'!C972)</f>
        <v/>
      </c>
      <c r="I972" s="24" t="str" cm="1">
        <f t="array" ref="I972">_xlfn.IFS($G972="UNKNOWN","UNKNOWN",OR($G972="FACTORY1",$G972="FACTORY2",$G972="FACTORY3"),"PLANT",TRUE,"SHARED")</f>
        <v>UNKNOWN</v>
      </c>
      <c r="J972" s="24" t="str">
        <f>IF('query (2)'!D972="","UNKNOWN",IF(COUNTIF(Cleaning_Rules!$A$6:$A$11,TRIM('query (2)'!D972))&gt;0,"UNKNOWN",IFERROR(INDEX(Cleaning_Rules!$B$24:$B$28,MATCH(TRIM(UPPER('query (2)'!D972)),Cleaning_Rules!$A$24:$A$28,0)),TRIM(UPPER('query (2)'!D972)))))</f>
        <v>UNKNOWN</v>
      </c>
      <c r="K972" s="25" t="str">
        <f>IF('query (2)'!D972="","",'query (2)'!D972)</f>
        <v/>
      </c>
      <c r="L972" s="24" t="str">
        <f>IF($J972="UNKNOWN","",_xlfn.TEXTBEFORE($J972,{"0","1","2","3","4","5","6","7","8","9"," ","-","."},1,,,$J972))</f>
        <v/>
      </c>
      <c r="M972" s="24" t="str">
        <f>IF('query (2)'!I972&lt;&gt;"",TRIM(UPPER('query (2)'!I972)),IF($L972="","UNKNOWN",$L972))</f>
        <v>UNKNOWN</v>
      </c>
      <c r="N972" s="24" t="str">
        <f>IF('query (2)'!I972&lt;&gt;"","SOURCE",IF($L972="","UNKNOWN","DERIVED"))</f>
        <v>UNKNOWN</v>
      </c>
      <c r="O972" s="24" t="str">
        <f>IF('query (2)'!E972="","NOT_SPECIFIED",TRIM(UPPER('query (2)'!E972)))</f>
        <v>NOT_SPECIFIED</v>
      </c>
      <c r="P972" s="24" t="str">
        <f>IF('query (2)'!F972="","",TRIM(UPPER('query (2)'!F972)))</f>
        <v/>
      </c>
      <c r="Q972" s="24" t="str">
        <f>IF('query (2)'!G972="","UNKNOWN",IFERROR(INDEX(Cleaning_Rules!$B$38:$B$46,MATCH(TRIM(UPPER('query (2)'!G972)),Cleaning_Rules!$A$38:$A$46,0)),"UNKNOWN"))</f>
        <v>UNKNOWN</v>
      </c>
      <c r="R972" s="24" t="str">
        <f>IF('query (2)'!H972="","",TRIM(UPPER('query (2)'!H972)))</f>
        <v/>
      </c>
      <c r="S972" s="25" t="str">
        <f>IF('query (2)'!H972="","",'query (2)'!H972)</f>
        <v/>
      </c>
      <c r="T972" s="24" t="str">
        <f>IF('query (2)'!J972="","",TRIM(UPPER('query (2)'!J972)))</f>
        <v/>
      </c>
      <c r="U972" s="24" t="str">
        <f t="shared" si="108"/>
        <v/>
      </c>
      <c r="V972" s="24" t="str">
        <f>IF('query (2)'!K972="","NOT_SPECIFIED",IFERROR(INDEX(Cleaning_Rules!$B$32:$B$34,MATCH(TRIM(UPPER('query (2)'!K972)),Cleaning_Rules!$A$32:$A$34,0)),"UNKNOWN"))</f>
        <v>NEW</v>
      </c>
      <c r="W972" s="24" t="str">
        <f t="shared" si="109"/>
        <v>UNKNOWN | UNKNOWN | UNKNOWN | NOT_SPECIFIED | UNKNOWN | NEW</v>
      </c>
      <c r="X972" s="24" t="str">
        <f t="shared" si="110"/>
        <v>MISSING_QR; MISSING_NO; MISSING_LOCATION; MISSING_DEPARTMENT; MISSING_SECTION; MISSING_RESPONSIBLE; MISSING_COST_CENTER; MISSING_CATEGORY; MISSING_DESCRIPTION</v>
      </c>
      <c r="Y972" s="24" t="str">
        <f t="shared" si="111"/>
        <v>MISSING_PRODUCTION_NAME</v>
      </c>
    </row>
    <row r="973" spans="1:25" x14ac:dyDescent="0.3">
      <c r="A973" s="24" t="str">
        <f t="shared" si="105"/>
        <v>CTO-001#0972</v>
      </c>
      <c r="B973" s="24" t="str">
        <f>IF('query (2)'!B973="","",TRIM(UPPER('query (2)'!B973)))</f>
        <v>CTO-001</v>
      </c>
      <c r="C973" s="25" t="str">
        <f>IF('query (2)'!B973="","",'query (2)'!B973)</f>
        <v>CTO-001</v>
      </c>
      <c r="D973" s="24" t="str">
        <f t="shared" si="106"/>
        <v>CTO</v>
      </c>
      <c r="E973" s="24">
        <f t="shared" si="107"/>
        <v>1</v>
      </c>
      <c r="F973" s="24" t="str">
        <f>IF('query (2)'!A973="","",IFERROR(VALUE('query (2)'!A973),""))</f>
        <v/>
      </c>
      <c r="G973" s="24" t="str">
        <f>IF('query (2)'!C973="","UNKNOWN",IFERROR(INDEX(Cleaning_Rules!$B$15:$B$20,MATCH(TRIM(UPPER('query (2)'!C973)),Cleaning_Rules!$A$15:$A$20,0)),"UNKNOWN"))</f>
        <v>UTILITY</v>
      </c>
      <c r="H973" s="25" t="str">
        <f>IF('query (2)'!C973="","",'query (2)'!C973)</f>
        <v>UTILITY</v>
      </c>
      <c r="I973" s="24" t="str" cm="1">
        <f t="array" ref="I973">_xlfn.IFS($G973="UNKNOWN","UNKNOWN",OR($G973="FACTORY1",$G973="FACTORY2",$G973="FACTORY3"),"PLANT",TRUE,"SHARED")</f>
        <v>SHARED</v>
      </c>
      <c r="J973" s="24" t="str">
        <f>IF('query (2)'!D973="","UNKNOWN",IF(COUNTIF(Cleaning_Rules!$A$6:$A$11,TRIM('query (2)'!D973))&gt;0,"UNKNOWN",IFERROR(INDEX(Cleaning_Rules!$B$24:$B$28,MATCH(TRIM(UPPER('query (2)'!D973)),Cleaning_Rules!$A$24:$A$28,0)),TRIM(UPPER('query (2)'!D973)))))</f>
        <v>UT</v>
      </c>
      <c r="K973" s="25" t="str">
        <f>IF('query (2)'!D973="","",'query (2)'!D973)</f>
        <v>UT</v>
      </c>
      <c r="L973" s="24" t="str">
        <f>IF($J973="UNKNOWN","",_xlfn.TEXTBEFORE($J973,{"0","1","2","3","4","5","6","7","8","9"," ","-","."},1,,,$J973))</f>
        <v>UT</v>
      </c>
      <c r="M973" s="24" t="str">
        <f>IF('query (2)'!I973&lt;&gt;"",TRIM(UPPER('query (2)'!I973)),IF($L973="","UNKNOWN",$L973))</f>
        <v>UT</v>
      </c>
      <c r="N973" s="24" t="str">
        <f>IF('query (2)'!I973&lt;&gt;"","SOURCE",IF($L973="","UNKNOWN","DERIVED"))</f>
        <v>DERIVED</v>
      </c>
      <c r="O973" s="24" t="str">
        <f>IF('query (2)'!E973="","NOT_SPECIFIED",TRIM(UPPER('query (2)'!E973)))</f>
        <v>NOT_SPECIFIED</v>
      </c>
      <c r="P973" s="24" t="str">
        <f>IF('query (2)'!F973="","",TRIM(UPPER('query (2)'!F973)))</f>
        <v/>
      </c>
      <c r="Q973" s="24" t="str">
        <f>IF('query (2)'!G973="","UNKNOWN",IFERROR(INDEX(Cleaning_Rules!$B$38:$B$46,MATCH(TRIM(UPPER('query (2)'!G973)),Cleaning_Rules!$A$38:$A$46,0)),"UNKNOWN"))</f>
        <v>OTHER</v>
      </c>
      <c r="R973" s="24" t="str">
        <f>IF('query (2)'!H973="","",TRIM(UPPER('query (2)'!H973)))</f>
        <v>CENTRAL OIL NO.2</v>
      </c>
      <c r="S973" s="25" t="str">
        <f>IF('query (2)'!H973="","",'query (2)'!H973)</f>
        <v>Central OIL NO.2</v>
      </c>
      <c r="T973" s="24" t="str">
        <f>IF('query (2)'!J973="","",TRIM(UPPER('query (2)'!J973)))</f>
        <v/>
      </c>
      <c r="U973" s="24" t="str">
        <f t="shared" si="108"/>
        <v/>
      </c>
      <c r="V973" s="24" t="str">
        <f>IF('query (2)'!K973="","NOT_SPECIFIED",IFERROR(INDEX(Cleaning_Rules!$B$32:$B$34,MATCH(TRIM(UPPER('query (2)'!K973)),Cleaning_Rules!$A$32:$A$34,0)),"UNKNOWN"))</f>
        <v>NEW</v>
      </c>
      <c r="W973" s="24" t="str">
        <f t="shared" si="109"/>
        <v>CTO-001 | UTILITY | UT | UT | NOT_SPECIFIED | OTHER | CENTRAL OIL NO.2 | NEW</v>
      </c>
      <c r="X973" s="24" t="str">
        <f t="shared" si="110"/>
        <v>MISSING_NO; MISSING_RESPONSIBLE; MISSING_COST_CENTER</v>
      </c>
      <c r="Y973" s="24" t="str">
        <f t="shared" si="111"/>
        <v>CATEGORY_NOT_USEFUL; MISSING_PRODUCTION_NAME; SECTION_DERIVED</v>
      </c>
    </row>
    <row r="974" spans="1:25" x14ac:dyDescent="0.3">
      <c r="A974" s="24" t="str">
        <f t="shared" si="105"/>
        <v>CTO-002#0973</v>
      </c>
      <c r="B974" s="24" t="str">
        <f>IF('query (2)'!B974="","",TRIM(UPPER('query (2)'!B974)))</f>
        <v>CTO-002</v>
      </c>
      <c r="C974" s="25" t="str">
        <f>IF('query (2)'!B974="","",'query (2)'!B974)</f>
        <v>CTO-002</v>
      </c>
      <c r="D974" s="24" t="str">
        <f t="shared" si="106"/>
        <v>CTO</v>
      </c>
      <c r="E974" s="24">
        <f t="shared" si="107"/>
        <v>1</v>
      </c>
      <c r="F974" s="24" t="str">
        <f>IF('query (2)'!A974="","",IFERROR(VALUE('query (2)'!A974),""))</f>
        <v/>
      </c>
      <c r="G974" s="24" t="str">
        <f>IF('query (2)'!C974="","UNKNOWN",IFERROR(INDEX(Cleaning_Rules!$B$15:$B$20,MATCH(TRIM(UPPER('query (2)'!C974)),Cleaning_Rules!$A$15:$A$20,0)),"UNKNOWN"))</f>
        <v>UTILITY</v>
      </c>
      <c r="H974" s="25" t="str">
        <f>IF('query (2)'!C974="","",'query (2)'!C974)</f>
        <v>UTILITY</v>
      </c>
      <c r="I974" s="24" t="str" cm="1">
        <f t="array" ref="I974">_xlfn.IFS($G974="UNKNOWN","UNKNOWN",OR($G974="FACTORY1",$G974="FACTORY2",$G974="FACTORY3"),"PLANT",TRUE,"SHARED")</f>
        <v>SHARED</v>
      </c>
      <c r="J974" s="24" t="str">
        <f>IF('query (2)'!D974="","UNKNOWN",IF(COUNTIF(Cleaning_Rules!$A$6:$A$11,TRIM('query (2)'!D974))&gt;0,"UNKNOWN",IFERROR(INDEX(Cleaning_Rules!$B$24:$B$28,MATCH(TRIM(UPPER('query (2)'!D974)),Cleaning_Rules!$A$24:$A$28,0)),TRIM(UPPER('query (2)'!D974)))))</f>
        <v>UT</v>
      </c>
      <c r="K974" s="25" t="str">
        <f>IF('query (2)'!D974="","",'query (2)'!D974)</f>
        <v>UT</v>
      </c>
      <c r="L974" s="24" t="str">
        <f>IF($J974="UNKNOWN","",_xlfn.TEXTBEFORE($J974,{"0","1","2","3","4","5","6","7","8","9"," ","-","."},1,,,$J974))</f>
        <v>UT</v>
      </c>
      <c r="M974" s="24" t="str">
        <f>IF('query (2)'!I974&lt;&gt;"",TRIM(UPPER('query (2)'!I974)),IF($L974="","UNKNOWN",$L974))</f>
        <v>UT</v>
      </c>
      <c r="N974" s="24" t="str">
        <f>IF('query (2)'!I974&lt;&gt;"","SOURCE",IF($L974="","UNKNOWN","DERIVED"))</f>
        <v>DERIVED</v>
      </c>
      <c r="O974" s="24" t="str">
        <f>IF('query (2)'!E974="","NOT_SPECIFIED",TRIM(UPPER('query (2)'!E974)))</f>
        <v>NOT_SPECIFIED</v>
      </c>
      <c r="P974" s="24" t="str">
        <f>IF('query (2)'!F974="","",TRIM(UPPER('query (2)'!F974)))</f>
        <v/>
      </c>
      <c r="Q974" s="24" t="str">
        <f>IF('query (2)'!G974="","UNKNOWN",IFERROR(INDEX(Cleaning_Rules!$B$38:$B$46,MATCH(TRIM(UPPER('query (2)'!G974)),Cleaning_Rules!$A$38:$A$46,0)),"UNKNOWN"))</f>
        <v>OTHER</v>
      </c>
      <c r="R974" s="24" t="str">
        <f>IF('query (2)'!H974="","",TRIM(UPPER('query (2)'!H974)))</f>
        <v>CENTRAL OIL NO.3</v>
      </c>
      <c r="S974" s="25" t="str">
        <f>IF('query (2)'!H974="","",'query (2)'!H974)</f>
        <v>Central OIL NO.3</v>
      </c>
      <c r="T974" s="24" t="str">
        <f>IF('query (2)'!J974="","",TRIM(UPPER('query (2)'!J974)))</f>
        <v/>
      </c>
      <c r="U974" s="24" t="str">
        <f t="shared" si="108"/>
        <v/>
      </c>
      <c r="V974" s="24" t="str">
        <f>IF('query (2)'!K974="","NOT_SPECIFIED",IFERROR(INDEX(Cleaning_Rules!$B$32:$B$34,MATCH(TRIM(UPPER('query (2)'!K974)),Cleaning_Rules!$A$32:$A$34,0)),"UNKNOWN"))</f>
        <v>NEW</v>
      </c>
      <c r="W974" s="24" t="str">
        <f t="shared" si="109"/>
        <v>CTO-002 | UTILITY | UT | UT | NOT_SPECIFIED | OTHER | CENTRAL OIL NO.3 | NEW</v>
      </c>
      <c r="X974" s="24" t="str">
        <f t="shared" si="110"/>
        <v>MISSING_NO; MISSING_RESPONSIBLE; MISSING_COST_CENTER</v>
      </c>
      <c r="Y974" s="24" t="str">
        <f t="shared" si="111"/>
        <v>CATEGORY_NOT_USEFUL; MISSING_PRODUCTION_NAME; SECTION_DERIVED</v>
      </c>
    </row>
  </sheetData>
  <conditionalFormatting sqref="A2:Y974">
    <cfRule type="expression" dxfId="1" priority="1">
      <formula>LEN($X2)&gt;0</formula>
    </cfRule>
  </conditionalFormatting>
  <conditionalFormatting sqref="X2:X974">
    <cfRule type="expression" dxfId="0" priority="2">
      <formula>LEN($X2)&gt;0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DC0ED-5588-4E65-981D-261ACB98CC4E}">
  <dimension ref="A1:G69"/>
  <sheetViews>
    <sheetView workbookViewId="0"/>
  </sheetViews>
  <sheetFormatPr defaultRowHeight="14.4" x14ac:dyDescent="0.3"/>
  <cols>
    <col min="1" max="1" width="33.33203125" customWidth="1"/>
    <col min="2" max="2" width="37" customWidth="1"/>
    <col min="3" max="3" width="31.44140625" customWidth="1"/>
    <col min="4" max="4" width="55.5546875" customWidth="1"/>
    <col min="5" max="5" width="16.6640625" customWidth="1"/>
    <col min="6" max="6" width="8.33203125" customWidth="1"/>
    <col min="7" max="7" width="96.33203125" customWidth="1"/>
  </cols>
  <sheetData>
    <row r="1" spans="1:7" ht="21" x14ac:dyDescent="0.3">
      <c r="A1" s="6" t="s">
        <v>2634</v>
      </c>
      <c r="B1" s="7"/>
      <c r="C1" s="7"/>
      <c r="D1" s="7"/>
      <c r="E1" s="7"/>
      <c r="F1" s="7"/>
      <c r="G1" s="7"/>
    </row>
    <row r="2" spans="1:7" x14ac:dyDescent="0.3">
      <c r="A2" s="8" t="s">
        <v>2635</v>
      </c>
      <c r="B2" s="7"/>
      <c r="C2" s="7"/>
      <c r="D2" s="7"/>
      <c r="E2" s="7"/>
      <c r="F2" s="7"/>
      <c r="G2" s="7"/>
    </row>
    <row r="3" spans="1:7" x14ac:dyDescent="0.3">
      <c r="A3" s="7"/>
      <c r="B3" s="7"/>
      <c r="C3" s="7"/>
      <c r="D3" s="7"/>
      <c r="E3" s="7"/>
      <c r="F3" s="7"/>
      <c r="G3" s="7"/>
    </row>
    <row r="4" spans="1:7" ht="17.399999999999999" x14ac:dyDescent="0.3">
      <c r="A4" s="9" t="s">
        <v>2636</v>
      </c>
      <c r="B4" s="7"/>
      <c r="C4" s="7"/>
      <c r="D4" s="7"/>
      <c r="E4" s="7"/>
      <c r="F4" s="7"/>
      <c r="G4" s="7"/>
    </row>
    <row r="5" spans="1:7" x14ac:dyDescent="0.3">
      <c r="A5" s="7" t="s">
        <v>2637</v>
      </c>
      <c r="B5" s="10">
        <f>ROWS(Table_query__2[])</f>
        <v>973</v>
      </c>
      <c r="C5" s="7"/>
      <c r="D5" s="7"/>
      <c r="E5" s="7"/>
      <c r="F5" s="7"/>
      <c r="G5" s="7"/>
    </row>
    <row r="6" spans="1:7" x14ac:dyDescent="0.3">
      <c r="A6" s="7" t="s">
        <v>2638</v>
      </c>
      <c r="B6" s="10">
        <f>COLUMNS(Table_query__2[])</f>
        <v>13</v>
      </c>
      <c r="C6" s="7"/>
      <c r="D6" s="7"/>
      <c r="E6" s="7"/>
      <c r="F6" s="7"/>
      <c r="G6" s="7"/>
    </row>
    <row r="7" spans="1:7" x14ac:dyDescent="0.3">
      <c r="A7" s="7" t="s">
        <v>2639</v>
      </c>
      <c r="B7" s="10">
        <f>COUNTA(Table_query__2[QR_Code_List])</f>
        <v>971</v>
      </c>
      <c r="C7" s="7"/>
      <c r="D7" s="7"/>
      <c r="E7" s="7"/>
      <c r="F7" s="7"/>
      <c r="G7" s="7"/>
    </row>
    <row r="8" spans="1:7" x14ac:dyDescent="0.3">
      <c r="A8" s="7" t="s">
        <v>2640</v>
      </c>
      <c r="B8" s="10" cm="1">
        <f t="array" ref="B8">SUMPRODUCT((Table_query__2[QR_Code_List]&lt;&gt;"")/COUNTIF(Table_query__2[QR_Code_List],Table_query__2[QR_Code_List]&amp;""))</f>
        <v>968</v>
      </c>
      <c r="C8" s="7"/>
      <c r="D8" s="7"/>
      <c r="E8" s="7"/>
      <c r="F8" s="7"/>
      <c r="G8" s="7"/>
    </row>
    <row r="9" spans="1:7" x14ac:dyDescent="0.3">
      <c r="A9" s="7" t="s">
        <v>2641</v>
      </c>
      <c r="B9" s="10">
        <f>B7-B8</f>
        <v>3</v>
      </c>
      <c r="C9" s="11" t="s">
        <v>2642</v>
      </c>
      <c r="D9" s="7"/>
      <c r="E9" s="7"/>
      <c r="F9" s="7"/>
      <c r="G9" s="7"/>
    </row>
    <row r="10" spans="1:7" x14ac:dyDescent="0.3">
      <c r="A10" s="7" t="s">
        <v>2643</v>
      </c>
      <c r="B10" s="10">
        <v>829</v>
      </c>
      <c r="C10" s="7"/>
      <c r="D10" s="7"/>
      <c r="E10" s="7"/>
      <c r="F10" s="7"/>
      <c r="G10" s="7"/>
    </row>
    <row r="11" spans="1:7" x14ac:dyDescent="0.3">
      <c r="A11" s="7" t="s">
        <v>2644</v>
      </c>
      <c r="B11" s="10">
        <v>0</v>
      </c>
      <c r="C11" s="11" t="s">
        <v>2645</v>
      </c>
      <c r="D11" s="7"/>
      <c r="E11" s="7"/>
      <c r="F11" s="7"/>
      <c r="G11" s="7"/>
    </row>
    <row r="12" spans="1:7" x14ac:dyDescent="0.3">
      <c r="A12" s="7"/>
      <c r="B12" s="10"/>
      <c r="C12" s="7"/>
      <c r="D12" s="7"/>
      <c r="E12" s="7"/>
      <c r="F12" s="7"/>
      <c r="G12" s="7"/>
    </row>
    <row r="13" spans="1:7" ht="17.399999999999999" x14ac:dyDescent="0.3">
      <c r="A13" s="9" t="s">
        <v>2646</v>
      </c>
      <c r="B13" s="10"/>
      <c r="C13" s="7"/>
      <c r="D13" s="7"/>
      <c r="E13" s="7"/>
      <c r="F13" s="7"/>
      <c r="G13" s="7"/>
    </row>
    <row r="14" spans="1:7" x14ac:dyDescent="0.3">
      <c r="A14" s="12" t="s">
        <v>2647</v>
      </c>
      <c r="B14" s="13" t="s">
        <v>2648</v>
      </c>
      <c r="C14" s="12" t="s">
        <v>2649</v>
      </c>
      <c r="D14" s="12" t="s">
        <v>2650</v>
      </c>
      <c r="E14" s="12" t="s">
        <v>2651</v>
      </c>
      <c r="F14" s="12" t="s">
        <v>2652</v>
      </c>
      <c r="G14" s="12" t="s">
        <v>2653</v>
      </c>
    </row>
    <row r="15" spans="1:7" x14ac:dyDescent="0.3">
      <c r="A15" s="7" t="s">
        <v>0</v>
      </c>
      <c r="B15" s="10">
        <f>COUNTA(INDEX(Table_query__2[],0,MATCH($A15,Table_query__2[#Headers],0)))</f>
        <v>887</v>
      </c>
      <c r="C15" s="10">
        <f>$B$5-B15</f>
        <v>86</v>
      </c>
      <c r="D15" s="14">
        <f>B15/$B$5</f>
        <v>0.91161356628982526</v>
      </c>
      <c r="E15" s="10" cm="1">
        <f t="array" ref="E15">SUMPRODUCT((INDEX(Table_query__2[],0,MATCH($A15,Table_query__2[#Headers],0))&lt;&gt;"")/COUNTIF(INDEX(Table_query__2[],0,MATCH($A15,Table_query__2[#Headers],0)),INDEX(Table_query__2[],0,MATCH($A15,Table_query__2[#Headers],0))&amp;""))</f>
        <v>887</v>
      </c>
      <c r="F15" s="7" t="s">
        <v>2654</v>
      </c>
      <c r="G15" s="19" t="s">
        <v>2655</v>
      </c>
    </row>
    <row r="16" spans="1:7" x14ac:dyDescent="0.3">
      <c r="A16" s="7" t="s">
        <v>3</v>
      </c>
      <c r="B16" s="10">
        <f>COUNTA(INDEX(Table_query__2[],0,MATCH($A16,Table_query__2[#Headers],0)))</f>
        <v>971</v>
      </c>
      <c r="C16" s="10">
        <f t="shared" ref="C16:C27" si="0">$B$5-B16</f>
        <v>2</v>
      </c>
      <c r="D16" s="14">
        <f t="shared" ref="D16:D27" si="1">B16/$B$5</f>
        <v>0.99794450154162384</v>
      </c>
      <c r="E16" s="10" cm="1">
        <f t="array" ref="E16">SUMPRODUCT((INDEX(Table_query__2[],0,MATCH($A16,Table_query__2[#Headers],0))&lt;&gt;"")/COUNTIF(INDEX(Table_query__2[],0,MATCH($A16,Table_query__2[#Headers],0)),INDEX(Table_query__2[],0,MATCH($A16,Table_query__2[#Headers],0))&amp;""))</f>
        <v>968</v>
      </c>
      <c r="F16" s="7" t="s">
        <v>2654</v>
      </c>
      <c r="G16" s="19" t="s">
        <v>2656</v>
      </c>
    </row>
    <row r="17" spans="1:7" x14ac:dyDescent="0.3">
      <c r="A17" s="7" t="s">
        <v>4</v>
      </c>
      <c r="B17" s="10">
        <f>COUNTA(INDEX(Table_query__2[],0,MATCH($A17,Table_query__2[#Headers],0)))</f>
        <v>971</v>
      </c>
      <c r="C17" s="10">
        <f t="shared" si="0"/>
        <v>2</v>
      </c>
      <c r="D17" s="14">
        <f t="shared" si="1"/>
        <v>0.99794450154162384</v>
      </c>
      <c r="E17" s="10" cm="1">
        <f t="array" ref="E17">SUMPRODUCT((INDEX(Table_query__2[],0,MATCH($A17,Table_query__2[#Headers],0))&lt;&gt;"")/COUNTIF(INDEX(Table_query__2[],0,MATCH($A17,Table_query__2[#Headers],0)),INDEX(Table_query__2[],0,MATCH($A17,Table_query__2[#Headers],0))&amp;""))</f>
        <v>7.9999999999999201</v>
      </c>
      <c r="F17" s="7" t="s">
        <v>2654</v>
      </c>
      <c r="G17" s="19" t="s">
        <v>2657</v>
      </c>
    </row>
    <row r="18" spans="1:7" ht="28.8" x14ac:dyDescent="0.3">
      <c r="A18" s="7" t="s">
        <v>5</v>
      </c>
      <c r="B18" s="10">
        <f>COUNTA(INDEX(Table_query__2[],0,MATCH($A18,Table_query__2[#Headers],0)))</f>
        <v>968</v>
      </c>
      <c r="C18" s="10">
        <f t="shared" si="0"/>
        <v>5</v>
      </c>
      <c r="D18" s="14">
        <f t="shared" si="1"/>
        <v>0.99486125385405966</v>
      </c>
      <c r="E18" s="10" cm="1">
        <f t="array" ref="E18">SUMPRODUCT((INDEX(Table_query__2[],0,MATCH($A18,Table_query__2[#Headers],0))&lt;&gt;"")/COUNTIF(INDEX(Table_query__2[],0,MATCH($A18,Table_query__2[#Headers],0)),INDEX(Table_query__2[],0,MATCH($A18,Table_query__2[#Headers],0))&amp;""))</f>
        <v>52.999999999999964</v>
      </c>
      <c r="F18" s="7" t="s">
        <v>2654</v>
      </c>
      <c r="G18" s="19" t="s">
        <v>2658</v>
      </c>
    </row>
    <row r="19" spans="1:7" ht="28.8" x14ac:dyDescent="0.3">
      <c r="A19" s="7" t="s">
        <v>10</v>
      </c>
      <c r="B19" s="10">
        <f>COUNTA(INDEX(Table_query__2[],0,MATCH($A19,Table_query__2[#Headers],0)))</f>
        <v>904</v>
      </c>
      <c r="C19" s="10">
        <f t="shared" si="0"/>
        <v>69</v>
      </c>
      <c r="D19" s="14">
        <f t="shared" si="1"/>
        <v>0.92908530318602256</v>
      </c>
      <c r="E19" s="10" cm="1">
        <f t="array" ref="E19">SUMPRODUCT((INDEX(Table_query__2[],0,MATCH($A19,Table_query__2[#Headers],0))&lt;&gt;"")/COUNTIF(INDEX(Table_query__2[],0,MATCH($A19,Table_query__2[#Headers],0)),INDEX(Table_query__2[],0,MATCH($A19,Table_query__2[#Headers],0))&amp;""))</f>
        <v>3.0000000000000009</v>
      </c>
      <c r="F19" s="7" t="s">
        <v>2659</v>
      </c>
      <c r="G19" s="19" t="s">
        <v>2660</v>
      </c>
    </row>
    <row r="20" spans="1:7" x14ac:dyDescent="0.3">
      <c r="A20" s="7" t="s">
        <v>12</v>
      </c>
      <c r="B20" s="10">
        <f>COUNTA(INDEX(Table_query__2[],0,MATCH($A20,Table_query__2[#Headers],0)))</f>
        <v>911</v>
      </c>
      <c r="C20" s="10">
        <f t="shared" si="0"/>
        <v>62</v>
      </c>
      <c r="D20" s="14">
        <f t="shared" si="1"/>
        <v>0.93627954779033917</v>
      </c>
      <c r="E20" s="10" cm="1">
        <f t="array" ref="E20">SUMPRODUCT((INDEX(Table_query__2[],0,MATCH($A20,Table_query__2[#Headers],0))&lt;&gt;"")/COUNTIF(INDEX(Table_query__2[],0,MATCH($A20,Table_query__2[#Headers],0)),INDEX(Table_query__2[],0,MATCH($A20,Table_query__2[#Headers],0))&amp;""))</f>
        <v>92.000000000000625</v>
      </c>
      <c r="F20" s="7" t="s">
        <v>2654</v>
      </c>
      <c r="G20" s="19" t="s">
        <v>2661</v>
      </c>
    </row>
    <row r="21" spans="1:7" x14ac:dyDescent="0.3">
      <c r="A21" s="7" t="s">
        <v>6</v>
      </c>
      <c r="B21" s="10">
        <f>COUNTA(INDEX(Table_query__2[],0,MATCH($A21,Table_query__2[#Headers],0)))</f>
        <v>971</v>
      </c>
      <c r="C21" s="10">
        <f t="shared" si="0"/>
        <v>2</v>
      </c>
      <c r="D21" s="14">
        <f t="shared" si="1"/>
        <v>0.99794450154162384</v>
      </c>
      <c r="E21" s="10" cm="1">
        <f t="array" ref="E21">SUMPRODUCT((INDEX(Table_query__2[],0,MATCH($A21,Table_query__2[#Headers],0))&lt;&gt;"")/COUNTIF(INDEX(Table_query__2[],0,MATCH($A21,Table_query__2[#Headers],0)),INDEX(Table_query__2[],0,MATCH($A21,Table_query__2[#Headers],0))&amp;""))</f>
        <v>9.9999999999997957</v>
      </c>
      <c r="F21" s="7" t="s">
        <v>2659</v>
      </c>
      <c r="G21" s="19" t="s">
        <v>2662</v>
      </c>
    </row>
    <row r="22" spans="1:7" x14ac:dyDescent="0.3">
      <c r="A22" s="7" t="s">
        <v>7</v>
      </c>
      <c r="B22" s="10">
        <f>COUNTA(INDEX(Table_query__2[],0,MATCH($A22,Table_query__2[#Headers],0)))</f>
        <v>971</v>
      </c>
      <c r="C22" s="10">
        <f t="shared" si="0"/>
        <v>2</v>
      </c>
      <c r="D22" s="14">
        <f t="shared" si="1"/>
        <v>0.99794450154162384</v>
      </c>
      <c r="E22" s="10" cm="1">
        <f t="array" ref="E22">SUMPRODUCT((INDEX(Table_query__2[],0,MATCH($A22,Table_query__2[#Headers],0))&lt;&gt;"")/COUNTIF(INDEX(Table_query__2[],0,MATCH($A22,Table_query__2[#Headers],0)),INDEX(Table_query__2[],0,MATCH($A22,Table_query__2[#Headers],0))&amp;""))</f>
        <v>527.9999999999992</v>
      </c>
      <c r="F22" s="7" t="s">
        <v>2663</v>
      </c>
      <c r="G22" s="19" t="s">
        <v>2664</v>
      </c>
    </row>
    <row r="23" spans="1:7" ht="28.8" x14ac:dyDescent="0.3">
      <c r="A23" s="7" t="s">
        <v>8</v>
      </c>
      <c r="B23" s="10">
        <f>COUNTA(INDEX(Table_query__2[],0,MATCH($A23,Table_query__2[#Headers],0)))</f>
        <v>939</v>
      </c>
      <c r="C23" s="10">
        <f t="shared" si="0"/>
        <v>34</v>
      </c>
      <c r="D23" s="14">
        <f t="shared" si="1"/>
        <v>0.96505652620760529</v>
      </c>
      <c r="E23" s="10" cm="1">
        <f t="array" ref="E23">SUMPRODUCT((INDEX(Table_query__2[],0,MATCH($A23,Table_query__2[#Headers],0))&lt;&gt;"")/COUNTIF(INDEX(Table_query__2[],0,MATCH($A23,Table_query__2[#Headers],0)),INDEX(Table_query__2[],0,MATCH($A23,Table_query__2[#Headers],0))&amp;""))</f>
        <v>17.999999999999993</v>
      </c>
      <c r="F23" s="7" t="s">
        <v>2654</v>
      </c>
      <c r="G23" s="19" t="s">
        <v>2665</v>
      </c>
    </row>
    <row r="24" spans="1:7" x14ac:dyDescent="0.3">
      <c r="A24" s="7" t="s">
        <v>9</v>
      </c>
      <c r="B24" s="10">
        <f>COUNTA(INDEX(Table_query__2[],0,MATCH($A24,Table_query__2[#Headers],0)))</f>
        <v>719</v>
      </c>
      <c r="C24" s="10">
        <f t="shared" si="0"/>
        <v>254</v>
      </c>
      <c r="D24" s="14">
        <f t="shared" si="1"/>
        <v>0.73895169578622821</v>
      </c>
      <c r="E24" s="10" cm="1">
        <f t="array" ref="E24">SUMPRODUCT((INDEX(Table_query__2[],0,MATCH($A24,Table_query__2[#Headers],0))&lt;&gt;"")/COUNTIF(INDEX(Table_query__2[],0,MATCH($A24,Table_query__2[#Headers],0)),INDEX(Table_query__2[],0,MATCH($A24,Table_query__2[#Headers],0))&amp;""))</f>
        <v>188.00000000000023</v>
      </c>
      <c r="F24" s="7" t="s">
        <v>2654</v>
      </c>
      <c r="G24" s="19" t="s">
        <v>2666</v>
      </c>
    </row>
    <row r="25" spans="1:7" x14ac:dyDescent="0.3">
      <c r="A25" s="7" t="s">
        <v>11</v>
      </c>
      <c r="B25" s="10">
        <f>COUNTA(INDEX(Table_query__2[],0,MATCH($A25,Table_query__2[#Headers],0)))</f>
        <v>92</v>
      </c>
      <c r="C25" s="10">
        <f t="shared" si="0"/>
        <v>881</v>
      </c>
      <c r="D25" s="14">
        <f t="shared" si="1"/>
        <v>9.4552929085303189E-2</v>
      </c>
      <c r="E25" s="10" cm="1">
        <f t="array" ref="E25">SUMPRODUCT((INDEX(Table_query__2[],0,MATCH($A25,Table_query__2[#Headers],0))&lt;&gt;"")/COUNTIF(INDEX(Table_query__2[],0,MATCH($A25,Table_query__2[#Headers],0)),INDEX(Table_query__2[],0,MATCH($A25,Table_query__2[#Headers],0))&amp;""))</f>
        <v>2.9999999999999978</v>
      </c>
      <c r="F25" s="7" t="s">
        <v>2659</v>
      </c>
      <c r="G25" s="19" t="s">
        <v>2667</v>
      </c>
    </row>
    <row r="26" spans="1:7" x14ac:dyDescent="0.3">
      <c r="A26" s="7" t="s">
        <v>2</v>
      </c>
      <c r="B26" s="10">
        <f>COUNTA(INDEX(Table_query__2[],0,MATCH($A26,Table_query__2[#Headers],0)))</f>
        <v>973</v>
      </c>
      <c r="C26" s="10">
        <f t="shared" si="0"/>
        <v>0</v>
      </c>
      <c r="D26" s="14">
        <f t="shared" si="1"/>
        <v>1</v>
      </c>
      <c r="E26" s="10" cm="1">
        <f t="array" ref="E26">SUMPRODUCT((INDEX(Table_query__2[],0,MATCH($A26,Table_query__2[#Headers],0))&lt;&gt;"")/COUNTIF(INDEX(Table_query__2[],0,MATCH($A26,Table_query__2[#Headers],0)),INDEX(Table_query__2[],0,MATCH($A26,Table_query__2[#Headers],0))&amp;""))</f>
        <v>0.99999999999997446</v>
      </c>
      <c r="F26" s="7" t="s">
        <v>2659</v>
      </c>
      <c r="G26" s="19" t="s">
        <v>2668</v>
      </c>
    </row>
    <row r="27" spans="1:7" x14ac:dyDescent="0.3">
      <c r="A27" s="7" t="s">
        <v>1</v>
      </c>
      <c r="B27" s="10">
        <f>COUNTA(INDEX(Table_query__2[],0,MATCH($A27,Table_query__2[#Headers],0)))</f>
        <v>973</v>
      </c>
      <c r="C27" s="10">
        <f t="shared" si="0"/>
        <v>0</v>
      </c>
      <c r="D27" s="14">
        <f t="shared" si="1"/>
        <v>1</v>
      </c>
      <c r="E27" s="10" cm="1">
        <f t="array" ref="E27">SUMPRODUCT((INDEX(Table_query__2[],0,MATCH($A27,Table_query__2[#Headers],0))&lt;&gt;"")/COUNTIF(INDEX(Table_query__2[],0,MATCH($A27,Table_query__2[#Headers],0)),INDEX(Table_query__2[],0,MATCH($A27,Table_query__2[#Headers],0))&amp;""))</f>
        <v>0.99999999999997446</v>
      </c>
      <c r="F27" s="7" t="s">
        <v>2659</v>
      </c>
      <c r="G27" s="19" t="s">
        <v>2669</v>
      </c>
    </row>
    <row r="28" spans="1:7" x14ac:dyDescent="0.3">
      <c r="A28" s="7"/>
      <c r="B28" s="7"/>
      <c r="C28" s="7"/>
      <c r="D28" s="7"/>
      <c r="E28" s="7"/>
      <c r="F28" s="7"/>
      <c r="G28" s="7"/>
    </row>
    <row r="29" spans="1:7" ht="17.399999999999999" x14ac:dyDescent="0.3">
      <c r="A29" s="9" t="s">
        <v>2670</v>
      </c>
      <c r="B29" s="7"/>
      <c r="C29" s="7"/>
      <c r="D29" s="7"/>
      <c r="E29" s="7"/>
      <c r="F29" s="7"/>
      <c r="G29" s="7"/>
    </row>
    <row r="30" spans="1:7" x14ac:dyDescent="0.3">
      <c r="A30" s="12" t="s">
        <v>2671</v>
      </c>
      <c r="B30" s="12" t="s">
        <v>2672</v>
      </c>
      <c r="C30" s="12" t="s">
        <v>2673</v>
      </c>
      <c r="D30" s="12" t="s">
        <v>2674</v>
      </c>
      <c r="E30" s="7"/>
      <c r="F30" s="7"/>
      <c r="G30" s="7"/>
    </row>
    <row r="31" spans="1:7" ht="28.8" x14ac:dyDescent="0.3">
      <c r="A31" s="15" t="s">
        <v>2675</v>
      </c>
      <c r="B31" s="7" t="s">
        <v>2676</v>
      </c>
      <c r="C31" s="7" t="s">
        <v>2677</v>
      </c>
      <c r="D31" s="19" t="s">
        <v>2678</v>
      </c>
      <c r="E31" s="7"/>
      <c r="F31" s="7"/>
      <c r="G31" s="7"/>
    </row>
    <row r="32" spans="1:7" x14ac:dyDescent="0.3">
      <c r="A32" s="15" t="s">
        <v>2675</v>
      </c>
      <c r="B32" s="7" t="s">
        <v>2679</v>
      </c>
      <c r="C32" s="7" t="s">
        <v>2680</v>
      </c>
      <c r="D32" s="19" t="s">
        <v>2681</v>
      </c>
      <c r="E32" s="7"/>
      <c r="F32" s="7"/>
      <c r="G32" s="7"/>
    </row>
    <row r="33" spans="1:7" x14ac:dyDescent="0.3">
      <c r="A33" s="15" t="s">
        <v>2675</v>
      </c>
      <c r="B33" s="7" t="s">
        <v>2682</v>
      </c>
      <c r="C33" s="7" t="s">
        <v>2683</v>
      </c>
      <c r="D33" s="19" t="s">
        <v>2684</v>
      </c>
      <c r="E33" s="7"/>
      <c r="F33" s="7"/>
      <c r="G33" s="7"/>
    </row>
    <row r="34" spans="1:7" x14ac:dyDescent="0.3">
      <c r="A34" s="16" t="s">
        <v>2685</v>
      </c>
      <c r="B34" s="7" t="s">
        <v>2686</v>
      </c>
      <c r="C34" s="7" t="s">
        <v>2687</v>
      </c>
      <c r="D34" s="19" t="s">
        <v>2688</v>
      </c>
      <c r="E34" s="7"/>
      <c r="F34" s="7"/>
      <c r="G34" s="7"/>
    </row>
    <row r="35" spans="1:7" ht="28.8" x14ac:dyDescent="0.3">
      <c r="A35" s="16" t="s">
        <v>2685</v>
      </c>
      <c r="B35" s="7" t="s">
        <v>2689</v>
      </c>
      <c r="C35" s="7" t="s">
        <v>2690</v>
      </c>
      <c r="D35" s="19" t="s">
        <v>2691</v>
      </c>
      <c r="E35" s="7"/>
      <c r="F35" s="7"/>
      <c r="G35" s="7"/>
    </row>
    <row r="36" spans="1:7" ht="28.8" x14ac:dyDescent="0.3">
      <c r="A36" s="16" t="s">
        <v>2685</v>
      </c>
      <c r="B36" s="7" t="s">
        <v>2692</v>
      </c>
      <c r="C36" s="7" t="s">
        <v>2693</v>
      </c>
      <c r="D36" s="19" t="s">
        <v>2694</v>
      </c>
      <c r="E36" s="7"/>
      <c r="F36" s="7"/>
      <c r="G36" s="7"/>
    </row>
    <row r="37" spans="1:7" ht="28.8" x14ac:dyDescent="0.3">
      <c r="A37" s="16" t="s">
        <v>2685</v>
      </c>
      <c r="B37" s="7" t="s">
        <v>2695</v>
      </c>
      <c r="C37" s="7" t="s">
        <v>2696</v>
      </c>
      <c r="D37" s="19" t="s">
        <v>2697</v>
      </c>
      <c r="E37" s="7"/>
      <c r="F37" s="7"/>
      <c r="G37" s="7"/>
    </row>
    <row r="38" spans="1:7" x14ac:dyDescent="0.3">
      <c r="A38" s="17" t="s">
        <v>2698</v>
      </c>
      <c r="B38" s="7" t="s">
        <v>2699</v>
      </c>
      <c r="C38" s="7" t="s">
        <v>2700</v>
      </c>
      <c r="D38" s="19" t="s">
        <v>2701</v>
      </c>
      <c r="E38" s="7"/>
      <c r="F38" s="7"/>
      <c r="G38" s="7"/>
    </row>
    <row r="39" spans="1:7" ht="28.8" x14ac:dyDescent="0.3">
      <c r="A39" s="17" t="s">
        <v>2698</v>
      </c>
      <c r="B39" s="7" t="s">
        <v>2702</v>
      </c>
      <c r="C39" s="7" t="s">
        <v>2703</v>
      </c>
      <c r="D39" s="19" t="s">
        <v>2704</v>
      </c>
      <c r="E39" s="7"/>
      <c r="F39" s="7"/>
      <c r="G39" s="7"/>
    </row>
    <row r="40" spans="1:7" x14ac:dyDescent="0.3">
      <c r="A40" s="7"/>
      <c r="B40" s="7"/>
      <c r="C40" s="7"/>
      <c r="D40" s="7"/>
      <c r="E40" s="7"/>
      <c r="F40" s="7"/>
      <c r="G40" s="7"/>
    </row>
    <row r="41" spans="1:7" ht="17.399999999999999" x14ac:dyDescent="0.3">
      <c r="A41" s="9" t="s">
        <v>2705</v>
      </c>
      <c r="B41" s="7"/>
      <c r="C41" s="7"/>
      <c r="D41" s="7"/>
      <c r="E41" s="7"/>
      <c r="F41" s="7"/>
      <c r="G41" s="7"/>
    </row>
    <row r="42" spans="1:7" x14ac:dyDescent="0.3">
      <c r="A42" s="12" t="s">
        <v>2706</v>
      </c>
      <c r="B42" s="12" t="s">
        <v>2652</v>
      </c>
      <c r="C42" s="12" t="s">
        <v>2707</v>
      </c>
      <c r="D42" s="7"/>
      <c r="E42" s="7"/>
      <c r="F42" s="7"/>
      <c r="G42" s="7"/>
    </row>
    <row r="43" spans="1:7" ht="43.2" x14ac:dyDescent="0.3">
      <c r="A43" s="7" t="s">
        <v>2708</v>
      </c>
      <c r="B43" s="7" t="s">
        <v>2709</v>
      </c>
      <c r="C43" s="19" t="s">
        <v>2710</v>
      </c>
      <c r="D43" s="7"/>
      <c r="E43" s="7"/>
      <c r="F43" s="7"/>
      <c r="G43" s="7"/>
    </row>
    <row r="44" spans="1:7" ht="28.8" x14ac:dyDescent="0.3">
      <c r="A44" s="7" t="s">
        <v>2711</v>
      </c>
      <c r="B44" s="7" t="s">
        <v>2712</v>
      </c>
      <c r="C44" s="19" t="s">
        <v>2713</v>
      </c>
      <c r="D44" s="7"/>
      <c r="E44" s="7"/>
      <c r="F44" s="7"/>
      <c r="G44" s="7"/>
    </row>
    <row r="45" spans="1:7" ht="57.6" x14ac:dyDescent="0.3">
      <c r="A45" s="7" t="s">
        <v>2714</v>
      </c>
      <c r="B45" s="7" t="s">
        <v>2715</v>
      </c>
      <c r="C45" s="19" t="s">
        <v>2716</v>
      </c>
      <c r="D45" s="7"/>
      <c r="E45" s="7"/>
      <c r="F45" s="7"/>
      <c r="G45" s="7"/>
    </row>
    <row r="46" spans="1:7" ht="28.8" x14ac:dyDescent="0.3">
      <c r="A46" s="7" t="s">
        <v>2717</v>
      </c>
      <c r="B46" s="7" t="s">
        <v>2718</v>
      </c>
      <c r="C46" s="19" t="s">
        <v>2719</v>
      </c>
      <c r="D46" s="7"/>
      <c r="E46" s="7"/>
      <c r="F46" s="7"/>
      <c r="G46" s="7"/>
    </row>
    <row r="47" spans="1:7" ht="28.8" x14ac:dyDescent="0.3">
      <c r="A47" s="7" t="s">
        <v>2720</v>
      </c>
      <c r="B47" s="7" t="s">
        <v>2718</v>
      </c>
      <c r="C47" s="19" t="s">
        <v>2721</v>
      </c>
      <c r="D47" s="7"/>
      <c r="E47" s="7"/>
      <c r="F47" s="7"/>
      <c r="G47" s="7"/>
    </row>
    <row r="48" spans="1:7" ht="28.8" x14ac:dyDescent="0.3">
      <c r="A48" s="7" t="s">
        <v>2722</v>
      </c>
      <c r="B48" s="7" t="s">
        <v>2718</v>
      </c>
      <c r="C48" s="19" t="s">
        <v>2723</v>
      </c>
      <c r="D48" s="7"/>
      <c r="E48" s="7"/>
      <c r="F48" s="7"/>
      <c r="G48" s="7"/>
    </row>
    <row r="49" spans="1:7" x14ac:dyDescent="0.3">
      <c r="A49" s="7"/>
      <c r="B49" s="7"/>
      <c r="C49" s="7"/>
      <c r="D49" s="7"/>
      <c r="E49" s="7"/>
      <c r="F49" s="7"/>
      <c r="G49" s="7"/>
    </row>
    <row r="50" spans="1:7" x14ac:dyDescent="0.3">
      <c r="A50" s="18" t="s">
        <v>2724</v>
      </c>
      <c r="B50" s="7"/>
      <c r="C50" s="7"/>
      <c r="D50" s="7"/>
      <c r="E50" s="7"/>
      <c r="F50" s="7"/>
      <c r="G50" s="7"/>
    </row>
    <row r="52" spans="1:7" ht="17.399999999999999" x14ac:dyDescent="0.3">
      <c r="A52" s="9" t="s">
        <v>2838</v>
      </c>
    </row>
    <row r="53" spans="1:7" x14ac:dyDescent="0.3">
      <c r="A53" s="4" t="s">
        <v>2839</v>
      </c>
      <c r="B53" s="4" t="s">
        <v>2840</v>
      </c>
      <c r="C53" s="4" t="s">
        <v>2841</v>
      </c>
      <c r="D53" s="4" t="s">
        <v>2842</v>
      </c>
    </row>
    <row r="54" spans="1:7" x14ac:dyDescent="0.3">
      <c r="A54" t="s">
        <v>2764</v>
      </c>
      <c r="B54">
        <f>ROWS(Table_query__2[])</f>
        <v>973</v>
      </c>
      <c r="C54">
        <f>ROWS(Table_Machine_Clean[])</f>
        <v>973</v>
      </c>
      <c r="D54" t="str">
        <f>IF(B54=C54,"✅ ตรง","❌ ไม่ตรง")</f>
        <v>✅ ตรง</v>
      </c>
    </row>
    <row r="55" spans="1:7" x14ac:dyDescent="0.3">
      <c r="A55" t="s">
        <v>2843</v>
      </c>
      <c r="B55">
        <f>COUNTIF(Table_query__2[Location_List],"FACTORY2")</f>
        <v>499</v>
      </c>
      <c r="C55">
        <f>COUNTIF(Table_Machine_Clean[Location_Clean],"FACTORY2")</f>
        <v>499</v>
      </c>
      <c r="D55" t="str">
        <f>IF(B55=C55,"✅ ตรง","❌ ไม่ตรง")</f>
        <v>✅ ตรง</v>
      </c>
    </row>
    <row r="56" spans="1:7" x14ac:dyDescent="0.3">
      <c r="A56" t="s">
        <v>2844</v>
      </c>
      <c r="B56">
        <f>COUNTIF(Table_query__2[Status],"Approve")</f>
        <v>46</v>
      </c>
      <c r="C56">
        <f>COUNTIF(Table_Machine_Clean[Status_Clean],"APPROVED")</f>
        <v>46</v>
      </c>
      <c r="D56" t="str">
        <f>IF(B56=C56,"✅ ตรง","❌ ไม่ตรง")</f>
        <v>✅ ตรง</v>
      </c>
    </row>
    <row r="57" spans="1:7" x14ac:dyDescent="0.3">
      <c r="A57" t="s">
        <v>2845</v>
      </c>
      <c r="B57">
        <f>COUNTIF(Table_query__2[Name_List],"Other (อื่นๆ)")</f>
        <v>828</v>
      </c>
      <c r="C57">
        <f>COUNTIF(Table_Machine_Clean[Category_Clean],"OTHER")</f>
        <v>828</v>
      </c>
      <c r="D57" t="str">
        <f>IF(B57=C57,"✅ ตรง","❌ ไม่ตรง")</f>
        <v>✅ ตรง</v>
      </c>
    </row>
    <row r="58" spans="1:7" x14ac:dyDescent="0.3">
      <c r="A58" t="s">
        <v>2846</v>
      </c>
      <c r="B58">
        <f>COUNTA(Table_query__2[QR_Code_List])</f>
        <v>971</v>
      </c>
      <c r="C58">
        <f>COUNTIF(Table_Machine_Clean[QR_Code_Clean],"?*")</f>
        <v>971</v>
      </c>
      <c r="D58" t="str">
        <f>IF(B58=C58,"✅ ตรง","❌ ไม่ตรง")</f>
        <v>✅ ตรง</v>
      </c>
    </row>
    <row r="60" spans="1:7" ht="17.399999999999999" x14ac:dyDescent="0.35">
      <c r="A60" s="2" t="s">
        <v>2847</v>
      </c>
    </row>
    <row r="61" spans="1:7" x14ac:dyDescent="0.3">
      <c r="A61" s="27" t="s">
        <v>2848</v>
      </c>
      <c r="B61">
        <f>COUNTIF(Table_Machine_Clean[Quality_Flag],"")</f>
        <v>840</v>
      </c>
      <c r="C61" s="5">
        <f>B61/$B$5</f>
        <v>0.86330935251798557</v>
      </c>
    </row>
    <row r="62" spans="1:7" x14ac:dyDescent="0.3">
      <c r="A62" s="27" t="s">
        <v>2849</v>
      </c>
      <c r="B62">
        <f>$B$5-B61</f>
        <v>133</v>
      </c>
      <c r="C62" s="5">
        <f>B62/$B$5</f>
        <v>0.1366906474820144</v>
      </c>
    </row>
    <row r="63" spans="1:7" x14ac:dyDescent="0.3">
      <c r="A63" s="27" t="s">
        <v>2850</v>
      </c>
      <c r="B63">
        <f>COUNTIF(Table_Machine_Clean[Quality_Flag],"*MISSING_NO*")</f>
        <v>86</v>
      </c>
    </row>
    <row r="64" spans="1:7" x14ac:dyDescent="0.3">
      <c r="A64" s="27" t="s">
        <v>2851</v>
      </c>
      <c r="B64">
        <f>COUNTIF(Table_Machine_Clean[Quality_Flag],"*MISSING_RESPONSIBLE*")</f>
        <v>69</v>
      </c>
    </row>
    <row r="65" spans="1:2" x14ac:dyDescent="0.3">
      <c r="A65" s="27" t="s">
        <v>2852</v>
      </c>
      <c r="B65">
        <f>COUNTIF(Table_Machine_Clean[Quality_Flag],"*MISSING_COST_CENTER*")</f>
        <v>62</v>
      </c>
    </row>
    <row r="66" spans="1:2" x14ac:dyDescent="0.3">
      <c r="A66" s="27" t="s">
        <v>2853</v>
      </c>
      <c r="B66">
        <f>COUNTIF(Table_Machine_Clean[Quality_Flag],"*DUPLICATE_QR*")</f>
        <v>6</v>
      </c>
    </row>
    <row r="67" spans="1:2" x14ac:dyDescent="0.3">
      <c r="A67" s="27" t="s">
        <v>2854</v>
      </c>
      <c r="B67" t="str">
        <f>COUNTIF(Table_Machine_Clean[Quality_Flag],"*MISSING_DEPARTMENT*")&amp;" / "&amp;COUNTIF(Table_Machine_Clean[Quality_Flag],"*MISSING_SECTION*")&amp;" / "&amp;COUNTIF(Table_Machine_Clean[Quality_Flag],"*MISSING_LOCATION*")&amp;" / "&amp;COUNTIF(Table_Machine_Clean[Quality_Flag],"*MISSING_QR*")</f>
        <v>6 / 6 / 5 / 2</v>
      </c>
    </row>
    <row r="68" spans="1:2" x14ac:dyDescent="0.3">
      <c r="A68" s="26" t="s">
        <v>2856</v>
      </c>
    </row>
    <row r="69" spans="1:2" x14ac:dyDescent="0.3">
      <c r="A69" s="20" t="s">
        <v>2855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77F9B-387E-4691-B169-B4704D5EB180}">
  <dimension ref="A1:G60"/>
  <sheetViews>
    <sheetView workbookViewId="0"/>
  </sheetViews>
  <sheetFormatPr defaultRowHeight="14.4" x14ac:dyDescent="0.3"/>
  <cols>
    <col min="1" max="1" width="38.88671875" customWidth="1"/>
    <col min="2" max="2" width="85.21875" customWidth="1"/>
    <col min="3" max="3" width="33.33203125" customWidth="1"/>
    <col min="4" max="4" width="4.6640625" customWidth="1"/>
    <col min="5" max="6" width="14.77734375" customWidth="1"/>
    <col min="7" max="7" width="48.109375" customWidth="1"/>
  </cols>
  <sheetData>
    <row r="1" spans="1:7" ht="21" x14ac:dyDescent="0.3">
      <c r="A1" s="6" t="s">
        <v>2857</v>
      </c>
      <c r="B1" s="7"/>
      <c r="C1" s="7"/>
      <c r="D1" s="7"/>
      <c r="E1" s="7"/>
      <c r="F1" s="7"/>
      <c r="G1" s="7"/>
    </row>
    <row r="2" spans="1:7" x14ac:dyDescent="0.3">
      <c r="A2" s="21" t="s">
        <v>2858</v>
      </c>
      <c r="B2" s="7"/>
      <c r="C2" s="7"/>
      <c r="D2" s="7"/>
      <c r="E2" s="7"/>
      <c r="F2" s="7"/>
      <c r="G2" s="7"/>
    </row>
    <row r="3" spans="1:7" x14ac:dyDescent="0.3">
      <c r="A3" s="7"/>
      <c r="B3" s="7"/>
      <c r="C3" s="7"/>
      <c r="D3" s="7"/>
      <c r="E3" s="7"/>
      <c r="F3" s="7"/>
      <c r="G3" s="7"/>
    </row>
    <row r="4" spans="1:7" x14ac:dyDescent="0.3">
      <c r="A4" s="22" t="s">
        <v>2859</v>
      </c>
      <c r="B4" s="7"/>
      <c r="C4" s="7"/>
      <c r="D4" s="7"/>
      <c r="E4" s="22" t="s">
        <v>2762</v>
      </c>
      <c r="F4" s="7"/>
      <c r="G4" s="7"/>
    </row>
    <row r="5" spans="1:7" x14ac:dyDescent="0.3">
      <c r="A5" s="12" t="s">
        <v>2725</v>
      </c>
      <c r="B5" s="7"/>
      <c r="C5" s="7"/>
      <c r="D5" s="7"/>
      <c r="E5" s="12" t="s">
        <v>2763</v>
      </c>
      <c r="F5" s="12" t="s">
        <v>2764</v>
      </c>
      <c r="G5" s="12" t="s">
        <v>2765</v>
      </c>
    </row>
    <row r="6" spans="1:7" x14ac:dyDescent="0.3">
      <c r="A6" s="7" t="s">
        <v>2342</v>
      </c>
      <c r="B6" s="7"/>
      <c r="C6" s="7"/>
      <c r="D6" s="7"/>
      <c r="E6" s="7" t="s">
        <v>2766</v>
      </c>
      <c r="F6" s="7">
        <v>243</v>
      </c>
      <c r="G6" s="7"/>
    </row>
    <row r="7" spans="1:7" x14ac:dyDescent="0.3">
      <c r="A7" s="7" t="s">
        <v>2214</v>
      </c>
      <c r="B7" s="7"/>
      <c r="C7" s="7"/>
      <c r="D7" s="7"/>
      <c r="E7" s="7" t="s">
        <v>2767</v>
      </c>
      <c r="F7" s="7">
        <v>207</v>
      </c>
      <c r="G7" s="7"/>
    </row>
    <row r="8" spans="1:7" x14ac:dyDescent="0.3">
      <c r="A8" s="7" t="s">
        <v>2726</v>
      </c>
      <c r="B8" s="7"/>
      <c r="C8" s="7"/>
      <c r="D8" s="7"/>
      <c r="E8" s="7" t="s">
        <v>2768</v>
      </c>
      <c r="F8" s="7">
        <v>162</v>
      </c>
      <c r="G8" s="7"/>
    </row>
    <row r="9" spans="1:7" x14ac:dyDescent="0.3">
      <c r="A9" s="7" t="s">
        <v>2727</v>
      </c>
      <c r="B9" s="7"/>
      <c r="C9" s="7"/>
      <c r="D9" s="7"/>
      <c r="E9" s="7" t="s">
        <v>2769</v>
      </c>
      <c r="F9" s="7">
        <v>75</v>
      </c>
      <c r="G9" s="7"/>
    </row>
    <row r="10" spans="1:7" x14ac:dyDescent="0.3">
      <c r="A10" s="7" t="s">
        <v>2728</v>
      </c>
      <c r="B10" s="7"/>
      <c r="C10" s="7"/>
      <c r="D10" s="7"/>
      <c r="E10" s="7" t="s">
        <v>2770</v>
      </c>
      <c r="F10" s="7">
        <v>50</v>
      </c>
      <c r="G10" s="7"/>
    </row>
    <row r="11" spans="1:7" x14ac:dyDescent="0.3">
      <c r="A11" s="7" t="s">
        <v>2729</v>
      </c>
      <c r="B11" s="7"/>
      <c r="C11" s="7"/>
      <c r="D11" s="7"/>
      <c r="E11" s="7" t="s">
        <v>2771</v>
      </c>
      <c r="F11" s="7">
        <v>34</v>
      </c>
      <c r="G11" s="7"/>
    </row>
    <row r="12" spans="1:7" x14ac:dyDescent="0.3">
      <c r="A12" s="7"/>
      <c r="B12" s="7"/>
      <c r="C12" s="7"/>
      <c r="D12" s="7"/>
      <c r="E12" s="7" t="s">
        <v>2772</v>
      </c>
      <c r="F12" s="7">
        <v>33</v>
      </c>
      <c r="G12" s="7"/>
    </row>
    <row r="13" spans="1:7" x14ac:dyDescent="0.3">
      <c r="A13" s="22" t="s">
        <v>2860</v>
      </c>
      <c r="B13" s="7"/>
      <c r="C13" s="7"/>
      <c r="D13" s="7"/>
      <c r="E13" s="7" t="s">
        <v>2773</v>
      </c>
      <c r="F13" s="7">
        <v>24</v>
      </c>
      <c r="G13" s="7"/>
    </row>
    <row r="14" spans="1:7" x14ac:dyDescent="0.3">
      <c r="A14" s="12" t="s">
        <v>2730</v>
      </c>
      <c r="B14" s="12" t="s">
        <v>2731</v>
      </c>
      <c r="C14" s="7"/>
      <c r="D14" s="7"/>
      <c r="E14" s="7" t="s">
        <v>2774</v>
      </c>
      <c r="F14" s="7">
        <v>22</v>
      </c>
      <c r="G14" s="7"/>
    </row>
    <row r="15" spans="1:7" x14ac:dyDescent="0.3">
      <c r="A15" s="7" t="s">
        <v>465</v>
      </c>
      <c r="B15" s="7" t="s">
        <v>465</v>
      </c>
      <c r="C15" s="7"/>
      <c r="D15" s="7"/>
      <c r="E15" s="7" t="s">
        <v>2775</v>
      </c>
      <c r="F15" s="7">
        <v>20</v>
      </c>
      <c r="G15" s="7"/>
    </row>
    <row r="16" spans="1:7" x14ac:dyDescent="0.3">
      <c r="A16" s="7" t="s">
        <v>492</v>
      </c>
      <c r="B16" s="7" t="s">
        <v>492</v>
      </c>
      <c r="C16" s="7"/>
      <c r="D16" s="7"/>
      <c r="E16" s="7" t="s">
        <v>2776</v>
      </c>
      <c r="F16" s="7">
        <v>13</v>
      </c>
      <c r="G16" s="7"/>
    </row>
    <row r="17" spans="1:7" x14ac:dyDescent="0.3">
      <c r="A17" s="7" t="s">
        <v>17</v>
      </c>
      <c r="B17" s="7" t="s">
        <v>17</v>
      </c>
      <c r="C17" s="7"/>
      <c r="D17" s="7"/>
      <c r="E17" s="7" t="s">
        <v>2777</v>
      </c>
      <c r="F17" s="7">
        <v>8</v>
      </c>
      <c r="G17" s="7"/>
    </row>
    <row r="18" spans="1:7" x14ac:dyDescent="0.3">
      <c r="A18" s="7" t="s">
        <v>2591</v>
      </c>
      <c r="B18" s="7" t="s">
        <v>2591</v>
      </c>
      <c r="C18" s="7"/>
      <c r="D18" s="7"/>
      <c r="E18" s="7" t="s">
        <v>2778</v>
      </c>
      <c r="F18" s="7">
        <v>7</v>
      </c>
      <c r="G18" s="7"/>
    </row>
    <row r="19" spans="1:7" x14ac:dyDescent="0.3">
      <c r="A19" s="7" t="s">
        <v>2096</v>
      </c>
      <c r="B19" s="7" t="s">
        <v>2096</v>
      </c>
      <c r="C19" s="7"/>
      <c r="D19" s="7"/>
      <c r="E19" s="7" t="s">
        <v>2779</v>
      </c>
      <c r="F19" s="7">
        <v>6</v>
      </c>
      <c r="G19" s="7"/>
    </row>
    <row r="20" spans="1:7" x14ac:dyDescent="0.3">
      <c r="A20" s="7" t="s">
        <v>2228</v>
      </c>
      <c r="B20" s="7" t="s">
        <v>2228</v>
      </c>
      <c r="C20" s="7"/>
      <c r="D20" s="7"/>
      <c r="E20" s="7" t="s">
        <v>469</v>
      </c>
      <c r="F20" s="7">
        <v>6</v>
      </c>
      <c r="G20" s="7"/>
    </row>
    <row r="21" spans="1:7" x14ac:dyDescent="0.3">
      <c r="A21" s="7"/>
      <c r="B21" s="7"/>
      <c r="C21" s="7"/>
      <c r="D21" s="7"/>
      <c r="E21" s="7" t="s">
        <v>2406</v>
      </c>
      <c r="F21" s="7">
        <v>5</v>
      </c>
      <c r="G21" s="7"/>
    </row>
    <row r="22" spans="1:7" x14ac:dyDescent="0.3">
      <c r="A22" s="22" t="s">
        <v>2861</v>
      </c>
      <c r="B22" s="7"/>
      <c r="C22" s="7"/>
      <c r="D22" s="7"/>
      <c r="E22" s="7" t="s">
        <v>2780</v>
      </c>
      <c r="F22" s="7">
        <v>5</v>
      </c>
      <c r="G22" s="7"/>
    </row>
    <row r="23" spans="1:7" x14ac:dyDescent="0.3">
      <c r="A23" s="12" t="s">
        <v>2730</v>
      </c>
      <c r="B23" s="12" t="s">
        <v>2731</v>
      </c>
      <c r="C23" s="7"/>
      <c r="D23" s="7"/>
      <c r="E23" s="7" t="s">
        <v>1496</v>
      </c>
      <c r="F23" s="7">
        <v>5</v>
      </c>
      <c r="G23" s="7"/>
    </row>
    <row r="24" spans="1:7" x14ac:dyDescent="0.3">
      <c r="A24" s="7" t="s">
        <v>2732</v>
      </c>
      <c r="B24" s="7" t="s">
        <v>2733</v>
      </c>
      <c r="C24" s="7"/>
      <c r="D24" s="7"/>
      <c r="E24" s="7" t="s">
        <v>2781</v>
      </c>
      <c r="F24" s="7">
        <v>4</v>
      </c>
      <c r="G24" s="7"/>
    </row>
    <row r="25" spans="1:7" x14ac:dyDescent="0.3">
      <c r="A25" s="7" t="s">
        <v>2734</v>
      </c>
      <c r="B25" s="7" t="s">
        <v>2735</v>
      </c>
      <c r="C25" s="7"/>
      <c r="D25" s="7"/>
      <c r="E25" s="7" t="s">
        <v>2782</v>
      </c>
      <c r="F25" s="7">
        <v>4</v>
      </c>
      <c r="G25" s="7"/>
    </row>
    <row r="26" spans="1:7" x14ac:dyDescent="0.3">
      <c r="A26" s="7" t="s">
        <v>2736</v>
      </c>
      <c r="B26" s="7" t="s">
        <v>2737</v>
      </c>
      <c r="C26" s="7"/>
      <c r="D26" s="7"/>
      <c r="E26" s="7" t="s">
        <v>2783</v>
      </c>
      <c r="F26" s="7">
        <v>3</v>
      </c>
      <c r="G26" s="7"/>
    </row>
    <row r="27" spans="1:7" x14ac:dyDescent="0.3">
      <c r="A27" s="7" t="s">
        <v>2738</v>
      </c>
      <c r="B27" s="7" t="s">
        <v>2739</v>
      </c>
      <c r="C27" s="7"/>
      <c r="D27" s="7"/>
      <c r="E27" s="7" t="s">
        <v>2784</v>
      </c>
      <c r="F27" s="7">
        <v>3</v>
      </c>
      <c r="G27" s="7"/>
    </row>
    <row r="28" spans="1:7" x14ac:dyDescent="0.3">
      <c r="A28" s="7" t="s">
        <v>2740</v>
      </c>
      <c r="B28" s="7" t="s">
        <v>2740</v>
      </c>
      <c r="C28" s="7"/>
      <c r="D28" s="7"/>
      <c r="E28" s="7" t="s">
        <v>2785</v>
      </c>
      <c r="F28" s="7">
        <v>3</v>
      </c>
      <c r="G28" s="7"/>
    </row>
    <row r="29" spans="1:7" x14ac:dyDescent="0.3">
      <c r="A29" s="7"/>
      <c r="B29" s="7"/>
      <c r="C29" s="7"/>
      <c r="D29" s="7"/>
      <c r="E29" s="7" t="s">
        <v>2786</v>
      </c>
      <c r="F29" s="7">
        <v>3</v>
      </c>
      <c r="G29" s="7"/>
    </row>
    <row r="30" spans="1:7" x14ac:dyDescent="0.3">
      <c r="A30" s="22" t="s">
        <v>2862</v>
      </c>
      <c r="B30" s="7"/>
      <c r="C30" s="7"/>
      <c r="D30" s="7"/>
      <c r="E30" s="7" t="s">
        <v>2787</v>
      </c>
      <c r="F30" s="7">
        <v>3</v>
      </c>
      <c r="G30" s="7"/>
    </row>
    <row r="31" spans="1:7" x14ac:dyDescent="0.3">
      <c r="A31" s="12" t="s">
        <v>2730</v>
      </c>
      <c r="B31" s="12" t="s">
        <v>2731</v>
      </c>
      <c r="C31" s="7"/>
      <c r="D31" s="7"/>
      <c r="E31" s="7" t="s">
        <v>2788</v>
      </c>
      <c r="F31" s="7">
        <v>2</v>
      </c>
      <c r="G31" s="7"/>
    </row>
    <row r="32" spans="1:7" x14ac:dyDescent="0.3">
      <c r="A32" s="7" t="s">
        <v>2741</v>
      </c>
      <c r="B32" s="7" t="s">
        <v>2742</v>
      </c>
      <c r="C32" s="7"/>
      <c r="D32" s="7"/>
      <c r="E32" s="7" t="s">
        <v>2789</v>
      </c>
      <c r="F32" s="7">
        <v>2</v>
      </c>
      <c r="G32" s="7"/>
    </row>
    <row r="33" spans="1:7" x14ac:dyDescent="0.3">
      <c r="A33" s="7" t="s">
        <v>2743</v>
      </c>
      <c r="B33" s="7" t="s">
        <v>2743</v>
      </c>
      <c r="C33" s="7"/>
      <c r="D33" s="7"/>
      <c r="E33" s="7" t="s">
        <v>2790</v>
      </c>
      <c r="F33" s="7">
        <v>2</v>
      </c>
      <c r="G33" s="7"/>
    </row>
    <row r="34" spans="1:7" x14ac:dyDescent="0.3">
      <c r="A34" s="7" t="s">
        <v>2744</v>
      </c>
      <c r="B34" s="7" t="s">
        <v>2745</v>
      </c>
      <c r="C34" s="7"/>
      <c r="D34" s="7"/>
      <c r="E34" s="7" t="s">
        <v>2791</v>
      </c>
      <c r="F34" s="7">
        <v>2</v>
      </c>
      <c r="G34" s="7"/>
    </row>
    <row r="35" spans="1:7" x14ac:dyDescent="0.3">
      <c r="A35" s="7"/>
      <c r="B35" s="7"/>
      <c r="C35" s="7"/>
      <c r="D35" s="7"/>
      <c r="E35" s="7" t="s">
        <v>2792</v>
      </c>
      <c r="F35" s="7">
        <v>2</v>
      </c>
      <c r="G35" s="7"/>
    </row>
    <row r="36" spans="1:7" x14ac:dyDescent="0.3">
      <c r="A36" s="22" t="s">
        <v>2863</v>
      </c>
      <c r="B36" s="7"/>
      <c r="C36" s="7"/>
      <c r="D36" s="7"/>
      <c r="E36" s="7" t="s">
        <v>2793</v>
      </c>
      <c r="F36" s="7">
        <v>2</v>
      </c>
      <c r="G36" s="7"/>
    </row>
    <row r="37" spans="1:7" x14ac:dyDescent="0.3">
      <c r="A37" s="12" t="s">
        <v>2730</v>
      </c>
      <c r="B37" s="12" t="s">
        <v>2731</v>
      </c>
      <c r="C37" s="12" t="s">
        <v>2746</v>
      </c>
      <c r="D37" s="7"/>
      <c r="E37" s="7" t="s">
        <v>2794</v>
      </c>
      <c r="F37" s="7">
        <v>1</v>
      </c>
      <c r="G37" s="7"/>
    </row>
    <row r="38" spans="1:7" x14ac:dyDescent="0.3">
      <c r="A38" s="7" t="s">
        <v>2747</v>
      </c>
      <c r="B38" s="7" t="s">
        <v>2748</v>
      </c>
      <c r="C38" s="7" t="s">
        <v>2749</v>
      </c>
      <c r="D38" s="7"/>
      <c r="E38" s="7" t="s">
        <v>2795</v>
      </c>
      <c r="F38" s="7">
        <v>1</v>
      </c>
      <c r="G38" s="7"/>
    </row>
    <row r="39" spans="1:7" x14ac:dyDescent="0.3">
      <c r="A39" s="7" t="s">
        <v>2750</v>
      </c>
      <c r="B39" s="7" t="s">
        <v>2751</v>
      </c>
      <c r="C39" s="7"/>
      <c r="D39" s="7"/>
      <c r="E39" s="7" t="s">
        <v>2796</v>
      </c>
      <c r="F39" s="7">
        <v>1</v>
      </c>
      <c r="G39" s="7"/>
    </row>
    <row r="40" spans="1:7" x14ac:dyDescent="0.3">
      <c r="A40" s="7" t="s">
        <v>2752</v>
      </c>
      <c r="B40" s="7" t="s">
        <v>2753</v>
      </c>
      <c r="C40" s="7" t="s">
        <v>2754</v>
      </c>
      <c r="D40" s="7"/>
      <c r="E40" s="7" t="s">
        <v>2797</v>
      </c>
      <c r="F40" s="7">
        <v>1</v>
      </c>
      <c r="G40" s="7"/>
    </row>
    <row r="41" spans="1:7" x14ac:dyDescent="0.3">
      <c r="A41" s="7" t="s">
        <v>2755</v>
      </c>
      <c r="B41" s="7" t="s">
        <v>2755</v>
      </c>
      <c r="C41" s="7"/>
      <c r="D41" s="7"/>
      <c r="E41" s="7" t="s">
        <v>2798</v>
      </c>
      <c r="F41" s="7">
        <v>1</v>
      </c>
      <c r="G41" s="7"/>
    </row>
    <row r="42" spans="1:7" x14ac:dyDescent="0.3">
      <c r="A42" s="7" t="s">
        <v>2756</v>
      </c>
      <c r="B42" s="7" t="s">
        <v>2756</v>
      </c>
      <c r="C42" s="7"/>
      <c r="D42" s="7"/>
      <c r="E42" s="7" t="s">
        <v>2799</v>
      </c>
      <c r="F42" s="7">
        <v>1</v>
      </c>
      <c r="G42" s="7"/>
    </row>
    <row r="43" spans="1:7" x14ac:dyDescent="0.3">
      <c r="A43" s="7" t="s">
        <v>2757</v>
      </c>
      <c r="B43" s="7" t="s">
        <v>2758</v>
      </c>
      <c r="C43" s="7" t="s">
        <v>2754</v>
      </c>
      <c r="D43" s="7"/>
      <c r="E43" s="7" t="s">
        <v>2800</v>
      </c>
      <c r="F43" s="7">
        <v>1</v>
      </c>
      <c r="G43" s="7"/>
    </row>
    <row r="44" spans="1:7" x14ac:dyDescent="0.3">
      <c r="A44" s="7" t="s">
        <v>2759</v>
      </c>
      <c r="B44" s="7" t="s">
        <v>2759</v>
      </c>
      <c r="C44" s="7"/>
      <c r="D44" s="7"/>
      <c r="E44" s="7" t="s">
        <v>2801</v>
      </c>
      <c r="F44" s="7">
        <v>1</v>
      </c>
      <c r="G44" s="7"/>
    </row>
    <row r="45" spans="1:7" x14ac:dyDescent="0.3">
      <c r="A45" s="7" t="s">
        <v>2760</v>
      </c>
      <c r="B45" s="7" t="s">
        <v>2760</v>
      </c>
      <c r="C45" s="7"/>
      <c r="D45" s="7"/>
      <c r="E45" s="7" t="s">
        <v>2802</v>
      </c>
      <c r="F45" s="7">
        <v>1</v>
      </c>
      <c r="G45" s="7"/>
    </row>
    <row r="46" spans="1:7" x14ac:dyDescent="0.3">
      <c r="A46" s="7" t="s">
        <v>2761</v>
      </c>
      <c r="B46" s="7" t="s">
        <v>2761</v>
      </c>
      <c r="C46" s="7"/>
      <c r="D46" s="7"/>
      <c r="E46" s="7" t="s">
        <v>2803</v>
      </c>
      <c r="F46" s="7">
        <v>1</v>
      </c>
      <c r="G46" s="7"/>
    </row>
    <row r="47" spans="1:7" x14ac:dyDescent="0.3">
      <c r="A47" s="7"/>
      <c r="B47" s="7"/>
      <c r="C47" s="7"/>
      <c r="D47" s="7"/>
      <c r="E47" s="7" t="s">
        <v>2804</v>
      </c>
      <c r="F47" s="7">
        <v>1</v>
      </c>
      <c r="G47" s="7"/>
    </row>
    <row r="48" spans="1:7" x14ac:dyDescent="0.3">
      <c r="A48" s="22" t="s">
        <v>2864</v>
      </c>
      <c r="B48" s="7"/>
      <c r="C48" s="7"/>
      <c r="D48" s="7"/>
      <c r="E48" s="7"/>
      <c r="F48" s="7"/>
      <c r="G48" s="7"/>
    </row>
    <row r="49" spans="1:7" x14ac:dyDescent="0.3">
      <c r="A49" s="12" t="s">
        <v>2647</v>
      </c>
      <c r="B49" s="23" t="s">
        <v>2805</v>
      </c>
      <c r="C49" s="7"/>
      <c r="D49" s="7"/>
      <c r="E49" s="7"/>
      <c r="F49" s="7"/>
      <c r="G49" s="7"/>
    </row>
    <row r="50" spans="1:7" x14ac:dyDescent="0.3">
      <c r="A50" s="7" t="s">
        <v>2806</v>
      </c>
      <c r="B50" s="19" t="s">
        <v>2807</v>
      </c>
      <c r="C50" s="7"/>
      <c r="D50" s="7"/>
      <c r="E50" s="7"/>
      <c r="F50" s="7"/>
      <c r="G50" s="7"/>
    </row>
    <row r="51" spans="1:7" x14ac:dyDescent="0.3">
      <c r="A51" s="7" t="s">
        <v>2808</v>
      </c>
      <c r="B51" s="19" t="s">
        <v>2865</v>
      </c>
      <c r="C51" s="7"/>
      <c r="D51" s="7"/>
      <c r="E51" s="7"/>
      <c r="F51" s="7"/>
      <c r="G51" s="7"/>
    </row>
    <row r="52" spans="1:7" x14ac:dyDescent="0.3">
      <c r="A52" s="7" t="s">
        <v>2809</v>
      </c>
      <c r="B52" s="19" t="s">
        <v>2810</v>
      </c>
      <c r="C52" s="7"/>
      <c r="D52" s="7"/>
      <c r="E52" s="7"/>
      <c r="F52" s="7"/>
      <c r="G52" s="7"/>
    </row>
    <row r="53" spans="1:7" ht="28.8" x14ac:dyDescent="0.3">
      <c r="A53" s="7" t="s">
        <v>2811</v>
      </c>
      <c r="B53" s="19" t="s">
        <v>2812</v>
      </c>
      <c r="C53" s="7"/>
      <c r="D53" s="7"/>
      <c r="E53" s="7"/>
      <c r="F53" s="7"/>
      <c r="G53" s="7"/>
    </row>
    <row r="54" spans="1:7" ht="28.8" x14ac:dyDescent="0.3">
      <c r="A54" s="7" t="s">
        <v>2813</v>
      </c>
      <c r="B54" s="19" t="s">
        <v>2814</v>
      </c>
      <c r="C54" s="7"/>
      <c r="D54" s="7"/>
      <c r="E54" s="7"/>
      <c r="F54" s="7"/>
      <c r="G54" s="7"/>
    </row>
    <row r="55" spans="1:7" ht="28.8" x14ac:dyDescent="0.3">
      <c r="A55" s="7" t="s">
        <v>2815</v>
      </c>
      <c r="B55" s="19" t="s">
        <v>2866</v>
      </c>
      <c r="C55" s="7"/>
      <c r="D55" s="7"/>
      <c r="E55" s="7"/>
      <c r="F55" s="7"/>
      <c r="G55" s="7"/>
    </row>
    <row r="56" spans="1:7" ht="28.8" x14ac:dyDescent="0.3">
      <c r="A56" s="7" t="s">
        <v>2816</v>
      </c>
      <c r="B56" s="19" t="s">
        <v>2867</v>
      </c>
      <c r="C56" s="7"/>
      <c r="D56" s="7"/>
      <c r="E56" s="7"/>
      <c r="F56" s="7"/>
      <c r="G56" s="7"/>
    </row>
    <row r="57" spans="1:7" x14ac:dyDescent="0.3">
      <c r="A57" s="7" t="s">
        <v>2817</v>
      </c>
      <c r="B57" s="19" t="s">
        <v>2818</v>
      </c>
      <c r="C57" s="7"/>
      <c r="D57" s="7"/>
      <c r="E57" s="7"/>
      <c r="F57" s="7"/>
      <c r="G57" s="7"/>
    </row>
    <row r="58" spans="1:7" ht="28.8" x14ac:dyDescent="0.3">
      <c r="A58" s="7" t="s">
        <v>2819</v>
      </c>
      <c r="B58" s="19" t="s">
        <v>2820</v>
      </c>
      <c r="C58" s="7"/>
      <c r="D58" s="7"/>
      <c r="E58" s="7"/>
      <c r="F58" s="7"/>
      <c r="G58" s="7"/>
    </row>
    <row r="59" spans="1:7" x14ac:dyDescent="0.3">
      <c r="A59" s="7" t="s">
        <v>2837</v>
      </c>
      <c r="B59" s="7" t="s">
        <v>2868</v>
      </c>
      <c r="C59" s="7"/>
      <c r="D59" s="7"/>
      <c r="E59" s="7"/>
      <c r="F59" s="7"/>
      <c r="G59" s="7"/>
    </row>
    <row r="60" spans="1:7" x14ac:dyDescent="0.3">
      <c r="A60" s="7"/>
      <c r="B60" s="7"/>
      <c r="C60" s="7"/>
      <c r="D60" s="7"/>
      <c r="E60" s="7"/>
      <c r="F60" s="7"/>
      <c r="G60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4E3A1-0070-4560-A9E3-2B364F5E2006}">
  <dimension ref="A1:M974"/>
  <sheetViews>
    <sheetView workbookViewId="0">
      <selection activeCell="J10" sqref="J10"/>
    </sheetView>
  </sheetViews>
  <sheetFormatPr defaultRowHeight="14.4" x14ac:dyDescent="0.3"/>
  <cols>
    <col min="1" max="1" width="5.5546875" bestFit="1" customWidth="1"/>
    <col min="2" max="2" width="19.6640625" bestFit="1" customWidth="1"/>
    <col min="3" max="3" width="14.109375" bestFit="1" customWidth="1"/>
    <col min="4" max="4" width="17.109375" bestFit="1" customWidth="1"/>
    <col min="5" max="5" width="14.88671875" bestFit="1" customWidth="1"/>
    <col min="6" max="6" width="13.33203125" bestFit="1" customWidth="1"/>
    <col min="7" max="7" width="21.77734375" bestFit="1" customWidth="1"/>
    <col min="8" max="8" width="48.21875" bestFit="1" customWidth="1"/>
    <col min="9" max="9" width="11.88671875" bestFit="1" customWidth="1"/>
    <col min="10" max="10" width="46" bestFit="1" customWidth="1"/>
    <col min="11" max="11" width="8.5546875" bestFit="1" customWidth="1"/>
    <col min="12" max="12" width="11.33203125" bestFit="1" customWidth="1"/>
    <col min="13" max="13" width="49.21875" bestFit="1" customWidth="1"/>
  </cols>
  <sheetData>
    <row r="1" spans="1:13" x14ac:dyDescent="0.3">
      <c r="A1" t="s">
        <v>0</v>
      </c>
      <c r="B1" t="s">
        <v>3</v>
      </c>
      <c r="C1" t="s">
        <v>4</v>
      </c>
      <c r="D1" t="s">
        <v>5</v>
      </c>
      <c r="E1" t="s">
        <v>10</v>
      </c>
      <c r="F1" t="s">
        <v>12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2</v>
      </c>
      <c r="M1" t="s">
        <v>1</v>
      </c>
    </row>
    <row r="2" spans="1:13" x14ac:dyDescent="0.3">
      <c r="A2" s="1" t="s">
        <v>13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23</v>
      </c>
      <c r="G2" s="1" t="s">
        <v>19</v>
      </c>
      <c r="H2" s="1" t="s">
        <v>20</v>
      </c>
      <c r="I2" s="1" t="s">
        <v>21</v>
      </c>
      <c r="J2" s="1" t="s">
        <v>22</v>
      </c>
      <c r="K2" s="1"/>
      <c r="L2" s="1" t="s">
        <v>15</v>
      </c>
      <c r="M2" s="1" t="s">
        <v>14</v>
      </c>
    </row>
    <row r="3" spans="1:13" x14ac:dyDescent="0.3">
      <c r="A3" s="1" t="s">
        <v>24</v>
      </c>
      <c r="B3" s="1" t="s">
        <v>25</v>
      </c>
      <c r="C3" s="1" t="s">
        <v>17</v>
      </c>
      <c r="D3" s="1" t="s">
        <v>26</v>
      </c>
      <c r="E3" s="1" t="s">
        <v>19</v>
      </c>
      <c r="F3" s="1" t="s">
        <v>27</v>
      </c>
      <c r="G3" s="1" t="s">
        <v>19</v>
      </c>
      <c r="H3" s="1" t="s">
        <v>20</v>
      </c>
      <c r="I3" s="1" t="s">
        <v>21</v>
      </c>
      <c r="J3" s="1" t="s">
        <v>22</v>
      </c>
      <c r="K3" s="1"/>
      <c r="L3" s="1" t="s">
        <v>15</v>
      </c>
      <c r="M3" s="1" t="s">
        <v>14</v>
      </c>
    </row>
    <row r="4" spans="1:13" x14ac:dyDescent="0.3">
      <c r="A4" s="1" t="s">
        <v>28</v>
      </c>
      <c r="B4" s="1" t="s">
        <v>29</v>
      </c>
      <c r="C4" s="1" t="s">
        <v>17</v>
      </c>
      <c r="D4" s="1" t="s">
        <v>30</v>
      </c>
      <c r="E4" s="1" t="s">
        <v>19</v>
      </c>
      <c r="F4" s="1" t="s">
        <v>33</v>
      </c>
      <c r="G4" s="1" t="s">
        <v>19</v>
      </c>
      <c r="H4" s="1" t="s">
        <v>31</v>
      </c>
      <c r="I4" s="1" t="s">
        <v>21</v>
      </c>
      <c r="J4" s="1" t="s">
        <v>32</v>
      </c>
      <c r="K4" s="1"/>
      <c r="L4" s="1" t="s">
        <v>15</v>
      </c>
      <c r="M4" s="1" t="s">
        <v>14</v>
      </c>
    </row>
    <row r="5" spans="1:13" x14ac:dyDescent="0.3">
      <c r="A5" s="1" t="s">
        <v>34</v>
      </c>
      <c r="B5" s="1" t="s">
        <v>35</v>
      </c>
      <c r="C5" s="1" t="s">
        <v>17</v>
      </c>
      <c r="D5" s="1" t="s">
        <v>36</v>
      </c>
      <c r="E5" s="1" t="s">
        <v>19</v>
      </c>
      <c r="F5" s="1" t="s">
        <v>37</v>
      </c>
      <c r="G5" s="1" t="s">
        <v>19</v>
      </c>
      <c r="H5" s="1" t="s">
        <v>31</v>
      </c>
      <c r="I5" s="1" t="s">
        <v>21</v>
      </c>
      <c r="J5" s="1" t="s">
        <v>32</v>
      </c>
      <c r="K5" s="1"/>
      <c r="L5" s="1" t="s">
        <v>15</v>
      </c>
      <c r="M5" s="1" t="s">
        <v>14</v>
      </c>
    </row>
    <row r="6" spans="1:13" x14ac:dyDescent="0.3">
      <c r="A6" s="1" t="s">
        <v>38</v>
      </c>
      <c r="B6" s="1" t="s">
        <v>39</v>
      </c>
      <c r="C6" s="1" t="s">
        <v>17</v>
      </c>
      <c r="D6" s="1" t="s">
        <v>18</v>
      </c>
      <c r="E6" s="1" t="s">
        <v>19</v>
      </c>
      <c r="F6" s="1" t="s">
        <v>23</v>
      </c>
      <c r="G6" s="1" t="s">
        <v>19</v>
      </c>
      <c r="H6" s="1" t="s">
        <v>31</v>
      </c>
      <c r="I6" s="1" t="s">
        <v>21</v>
      </c>
      <c r="J6" s="1" t="s">
        <v>32</v>
      </c>
      <c r="K6" s="1"/>
      <c r="L6" s="1" t="s">
        <v>15</v>
      </c>
      <c r="M6" s="1" t="s">
        <v>14</v>
      </c>
    </row>
    <row r="7" spans="1:13" x14ac:dyDescent="0.3">
      <c r="A7" s="1" t="s">
        <v>40</v>
      </c>
      <c r="B7" s="1" t="s">
        <v>41</v>
      </c>
      <c r="C7" s="1" t="s">
        <v>17</v>
      </c>
      <c r="D7" s="1" t="s">
        <v>42</v>
      </c>
      <c r="E7" s="1" t="s">
        <v>19</v>
      </c>
      <c r="F7" s="1" t="s">
        <v>43</v>
      </c>
      <c r="G7" s="1" t="s">
        <v>19</v>
      </c>
      <c r="H7" s="1" t="s">
        <v>31</v>
      </c>
      <c r="I7" s="1" t="s">
        <v>21</v>
      </c>
      <c r="J7" s="1" t="s">
        <v>32</v>
      </c>
      <c r="K7" s="1"/>
      <c r="L7" s="1" t="s">
        <v>15</v>
      </c>
      <c r="M7" s="1" t="s">
        <v>14</v>
      </c>
    </row>
    <row r="8" spans="1:13" x14ac:dyDescent="0.3">
      <c r="A8" s="1" t="s">
        <v>44</v>
      </c>
      <c r="B8" s="1" t="s">
        <v>45</v>
      </c>
      <c r="C8" s="1" t="s">
        <v>17</v>
      </c>
      <c r="D8" s="1" t="s">
        <v>26</v>
      </c>
      <c r="E8" s="1" t="s">
        <v>19</v>
      </c>
      <c r="F8" s="1" t="s">
        <v>27</v>
      </c>
      <c r="G8" s="1" t="s">
        <v>19</v>
      </c>
      <c r="H8" s="1" t="s">
        <v>31</v>
      </c>
      <c r="I8" s="1" t="s">
        <v>21</v>
      </c>
      <c r="J8" s="1" t="s">
        <v>32</v>
      </c>
      <c r="K8" s="1"/>
      <c r="L8" s="1" t="s">
        <v>15</v>
      </c>
      <c r="M8" s="1" t="s">
        <v>14</v>
      </c>
    </row>
    <row r="9" spans="1:13" x14ac:dyDescent="0.3">
      <c r="A9" s="1" t="s">
        <v>46</v>
      </c>
      <c r="B9" s="1" t="s">
        <v>47</v>
      </c>
      <c r="C9" s="1" t="s">
        <v>17</v>
      </c>
      <c r="D9" s="1" t="s">
        <v>48</v>
      </c>
      <c r="E9" s="1" t="s">
        <v>19</v>
      </c>
      <c r="F9" s="1" t="s">
        <v>49</v>
      </c>
      <c r="G9" s="1" t="s">
        <v>19</v>
      </c>
      <c r="H9" s="1" t="s">
        <v>31</v>
      </c>
      <c r="I9" s="1" t="s">
        <v>21</v>
      </c>
      <c r="J9" s="1" t="s">
        <v>32</v>
      </c>
      <c r="K9" s="1"/>
      <c r="L9" s="1" t="s">
        <v>15</v>
      </c>
      <c r="M9" s="1" t="s">
        <v>14</v>
      </c>
    </row>
    <row r="10" spans="1:13" x14ac:dyDescent="0.3">
      <c r="A10" s="1" t="s">
        <v>50</v>
      </c>
      <c r="B10" s="1" t="s">
        <v>51</v>
      </c>
      <c r="C10" s="1" t="s">
        <v>17</v>
      </c>
      <c r="D10" s="1" t="s">
        <v>52</v>
      </c>
      <c r="E10" s="1" t="s">
        <v>19</v>
      </c>
      <c r="F10" s="1" t="s">
        <v>53</v>
      </c>
      <c r="G10" s="1" t="s">
        <v>19</v>
      </c>
      <c r="H10" s="1" t="s">
        <v>31</v>
      </c>
      <c r="I10" s="1" t="s">
        <v>21</v>
      </c>
      <c r="J10" s="1" t="s">
        <v>32</v>
      </c>
      <c r="K10" s="1"/>
      <c r="L10" s="1" t="s">
        <v>15</v>
      </c>
      <c r="M10" s="1" t="s">
        <v>14</v>
      </c>
    </row>
    <row r="11" spans="1:13" x14ac:dyDescent="0.3">
      <c r="A11" s="1" t="s">
        <v>54</v>
      </c>
      <c r="B11" s="1" t="s">
        <v>55</v>
      </c>
      <c r="C11" s="1" t="s">
        <v>17</v>
      </c>
      <c r="D11" s="1" t="s">
        <v>36</v>
      </c>
      <c r="E11" s="1" t="s">
        <v>19</v>
      </c>
      <c r="F11" s="1" t="s">
        <v>37</v>
      </c>
      <c r="G11" s="1" t="s">
        <v>56</v>
      </c>
      <c r="H11" s="1" t="s">
        <v>57</v>
      </c>
      <c r="I11" s="1" t="s">
        <v>21</v>
      </c>
      <c r="J11" s="1" t="s">
        <v>58</v>
      </c>
      <c r="K11" s="1"/>
      <c r="L11" s="1" t="s">
        <v>15</v>
      </c>
      <c r="M11" s="1" t="s">
        <v>14</v>
      </c>
    </row>
    <row r="12" spans="1:13" x14ac:dyDescent="0.3">
      <c r="A12" s="1" t="s">
        <v>59</v>
      </c>
      <c r="B12" s="1" t="s">
        <v>60</v>
      </c>
      <c r="C12" s="1" t="s">
        <v>17</v>
      </c>
      <c r="D12" s="1" t="s">
        <v>52</v>
      </c>
      <c r="E12" s="1" t="s">
        <v>19</v>
      </c>
      <c r="F12" s="1" t="s">
        <v>53</v>
      </c>
      <c r="G12" s="1" t="s">
        <v>56</v>
      </c>
      <c r="H12" s="1" t="s">
        <v>57</v>
      </c>
      <c r="I12" s="1" t="s">
        <v>21</v>
      </c>
      <c r="J12" s="1" t="s">
        <v>58</v>
      </c>
      <c r="K12" s="1"/>
      <c r="L12" s="1" t="s">
        <v>15</v>
      </c>
      <c r="M12" s="1" t="s">
        <v>14</v>
      </c>
    </row>
    <row r="13" spans="1:13" x14ac:dyDescent="0.3">
      <c r="A13" s="1" t="s">
        <v>61</v>
      </c>
      <c r="B13" s="1" t="s">
        <v>62</v>
      </c>
      <c r="C13" s="1" t="s">
        <v>17</v>
      </c>
      <c r="D13" s="1" t="s">
        <v>48</v>
      </c>
      <c r="E13" s="1" t="s">
        <v>19</v>
      </c>
      <c r="F13" s="1" t="s">
        <v>49</v>
      </c>
      <c r="G13" s="1" t="s">
        <v>56</v>
      </c>
      <c r="H13" s="1" t="s">
        <v>57</v>
      </c>
      <c r="I13" s="1" t="s">
        <v>21</v>
      </c>
      <c r="J13" s="1" t="s">
        <v>58</v>
      </c>
      <c r="K13" s="1"/>
      <c r="L13" s="1" t="s">
        <v>15</v>
      </c>
      <c r="M13" s="1" t="s">
        <v>14</v>
      </c>
    </row>
    <row r="14" spans="1:13" x14ac:dyDescent="0.3">
      <c r="A14" s="1" t="s">
        <v>63</v>
      </c>
      <c r="B14" s="1" t="s">
        <v>64</v>
      </c>
      <c r="C14" s="1" t="s">
        <v>17</v>
      </c>
      <c r="D14" s="1" t="s">
        <v>30</v>
      </c>
      <c r="E14" s="1" t="s">
        <v>19</v>
      </c>
      <c r="F14" s="1" t="s">
        <v>33</v>
      </c>
      <c r="G14" s="1" t="s">
        <v>56</v>
      </c>
      <c r="H14" s="1" t="s">
        <v>57</v>
      </c>
      <c r="I14" s="1" t="s">
        <v>21</v>
      </c>
      <c r="J14" s="1" t="s">
        <v>58</v>
      </c>
      <c r="K14" s="1"/>
      <c r="L14" s="1" t="s">
        <v>15</v>
      </c>
      <c r="M14" s="1" t="s">
        <v>14</v>
      </c>
    </row>
    <row r="15" spans="1:13" x14ac:dyDescent="0.3">
      <c r="A15" s="1" t="s">
        <v>65</v>
      </c>
      <c r="B15" s="1" t="s">
        <v>66</v>
      </c>
      <c r="C15" s="1" t="s">
        <v>17</v>
      </c>
      <c r="D15" s="1" t="s">
        <v>18</v>
      </c>
      <c r="E15" s="1" t="s">
        <v>19</v>
      </c>
      <c r="F15" s="1" t="s">
        <v>23</v>
      </c>
      <c r="G15" s="1" t="s">
        <v>56</v>
      </c>
      <c r="H15" s="1" t="s">
        <v>57</v>
      </c>
      <c r="I15" s="1" t="s">
        <v>21</v>
      </c>
      <c r="J15" s="1" t="s">
        <v>58</v>
      </c>
      <c r="K15" s="1"/>
      <c r="L15" s="1" t="s">
        <v>15</v>
      </c>
      <c r="M15" s="1" t="s">
        <v>14</v>
      </c>
    </row>
    <row r="16" spans="1:13" x14ac:dyDescent="0.3">
      <c r="A16" s="1" t="s">
        <v>67</v>
      </c>
      <c r="B16" s="1" t="s">
        <v>68</v>
      </c>
      <c r="C16" s="1" t="s">
        <v>17</v>
      </c>
      <c r="D16" s="1" t="s">
        <v>42</v>
      </c>
      <c r="E16" s="1" t="s">
        <v>19</v>
      </c>
      <c r="F16" s="1" t="s">
        <v>43</v>
      </c>
      <c r="G16" s="1" t="s">
        <v>56</v>
      </c>
      <c r="H16" s="1" t="s">
        <v>57</v>
      </c>
      <c r="I16" s="1" t="s">
        <v>21</v>
      </c>
      <c r="J16" s="1" t="s">
        <v>58</v>
      </c>
      <c r="K16" s="1"/>
      <c r="L16" s="1" t="s">
        <v>15</v>
      </c>
      <c r="M16" s="1" t="s">
        <v>14</v>
      </c>
    </row>
    <row r="17" spans="1:13" x14ac:dyDescent="0.3">
      <c r="A17" s="1" t="s">
        <v>69</v>
      </c>
      <c r="B17" s="1" t="s">
        <v>70</v>
      </c>
      <c r="C17" s="1" t="s">
        <v>17</v>
      </c>
      <c r="D17" s="1" t="s">
        <v>26</v>
      </c>
      <c r="E17" s="1" t="s">
        <v>19</v>
      </c>
      <c r="F17" s="1" t="s">
        <v>27</v>
      </c>
      <c r="G17" s="1" t="s">
        <v>56</v>
      </c>
      <c r="H17" s="1" t="s">
        <v>57</v>
      </c>
      <c r="I17" s="1" t="s">
        <v>21</v>
      </c>
      <c r="J17" s="1" t="s">
        <v>58</v>
      </c>
      <c r="K17" s="1"/>
      <c r="L17" s="1" t="s">
        <v>15</v>
      </c>
      <c r="M17" s="1" t="s">
        <v>14</v>
      </c>
    </row>
    <row r="18" spans="1:13" x14ac:dyDescent="0.3">
      <c r="A18" s="1" t="s">
        <v>71</v>
      </c>
      <c r="B18" s="1" t="s">
        <v>72</v>
      </c>
      <c r="C18" s="1" t="s">
        <v>17</v>
      </c>
      <c r="D18" s="1" t="s">
        <v>36</v>
      </c>
      <c r="E18" s="1" t="s">
        <v>19</v>
      </c>
      <c r="F18" s="1" t="s">
        <v>37</v>
      </c>
      <c r="G18" s="1" t="s">
        <v>56</v>
      </c>
      <c r="H18" s="1" t="s">
        <v>73</v>
      </c>
      <c r="I18" s="1" t="s">
        <v>21</v>
      </c>
      <c r="J18" s="1" t="s">
        <v>74</v>
      </c>
      <c r="K18" s="1"/>
      <c r="L18" s="1" t="s">
        <v>15</v>
      </c>
      <c r="M18" s="1" t="s">
        <v>14</v>
      </c>
    </row>
    <row r="19" spans="1:13" x14ac:dyDescent="0.3">
      <c r="A19" s="1" t="s">
        <v>75</v>
      </c>
      <c r="B19" s="1" t="s">
        <v>76</v>
      </c>
      <c r="C19" s="1" t="s">
        <v>17</v>
      </c>
      <c r="D19" s="1" t="s">
        <v>52</v>
      </c>
      <c r="E19" s="1" t="s">
        <v>19</v>
      </c>
      <c r="F19" s="1" t="s">
        <v>53</v>
      </c>
      <c r="G19" s="1" t="s">
        <v>56</v>
      </c>
      <c r="H19" s="1" t="s">
        <v>73</v>
      </c>
      <c r="I19" s="1" t="s">
        <v>21</v>
      </c>
      <c r="J19" s="1" t="s">
        <v>74</v>
      </c>
      <c r="K19" s="1"/>
      <c r="L19" s="1" t="s">
        <v>15</v>
      </c>
      <c r="M19" s="1" t="s">
        <v>14</v>
      </c>
    </row>
    <row r="20" spans="1:13" x14ac:dyDescent="0.3">
      <c r="A20" s="1" t="s">
        <v>77</v>
      </c>
      <c r="B20" s="1" t="s">
        <v>78</v>
      </c>
      <c r="C20" s="1" t="s">
        <v>17</v>
      </c>
      <c r="D20" s="1" t="s">
        <v>48</v>
      </c>
      <c r="E20" s="1" t="s">
        <v>19</v>
      </c>
      <c r="F20" s="1" t="s">
        <v>49</v>
      </c>
      <c r="G20" s="1" t="s">
        <v>56</v>
      </c>
      <c r="H20" s="1" t="s">
        <v>73</v>
      </c>
      <c r="I20" s="1" t="s">
        <v>21</v>
      </c>
      <c r="J20" s="1" t="s">
        <v>74</v>
      </c>
      <c r="K20" s="1"/>
      <c r="L20" s="1" t="s">
        <v>15</v>
      </c>
      <c r="M20" s="1" t="s">
        <v>14</v>
      </c>
    </row>
    <row r="21" spans="1:13" x14ac:dyDescent="0.3">
      <c r="A21" s="1" t="s">
        <v>79</v>
      </c>
      <c r="B21" s="1" t="s">
        <v>80</v>
      </c>
      <c r="C21" s="1" t="s">
        <v>17</v>
      </c>
      <c r="D21" s="1" t="s">
        <v>30</v>
      </c>
      <c r="E21" s="1" t="s">
        <v>19</v>
      </c>
      <c r="F21" s="1" t="s">
        <v>33</v>
      </c>
      <c r="G21" s="1" t="s">
        <v>56</v>
      </c>
      <c r="H21" s="1" t="s">
        <v>73</v>
      </c>
      <c r="I21" s="1" t="s">
        <v>21</v>
      </c>
      <c r="J21" s="1" t="s">
        <v>74</v>
      </c>
      <c r="K21" s="1"/>
      <c r="L21" s="1" t="s">
        <v>15</v>
      </c>
      <c r="M21" s="1" t="s">
        <v>14</v>
      </c>
    </row>
    <row r="22" spans="1:13" x14ac:dyDescent="0.3">
      <c r="A22" s="1" t="s">
        <v>81</v>
      </c>
      <c r="B22" s="1" t="s">
        <v>82</v>
      </c>
      <c r="C22" s="1" t="s">
        <v>17</v>
      </c>
      <c r="D22" s="1" t="s">
        <v>18</v>
      </c>
      <c r="E22" s="1" t="s">
        <v>19</v>
      </c>
      <c r="F22" s="1" t="s">
        <v>23</v>
      </c>
      <c r="G22" s="1" t="s">
        <v>56</v>
      </c>
      <c r="H22" s="1" t="s">
        <v>73</v>
      </c>
      <c r="I22" s="1" t="s">
        <v>21</v>
      </c>
      <c r="J22" s="1" t="s">
        <v>74</v>
      </c>
      <c r="K22" s="1"/>
      <c r="L22" s="1" t="s">
        <v>15</v>
      </c>
      <c r="M22" s="1" t="s">
        <v>14</v>
      </c>
    </row>
    <row r="23" spans="1:13" x14ac:dyDescent="0.3">
      <c r="A23" s="1" t="s">
        <v>83</v>
      </c>
      <c r="B23" s="1" t="s">
        <v>84</v>
      </c>
      <c r="C23" s="1" t="s">
        <v>17</v>
      </c>
      <c r="D23" s="1" t="s">
        <v>42</v>
      </c>
      <c r="E23" s="1" t="s">
        <v>19</v>
      </c>
      <c r="F23" s="1" t="s">
        <v>43</v>
      </c>
      <c r="G23" s="1" t="s">
        <v>56</v>
      </c>
      <c r="H23" s="1" t="s">
        <v>73</v>
      </c>
      <c r="I23" s="1" t="s">
        <v>21</v>
      </c>
      <c r="J23" s="1" t="s">
        <v>74</v>
      </c>
      <c r="K23" s="1"/>
      <c r="L23" s="1" t="s">
        <v>15</v>
      </c>
      <c r="M23" s="1" t="s">
        <v>14</v>
      </c>
    </row>
    <row r="24" spans="1:13" x14ac:dyDescent="0.3">
      <c r="A24" s="1" t="s">
        <v>85</v>
      </c>
      <c r="B24" s="1" t="s">
        <v>86</v>
      </c>
      <c r="C24" s="1" t="s">
        <v>17</v>
      </c>
      <c r="D24" s="1" t="s">
        <v>26</v>
      </c>
      <c r="E24" s="1" t="s">
        <v>19</v>
      </c>
      <c r="F24" s="1" t="s">
        <v>27</v>
      </c>
      <c r="G24" s="1" t="s">
        <v>56</v>
      </c>
      <c r="H24" s="1" t="s">
        <v>73</v>
      </c>
      <c r="I24" s="1" t="s">
        <v>21</v>
      </c>
      <c r="J24" s="1" t="s">
        <v>74</v>
      </c>
      <c r="K24" s="1"/>
      <c r="L24" s="1" t="s">
        <v>15</v>
      </c>
      <c r="M24" s="1" t="s">
        <v>14</v>
      </c>
    </row>
    <row r="25" spans="1:13" x14ac:dyDescent="0.3">
      <c r="A25" s="1" t="s">
        <v>87</v>
      </c>
      <c r="B25" s="1" t="s">
        <v>88</v>
      </c>
      <c r="C25" s="1" t="s">
        <v>17</v>
      </c>
      <c r="D25" s="1" t="s">
        <v>36</v>
      </c>
      <c r="E25" s="1" t="s">
        <v>19</v>
      </c>
      <c r="F25" s="1" t="s">
        <v>37</v>
      </c>
      <c r="G25" s="1" t="s">
        <v>56</v>
      </c>
      <c r="H25" s="1" t="s">
        <v>89</v>
      </c>
      <c r="I25" s="1" t="s">
        <v>21</v>
      </c>
      <c r="J25" s="1" t="s">
        <v>90</v>
      </c>
      <c r="K25" s="1"/>
      <c r="L25" s="1" t="s">
        <v>15</v>
      </c>
      <c r="M25" s="1" t="s">
        <v>14</v>
      </c>
    </row>
    <row r="26" spans="1:13" x14ac:dyDescent="0.3">
      <c r="A26" s="1" t="s">
        <v>91</v>
      </c>
      <c r="B26" s="1" t="s">
        <v>92</v>
      </c>
      <c r="C26" s="1" t="s">
        <v>17</v>
      </c>
      <c r="D26" s="1" t="s">
        <v>18</v>
      </c>
      <c r="E26" s="1" t="s">
        <v>19</v>
      </c>
      <c r="F26" s="1" t="s">
        <v>23</v>
      </c>
      <c r="G26" s="1" t="s">
        <v>56</v>
      </c>
      <c r="H26" s="1" t="s">
        <v>89</v>
      </c>
      <c r="I26" s="1" t="s">
        <v>21</v>
      </c>
      <c r="J26" s="1" t="s">
        <v>90</v>
      </c>
      <c r="K26" s="1"/>
      <c r="L26" s="1" t="s">
        <v>15</v>
      </c>
      <c r="M26" s="1" t="s">
        <v>14</v>
      </c>
    </row>
    <row r="27" spans="1:13" x14ac:dyDescent="0.3">
      <c r="A27" s="1" t="s">
        <v>93</v>
      </c>
      <c r="B27" s="1" t="s">
        <v>94</v>
      </c>
      <c r="C27" s="1" t="s">
        <v>17</v>
      </c>
      <c r="D27" s="1" t="s">
        <v>26</v>
      </c>
      <c r="E27" s="1" t="s">
        <v>19</v>
      </c>
      <c r="F27" s="1" t="s">
        <v>27</v>
      </c>
      <c r="G27" s="1" t="s">
        <v>56</v>
      </c>
      <c r="H27" s="1" t="s">
        <v>95</v>
      </c>
      <c r="I27" s="1" t="s">
        <v>21</v>
      </c>
      <c r="J27" s="1" t="s">
        <v>90</v>
      </c>
      <c r="K27" s="1"/>
      <c r="L27" s="1" t="s">
        <v>15</v>
      </c>
      <c r="M27" s="1" t="s">
        <v>14</v>
      </c>
    </row>
    <row r="28" spans="1:13" x14ac:dyDescent="0.3">
      <c r="A28" s="1" t="s">
        <v>96</v>
      </c>
      <c r="B28" s="1" t="s">
        <v>97</v>
      </c>
      <c r="C28" s="1" t="s">
        <v>17</v>
      </c>
      <c r="D28" s="1" t="s">
        <v>36</v>
      </c>
      <c r="E28" s="1" t="s">
        <v>19</v>
      </c>
      <c r="F28" s="1" t="s">
        <v>37</v>
      </c>
      <c r="G28" s="1" t="s">
        <v>98</v>
      </c>
      <c r="H28" s="1" t="s">
        <v>99</v>
      </c>
      <c r="I28" s="1" t="s">
        <v>21</v>
      </c>
      <c r="J28" s="1" t="s">
        <v>99</v>
      </c>
      <c r="K28" s="1"/>
      <c r="L28" s="1" t="s">
        <v>15</v>
      </c>
      <c r="M28" s="1" t="s">
        <v>14</v>
      </c>
    </row>
    <row r="29" spans="1:13" x14ac:dyDescent="0.3">
      <c r="A29" s="1" t="s">
        <v>100</v>
      </c>
      <c r="B29" s="1" t="s">
        <v>101</v>
      </c>
      <c r="C29" s="1" t="s">
        <v>17</v>
      </c>
      <c r="D29" s="1" t="s">
        <v>52</v>
      </c>
      <c r="E29" s="1" t="s">
        <v>19</v>
      </c>
      <c r="F29" s="1" t="s">
        <v>53</v>
      </c>
      <c r="G29" s="1" t="s">
        <v>98</v>
      </c>
      <c r="H29" s="1" t="s">
        <v>99</v>
      </c>
      <c r="I29" s="1" t="s">
        <v>21</v>
      </c>
      <c r="J29" s="1" t="s">
        <v>99</v>
      </c>
      <c r="K29" s="1"/>
      <c r="L29" s="1" t="s">
        <v>15</v>
      </c>
      <c r="M29" s="1" t="s">
        <v>14</v>
      </c>
    </row>
    <row r="30" spans="1:13" x14ac:dyDescent="0.3">
      <c r="A30" s="1" t="s">
        <v>102</v>
      </c>
      <c r="B30" s="1" t="s">
        <v>103</v>
      </c>
      <c r="C30" s="1" t="s">
        <v>17</v>
      </c>
      <c r="D30" s="1" t="s">
        <v>48</v>
      </c>
      <c r="E30" s="1" t="s">
        <v>19</v>
      </c>
      <c r="F30" s="1" t="s">
        <v>49</v>
      </c>
      <c r="G30" s="1" t="s">
        <v>98</v>
      </c>
      <c r="H30" s="1" t="s">
        <v>99</v>
      </c>
      <c r="I30" s="1" t="s">
        <v>21</v>
      </c>
      <c r="J30" s="1" t="s">
        <v>99</v>
      </c>
      <c r="K30" s="1"/>
      <c r="L30" s="1" t="s">
        <v>15</v>
      </c>
      <c r="M30" s="1" t="s">
        <v>14</v>
      </c>
    </row>
    <row r="31" spans="1:13" x14ac:dyDescent="0.3">
      <c r="A31" s="1" t="s">
        <v>104</v>
      </c>
      <c r="B31" s="1" t="s">
        <v>105</v>
      </c>
      <c r="C31" s="1" t="s">
        <v>17</v>
      </c>
      <c r="D31" s="1" t="s">
        <v>30</v>
      </c>
      <c r="E31" s="1" t="s">
        <v>19</v>
      </c>
      <c r="F31" s="1" t="s">
        <v>33</v>
      </c>
      <c r="G31" s="1" t="s">
        <v>98</v>
      </c>
      <c r="H31" s="1" t="s">
        <v>99</v>
      </c>
      <c r="I31" s="1" t="s">
        <v>21</v>
      </c>
      <c r="J31" s="1" t="s">
        <v>99</v>
      </c>
      <c r="K31" s="1"/>
      <c r="L31" s="1" t="s">
        <v>15</v>
      </c>
      <c r="M31" s="1" t="s">
        <v>14</v>
      </c>
    </row>
    <row r="32" spans="1:13" x14ac:dyDescent="0.3">
      <c r="A32" s="1" t="s">
        <v>106</v>
      </c>
      <c r="B32" s="1" t="s">
        <v>107</v>
      </c>
      <c r="C32" s="1" t="s">
        <v>17</v>
      </c>
      <c r="D32" s="1" t="s">
        <v>18</v>
      </c>
      <c r="E32" s="1" t="s">
        <v>19</v>
      </c>
      <c r="F32" s="1" t="s">
        <v>23</v>
      </c>
      <c r="G32" s="1" t="s">
        <v>98</v>
      </c>
      <c r="H32" s="1" t="s">
        <v>99</v>
      </c>
      <c r="I32" s="1" t="s">
        <v>21</v>
      </c>
      <c r="J32" s="1" t="s">
        <v>99</v>
      </c>
      <c r="K32" s="1"/>
      <c r="L32" s="1" t="s">
        <v>15</v>
      </c>
      <c r="M32" s="1" t="s">
        <v>14</v>
      </c>
    </row>
    <row r="33" spans="1:13" x14ac:dyDescent="0.3">
      <c r="A33" s="1" t="s">
        <v>108</v>
      </c>
      <c r="B33" s="1" t="s">
        <v>109</v>
      </c>
      <c r="C33" s="1" t="s">
        <v>17</v>
      </c>
      <c r="D33" s="1" t="s">
        <v>42</v>
      </c>
      <c r="E33" s="1" t="s">
        <v>19</v>
      </c>
      <c r="F33" s="1" t="s">
        <v>43</v>
      </c>
      <c r="G33" s="1" t="s">
        <v>98</v>
      </c>
      <c r="H33" s="1" t="s">
        <v>99</v>
      </c>
      <c r="I33" s="1" t="s">
        <v>21</v>
      </c>
      <c r="J33" s="1" t="s">
        <v>99</v>
      </c>
      <c r="K33" s="1"/>
      <c r="L33" s="1" t="s">
        <v>15</v>
      </c>
      <c r="M33" s="1" t="s">
        <v>14</v>
      </c>
    </row>
    <row r="34" spans="1:13" x14ac:dyDescent="0.3">
      <c r="A34" s="1" t="s">
        <v>110</v>
      </c>
      <c r="B34" s="1" t="s">
        <v>111</v>
      </c>
      <c r="C34" s="1" t="s">
        <v>17</v>
      </c>
      <c r="D34" s="1" t="s">
        <v>26</v>
      </c>
      <c r="E34" s="1" t="s">
        <v>19</v>
      </c>
      <c r="F34" s="1" t="s">
        <v>27</v>
      </c>
      <c r="G34" s="1" t="s">
        <v>98</v>
      </c>
      <c r="H34" s="1" t="s">
        <v>99</v>
      </c>
      <c r="I34" s="1" t="s">
        <v>21</v>
      </c>
      <c r="J34" s="1" t="s">
        <v>99</v>
      </c>
      <c r="K34" s="1"/>
      <c r="L34" s="1" t="s">
        <v>15</v>
      </c>
      <c r="M34" s="1" t="s">
        <v>14</v>
      </c>
    </row>
    <row r="35" spans="1:13" x14ac:dyDescent="0.3">
      <c r="A35" s="1" t="s">
        <v>112</v>
      </c>
      <c r="B35" s="1" t="s">
        <v>113</v>
      </c>
      <c r="C35" s="1" t="s">
        <v>17</v>
      </c>
      <c r="D35" s="1" t="s">
        <v>36</v>
      </c>
      <c r="E35" s="1" t="s">
        <v>19</v>
      </c>
      <c r="F35" s="1" t="s">
        <v>37</v>
      </c>
      <c r="G35" s="1" t="s">
        <v>98</v>
      </c>
      <c r="H35" s="1" t="s">
        <v>114</v>
      </c>
      <c r="I35" s="1" t="s">
        <v>21</v>
      </c>
      <c r="J35" s="1" t="s">
        <v>115</v>
      </c>
      <c r="K35" s="1"/>
      <c r="L35" s="1" t="s">
        <v>15</v>
      </c>
      <c r="M35" s="1" t="s">
        <v>14</v>
      </c>
    </row>
    <row r="36" spans="1:13" x14ac:dyDescent="0.3">
      <c r="A36" s="1" t="s">
        <v>116</v>
      </c>
      <c r="B36" s="1" t="s">
        <v>117</v>
      </c>
      <c r="C36" s="1" t="s">
        <v>17</v>
      </c>
      <c r="D36" s="1" t="s">
        <v>52</v>
      </c>
      <c r="E36" s="1" t="s">
        <v>19</v>
      </c>
      <c r="F36" s="1" t="s">
        <v>53</v>
      </c>
      <c r="G36" s="1" t="s">
        <v>98</v>
      </c>
      <c r="H36" s="1" t="s">
        <v>114</v>
      </c>
      <c r="I36" s="1" t="s">
        <v>21</v>
      </c>
      <c r="J36" s="1" t="s">
        <v>115</v>
      </c>
      <c r="K36" s="1"/>
      <c r="L36" s="1" t="s">
        <v>15</v>
      </c>
      <c r="M36" s="1" t="s">
        <v>14</v>
      </c>
    </row>
    <row r="37" spans="1:13" x14ac:dyDescent="0.3">
      <c r="A37" s="1" t="s">
        <v>118</v>
      </c>
      <c r="B37" s="1" t="s">
        <v>119</v>
      </c>
      <c r="C37" s="1" t="s">
        <v>17</v>
      </c>
      <c r="D37" s="1" t="s">
        <v>48</v>
      </c>
      <c r="E37" s="1" t="s">
        <v>19</v>
      </c>
      <c r="F37" s="1" t="s">
        <v>49</v>
      </c>
      <c r="G37" s="1" t="s">
        <v>98</v>
      </c>
      <c r="H37" s="1" t="s">
        <v>114</v>
      </c>
      <c r="I37" s="1" t="s">
        <v>21</v>
      </c>
      <c r="J37" s="1" t="s">
        <v>115</v>
      </c>
      <c r="K37" s="1"/>
      <c r="L37" s="1" t="s">
        <v>15</v>
      </c>
      <c r="M37" s="1" t="s">
        <v>14</v>
      </c>
    </row>
    <row r="38" spans="1:13" x14ac:dyDescent="0.3">
      <c r="A38" s="1" t="s">
        <v>120</v>
      </c>
      <c r="B38" s="1" t="s">
        <v>121</v>
      </c>
      <c r="C38" s="1" t="s">
        <v>17</v>
      </c>
      <c r="D38" s="1" t="s">
        <v>30</v>
      </c>
      <c r="E38" s="1" t="s">
        <v>19</v>
      </c>
      <c r="F38" s="1" t="s">
        <v>33</v>
      </c>
      <c r="G38" s="1" t="s">
        <v>98</v>
      </c>
      <c r="H38" s="1" t="s">
        <v>114</v>
      </c>
      <c r="I38" s="1" t="s">
        <v>21</v>
      </c>
      <c r="J38" s="1" t="s">
        <v>115</v>
      </c>
      <c r="K38" s="1"/>
      <c r="L38" s="1" t="s">
        <v>15</v>
      </c>
      <c r="M38" s="1" t="s">
        <v>14</v>
      </c>
    </row>
    <row r="39" spans="1:13" x14ac:dyDescent="0.3">
      <c r="A39" s="1" t="s">
        <v>122</v>
      </c>
      <c r="B39" s="1" t="s">
        <v>123</v>
      </c>
      <c r="C39" s="1" t="s">
        <v>17</v>
      </c>
      <c r="D39" s="1" t="s">
        <v>18</v>
      </c>
      <c r="E39" s="1" t="s">
        <v>19</v>
      </c>
      <c r="F39" s="1" t="s">
        <v>23</v>
      </c>
      <c r="G39" s="1" t="s">
        <v>98</v>
      </c>
      <c r="H39" s="1" t="s">
        <v>114</v>
      </c>
      <c r="I39" s="1" t="s">
        <v>21</v>
      </c>
      <c r="J39" s="1" t="s">
        <v>115</v>
      </c>
      <c r="K39" s="1"/>
      <c r="L39" s="1" t="s">
        <v>15</v>
      </c>
      <c r="M39" s="1" t="s">
        <v>14</v>
      </c>
    </row>
    <row r="40" spans="1:13" x14ac:dyDescent="0.3">
      <c r="A40" s="1" t="s">
        <v>124</v>
      </c>
      <c r="B40" s="1" t="s">
        <v>125</v>
      </c>
      <c r="C40" s="1" t="s">
        <v>17</v>
      </c>
      <c r="D40" s="1" t="s">
        <v>42</v>
      </c>
      <c r="E40" s="1" t="s">
        <v>19</v>
      </c>
      <c r="F40" s="1" t="s">
        <v>43</v>
      </c>
      <c r="G40" s="1" t="s">
        <v>98</v>
      </c>
      <c r="H40" s="1" t="s">
        <v>114</v>
      </c>
      <c r="I40" s="1" t="s">
        <v>21</v>
      </c>
      <c r="J40" s="1" t="s">
        <v>115</v>
      </c>
      <c r="K40" s="1"/>
      <c r="L40" s="1" t="s">
        <v>15</v>
      </c>
      <c r="M40" s="1" t="s">
        <v>14</v>
      </c>
    </row>
    <row r="41" spans="1:13" x14ac:dyDescent="0.3">
      <c r="A41" s="1" t="s">
        <v>126</v>
      </c>
      <c r="B41" s="1" t="s">
        <v>127</v>
      </c>
      <c r="C41" s="1" t="s">
        <v>17</v>
      </c>
      <c r="D41" s="1" t="s">
        <v>26</v>
      </c>
      <c r="E41" s="1" t="s">
        <v>19</v>
      </c>
      <c r="F41" s="1" t="s">
        <v>27</v>
      </c>
      <c r="G41" s="1" t="s">
        <v>98</v>
      </c>
      <c r="H41" s="1" t="s">
        <v>114</v>
      </c>
      <c r="I41" s="1" t="s">
        <v>21</v>
      </c>
      <c r="J41" s="1" t="s">
        <v>115</v>
      </c>
      <c r="K41" s="1"/>
      <c r="L41" s="1" t="s">
        <v>15</v>
      </c>
      <c r="M41" s="1" t="s">
        <v>14</v>
      </c>
    </row>
    <row r="42" spans="1:13" x14ac:dyDescent="0.3">
      <c r="A42" s="1" t="s">
        <v>128</v>
      </c>
      <c r="B42" s="1" t="s">
        <v>129</v>
      </c>
      <c r="C42" s="1" t="s">
        <v>17</v>
      </c>
      <c r="D42" s="1" t="s">
        <v>30</v>
      </c>
      <c r="E42" s="1" t="s">
        <v>132</v>
      </c>
      <c r="F42" s="1" t="s">
        <v>133</v>
      </c>
      <c r="G42" s="1" t="s">
        <v>98</v>
      </c>
      <c r="H42" s="1" t="s">
        <v>130</v>
      </c>
      <c r="I42" s="1" t="s">
        <v>21</v>
      </c>
      <c r="J42" s="1" t="s">
        <v>131</v>
      </c>
      <c r="K42" s="1"/>
      <c r="L42" s="1" t="s">
        <v>15</v>
      </c>
      <c r="M42" s="1" t="s">
        <v>14</v>
      </c>
    </row>
    <row r="43" spans="1:13" x14ac:dyDescent="0.3">
      <c r="A43" s="1" t="s">
        <v>134</v>
      </c>
      <c r="B43" s="1" t="s">
        <v>135</v>
      </c>
      <c r="C43" s="1" t="s">
        <v>17</v>
      </c>
      <c r="D43" s="1" t="s">
        <v>18</v>
      </c>
      <c r="E43" s="1" t="s">
        <v>132</v>
      </c>
      <c r="F43" s="1" t="s">
        <v>136</v>
      </c>
      <c r="G43" s="1" t="s">
        <v>98</v>
      </c>
      <c r="H43" s="1" t="s">
        <v>130</v>
      </c>
      <c r="I43" s="1" t="s">
        <v>21</v>
      </c>
      <c r="J43" s="1" t="s">
        <v>131</v>
      </c>
      <c r="K43" s="1"/>
      <c r="L43" s="1" t="s">
        <v>15</v>
      </c>
      <c r="M43" s="1" t="s">
        <v>14</v>
      </c>
    </row>
    <row r="44" spans="1:13" x14ac:dyDescent="0.3">
      <c r="A44" s="1" t="s">
        <v>137</v>
      </c>
      <c r="B44" s="1" t="s">
        <v>138</v>
      </c>
      <c r="C44" s="1" t="s">
        <v>17</v>
      </c>
      <c r="D44" s="1" t="s">
        <v>42</v>
      </c>
      <c r="E44" s="1" t="s">
        <v>132</v>
      </c>
      <c r="F44" s="1" t="s">
        <v>139</v>
      </c>
      <c r="G44" s="1" t="s">
        <v>98</v>
      </c>
      <c r="H44" s="1" t="s">
        <v>130</v>
      </c>
      <c r="I44" s="1" t="s">
        <v>21</v>
      </c>
      <c r="J44" s="1" t="s">
        <v>131</v>
      </c>
      <c r="K44" s="1"/>
      <c r="L44" s="1" t="s">
        <v>15</v>
      </c>
      <c r="M44" s="1" t="s">
        <v>14</v>
      </c>
    </row>
    <row r="45" spans="1:13" x14ac:dyDescent="0.3">
      <c r="A45" s="1" t="s">
        <v>140</v>
      </c>
      <c r="B45" s="1" t="s">
        <v>141</v>
      </c>
      <c r="C45" s="1" t="s">
        <v>17</v>
      </c>
      <c r="D45" s="1" t="s">
        <v>26</v>
      </c>
      <c r="E45" s="1" t="s">
        <v>132</v>
      </c>
      <c r="F45" s="1" t="s">
        <v>142</v>
      </c>
      <c r="G45" s="1" t="s">
        <v>98</v>
      </c>
      <c r="H45" s="1" t="s">
        <v>130</v>
      </c>
      <c r="I45" s="1" t="s">
        <v>21</v>
      </c>
      <c r="J45" s="1" t="s">
        <v>131</v>
      </c>
      <c r="K45" s="1"/>
      <c r="L45" s="1" t="s">
        <v>15</v>
      </c>
      <c r="M45" s="1" t="s">
        <v>14</v>
      </c>
    </row>
    <row r="46" spans="1:13" x14ac:dyDescent="0.3">
      <c r="A46" s="1" t="s">
        <v>143</v>
      </c>
      <c r="B46" s="1" t="s">
        <v>144</v>
      </c>
      <c r="C46" s="1" t="s">
        <v>17</v>
      </c>
      <c r="D46" s="1" t="s">
        <v>36</v>
      </c>
      <c r="E46" s="1" t="s">
        <v>132</v>
      </c>
      <c r="F46" s="1" t="s">
        <v>148</v>
      </c>
      <c r="G46" s="1" t="s">
        <v>145</v>
      </c>
      <c r="H46" s="1" t="s">
        <v>146</v>
      </c>
      <c r="I46" s="1" t="s">
        <v>21</v>
      </c>
      <c r="J46" s="1" t="s">
        <v>147</v>
      </c>
      <c r="K46" s="1"/>
      <c r="L46" s="1" t="s">
        <v>15</v>
      </c>
      <c r="M46" s="1" t="s">
        <v>14</v>
      </c>
    </row>
    <row r="47" spans="1:13" x14ac:dyDescent="0.3">
      <c r="A47" s="1" t="s">
        <v>149</v>
      </c>
      <c r="B47" s="1" t="s">
        <v>150</v>
      </c>
      <c r="C47" s="1" t="s">
        <v>17</v>
      </c>
      <c r="D47" s="1" t="s">
        <v>52</v>
      </c>
      <c r="E47" s="1" t="s">
        <v>132</v>
      </c>
      <c r="F47" s="1" t="s">
        <v>151</v>
      </c>
      <c r="G47" s="1" t="s">
        <v>145</v>
      </c>
      <c r="H47" s="1" t="s">
        <v>146</v>
      </c>
      <c r="I47" s="1" t="s">
        <v>21</v>
      </c>
      <c r="J47" s="1" t="s">
        <v>147</v>
      </c>
      <c r="K47" s="1"/>
      <c r="L47" s="1" t="s">
        <v>15</v>
      </c>
      <c r="M47" s="1" t="s">
        <v>14</v>
      </c>
    </row>
    <row r="48" spans="1:13" x14ac:dyDescent="0.3">
      <c r="A48" s="1" t="s">
        <v>152</v>
      </c>
      <c r="B48" s="1" t="s">
        <v>153</v>
      </c>
      <c r="C48" s="1" t="s">
        <v>17</v>
      </c>
      <c r="D48" s="1" t="s">
        <v>30</v>
      </c>
      <c r="E48" s="1" t="s">
        <v>132</v>
      </c>
      <c r="F48" s="1" t="s">
        <v>133</v>
      </c>
      <c r="G48" s="1" t="s">
        <v>145</v>
      </c>
      <c r="H48" s="1" t="s">
        <v>146</v>
      </c>
      <c r="I48" s="1" t="s">
        <v>21</v>
      </c>
      <c r="J48" s="1" t="s">
        <v>147</v>
      </c>
      <c r="K48" s="1"/>
      <c r="L48" s="1" t="s">
        <v>15</v>
      </c>
      <c r="M48" s="1" t="s">
        <v>14</v>
      </c>
    </row>
    <row r="49" spans="1:13" x14ac:dyDescent="0.3">
      <c r="A49" s="1" t="s">
        <v>154</v>
      </c>
      <c r="B49" s="1" t="s">
        <v>155</v>
      </c>
      <c r="C49" s="1" t="s">
        <v>17</v>
      </c>
      <c r="D49" s="1" t="s">
        <v>18</v>
      </c>
      <c r="E49" s="1" t="s">
        <v>132</v>
      </c>
      <c r="F49" s="1" t="s">
        <v>136</v>
      </c>
      <c r="G49" s="1" t="s">
        <v>145</v>
      </c>
      <c r="H49" s="1" t="s">
        <v>146</v>
      </c>
      <c r="I49" s="1" t="s">
        <v>21</v>
      </c>
      <c r="J49" s="1" t="s">
        <v>147</v>
      </c>
      <c r="K49" s="1"/>
      <c r="L49" s="1" t="s">
        <v>15</v>
      </c>
      <c r="M49" s="1" t="s">
        <v>14</v>
      </c>
    </row>
    <row r="50" spans="1:13" x14ac:dyDescent="0.3">
      <c r="A50" s="1" t="s">
        <v>156</v>
      </c>
      <c r="B50" s="1" t="s">
        <v>157</v>
      </c>
      <c r="C50" s="1" t="s">
        <v>17</v>
      </c>
      <c r="D50" s="1" t="s">
        <v>42</v>
      </c>
      <c r="E50" s="1" t="s">
        <v>132</v>
      </c>
      <c r="F50" s="1" t="s">
        <v>139</v>
      </c>
      <c r="G50" s="1" t="s">
        <v>145</v>
      </c>
      <c r="H50" s="1" t="s">
        <v>146</v>
      </c>
      <c r="I50" s="1" t="s">
        <v>21</v>
      </c>
      <c r="J50" s="1" t="s">
        <v>147</v>
      </c>
      <c r="K50" s="1"/>
      <c r="L50" s="1" t="s">
        <v>15</v>
      </c>
      <c r="M50" s="1" t="s">
        <v>14</v>
      </c>
    </row>
    <row r="51" spans="1:13" x14ac:dyDescent="0.3">
      <c r="A51" s="1" t="s">
        <v>158</v>
      </c>
      <c r="B51" s="1" t="s">
        <v>159</v>
      </c>
      <c r="C51" s="1" t="s">
        <v>17</v>
      </c>
      <c r="D51" s="1" t="s">
        <v>26</v>
      </c>
      <c r="E51" s="1" t="s">
        <v>132</v>
      </c>
      <c r="F51" s="1" t="s">
        <v>142</v>
      </c>
      <c r="G51" s="1" t="s">
        <v>145</v>
      </c>
      <c r="H51" s="1" t="s">
        <v>146</v>
      </c>
      <c r="I51" s="1" t="s">
        <v>21</v>
      </c>
      <c r="J51" s="1" t="s">
        <v>147</v>
      </c>
      <c r="K51" s="1"/>
      <c r="L51" s="1" t="s">
        <v>15</v>
      </c>
      <c r="M51" s="1" t="s">
        <v>14</v>
      </c>
    </row>
    <row r="52" spans="1:13" x14ac:dyDescent="0.3">
      <c r="A52" s="1" t="s">
        <v>160</v>
      </c>
      <c r="B52" s="1" t="s">
        <v>161</v>
      </c>
      <c r="C52" s="1" t="s">
        <v>17</v>
      </c>
      <c r="D52" s="1" t="s">
        <v>48</v>
      </c>
      <c r="E52" s="1" t="s">
        <v>132</v>
      </c>
      <c r="F52" s="1" t="s">
        <v>162</v>
      </c>
      <c r="G52" s="1" t="s">
        <v>145</v>
      </c>
      <c r="H52" s="1" t="s">
        <v>146</v>
      </c>
      <c r="I52" s="1" t="s">
        <v>21</v>
      </c>
      <c r="J52" s="1" t="s">
        <v>147</v>
      </c>
      <c r="K52" s="1"/>
      <c r="L52" s="1" t="s">
        <v>15</v>
      </c>
      <c r="M52" s="1" t="s">
        <v>14</v>
      </c>
    </row>
    <row r="53" spans="1:13" x14ac:dyDescent="0.3">
      <c r="A53" s="1" t="s">
        <v>163</v>
      </c>
      <c r="B53" s="1" t="s">
        <v>164</v>
      </c>
      <c r="C53" s="1" t="s">
        <v>17</v>
      </c>
      <c r="D53" s="1" t="s">
        <v>48</v>
      </c>
      <c r="E53" s="1" t="s">
        <v>132</v>
      </c>
      <c r="F53" s="1" t="s">
        <v>162</v>
      </c>
      <c r="G53" s="1" t="s">
        <v>165</v>
      </c>
      <c r="H53" s="1" t="s">
        <v>166</v>
      </c>
      <c r="I53" s="1" t="s">
        <v>21</v>
      </c>
      <c r="J53" s="1" t="s">
        <v>167</v>
      </c>
      <c r="K53" s="1"/>
      <c r="L53" s="1" t="s">
        <v>15</v>
      </c>
      <c r="M53" s="1" t="s">
        <v>14</v>
      </c>
    </row>
    <row r="54" spans="1:13" x14ac:dyDescent="0.3">
      <c r="A54" s="1" t="s">
        <v>168</v>
      </c>
      <c r="B54" s="1" t="s">
        <v>169</v>
      </c>
      <c r="C54" s="1" t="s">
        <v>17</v>
      </c>
      <c r="D54" s="1" t="s">
        <v>36</v>
      </c>
      <c r="E54" s="1" t="s">
        <v>132</v>
      </c>
      <c r="F54" s="1" t="s">
        <v>148</v>
      </c>
      <c r="G54" s="1" t="s">
        <v>165</v>
      </c>
      <c r="H54" s="1" t="s">
        <v>166</v>
      </c>
      <c r="I54" s="1" t="s">
        <v>21</v>
      </c>
      <c r="J54" s="1" t="s">
        <v>167</v>
      </c>
      <c r="K54" s="1"/>
      <c r="L54" s="1" t="s">
        <v>15</v>
      </c>
      <c r="M54" s="1" t="s">
        <v>14</v>
      </c>
    </row>
    <row r="55" spans="1:13" x14ac:dyDescent="0.3">
      <c r="A55" s="1" t="s">
        <v>170</v>
      </c>
      <c r="B55" s="1" t="s">
        <v>171</v>
      </c>
      <c r="C55" s="1" t="s">
        <v>17</v>
      </c>
      <c r="D55" s="1" t="s">
        <v>52</v>
      </c>
      <c r="E55" s="1" t="s">
        <v>132</v>
      </c>
      <c r="F55" s="1" t="s">
        <v>151</v>
      </c>
      <c r="G55" s="1" t="s">
        <v>165</v>
      </c>
      <c r="H55" s="1" t="s">
        <v>166</v>
      </c>
      <c r="I55" s="1" t="s">
        <v>21</v>
      </c>
      <c r="J55" s="1" t="s">
        <v>167</v>
      </c>
      <c r="K55" s="1"/>
      <c r="L55" s="1" t="s">
        <v>15</v>
      </c>
      <c r="M55" s="1" t="s">
        <v>14</v>
      </c>
    </row>
    <row r="56" spans="1:13" x14ac:dyDescent="0.3">
      <c r="A56" s="1" t="s">
        <v>172</v>
      </c>
      <c r="B56" s="1" t="s">
        <v>173</v>
      </c>
      <c r="C56" s="1" t="s">
        <v>17</v>
      </c>
      <c r="D56" s="1" t="s">
        <v>30</v>
      </c>
      <c r="E56" s="1" t="s">
        <v>132</v>
      </c>
      <c r="F56" s="1" t="s">
        <v>133</v>
      </c>
      <c r="G56" s="1" t="s">
        <v>165</v>
      </c>
      <c r="H56" s="1" t="s">
        <v>166</v>
      </c>
      <c r="I56" s="1" t="s">
        <v>21</v>
      </c>
      <c r="J56" s="1" t="s">
        <v>167</v>
      </c>
      <c r="K56" s="1"/>
      <c r="L56" s="1" t="s">
        <v>15</v>
      </c>
      <c r="M56" s="1" t="s">
        <v>14</v>
      </c>
    </row>
    <row r="57" spans="1:13" x14ac:dyDescent="0.3">
      <c r="A57" s="1" t="s">
        <v>174</v>
      </c>
      <c r="B57" s="1" t="s">
        <v>175</v>
      </c>
      <c r="C57" s="1" t="s">
        <v>17</v>
      </c>
      <c r="D57" s="1" t="s">
        <v>18</v>
      </c>
      <c r="E57" s="1" t="s">
        <v>132</v>
      </c>
      <c r="F57" s="1" t="s">
        <v>136</v>
      </c>
      <c r="G57" s="1" t="s">
        <v>165</v>
      </c>
      <c r="H57" s="1" t="s">
        <v>166</v>
      </c>
      <c r="I57" s="1" t="s">
        <v>21</v>
      </c>
      <c r="J57" s="1" t="s">
        <v>167</v>
      </c>
      <c r="K57" s="1"/>
      <c r="L57" s="1" t="s">
        <v>15</v>
      </c>
      <c r="M57" s="1" t="s">
        <v>14</v>
      </c>
    </row>
    <row r="58" spans="1:13" x14ac:dyDescent="0.3">
      <c r="A58" s="1" t="s">
        <v>176</v>
      </c>
      <c r="B58" s="1" t="s">
        <v>177</v>
      </c>
      <c r="C58" s="1" t="s">
        <v>17</v>
      </c>
      <c r="D58" s="1" t="s">
        <v>42</v>
      </c>
      <c r="E58" s="1" t="s">
        <v>132</v>
      </c>
      <c r="F58" s="1" t="s">
        <v>139</v>
      </c>
      <c r="G58" s="1" t="s">
        <v>165</v>
      </c>
      <c r="H58" s="1" t="s">
        <v>166</v>
      </c>
      <c r="I58" s="1" t="s">
        <v>21</v>
      </c>
      <c r="J58" s="1" t="s">
        <v>167</v>
      </c>
      <c r="K58" s="1"/>
      <c r="L58" s="1" t="s">
        <v>15</v>
      </c>
      <c r="M58" s="1" t="s">
        <v>14</v>
      </c>
    </row>
    <row r="59" spans="1:13" x14ac:dyDescent="0.3">
      <c r="A59" s="1" t="s">
        <v>178</v>
      </c>
      <c r="B59" s="1" t="s">
        <v>179</v>
      </c>
      <c r="C59" s="1" t="s">
        <v>17</v>
      </c>
      <c r="D59" s="1" t="s">
        <v>26</v>
      </c>
      <c r="E59" s="1" t="s">
        <v>132</v>
      </c>
      <c r="F59" s="1" t="s">
        <v>142</v>
      </c>
      <c r="G59" s="1" t="s">
        <v>165</v>
      </c>
      <c r="H59" s="1" t="s">
        <v>166</v>
      </c>
      <c r="I59" s="1" t="s">
        <v>21</v>
      </c>
      <c r="J59" s="1" t="s">
        <v>167</v>
      </c>
      <c r="K59" s="1"/>
      <c r="L59" s="1" t="s">
        <v>15</v>
      </c>
      <c r="M59" s="1" t="s">
        <v>14</v>
      </c>
    </row>
    <row r="60" spans="1:13" x14ac:dyDescent="0.3">
      <c r="A60" s="1" t="s">
        <v>180</v>
      </c>
      <c r="B60" s="1" t="s">
        <v>181</v>
      </c>
      <c r="C60" s="1" t="s">
        <v>17</v>
      </c>
      <c r="D60" s="1" t="s">
        <v>48</v>
      </c>
      <c r="E60" s="1" t="s">
        <v>132</v>
      </c>
      <c r="F60" s="1" t="s">
        <v>162</v>
      </c>
      <c r="G60" s="1" t="s">
        <v>145</v>
      </c>
      <c r="H60" s="1" t="s">
        <v>182</v>
      </c>
      <c r="I60" s="1" t="s">
        <v>21</v>
      </c>
      <c r="J60" s="1" t="s">
        <v>183</v>
      </c>
      <c r="K60" s="1"/>
      <c r="L60" s="1" t="s">
        <v>15</v>
      </c>
      <c r="M60" s="1" t="s">
        <v>14</v>
      </c>
    </row>
    <row r="61" spans="1:13" x14ac:dyDescent="0.3">
      <c r="A61" s="1" t="s">
        <v>184</v>
      </c>
      <c r="B61" s="1" t="s">
        <v>185</v>
      </c>
      <c r="C61" s="1" t="s">
        <v>17</v>
      </c>
      <c r="D61" s="1" t="s">
        <v>30</v>
      </c>
      <c r="E61" s="1" t="s">
        <v>132</v>
      </c>
      <c r="F61" s="1" t="s">
        <v>133</v>
      </c>
      <c r="G61" s="1" t="s">
        <v>145</v>
      </c>
      <c r="H61" s="1" t="s">
        <v>186</v>
      </c>
      <c r="I61" s="1" t="s">
        <v>21</v>
      </c>
      <c r="J61" s="1" t="s">
        <v>183</v>
      </c>
      <c r="K61" s="1"/>
      <c r="L61" s="1" t="s">
        <v>15</v>
      </c>
      <c r="M61" s="1" t="s">
        <v>14</v>
      </c>
    </row>
    <row r="62" spans="1:13" x14ac:dyDescent="0.3">
      <c r="A62" s="1" t="s">
        <v>187</v>
      </c>
      <c r="B62" s="1" t="s">
        <v>188</v>
      </c>
      <c r="C62" s="1" t="s">
        <v>17</v>
      </c>
      <c r="D62" s="1" t="s">
        <v>18</v>
      </c>
      <c r="E62" s="1" t="s">
        <v>132</v>
      </c>
      <c r="F62" s="1" t="s">
        <v>136</v>
      </c>
      <c r="G62" s="1" t="s">
        <v>145</v>
      </c>
      <c r="H62" s="1" t="s">
        <v>182</v>
      </c>
      <c r="I62" s="1" t="s">
        <v>21</v>
      </c>
      <c r="J62" s="1" t="s">
        <v>183</v>
      </c>
      <c r="K62" s="1"/>
      <c r="L62" s="1" t="s">
        <v>15</v>
      </c>
      <c r="M62" s="1" t="s">
        <v>14</v>
      </c>
    </row>
    <row r="63" spans="1:13" x14ac:dyDescent="0.3">
      <c r="A63" s="1" t="s">
        <v>189</v>
      </c>
      <c r="B63" s="1" t="s">
        <v>190</v>
      </c>
      <c r="C63" s="1" t="s">
        <v>17</v>
      </c>
      <c r="D63" s="1" t="s">
        <v>42</v>
      </c>
      <c r="E63" s="1" t="s">
        <v>132</v>
      </c>
      <c r="F63" s="1" t="s">
        <v>139</v>
      </c>
      <c r="G63" s="1" t="s">
        <v>145</v>
      </c>
      <c r="H63" s="1" t="s">
        <v>182</v>
      </c>
      <c r="I63" s="1" t="s">
        <v>21</v>
      </c>
      <c r="J63" s="1" t="s">
        <v>183</v>
      </c>
      <c r="K63" s="1"/>
      <c r="L63" s="1" t="s">
        <v>15</v>
      </c>
      <c r="M63" s="1" t="s">
        <v>14</v>
      </c>
    </row>
    <row r="64" spans="1:13" x14ac:dyDescent="0.3">
      <c r="A64" s="1" t="s">
        <v>191</v>
      </c>
      <c r="B64" s="1" t="s">
        <v>192</v>
      </c>
      <c r="C64" s="1" t="s">
        <v>17</v>
      </c>
      <c r="D64" s="1" t="s">
        <v>26</v>
      </c>
      <c r="E64" s="1" t="s">
        <v>132</v>
      </c>
      <c r="F64" s="1" t="s">
        <v>142</v>
      </c>
      <c r="G64" s="1" t="s">
        <v>145</v>
      </c>
      <c r="H64" s="1" t="s">
        <v>182</v>
      </c>
      <c r="I64" s="1" t="s">
        <v>21</v>
      </c>
      <c r="J64" s="1" t="s">
        <v>183</v>
      </c>
      <c r="K64" s="1"/>
      <c r="L64" s="1" t="s">
        <v>15</v>
      </c>
      <c r="M64" s="1" t="s">
        <v>14</v>
      </c>
    </row>
    <row r="65" spans="1:13" x14ac:dyDescent="0.3">
      <c r="A65" s="1" t="s">
        <v>193</v>
      </c>
      <c r="B65" s="1" t="s">
        <v>194</v>
      </c>
      <c r="C65" s="1" t="s">
        <v>17</v>
      </c>
      <c r="D65" s="1" t="s">
        <v>36</v>
      </c>
      <c r="E65" s="1" t="s">
        <v>132</v>
      </c>
      <c r="F65" s="1" t="s">
        <v>148</v>
      </c>
      <c r="G65" s="1" t="s">
        <v>145</v>
      </c>
      <c r="H65" s="1" t="s">
        <v>182</v>
      </c>
      <c r="I65" s="1" t="s">
        <v>21</v>
      </c>
      <c r="J65" s="1" t="s">
        <v>183</v>
      </c>
      <c r="K65" s="1"/>
      <c r="L65" s="1" t="s">
        <v>15</v>
      </c>
      <c r="M65" s="1" t="s">
        <v>14</v>
      </c>
    </row>
    <row r="66" spans="1:13" x14ac:dyDescent="0.3">
      <c r="A66" s="1" t="s">
        <v>195</v>
      </c>
      <c r="B66" s="1" t="s">
        <v>196</v>
      </c>
      <c r="C66" s="1" t="s">
        <v>17</v>
      </c>
      <c r="D66" s="1" t="s">
        <v>52</v>
      </c>
      <c r="E66" s="1" t="s">
        <v>132</v>
      </c>
      <c r="F66" s="1" t="s">
        <v>151</v>
      </c>
      <c r="G66" s="1" t="s">
        <v>145</v>
      </c>
      <c r="H66" s="1" t="s">
        <v>182</v>
      </c>
      <c r="I66" s="1" t="s">
        <v>21</v>
      </c>
      <c r="J66" s="1" t="s">
        <v>183</v>
      </c>
      <c r="K66" s="1"/>
      <c r="L66" s="1" t="s">
        <v>15</v>
      </c>
      <c r="M66" s="1" t="s">
        <v>14</v>
      </c>
    </row>
    <row r="67" spans="1:13" x14ac:dyDescent="0.3">
      <c r="A67" s="1" t="s">
        <v>197</v>
      </c>
      <c r="B67" s="1" t="s">
        <v>198</v>
      </c>
      <c r="C67" s="1" t="s">
        <v>17</v>
      </c>
      <c r="D67" s="1" t="s">
        <v>36</v>
      </c>
      <c r="E67" s="1" t="s">
        <v>132</v>
      </c>
      <c r="F67" s="1" t="s">
        <v>148</v>
      </c>
      <c r="G67" s="1" t="s">
        <v>145</v>
      </c>
      <c r="H67" s="1" t="s">
        <v>199</v>
      </c>
      <c r="I67" s="1" t="s">
        <v>21</v>
      </c>
      <c r="J67" s="1" t="s">
        <v>200</v>
      </c>
      <c r="K67" s="1"/>
      <c r="L67" s="1" t="s">
        <v>15</v>
      </c>
      <c r="M67" s="1" t="s">
        <v>14</v>
      </c>
    </row>
    <row r="68" spans="1:13" x14ac:dyDescent="0.3">
      <c r="A68" s="1" t="s">
        <v>201</v>
      </c>
      <c r="B68" s="1" t="s">
        <v>202</v>
      </c>
      <c r="C68" s="1" t="s">
        <v>17</v>
      </c>
      <c r="D68" s="1" t="s">
        <v>52</v>
      </c>
      <c r="E68" s="1" t="s">
        <v>132</v>
      </c>
      <c r="F68" s="1" t="s">
        <v>151</v>
      </c>
      <c r="G68" s="1" t="s">
        <v>145</v>
      </c>
      <c r="H68" s="1" t="s">
        <v>199</v>
      </c>
      <c r="I68" s="1" t="s">
        <v>21</v>
      </c>
      <c r="J68" s="1" t="s">
        <v>200</v>
      </c>
      <c r="K68" s="1"/>
      <c r="L68" s="1" t="s">
        <v>15</v>
      </c>
      <c r="M68" s="1" t="s">
        <v>14</v>
      </c>
    </row>
    <row r="69" spans="1:13" x14ac:dyDescent="0.3">
      <c r="A69" s="1" t="s">
        <v>203</v>
      </c>
      <c r="B69" s="1" t="s">
        <v>204</v>
      </c>
      <c r="C69" s="1" t="s">
        <v>17</v>
      </c>
      <c r="D69" s="1" t="s">
        <v>48</v>
      </c>
      <c r="E69" s="1" t="s">
        <v>132</v>
      </c>
      <c r="F69" s="1" t="s">
        <v>162</v>
      </c>
      <c r="G69" s="1" t="s">
        <v>145</v>
      </c>
      <c r="H69" s="1" t="s">
        <v>199</v>
      </c>
      <c r="I69" s="1" t="s">
        <v>21</v>
      </c>
      <c r="J69" s="1" t="s">
        <v>200</v>
      </c>
      <c r="K69" s="1"/>
      <c r="L69" s="1" t="s">
        <v>15</v>
      </c>
      <c r="M69" s="1" t="s">
        <v>14</v>
      </c>
    </row>
    <row r="70" spans="1:13" x14ac:dyDescent="0.3">
      <c r="A70" s="1" t="s">
        <v>205</v>
      </c>
      <c r="B70" s="1" t="s">
        <v>206</v>
      </c>
      <c r="C70" s="1" t="s">
        <v>17</v>
      </c>
      <c r="D70" s="1" t="s">
        <v>30</v>
      </c>
      <c r="E70" s="1" t="s">
        <v>132</v>
      </c>
      <c r="F70" s="1" t="s">
        <v>133</v>
      </c>
      <c r="G70" s="1" t="s">
        <v>145</v>
      </c>
      <c r="H70" s="1" t="s">
        <v>199</v>
      </c>
      <c r="I70" s="1" t="s">
        <v>21</v>
      </c>
      <c r="J70" s="1" t="s">
        <v>200</v>
      </c>
      <c r="K70" s="1"/>
      <c r="L70" s="1" t="s">
        <v>15</v>
      </c>
      <c r="M70" s="1" t="s">
        <v>14</v>
      </c>
    </row>
    <row r="71" spans="1:13" x14ac:dyDescent="0.3">
      <c r="A71" s="1" t="s">
        <v>207</v>
      </c>
      <c r="B71" s="1" t="s">
        <v>208</v>
      </c>
      <c r="C71" s="1" t="s">
        <v>17</v>
      </c>
      <c r="D71" s="1" t="s">
        <v>18</v>
      </c>
      <c r="E71" s="1" t="s">
        <v>132</v>
      </c>
      <c r="F71" s="1" t="s">
        <v>136</v>
      </c>
      <c r="G71" s="1" t="s">
        <v>145</v>
      </c>
      <c r="H71" s="1" t="s">
        <v>199</v>
      </c>
      <c r="I71" s="1" t="s">
        <v>21</v>
      </c>
      <c r="J71" s="1" t="s">
        <v>200</v>
      </c>
      <c r="K71" s="1"/>
      <c r="L71" s="1" t="s">
        <v>15</v>
      </c>
      <c r="M71" s="1" t="s">
        <v>14</v>
      </c>
    </row>
    <row r="72" spans="1:13" x14ac:dyDescent="0.3">
      <c r="A72" s="1" t="s">
        <v>209</v>
      </c>
      <c r="B72" s="1" t="s">
        <v>210</v>
      </c>
      <c r="C72" s="1" t="s">
        <v>17</v>
      </c>
      <c r="D72" s="1" t="s">
        <v>42</v>
      </c>
      <c r="E72" s="1" t="s">
        <v>132</v>
      </c>
      <c r="F72" s="1" t="s">
        <v>139</v>
      </c>
      <c r="G72" s="1" t="s">
        <v>145</v>
      </c>
      <c r="H72" s="1" t="s">
        <v>199</v>
      </c>
      <c r="I72" s="1" t="s">
        <v>21</v>
      </c>
      <c r="J72" s="1" t="s">
        <v>200</v>
      </c>
      <c r="K72" s="1"/>
      <c r="L72" s="1" t="s">
        <v>15</v>
      </c>
      <c r="M72" s="1" t="s">
        <v>14</v>
      </c>
    </row>
    <row r="73" spans="1:13" x14ac:dyDescent="0.3">
      <c r="A73" s="1" t="s">
        <v>211</v>
      </c>
      <c r="B73" s="1" t="s">
        <v>212</v>
      </c>
      <c r="C73" s="1" t="s">
        <v>17</v>
      </c>
      <c r="D73" s="1" t="s">
        <v>26</v>
      </c>
      <c r="E73" s="1" t="s">
        <v>132</v>
      </c>
      <c r="F73" s="1" t="s">
        <v>142</v>
      </c>
      <c r="G73" s="1" t="s">
        <v>145</v>
      </c>
      <c r="H73" s="1" t="s">
        <v>199</v>
      </c>
      <c r="I73" s="1" t="s">
        <v>21</v>
      </c>
      <c r="J73" s="1" t="s">
        <v>200</v>
      </c>
      <c r="K73" s="1"/>
      <c r="L73" s="1" t="s">
        <v>15</v>
      </c>
      <c r="M73" s="1" t="s">
        <v>14</v>
      </c>
    </row>
    <row r="74" spans="1:13" x14ac:dyDescent="0.3">
      <c r="A74" s="1" t="s">
        <v>213</v>
      </c>
      <c r="B74" s="1" t="s">
        <v>214</v>
      </c>
      <c r="C74" s="1" t="s">
        <v>17</v>
      </c>
      <c r="D74" s="1" t="s">
        <v>36</v>
      </c>
      <c r="E74" s="1" t="s">
        <v>132</v>
      </c>
      <c r="F74" s="1" t="s">
        <v>148</v>
      </c>
      <c r="G74" s="1" t="s">
        <v>145</v>
      </c>
      <c r="H74" s="1" t="s">
        <v>215</v>
      </c>
      <c r="I74" s="1" t="s">
        <v>21</v>
      </c>
      <c r="J74" s="1" t="s">
        <v>216</v>
      </c>
      <c r="K74" s="1"/>
      <c r="L74" s="1" t="s">
        <v>15</v>
      </c>
      <c r="M74" s="1" t="s">
        <v>14</v>
      </c>
    </row>
    <row r="75" spans="1:13" x14ac:dyDescent="0.3">
      <c r="A75" s="1" t="s">
        <v>217</v>
      </c>
      <c r="B75" s="1" t="s">
        <v>218</v>
      </c>
      <c r="C75" s="1" t="s">
        <v>17</v>
      </c>
      <c r="D75" s="1" t="s">
        <v>52</v>
      </c>
      <c r="E75" s="1" t="s">
        <v>132</v>
      </c>
      <c r="F75" s="1" t="s">
        <v>151</v>
      </c>
      <c r="G75" s="1" t="s">
        <v>145</v>
      </c>
      <c r="H75" s="1" t="s">
        <v>215</v>
      </c>
      <c r="I75" s="1" t="s">
        <v>21</v>
      </c>
      <c r="J75" s="1" t="s">
        <v>216</v>
      </c>
      <c r="K75" s="1"/>
      <c r="L75" s="1" t="s">
        <v>15</v>
      </c>
      <c r="M75" s="1" t="s">
        <v>14</v>
      </c>
    </row>
    <row r="76" spans="1:13" x14ac:dyDescent="0.3">
      <c r="A76" s="1" t="s">
        <v>219</v>
      </c>
      <c r="B76" s="1" t="s">
        <v>220</v>
      </c>
      <c r="C76" s="1" t="s">
        <v>17</v>
      </c>
      <c r="D76" s="1" t="s">
        <v>30</v>
      </c>
      <c r="E76" s="1" t="s">
        <v>132</v>
      </c>
      <c r="F76" s="1" t="s">
        <v>133</v>
      </c>
      <c r="G76" s="1" t="s">
        <v>145</v>
      </c>
      <c r="H76" s="1" t="s">
        <v>215</v>
      </c>
      <c r="I76" s="1" t="s">
        <v>21</v>
      </c>
      <c r="J76" s="1" t="s">
        <v>216</v>
      </c>
      <c r="K76" s="1"/>
      <c r="L76" s="1" t="s">
        <v>15</v>
      </c>
      <c r="M76" s="1" t="s">
        <v>14</v>
      </c>
    </row>
    <row r="77" spans="1:13" x14ac:dyDescent="0.3">
      <c r="A77" s="1" t="s">
        <v>221</v>
      </c>
      <c r="B77" s="1" t="s">
        <v>222</v>
      </c>
      <c r="C77" s="1" t="s">
        <v>17</v>
      </c>
      <c r="D77" s="1" t="s">
        <v>18</v>
      </c>
      <c r="E77" s="1" t="s">
        <v>132</v>
      </c>
      <c r="F77" s="1" t="s">
        <v>136</v>
      </c>
      <c r="G77" s="1" t="s">
        <v>145</v>
      </c>
      <c r="H77" s="1" t="s">
        <v>215</v>
      </c>
      <c r="I77" s="1" t="s">
        <v>21</v>
      </c>
      <c r="J77" s="1" t="s">
        <v>216</v>
      </c>
      <c r="K77" s="1"/>
      <c r="L77" s="1" t="s">
        <v>15</v>
      </c>
      <c r="M77" s="1" t="s">
        <v>14</v>
      </c>
    </row>
    <row r="78" spans="1:13" x14ac:dyDescent="0.3">
      <c r="A78" s="1" t="s">
        <v>223</v>
      </c>
      <c r="B78" s="1" t="s">
        <v>224</v>
      </c>
      <c r="C78" s="1" t="s">
        <v>17</v>
      </c>
      <c r="D78" s="1" t="s">
        <v>42</v>
      </c>
      <c r="E78" s="1" t="s">
        <v>132</v>
      </c>
      <c r="F78" s="1" t="s">
        <v>139</v>
      </c>
      <c r="G78" s="1" t="s">
        <v>145</v>
      </c>
      <c r="H78" s="1" t="s">
        <v>215</v>
      </c>
      <c r="I78" s="1" t="s">
        <v>21</v>
      </c>
      <c r="J78" s="1" t="s">
        <v>216</v>
      </c>
      <c r="K78" s="1"/>
      <c r="L78" s="1" t="s">
        <v>15</v>
      </c>
      <c r="M78" s="1" t="s">
        <v>14</v>
      </c>
    </row>
    <row r="79" spans="1:13" x14ac:dyDescent="0.3">
      <c r="A79" s="1" t="s">
        <v>225</v>
      </c>
      <c r="B79" s="1" t="s">
        <v>226</v>
      </c>
      <c r="C79" s="1" t="s">
        <v>17</v>
      </c>
      <c r="D79" s="1" t="s">
        <v>26</v>
      </c>
      <c r="E79" s="1" t="s">
        <v>132</v>
      </c>
      <c r="F79" s="1" t="s">
        <v>142</v>
      </c>
      <c r="G79" s="1" t="s">
        <v>145</v>
      </c>
      <c r="H79" s="1" t="s">
        <v>215</v>
      </c>
      <c r="I79" s="1" t="s">
        <v>21</v>
      </c>
      <c r="J79" s="1" t="s">
        <v>216</v>
      </c>
      <c r="K79" s="1"/>
      <c r="L79" s="1" t="s">
        <v>15</v>
      </c>
      <c r="M79" s="1" t="s">
        <v>14</v>
      </c>
    </row>
    <row r="80" spans="1:13" x14ac:dyDescent="0.3">
      <c r="A80" s="1" t="s">
        <v>227</v>
      </c>
      <c r="B80" s="1" t="s">
        <v>228</v>
      </c>
      <c r="C80" s="1" t="s">
        <v>17</v>
      </c>
      <c r="D80" s="1" t="s">
        <v>48</v>
      </c>
      <c r="E80" s="1" t="s">
        <v>132</v>
      </c>
      <c r="F80" s="1" t="s">
        <v>162</v>
      </c>
      <c r="G80" s="1" t="s">
        <v>145</v>
      </c>
      <c r="H80" s="1" t="s">
        <v>215</v>
      </c>
      <c r="I80" s="1" t="s">
        <v>21</v>
      </c>
      <c r="J80" s="1" t="s">
        <v>216</v>
      </c>
      <c r="K80" s="1"/>
      <c r="L80" s="1" t="s">
        <v>15</v>
      </c>
      <c r="M80" s="1" t="s">
        <v>14</v>
      </c>
    </row>
    <row r="81" spans="1:13" x14ac:dyDescent="0.3">
      <c r="A81" s="1" t="s">
        <v>229</v>
      </c>
      <c r="B81" s="1" t="s">
        <v>230</v>
      </c>
      <c r="C81" s="1" t="s">
        <v>17</v>
      </c>
      <c r="D81" s="1" t="s">
        <v>36</v>
      </c>
      <c r="E81" s="1" t="s">
        <v>19</v>
      </c>
      <c r="F81" s="1" t="s">
        <v>37</v>
      </c>
      <c r="G81" s="1" t="s">
        <v>98</v>
      </c>
      <c r="H81" s="1" t="s">
        <v>231</v>
      </c>
      <c r="I81" s="1" t="s">
        <v>21</v>
      </c>
      <c r="J81" s="1" t="s">
        <v>232</v>
      </c>
      <c r="K81" s="1"/>
      <c r="L81" s="1" t="s">
        <v>15</v>
      </c>
      <c r="M81" s="1" t="s">
        <v>14</v>
      </c>
    </row>
    <row r="82" spans="1:13" x14ac:dyDescent="0.3">
      <c r="A82" s="1" t="s">
        <v>233</v>
      </c>
      <c r="B82" s="1" t="s">
        <v>234</v>
      </c>
      <c r="C82" s="1" t="s">
        <v>17</v>
      </c>
      <c r="D82" s="1" t="s">
        <v>52</v>
      </c>
      <c r="E82" s="1" t="s">
        <v>19</v>
      </c>
      <c r="F82" s="1" t="s">
        <v>53</v>
      </c>
      <c r="G82" s="1" t="s">
        <v>98</v>
      </c>
      <c r="H82" s="1" t="s">
        <v>231</v>
      </c>
      <c r="I82" s="1" t="s">
        <v>21</v>
      </c>
      <c r="J82" s="1" t="s">
        <v>232</v>
      </c>
      <c r="K82" s="1"/>
      <c r="L82" s="1" t="s">
        <v>15</v>
      </c>
      <c r="M82" s="1" t="s">
        <v>14</v>
      </c>
    </row>
    <row r="83" spans="1:13" x14ac:dyDescent="0.3">
      <c r="A83" s="1" t="s">
        <v>235</v>
      </c>
      <c r="B83" s="1" t="s">
        <v>236</v>
      </c>
      <c r="C83" s="1" t="s">
        <v>17</v>
      </c>
      <c r="D83" s="1" t="s">
        <v>30</v>
      </c>
      <c r="E83" s="1" t="s">
        <v>19</v>
      </c>
      <c r="F83" s="1" t="s">
        <v>33</v>
      </c>
      <c r="G83" s="1" t="s">
        <v>98</v>
      </c>
      <c r="H83" s="1" t="s">
        <v>231</v>
      </c>
      <c r="I83" s="1" t="s">
        <v>21</v>
      </c>
      <c r="J83" s="1" t="s">
        <v>232</v>
      </c>
      <c r="K83" s="1"/>
      <c r="L83" s="1" t="s">
        <v>15</v>
      </c>
      <c r="M83" s="1" t="s">
        <v>14</v>
      </c>
    </row>
    <row r="84" spans="1:13" x14ac:dyDescent="0.3">
      <c r="A84" s="1" t="s">
        <v>237</v>
      </c>
      <c r="B84" s="1" t="s">
        <v>238</v>
      </c>
      <c r="C84" s="1" t="s">
        <v>17</v>
      </c>
      <c r="D84" s="1" t="s">
        <v>18</v>
      </c>
      <c r="E84" s="1" t="s">
        <v>19</v>
      </c>
      <c r="F84" s="1" t="s">
        <v>23</v>
      </c>
      <c r="G84" s="1" t="s">
        <v>98</v>
      </c>
      <c r="H84" s="1" t="s">
        <v>231</v>
      </c>
      <c r="I84" s="1" t="s">
        <v>21</v>
      </c>
      <c r="J84" s="1" t="s">
        <v>232</v>
      </c>
      <c r="K84" s="1"/>
      <c r="L84" s="1" t="s">
        <v>15</v>
      </c>
      <c r="M84" s="1" t="s">
        <v>14</v>
      </c>
    </row>
    <row r="85" spans="1:13" x14ac:dyDescent="0.3">
      <c r="A85" s="1" t="s">
        <v>239</v>
      </c>
      <c r="B85" s="1" t="s">
        <v>240</v>
      </c>
      <c r="C85" s="1" t="s">
        <v>17</v>
      </c>
      <c r="D85" s="1" t="s">
        <v>42</v>
      </c>
      <c r="E85" s="1" t="s">
        <v>19</v>
      </c>
      <c r="F85" s="1" t="s">
        <v>43</v>
      </c>
      <c r="G85" s="1" t="s">
        <v>98</v>
      </c>
      <c r="H85" s="1" t="s">
        <v>231</v>
      </c>
      <c r="I85" s="1" t="s">
        <v>21</v>
      </c>
      <c r="J85" s="1" t="s">
        <v>232</v>
      </c>
      <c r="K85" s="1"/>
      <c r="L85" s="1" t="s">
        <v>15</v>
      </c>
      <c r="M85" s="1" t="s">
        <v>14</v>
      </c>
    </row>
    <row r="86" spans="1:13" x14ac:dyDescent="0.3">
      <c r="A86" s="1" t="s">
        <v>241</v>
      </c>
      <c r="B86" s="1" t="s">
        <v>242</v>
      </c>
      <c r="C86" s="1" t="s">
        <v>17</v>
      </c>
      <c r="D86" s="1" t="s">
        <v>26</v>
      </c>
      <c r="E86" s="1" t="s">
        <v>19</v>
      </c>
      <c r="F86" s="1" t="s">
        <v>27</v>
      </c>
      <c r="G86" s="1" t="s">
        <v>98</v>
      </c>
      <c r="H86" s="1" t="s">
        <v>231</v>
      </c>
      <c r="I86" s="1" t="s">
        <v>21</v>
      </c>
      <c r="J86" s="1" t="s">
        <v>232</v>
      </c>
      <c r="K86" s="1"/>
      <c r="L86" s="1" t="s">
        <v>15</v>
      </c>
      <c r="M86" s="1" t="s">
        <v>14</v>
      </c>
    </row>
    <row r="87" spans="1:13" x14ac:dyDescent="0.3">
      <c r="A87" s="1" t="s">
        <v>243</v>
      </c>
      <c r="B87" s="1" t="s">
        <v>244</v>
      </c>
      <c r="C87" s="1" t="s">
        <v>17</v>
      </c>
      <c r="D87" s="1" t="s">
        <v>48</v>
      </c>
      <c r="E87" s="1" t="s">
        <v>19</v>
      </c>
      <c r="F87" s="1" t="s">
        <v>49</v>
      </c>
      <c r="G87" s="1" t="s">
        <v>98</v>
      </c>
      <c r="H87" s="1" t="s">
        <v>231</v>
      </c>
      <c r="I87" s="1" t="s">
        <v>21</v>
      </c>
      <c r="J87" s="1" t="s">
        <v>232</v>
      </c>
      <c r="K87" s="1"/>
      <c r="L87" s="1" t="s">
        <v>15</v>
      </c>
      <c r="M87" s="1" t="s">
        <v>14</v>
      </c>
    </row>
    <row r="88" spans="1:13" x14ac:dyDescent="0.3">
      <c r="A88" s="1" t="s">
        <v>245</v>
      </c>
      <c r="B88" s="1" t="s">
        <v>246</v>
      </c>
      <c r="C88" s="1" t="s">
        <v>17</v>
      </c>
      <c r="D88" s="1" t="s">
        <v>30</v>
      </c>
      <c r="E88" s="1" t="s">
        <v>132</v>
      </c>
      <c r="F88" s="1" t="s">
        <v>133</v>
      </c>
      <c r="G88" s="1" t="s">
        <v>247</v>
      </c>
      <c r="H88" s="1" t="s">
        <v>247</v>
      </c>
      <c r="I88" s="1" t="s">
        <v>21</v>
      </c>
      <c r="J88" s="1" t="s">
        <v>248</v>
      </c>
      <c r="K88" s="1"/>
      <c r="L88" s="1" t="s">
        <v>15</v>
      </c>
      <c r="M88" s="1" t="s">
        <v>14</v>
      </c>
    </row>
    <row r="89" spans="1:13" x14ac:dyDescent="0.3">
      <c r="A89" s="1" t="s">
        <v>249</v>
      </c>
      <c r="B89" s="1" t="s">
        <v>250</v>
      </c>
      <c r="C89" s="1" t="s">
        <v>17</v>
      </c>
      <c r="D89" s="1" t="s">
        <v>30</v>
      </c>
      <c r="E89" s="1" t="s">
        <v>132</v>
      </c>
      <c r="F89" s="1" t="s">
        <v>133</v>
      </c>
      <c r="G89" s="1" t="s">
        <v>247</v>
      </c>
      <c r="H89" s="1" t="s">
        <v>247</v>
      </c>
      <c r="I89" s="1" t="s">
        <v>21</v>
      </c>
      <c r="J89" s="1" t="s">
        <v>248</v>
      </c>
      <c r="K89" s="1"/>
      <c r="L89" s="1" t="s">
        <v>15</v>
      </c>
      <c r="M89" s="1" t="s">
        <v>14</v>
      </c>
    </row>
    <row r="90" spans="1:13" x14ac:dyDescent="0.3">
      <c r="A90" s="1" t="s">
        <v>251</v>
      </c>
      <c r="B90" s="1" t="s">
        <v>252</v>
      </c>
      <c r="C90" s="1" t="s">
        <v>17</v>
      </c>
      <c r="D90" s="1" t="s">
        <v>18</v>
      </c>
      <c r="E90" s="1" t="s">
        <v>132</v>
      </c>
      <c r="F90" s="1" t="s">
        <v>136</v>
      </c>
      <c r="G90" s="1" t="s">
        <v>247</v>
      </c>
      <c r="H90" s="1" t="s">
        <v>247</v>
      </c>
      <c r="I90" s="1" t="s">
        <v>21</v>
      </c>
      <c r="J90" s="1" t="s">
        <v>248</v>
      </c>
      <c r="K90" s="1"/>
      <c r="L90" s="1" t="s">
        <v>15</v>
      </c>
      <c r="M90" s="1" t="s">
        <v>14</v>
      </c>
    </row>
    <row r="91" spans="1:13" x14ac:dyDescent="0.3">
      <c r="A91" s="1" t="s">
        <v>253</v>
      </c>
      <c r="B91" s="1" t="s">
        <v>254</v>
      </c>
      <c r="C91" s="1" t="s">
        <v>17</v>
      </c>
      <c r="D91" s="1" t="s">
        <v>18</v>
      </c>
      <c r="E91" s="1" t="s">
        <v>132</v>
      </c>
      <c r="F91" s="1" t="s">
        <v>136</v>
      </c>
      <c r="G91" s="1" t="s">
        <v>247</v>
      </c>
      <c r="H91" s="1" t="s">
        <v>247</v>
      </c>
      <c r="I91" s="1" t="s">
        <v>21</v>
      </c>
      <c r="J91" s="1" t="s">
        <v>248</v>
      </c>
      <c r="K91" s="1"/>
      <c r="L91" s="1" t="s">
        <v>15</v>
      </c>
      <c r="M91" s="1" t="s">
        <v>14</v>
      </c>
    </row>
    <row r="92" spans="1:13" x14ac:dyDescent="0.3">
      <c r="A92" s="1" t="s">
        <v>255</v>
      </c>
      <c r="B92" s="1" t="s">
        <v>256</v>
      </c>
      <c r="C92" s="1" t="s">
        <v>17</v>
      </c>
      <c r="D92" s="1" t="s">
        <v>42</v>
      </c>
      <c r="E92" s="1" t="s">
        <v>132</v>
      </c>
      <c r="F92" s="1" t="s">
        <v>139</v>
      </c>
      <c r="G92" s="1" t="s">
        <v>247</v>
      </c>
      <c r="H92" s="1" t="s">
        <v>247</v>
      </c>
      <c r="I92" s="1" t="s">
        <v>21</v>
      </c>
      <c r="J92" s="1" t="s">
        <v>248</v>
      </c>
      <c r="K92" s="1"/>
      <c r="L92" s="1" t="s">
        <v>15</v>
      </c>
      <c r="M92" s="1" t="s">
        <v>14</v>
      </c>
    </row>
    <row r="93" spans="1:13" x14ac:dyDescent="0.3">
      <c r="A93" s="1" t="s">
        <v>257</v>
      </c>
      <c r="B93" s="1" t="s">
        <v>258</v>
      </c>
      <c r="C93" s="1" t="s">
        <v>17</v>
      </c>
      <c r="D93" s="1" t="s">
        <v>42</v>
      </c>
      <c r="E93" s="1" t="s">
        <v>132</v>
      </c>
      <c r="F93" s="1" t="s">
        <v>139</v>
      </c>
      <c r="G93" s="1" t="s">
        <v>247</v>
      </c>
      <c r="H93" s="1" t="s">
        <v>247</v>
      </c>
      <c r="I93" s="1" t="s">
        <v>21</v>
      </c>
      <c r="J93" s="1" t="s">
        <v>248</v>
      </c>
      <c r="K93" s="1"/>
      <c r="L93" s="1" t="s">
        <v>15</v>
      </c>
      <c r="M93" s="1" t="s">
        <v>14</v>
      </c>
    </row>
    <row r="94" spans="1:13" x14ac:dyDescent="0.3">
      <c r="A94" s="1" t="s">
        <v>259</v>
      </c>
      <c r="B94" s="1" t="s">
        <v>260</v>
      </c>
      <c r="C94" s="1" t="s">
        <v>17</v>
      </c>
      <c r="D94" s="1" t="s">
        <v>26</v>
      </c>
      <c r="E94" s="1" t="s">
        <v>132</v>
      </c>
      <c r="F94" s="1" t="s">
        <v>142</v>
      </c>
      <c r="G94" s="1" t="s">
        <v>247</v>
      </c>
      <c r="H94" s="1" t="s">
        <v>247</v>
      </c>
      <c r="I94" s="1" t="s">
        <v>21</v>
      </c>
      <c r="J94" s="1" t="s">
        <v>248</v>
      </c>
      <c r="K94" s="1"/>
      <c r="L94" s="1" t="s">
        <v>15</v>
      </c>
      <c r="M94" s="1" t="s">
        <v>14</v>
      </c>
    </row>
    <row r="95" spans="1:13" x14ac:dyDescent="0.3">
      <c r="A95" s="1" t="s">
        <v>261</v>
      </c>
      <c r="B95" s="1" t="s">
        <v>262</v>
      </c>
      <c r="C95" s="1" t="s">
        <v>17</v>
      </c>
      <c r="D95" s="1" t="s">
        <v>26</v>
      </c>
      <c r="E95" s="1" t="s">
        <v>132</v>
      </c>
      <c r="F95" s="1" t="s">
        <v>142</v>
      </c>
      <c r="G95" s="1" t="s">
        <v>247</v>
      </c>
      <c r="H95" s="1" t="s">
        <v>247</v>
      </c>
      <c r="I95" s="1" t="s">
        <v>21</v>
      </c>
      <c r="J95" s="1" t="s">
        <v>248</v>
      </c>
      <c r="K95" s="1"/>
      <c r="L95" s="1" t="s">
        <v>15</v>
      </c>
      <c r="M95" s="1" t="s">
        <v>14</v>
      </c>
    </row>
    <row r="96" spans="1:13" x14ac:dyDescent="0.3">
      <c r="A96" s="1" t="s">
        <v>263</v>
      </c>
      <c r="B96" s="1" t="s">
        <v>264</v>
      </c>
      <c r="C96" s="1" t="s">
        <v>17</v>
      </c>
      <c r="D96" s="1" t="s">
        <v>36</v>
      </c>
      <c r="E96" s="1" t="s">
        <v>132</v>
      </c>
      <c r="F96" s="1" t="s">
        <v>148</v>
      </c>
      <c r="G96" s="1" t="s">
        <v>247</v>
      </c>
      <c r="H96" s="1" t="s">
        <v>265</v>
      </c>
      <c r="I96" s="1" t="s">
        <v>21</v>
      </c>
      <c r="J96" s="1" t="s">
        <v>248</v>
      </c>
      <c r="K96" s="1"/>
      <c r="L96" s="1" t="s">
        <v>15</v>
      </c>
      <c r="M96" s="1" t="s">
        <v>14</v>
      </c>
    </row>
    <row r="97" spans="1:13" x14ac:dyDescent="0.3">
      <c r="A97" s="1" t="s">
        <v>266</v>
      </c>
      <c r="B97" s="1" t="s">
        <v>267</v>
      </c>
      <c r="C97" s="1" t="s">
        <v>17</v>
      </c>
      <c r="D97" s="1" t="s">
        <v>36</v>
      </c>
      <c r="E97" s="1" t="s">
        <v>132</v>
      </c>
      <c r="F97" s="1" t="s">
        <v>148</v>
      </c>
      <c r="G97" s="1" t="s">
        <v>247</v>
      </c>
      <c r="H97" s="1" t="s">
        <v>265</v>
      </c>
      <c r="I97" s="1" t="s">
        <v>21</v>
      </c>
      <c r="J97" s="1" t="s">
        <v>248</v>
      </c>
      <c r="K97" s="1"/>
      <c r="L97" s="1" t="s">
        <v>15</v>
      </c>
      <c r="M97" s="1" t="s">
        <v>14</v>
      </c>
    </row>
    <row r="98" spans="1:13" x14ac:dyDescent="0.3">
      <c r="A98" s="1" t="s">
        <v>268</v>
      </c>
      <c r="B98" s="1" t="s">
        <v>269</v>
      </c>
      <c r="C98" s="1" t="s">
        <v>17</v>
      </c>
      <c r="D98" s="1" t="s">
        <v>52</v>
      </c>
      <c r="E98" s="1" t="s">
        <v>132</v>
      </c>
      <c r="F98" s="1" t="s">
        <v>151</v>
      </c>
      <c r="G98" s="1" t="s">
        <v>247</v>
      </c>
      <c r="H98" s="1" t="s">
        <v>270</v>
      </c>
      <c r="I98" s="1" t="s">
        <v>21</v>
      </c>
      <c r="J98" s="1" t="s">
        <v>248</v>
      </c>
      <c r="K98" s="1"/>
      <c r="L98" s="1" t="s">
        <v>15</v>
      </c>
      <c r="M98" s="1" t="s">
        <v>14</v>
      </c>
    </row>
    <row r="99" spans="1:13" x14ac:dyDescent="0.3">
      <c r="A99" s="1" t="s">
        <v>271</v>
      </c>
      <c r="B99" s="1" t="s">
        <v>272</v>
      </c>
      <c r="C99" s="1" t="s">
        <v>17</v>
      </c>
      <c r="D99" s="1" t="s">
        <v>52</v>
      </c>
      <c r="E99" s="1" t="s">
        <v>132</v>
      </c>
      <c r="F99" s="1" t="s">
        <v>151</v>
      </c>
      <c r="G99" s="1" t="s">
        <v>247</v>
      </c>
      <c r="H99" s="1" t="s">
        <v>273</v>
      </c>
      <c r="I99" s="1" t="s">
        <v>21</v>
      </c>
      <c r="J99" s="1" t="s">
        <v>248</v>
      </c>
      <c r="K99" s="1"/>
      <c r="L99" s="1" t="s">
        <v>15</v>
      </c>
      <c r="M99" s="1" t="s">
        <v>14</v>
      </c>
    </row>
    <row r="100" spans="1:13" x14ac:dyDescent="0.3">
      <c r="A100" s="1" t="s">
        <v>274</v>
      </c>
      <c r="B100" s="1" t="s">
        <v>275</v>
      </c>
      <c r="C100" s="1" t="s">
        <v>17</v>
      </c>
      <c r="D100" s="1" t="s">
        <v>48</v>
      </c>
      <c r="E100" s="1" t="s">
        <v>132</v>
      </c>
      <c r="F100" s="1" t="s">
        <v>162</v>
      </c>
      <c r="G100" s="1" t="s">
        <v>247</v>
      </c>
      <c r="H100" s="1" t="s">
        <v>276</v>
      </c>
      <c r="I100" s="1" t="s">
        <v>21</v>
      </c>
      <c r="J100" s="1" t="s">
        <v>248</v>
      </c>
      <c r="K100" s="1"/>
      <c r="L100" s="1" t="s">
        <v>15</v>
      </c>
      <c r="M100" s="1" t="s">
        <v>14</v>
      </c>
    </row>
    <row r="101" spans="1:13" x14ac:dyDescent="0.3">
      <c r="A101" s="1" t="s">
        <v>277</v>
      </c>
      <c r="B101" s="1" t="s">
        <v>278</v>
      </c>
      <c r="C101" s="1" t="s">
        <v>17</v>
      </c>
      <c r="D101" s="1" t="s">
        <v>48</v>
      </c>
      <c r="E101" s="1" t="s">
        <v>132</v>
      </c>
      <c r="F101" s="1" t="s">
        <v>162</v>
      </c>
      <c r="G101" s="1" t="s">
        <v>247</v>
      </c>
      <c r="H101" s="1" t="s">
        <v>276</v>
      </c>
      <c r="I101" s="1" t="s">
        <v>21</v>
      </c>
      <c r="J101" s="1" t="s">
        <v>248</v>
      </c>
      <c r="K101" s="1"/>
      <c r="L101" s="1" t="s">
        <v>15</v>
      </c>
      <c r="M101" s="1" t="s">
        <v>14</v>
      </c>
    </row>
    <row r="102" spans="1:13" x14ac:dyDescent="0.3">
      <c r="A102" s="1" t="s">
        <v>279</v>
      </c>
      <c r="B102" s="1" t="s">
        <v>280</v>
      </c>
      <c r="C102" s="1" t="s">
        <v>17</v>
      </c>
      <c r="D102" s="1" t="s">
        <v>30</v>
      </c>
      <c r="E102" s="1" t="s">
        <v>19</v>
      </c>
      <c r="F102" s="1" t="s">
        <v>33</v>
      </c>
      <c r="G102" s="1" t="s">
        <v>98</v>
      </c>
      <c r="H102" s="1" t="s">
        <v>281</v>
      </c>
      <c r="I102" s="1" t="s">
        <v>21</v>
      </c>
      <c r="J102" s="1" t="s">
        <v>282</v>
      </c>
      <c r="K102" s="1"/>
      <c r="L102" s="1" t="s">
        <v>15</v>
      </c>
      <c r="M102" s="1" t="s">
        <v>14</v>
      </c>
    </row>
    <row r="103" spans="1:13" x14ac:dyDescent="0.3">
      <c r="A103" s="1" t="s">
        <v>283</v>
      </c>
      <c r="B103" s="1" t="s">
        <v>284</v>
      </c>
      <c r="C103" s="1" t="s">
        <v>17</v>
      </c>
      <c r="D103" s="1" t="s">
        <v>26</v>
      </c>
      <c r="E103" s="1" t="s">
        <v>19</v>
      </c>
      <c r="F103" s="1" t="s">
        <v>27</v>
      </c>
      <c r="G103" s="1" t="s">
        <v>98</v>
      </c>
      <c r="H103" s="1" t="s">
        <v>285</v>
      </c>
      <c r="I103" s="1" t="s">
        <v>21</v>
      </c>
      <c r="J103" s="1" t="s">
        <v>282</v>
      </c>
      <c r="K103" s="1"/>
      <c r="L103" s="1" t="s">
        <v>15</v>
      </c>
      <c r="M103" s="1" t="s">
        <v>14</v>
      </c>
    </row>
    <row r="104" spans="1:13" x14ac:dyDescent="0.3">
      <c r="A104" s="1" t="s">
        <v>286</v>
      </c>
      <c r="B104" s="1" t="s">
        <v>287</v>
      </c>
      <c r="C104" s="1" t="s">
        <v>17</v>
      </c>
      <c r="D104" s="1" t="s">
        <v>36</v>
      </c>
      <c r="E104" s="1" t="s">
        <v>19</v>
      </c>
      <c r="F104" s="1" t="s">
        <v>37</v>
      </c>
      <c r="G104" s="1" t="s">
        <v>98</v>
      </c>
      <c r="H104" s="1" t="s">
        <v>285</v>
      </c>
      <c r="I104" s="1" t="s">
        <v>21</v>
      </c>
      <c r="J104" s="1" t="s">
        <v>282</v>
      </c>
      <c r="K104" s="1"/>
      <c r="L104" s="1" t="s">
        <v>15</v>
      </c>
      <c r="M104" s="1" t="s">
        <v>14</v>
      </c>
    </row>
    <row r="105" spans="1:13" x14ac:dyDescent="0.3">
      <c r="A105" s="1" t="s">
        <v>288</v>
      </c>
      <c r="B105" s="1" t="s">
        <v>289</v>
      </c>
      <c r="C105" s="1" t="s">
        <v>17</v>
      </c>
      <c r="D105" s="1" t="s">
        <v>52</v>
      </c>
      <c r="E105" s="1" t="s">
        <v>19</v>
      </c>
      <c r="F105" s="1" t="s">
        <v>53</v>
      </c>
      <c r="G105" s="1" t="s">
        <v>98</v>
      </c>
      <c r="H105" s="1" t="s">
        <v>285</v>
      </c>
      <c r="I105" s="1" t="s">
        <v>21</v>
      </c>
      <c r="J105" s="1" t="s">
        <v>282</v>
      </c>
      <c r="K105" s="1"/>
      <c r="L105" s="1" t="s">
        <v>15</v>
      </c>
      <c r="M105" s="1" t="s">
        <v>14</v>
      </c>
    </row>
    <row r="106" spans="1:13" x14ac:dyDescent="0.3">
      <c r="A106" s="1" t="s">
        <v>290</v>
      </c>
      <c r="B106" s="1" t="s">
        <v>291</v>
      </c>
      <c r="C106" s="1" t="s">
        <v>17</v>
      </c>
      <c r="D106" s="1" t="s">
        <v>48</v>
      </c>
      <c r="E106" s="1" t="s">
        <v>19</v>
      </c>
      <c r="F106" s="1" t="s">
        <v>49</v>
      </c>
      <c r="G106" s="1" t="s">
        <v>98</v>
      </c>
      <c r="H106" s="1" t="s">
        <v>285</v>
      </c>
      <c r="I106" s="1" t="s">
        <v>21</v>
      </c>
      <c r="J106" s="1" t="s">
        <v>282</v>
      </c>
      <c r="K106" s="1"/>
      <c r="L106" s="1" t="s">
        <v>15</v>
      </c>
      <c r="M106" s="1" t="s">
        <v>14</v>
      </c>
    </row>
    <row r="107" spans="1:13" x14ac:dyDescent="0.3">
      <c r="A107" s="1" t="s">
        <v>292</v>
      </c>
      <c r="B107" s="1" t="s">
        <v>293</v>
      </c>
      <c r="C107" s="1" t="s">
        <v>17</v>
      </c>
      <c r="D107" s="1" t="s">
        <v>42</v>
      </c>
      <c r="E107" s="1" t="s">
        <v>19</v>
      </c>
      <c r="F107" s="1" t="s">
        <v>43</v>
      </c>
      <c r="G107" s="1" t="s">
        <v>98</v>
      </c>
      <c r="H107" s="1" t="s">
        <v>285</v>
      </c>
      <c r="I107" s="1" t="s">
        <v>21</v>
      </c>
      <c r="J107" s="1" t="s">
        <v>282</v>
      </c>
      <c r="K107" s="1"/>
      <c r="L107" s="1" t="s">
        <v>15</v>
      </c>
      <c r="M107" s="1" t="s">
        <v>14</v>
      </c>
    </row>
    <row r="108" spans="1:13" x14ac:dyDescent="0.3">
      <c r="A108" s="1" t="s">
        <v>294</v>
      </c>
      <c r="B108" s="1" t="s">
        <v>295</v>
      </c>
      <c r="C108" s="1" t="s">
        <v>17</v>
      </c>
      <c r="D108" s="1" t="s">
        <v>18</v>
      </c>
      <c r="E108" s="1" t="s">
        <v>19</v>
      </c>
      <c r="F108" s="1" t="s">
        <v>23</v>
      </c>
      <c r="G108" s="1" t="s">
        <v>98</v>
      </c>
      <c r="H108" s="1" t="s">
        <v>285</v>
      </c>
      <c r="I108" s="1" t="s">
        <v>21</v>
      </c>
      <c r="J108" s="1" t="s">
        <v>282</v>
      </c>
      <c r="K108" s="1"/>
      <c r="L108" s="1" t="s">
        <v>15</v>
      </c>
      <c r="M108" s="1" t="s">
        <v>14</v>
      </c>
    </row>
    <row r="109" spans="1:13" x14ac:dyDescent="0.3">
      <c r="A109" s="1" t="s">
        <v>296</v>
      </c>
      <c r="B109" s="1" t="s">
        <v>297</v>
      </c>
      <c r="C109" s="1" t="s">
        <v>17</v>
      </c>
      <c r="D109" s="1" t="s">
        <v>36</v>
      </c>
      <c r="E109" s="1" t="s">
        <v>132</v>
      </c>
      <c r="F109" s="1" t="s">
        <v>148</v>
      </c>
      <c r="G109" s="1" t="s">
        <v>98</v>
      </c>
      <c r="H109" s="1" t="s">
        <v>298</v>
      </c>
      <c r="I109" s="1" t="s">
        <v>21</v>
      </c>
      <c r="J109" s="1" t="s">
        <v>299</v>
      </c>
      <c r="K109" s="1"/>
      <c r="L109" s="1" t="s">
        <v>15</v>
      </c>
      <c r="M109" s="1" t="s">
        <v>14</v>
      </c>
    </row>
    <row r="110" spans="1:13" x14ac:dyDescent="0.3">
      <c r="A110" s="1" t="s">
        <v>300</v>
      </c>
      <c r="B110" s="1" t="s">
        <v>301</v>
      </c>
      <c r="C110" s="1" t="s">
        <v>17</v>
      </c>
      <c r="D110" s="1" t="s">
        <v>52</v>
      </c>
      <c r="E110" s="1" t="s">
        <v>132</v>
      </c>
      <c r="F110" s="1" t="s">
        <v>151</v>
      </c>
      <c r="G110" s="1" t="s">
        <v>98</v>
      </c>
      <c r="H110" s="1" t="s">
        <v>298</v>
      </c>
      <c r="I110" s="1" t="s">
        <v>21</v>
      </c>
      <c r="J110" s="1" t="s">
        <v>299</v>
      </c>
      <c r="K110" s="1"/>
      <c r="L110" s="1" t="s">
        <v>15</v>
      </c>
      <c r="M110" s="1" t="s">
        <v>14</v>
      </c>
    </row>
    <row r="111" spans="1:13" x14ac:dyDescent="0.3">
      <c r="A111" s="1" t="s">
        <v>302</v>
      </c>
      <c r="B111" s="1" t="s">
        <v>303</v>
      </c>
      <c r="C111" s="1" t="s">
        <v>17</v>
      </c>
      <c r="D111" s="1" t="s">
        <v>48</v>
      </c>
      <c r="E111" s="1" t="s">
        <v>132</v>
      </c>
      <c r="F111" s="1" t="s">
        <v>162</v>
      </c>
      <c r="G111" s="1" t="s">
        <v>98</v>
      </c>
      <c r="H111" s="1" t="s">
        <v>298</v>
      </c>
      <c r="I111" s="1" t="s">
        <v>21</v>
      </c>
      <c r="J111" s="1" t="s">
        <v>299</v>
      </c>
      <c r="K111" s="1"/>
      <c r="L111" s="1" t="s">
        <v>15</v>
      </c>
      <c r="M111" s="1" t="s">
        <v>14</v>
      </c>
    </row>
    <row r="112" spans="1:13" x14ac:dyDescent="0.3">
      <c r="A112" s="1" t="s">
        <v>304</v>
      </c>
      <c r="B112" s="1" t="s">
        <v>305</v>
      </c>
      <c r="C112" s="1" t="s">
        <v>17</v>
      </c>
      <c r="D112" s="1" t="s">
        <v>30</v>
      </c>
      <c r="E112" s="1" t="s">
        <v>132</v>
      </c>
      <c r="F112" s="1" t="s">
        <v>133</v>
      </c>
      <c r="G112" s="1" t="s">
        <v>98</v>
      </c>
      <c r="H112" s="1" t="s">
        <v>298</v>
      </c>
      <c r="I112" s="1" t="s">
        <v>21</v>
      </c>
      <c r="J112" s="1" t="s">
        <v>299</v>
      </c>
      <c r="K112" s="1"/>
      <c r="L112" s="1" t="s">
        <v>15</v>
      </c>
      <c r="M112" s="1" t="s">
        <v>14</v>
      </c>
    </row>
    <row r="113" spans="1:13" x14ac:dyDescent="0.3">
      <c r="A113" s="1" t="s">
        <v>306</v>
      </c>
      <c r="B113" s="1" t="s">
        <v>307</v>
      </c>
      <c r="C113" s="1" t="s">
        <v>17</v>
      </c>
      <c r="D113" s="1" t="s">
        <v>18</v>
      </c>
      <c r="E113" s="1" t="s">
        <v>132</v>
      </c>
      <c r="F113" s="1" t="s">
        <v>136</v>
      </c>
      <c r="G113" s="1" t="s">
        <v>98</v>
      </c>
      <c r="H113" s="1" t="s">
        <v>298</v>
      </c>
      <c r="I113" s="1" t="s">
        <v>21</v>
      </c>
      <c r="J113" s="1" t="s">
        <v>299</v>
      </c>
      <c r="K113" s="1"/>
      <c r="L113" s="1" t="s">
        <v>15</v>
      </c>
      <c r="M113" s="1" t="s">
        <v>14</v>
      </c>
    </row>
    <row r="114" spans="1:13" x14ac:dyDescent="0.3">
      <c r="A114" s="1" t="s">
        <v>308</v>
      </c>
      <c r="B114" s="1" t="s">
        <v>309</v>
      </c>
      <c r="C114" s="1" t="s">
        <v>17</v>
      </c>
      <c r="D114" s="1" t="s">
        <v>42</v>
      </c>
      <c r="E114" s="1" t="s">
        <v>132</v>
      </c>
      <c r="F114" s="1" t="s">
        <v>139</v>
      </c>
      <c r="G114" s="1" t="s">
        <v>98</v>
      </c>
      <c r="H114" s="1" t="s">
        <v>298</v>
      </c>
      <c r="I114" s="1" t="s">
        <v>21</v>
      </c>
      <c r="J114" s="1" t="s">
        <v>299</v>
      </c>
      <c r="K114" s="1"/>
      <c r="L114" s="1" t="s">
        <v>15</v>
      </c>
      <c r="M114" s="1" t="s">
        <v>14</v>
      </c>
    </row>
    <row r="115" spans="1:13" x14ac:dyDescent="0.3">
      <c r="A115" s="1" t="s">
        <v>310</v>
      </c>
      <c r="B115" s="1" t="s">
        <v>311</v>
      </c>
      <c r="C115" s="1" t="s">
        <v>17</v>
      </c>
      <c r="D115" s="1" t="s">
        <v>26</v>
      </c>
      <c r="E115" s="1" t="s">
        <v>132</v>
      </c>
      <c r="F115" s="1" t="s">
        <v>142</v>
      </c>
      <c r="G115" s="1" t="s">
        <v>98</v>
      </c>
      <c r="H115" s="1" t="s">
        <v>298</v>
      </c>
      <c r="I115" s="1" t="s">
        <v>21</v>
      </c>
      <c r="J115" s="1" t="s">
        <v>299</v>
      </c>
      <c r="K115" s="1"/>
      <c r="L115" s="1" t="s">
        <v>15</v>
      </c>
      <c r="M115" s="1" t="s">
        <v>14</v>
      </c>
    </row>
    <row r="116" spans="1:13" x14ac:dyDescent="0.3">
      <c r="A116" s="1" t="s">
        <v>312</v>
      </c>
      <c r="B116" s="1" t="s">
        <v>313</v>
      </c>
      <c r="C116" s="1" t="s">
        <v>17</v>
      </c>
      <c r="D116" s="1" t="s">
        <v>30</v>
      </c>
      <c r="E116" s="1" t="s">
        <v>132</v>
      </c>
      <c r="F116" s="1" t="s">
        <v>133</v>
      </c>
      <c r="G116" s="1" t="s">
        <v>98</v>
      </c>
      <c r="H116" s="1" t="s">
        <v>314</v>
      </c>
      <c r="I116" s="1" t="s">
        <v>21</v>
      </c>
      <c r="J116" s="1" t="s">
        <v>315</v>
      </c>
      <c r="K116" s="1"/>
      <c r="L116" s="1" t="s">
        <v>15</v>
      </c>
      <c r="M116" s="1" t="s">
        <v>14</v>
      </c>
    </row>
    <row r="117" spans="1:13" x14ac:dyDescent="0.3">
      <c r="A117" s="1" t="s">
        <v>316</v>
      </c>
      <c r="B117" s="1" t="s">
        <v>317</v>
      </c>
      <c r="C117" s="1" t="s">
        <v>17</v>
      </c>
      <c r="D117" s="1" t="s">
        <v>18</v>
      </c>
      <c r="E117" s="1" t="s">
        <v>132</v>
      </c>
      <c r="F117" s="1" t="s">
        <v>136</v>
      </c>
      <c r="G117" s="1" t="s">
        <v>98</v>
      </c>
      <c r="H117" s="1" t="s">
        <v>314</v>
      </c>
      <c r="I117" s="1" t="s">
        <v>21</v>
      </c>
      <c r="J117" s="1" t="s">
        <v>315</v>
      </c>
      <c r="K117" s="1"/>
      <c r="L117" s="1" t="s">
        <v>15</v>
      </c>
      <c r="M117" s="1" t="s">
        <v>14</v>
      </c>
    </row>
    <row r="118" spans="1:13" x14ac:dyDescent="0.3">
      <c r="A118" s="1" t="s">
        <v>318</v>
      </c>
      <c r="B118" s="1" t="s">
        <v>319</v>
      </c>
      <c r="C118" s="1" t="s">
        <v>17</v>
      </c>
      <c r="D118" s="1" t="s">
        <v>42</v>
      </c>
      <c r="E118" s="1" t="s">
        <v>132</v>
      </c>
      <c r="F118" s="1" t="s">
        <v>139</v>
      </c>
      <c r="G118" s="1" t="s">
        <v>98</v>
      </c>
      <c r="H118" s="1" t="s">
        <v>314</v>
      </c>
      <c r="I118" s="1" t="s">
        <v>21</v>
      </c>
      <c r="J118" s="1" t="s">
        <v>315</v>
      </c>
      <c r="K118" s="1"/>
      <c r="L118" s="1" t="s">
        <v>15</v>
      </c>
      <c r="M118" s="1" t="s">
        <v>14</v>
      </c>
    </row>
    <row r="119" spans="1:13" x14ac:dyDescent="0.3">
      <c r="A119" s="1" t="s">
        <v>320</v>
      </c>
      <c r="B119" s="1" t="s">
        <v>321</v>
      </c>
      <c r="C119" s="1" t="s">
        <v>17</v>
      </c>
      <c r="D119" s="1" t="s">
        <v>26</v>
      </c>
      <c r="E119" s="1" t="s">
        <v>132</v>
      </c>
      <c r="F119" s="1" t="s">
        <v>142</v>
      </c>
      <c r="G119" s="1" t="s">
        <v>98</v>
      </c>
      <c r="H119" s="1" t="s">
        <v>314</v>
      </c>
      <c r="I119" s="1" t="s">
        <v>21</v>
      </c>
      <c r="J119" s="1" t="s">
        <v>315</v>
      </c>
      <c r="K119" s="1"/>
      <c r="L119" s="1" t="s">
        <v>15</v>
      </c>
      <c r="M119" s="1" t="s">
        <v>14</v>
      </c>
    </row>
    <row r="120" spans="1:13" x14ac:dyDescent="0.3">
      <c r="A120" s="1" t="s">
        <v>322</v>
      </c>
      <c r="B120" s="1" t="s">
        <v>323</v>
      </c>
      <c r="C120" s="1" t="s">
        <v>17</v>
      </c>
      <c r="D120" s="1" t="s">
        <v>36</v>
      </c>
      <c r="E120" s="1" t="s">
        <v>132</v>
      </c>
      <c r="F120" s="1" t="s">
        <v>148</v>
      </c>
      <c r="G120" s="1" t="s">
        <v>98</v>
      </c>
      <c r="H120" s="1" t="s">
        <v>324</v>
      </c>
      <c r="I120" s="1" t="s">
        <v>21</v>
      </c>
      <c r="J120" s="1" t="s">
        <v>325</v>
      </c>
      <c r="K120" s="1"/>
      <c r="L120" s="1" t="s">
        <v>15</v>
      </c>
      <c r="M120" s="1" t="s">
        <v>14</v>
      </c>
    </row>
    <row r="121" spans="1:13" x14ac:dyDescent="0.3">
      <c r="A121" s="1" t="s">
        <v>326</v>
      </c>
      <c r="B121" s="1" t="s">
        <v>327</v>
      </c>
      <c r="C121" s="1" t="s">
        <v>17</v>
      </c>
      <c r="D121" s="1" t="s">
        <v>52</v>
      </c>
      <c r="E121" s="1" t="s">
        <v>132</v>
      </c>
      <c r="F121" s="1" t="s">
        <v>151</v>
      </c>
      <c r="G121" s="1" t="s">
        <v>98</v>
      </c>
      <c r="H121" s="1" t="s">
        <v>324</v>
      </c>
      <c r="I121" s="1" t="s">
        <v>21</v>
      </c>
      <c r="J121" s="1" t="s">
        <v>325</v>
      </c>
      <c r="K121" s="1"/>
      <c r="L121" s="1" t="s">
        <v>15</v>
      </c>
      <c r="M121" s="1" t="s">
        <v>14</v>
      </c>
    </row>
    <row r="122" spans="1:13" x14ac:dyDescent="0.3">
      <c r="A122" s="1" t="s">
        <v>328</v>
      </c>
      <c r="B122" s="1" t="s">
        <v>329</v>
      </c>
      <c r="C122" s="1" t="s">
        <v>17</v>
      </c>
      <c r="D122" s="1" t="s">
        <v>48</v>
      </c>
      <c r="E122" s="1" t="s">
        <v>132</v>
      </c>
      <c r="F122" s="1" t="s">
        <v>162</v>
      </c>
      <c r="G122" s="1" t="s">
        <v>98</v>
      </c>
      <c r="H122" s="1" t="s">
        <v>324</v>
      </c>
      <c r="I122" s="1" t="s">
        <v>21</v>
      </c>
      <c r="J122" s="1" t="s">
        <v>325</v>
      </c>
      <c r="K122" s="1"/>
      <c r="L122" s="1" t="s">
        <v>15</v>
      </c>
      <c r="M122" s="1" t="s">
        <v>14</v>
      </c>
    </row>
    <row r="123" spans="1:13" x14ac:dyDescent="0.3">
      <c r="A123" s="1" t="s">
        <v>330</v>
      </c>
      <c r="B123" s="1" t="s">
        <v>331</v>
      </c>
      <c r="C123" s="1" t="s">
        <v>17</v>
      </c>
      <c r="D123" s="1" t="s">
        <v>30</v>
      </c>
      <c r="E123" s="1" t="s">
        <v>132</v>
      </c>
      <c r="F123" s="1" t="s">
        <v>133</v>
      </c>
      <c r="G123" s="1" t="s">
        <v>98</v>
      </c>
      <c r="H123" s="1" t="s">
        <v>324</v>
      </c>
      <c r="I123" s="1" t="s">
        <v>21</v>
      </c>
      <c r="J123" s="1" t="s">
        <v>325</v>
      </c>
      <c r="K123" s="1"/>
      <c r="L123" s="1" t="s">
        <v>15</v>
      </c>
      <c r="M123" s="1" t="s">
        <v>14</v>
      </c>
    </row>
    <row r="124" spans="1:13" x14ac:dyDescent="0.3">
      <c r="A124" s="1" t="s">
        <v>332</v>
      </c>
      <c r="B124" s="1" t="s">
        <v>333</v>
      </c>
      <c r="C124" s="1" t="s">
        <v>17</v>
      </c>
      <c r="D124" s="1" t="s">
        <v>18</v>
      </c>
      <c r="E124" s="1" t="s">
        <v>132</v>
      </c>
      <c r="F124" s="1" t="s">
        <v>136</v>
      </c>
      <c r="G124" s="1" t="s">
        <v>98</v>
      </c>
      <c r="H124" s="1" t="s">
        <v>324</v>
      </c>
      <c r="I124" s="1" t="s">
        <v>21</v>
      </c>
      <c r="J124" s="1" t="s">
        <v>325</v>
      </c>
      <c r="K124" s="1"/>
      <c r="L124" s="1" t="s">
        <v>15</v>
      </c>
      <c r="M124" s="1" t="s">
        <v>14</v>
      </c>
    </row>
    <row r="125" spans="1:13" x14ac:dyDescent="0.3">
      <c r="A125" s="1" t="s">
        <v>334</v>
      </c>
      <c r="B125" s="1" t="s">
        <v>335</v>
      </c>
      <c r="C125" s="1" t="s">
        <v>17</v>
      </c>
      <c r="D125" s="1" t="s">
        <v>42</v>
      </c>
      <c r="E125" s="1" t="s">
        <v>132</v>
      </c>
      <c r="F125" s="1" t="s">
        <v>139</v>
      </c>
      <c r="G125" s="1" t="s">
        <v>98</v>
      </c>
      <c r="H125" s="1" t="s">
        <v>324</v>
      </c>
      <c r="I125" s="1" t="s">
        <v>21</v>
      </c>
      <c r="J125" s="1" t="s">
        <v>325</v>
      </c>
      <c r="K125" s="1"/>
      <c r="L125" s="1" t="s">
        <v>15</v>
      </c>
      <c r="M125" s="1" t="s">
        <v>14</v>
      </c>
    </row>
    <row r="126" spans="1:13" x14ac:dyDescent="0.3">
      <c r="A126" s="1" t="s">
        <v>336</v>
      </c>
      <c r="B126" s="1" t="s">
        <v>337</v>
      </c>
      <c r="C126" s="1" t="s">
        <v>17</v>
      </c>
      <c r="D126" s="1" t="s">
        <v>26</v>
      </c>
      <c r="E126" s="1" t="s">
        <v>132</v>
      </c>
      <c r="F126" s="1" t="s">
        <v>142</v>
      </c>
      <c r="G126" s="1" t="s">
        <v>98</v>
      </c>
      <c r="H126" s="1" t="s">
        <v>324</v>
      </c>
      <c r="I126" s="1" t="s">
        <v>21</v>
      </c>
      <c r="J126" s="1" t="s">
        <v>325</v>
      </c>
      <c r="K126" s="1"/>
      <c r="L126" s="1" t="s">
        <v>15</v>
      </c>
      <c r="M126" s="1" t="s">
        <v>14</v>
      </c>
    </row>
    <row r="127" spans="1:13" x14ac:dyDescent="0.3">
      <c r="A127" s="1" t="s">
        <v>338</v>
      </c>
      <c r="B127" s="1" t="s">
        <v>339</v>
      </c>
      <c r="C127" s="1" t="s">
        <v>17</v>
      </c>
      <c r="D127" s="1" t="s">
        <v>36</v>
      </c>
      <c r="E127" s="1" t="s">
        <v>132</v>
      </c>
      <c r="F127" s="1" t="s">
        <v>148</v>
      </c>
      <c r="G127" s="1" t="s">
        <v>145</v>
      </c>
      <c r="H127" s="1" t="s">
        <v>340</v>
      </c>
      <c r="I127" s="1" t="s">
        <v>21</v>
      </c>
      <c r="J127" s="1" t="s">
        <v>341</v>
      </c>
      <c r="K127" s="1"/>
      <c r="L127" s="1" t="s">
        <v>15</v>
      </c>
      <c r="M127" s="1" t="s">
        <v>14</v>
      </c>
    </row>
    <row r="128" spans="1:13" x14ac:dyDescent="0.3">
      <c r="A128" s="1" t="s">
        <v>342</v>
      </c>
      <c r="B128" s="1" t="s">
        <v>343</v>
      </c>
      <c r="C128" s="1" t="s">
        <v>17</v>
      </c>
      <c r="D128" s="1" t="s">
        <v>48</v>
      </c>
      <c r="E128" s="1" t="s">
        <v>132</v>
      </c>
      <c r="F128" s="1" t="s">
        <v>162</v>
      </c>
      <c r="G128" s="1" t="s">
        <v>145</v>
      </c>
      <c r="H128" s="1" t="s">
        <v>340</v>
      </c>
      <c r="I128" s="1" t="s">
        <v>21</v>
      </c>
      <c r="J128" s="1" t="s">
        <v>341</v>
      </c>
      <c r="K128" s="1"/>
      <c r="L128" s="1" t="s">
        <v>15</v>
      </c>
      <c r="M128" s="1" t="s">
        <v>14</v>
      </c>
    </row>
    <row r="129" spans="1:13" x14ac:dyDescent="0.3">
      <c r="A129" s="1" t="s">
        <v>344</v>
      </c>
      <c r="B129" s="1" t="s">
        <v>345</v>
      </c>
      <c r="C129" s="1" t="s">
        <v>17</v>
      </c>
      <c r="D129" s="1" t="s">
        <v>30</v>
      </c>
      <c r="E129" s="1" t="s">
        <v>132</v>
      </c>
      <c r="F129" s="1" t="s">
        <v>133</v>
      </c>
      <c r="G129" s="1" t="s">
        <v>145</v>
      </c>
      <c r="H129" s="1" t="s">
        <v>340</v>
      </c>
      <c r="I129" s="1" t="s">
        <v>21</v>
      </c>
      <c r="J129" s="1" t="s">
        <v>341</v>
      </c>
      <c r="K129" s="1"/>
      <c r="L129" s="1" t="s">
        <v>15</v>
      </c>
      <c r="M129" s="1" t="s">
        <v>14</v>
      </c>
    </row>
    <row r="130" spans="1:13" x14ac:dyDescent="0.3">
      <c r="A130" s="1" t="s">
        <v>346</v>
      </c>
      <c r="B130" s="1" t="s">
        <v>347</v>
      </c>
      <c r="C130" s="1" t="s">
        <v>17</v>
      </c>
      <c r="D130" s="1" t="s">
        <v>18</v>
      </c>
      <c r="E130" s="1" t="s">
        <v>132</v>
      </c>
      <c r="F130" s="1" t="s">
        <v>136</v>
      </c>
      <c r="G130" s="1" t="s">
        <v>145</v>
      </c>
      <c r="H130" s="1" t="s">
        <v>340</v>
      </c>
      <c r="I130" s="1" t="s">
        <v>21</v>
      </c>
      <c r="J130" s="1" t="s">
        <v>341</v>
      </c>
      <c r="K130" s="1"/>
      <c r="L130" s="1" t="s">
        <v>15</v>
      </c>
      <c r="M130" s="1" t="s">
        <v>14</v>
      </c>
    </row>
    <row r="131" spans="1:13" x14ac:dyDescent="0.3">
      <c r="A131" s="1" t="s">
        <v>348</v>
      </c>
      <c r="B131" s="1" t="s">
        <v>349</v>
      </c>
      <c r="C131" s="1" t="s">
        <v>17</v>
      </c>
      <c r="D131" s="1" t="s">
        <v>42</v>
      </c>
      <c r="E131" s="1" t="s">
        <v>132</v>
      </c>
      <c r="F131" s="1" t="s">
        <v>139</v>
      </c>
      <c r="G131" s="1" t="s">
        <v>145</v>
      </c>
      <c r="H131" s="1" t="s">
        <v>340</v>
      </c>
      <c r="I131" s="1" t="s">
        <v>21</v>
      </c>
      <c r="J131" s="1" t="s">
        <v>341</v>
      </c>
      <c r="K131" s="1"/>
      <c r="L131" s="1" t="s">
        <v>15</v>
      </c>
      <c r="M131" s="1" t="s">
        <v>14</v>
      </c>
    </row>
    <row r="132" spans="1:13" x14ac:dyDescent="0.3">
      <c r="A132" s="1" t="s">
        <v>350</v>
      </c>
      <c r="B132" s="1" t="s">
        <v>351</v>
      </c>
      <c r="C132" s="1" t="s">
        <v>17</v>
      </c>
      <c r="D132" s="1" t="s">
        <v>26</v>
      </c>
      <c r="E132" s="1" t="s">
        <v>132</v>
      </c>
      <c r="F132" s="1" t="s">
        <v>142</v>
      </c>
      <c r="G132" s="1" t="s">
        <v>145</v>
      </c>
      <c r="H132" s="1" t="s">
        <v>340</v>
      </c>
      <c r="I132" s="1" t="s">
        <v>21</v>
      </c>
      <c r="J132" s="1" t="s">
        <v>341</v>
      </c>
      <c r="K132" s="1"/>
      <c r="L132" s="1" t="s">
        <v>15</v>
      </c>
      <c r="M132" s="1" t="s">
        <v>14</v>
      </c>
    </row>
    <row r="133" spans="1:13" x14ac:dyDescent="0.3">
      <c r="A133" s="1" t="s">
        <v>352</v>
      </c>
      <c r="B133" s="1" t="s">
        <v>353</v>
      </c>
      <c r="C133" s="1" t="s">
        <v>17</v>
      </c>
      <c r="D133" s="1" t="s">
        <v>52</v>
      </c>
      <c r="E133" s="1" t="s">
        <v>132</v>
      </c>
      <c r="F133" s="1" t="s">
        <v>151</v>
      </c>
      <c r="G133" s="1" t="s">
        <v>145</v>
      </c>
      <c r="H133" s="1" t="s">
        <v>340</v>
      </c>
      <c r="I133" s="1" t="s">
        <v>21</v>
      </c>
      <c r="J133" s="1" t="s">
        <v>341</v>
      </c>
      <c r="K133" s="1"/>
      <c r="L133" s="1" t="s">
        <v>15</v>
      </c>
      <c r="M133" s="1" t="s">
        <v>14</v>
      </c>
    </row>
    <row r="134" spans="1:13" x14ac:dyDescent="0.3">
      <c r="A134" s="1" t="s">
        <v>354</v>
      </c>
      <c r="B134" s="1" t="s">
        <v>355</v>
      </c>
      <c r="C134" s="1" t="s">
        <v>17</v>
      </c>
      <c r="D134" s="1" t="s">
        <v>52</v>
      </c>
      <c r="E134" s="1" t="s">
        <v>132</v>
      </c>
      <c r="F134" s="1" t="s">
        <v>151</v>
      </c>
      <c r="G134" s="1" t="s">
        <v>98</v>
      </c>
      <c r="H134" s="1" t="s">
        <v>356</v>
      </c>
      <c r="I134" s="1" t="s">
        <v>21</v>
      </c>
      <c r="J134" s="1" t="s">
        <v>357</v>
      </c>
      <c r="K134" s="1"/>
      <c r="L134" s="1" t="s">
        <v>15</v>
      </c>
      <c r="M134" s="1" t="s">
        <v>14</v>
      </c>
    </row>
    <row r="135" spans="1:13" x14ac:dyDescent="0.3">
      <c r="A135" s="1" t="s">
        <v>358</v>
      </c>
      <c r="B135" s="1" t="s">
        <v>359</v>
      </c>
      <c r="C135" s="1" t="s">
        <v>17</v>
      </c>
      <c r="D135" s="1" t="s">
        <v>36</v>
      </c>
      <c r="E135" s="1" t="s">
        <v>132</v>
      </c>
      <c r="F135" s="1" t="s">
        <v>148</v>
      </c>
      <c r="G135" s="1" t="s">
        <v>98</v>
      </c>
      <c r="H135" s="1" t="s">
        <v>356</v>
      </c>
      <c r="I135" s="1" t="s">
        <v>21</v>
      </c>
      <c r="J135" s="1" t="s">
        <v>357</v>
      </c>
      <c r="K135" s="1"/>
      <c r="L135" s="1" t="s">
        <v>15</v>
      </c>
      <c r="M135" s="1" t="s">
        <v>14</v>
      </c>
    </row>
    <row r="136" spans="1:13" x14ac:dyDescent="0.3">
      <c r="A136" s="1" t="s">
        <v>360</v>
      </c>
      <c r="B136" s="1" t="s">
        <v>361</v>
      </c>
      <c r="C136" s="1" t="s">
        <v>17</v>
      </c>
      <c r="D136" s="1" t="s">
        <v>48</v>
      </c>
      <c r="E136" s="1" t="s">
        <v>132</v>
      </c>
      <c r="F136" s="1" t="s">
        <v>162</v>
      </c>
      <c r="G136" s="1" t="s">
        <v>98</v>
      </c>
      <c r="H136" s="1" t="s">
        <v>356</v>
      </c>
      <c r="I136" s="1" t="s">
        <v>21</v>
      </c>
      <c r="J136" s="1" t="s">
        <v>357</v>
      </c>
      <c r="K136" s="1"/>
      <c r="L136" s="1" t="s">
        <v>15</v>
      </c>
      <c r="M136" s="1" t="s">
        <v>14</v>
      </c>
    </row>
    <row r="137" spans="1:13" x14ac:dyDescent="0.3">
      <c r="A137" s="1" t="s">
        <v>362</v>
      </c>
      <c r="B137" s="1" t="s">
        <v>363</v>
      </c>
      <c r="C137" s="1" t="s">
        <v>17</v>
      </c>
      <c r="D137" s="1" t="s">
        <v>30</v>
      </c>
      <c r="E137" s="1" t="s">
        <v>132</v>
      </c>
      <c r="F137" s="1" t="s">
        <v>133</v>
      </c>
      <c r="G137" s="1" t="s">
        <v>98</v>
      </c>
      <c r="H137" s="1" t="s">
        <v>356</v>
      </c>
      <c r="I137" s="1" t="s">
        <v>21</v>
      </c>
      <c r="J137" s="1" t="s">
        <v>357</v>
      </c>
      <c r="K137" s="1"/>
      <c r="L137" s="1" t="s">
        <v>15</v>
      </c>
      <c r="M137" s="1" t="s">
        <v>14</v>
      </c>
    </row>
    <row r="138" spans="1:13" x14ac:dyDescent="0.3">
      <c r="A138" s="1" t="s">
        <v>364</v>
      </c>
      <c r="B138" s="1" t="s">
        <v>365</v>
      </c>
      <c r="C138" s="1" t="s">
        <v>17</v>
      </c>
      <c r="D138" s="1" t="s">
        <v>18</v>
      </c>
      <c r="E138" s="1" t="s">
        <v>132</v>
      </c>
      <c r="F138" s="1" t="s">
        <v>136</v>
      </c>
      <c r="G138" s="1" t="s">
        <v>98</v>
      </c>
      <c r="H138" s="1" t="s">
        <v>356</v>
      </c>
      <c r="I138" s="1" t="s">
        <v>21</v>
      </c>
      <c r="J138" s="1" t="s">
        <v>357</v>
      </c>
      <c r="K138" s="1"/>
      <c r="L138" s="1" t="s">
        <v>15</v>
      </c>
      <c r="M138" s="1" t="s">
        <v>14</v>
      </c>
    </row>
    <row r="139" spans="1:13" x14ac:dyDescent="0.3">
      <c r="A139" s="1" t="s">
        <v>366</v>
      </c>
      <c r="B139" s="1" t="s">
        <v>367</v>
      </c>
      <c r="C139" s="1" t="s">
        <v>17</v>
      </c>
      <c r="D139" s="1" t="s">
        <v>42</v>
      </c>
      <c r="E139" s="1" t="s">
        <v>132</v>
      </c>
      <c r="F139" s="1" t="s">
        <v>139</v>
      </c>
      <c r="G139" s="1" t="s">
        <v>98</v>
      </c>
      <c r="H139" s="1" t="s">
        <v>356</v>
      </c>
      <c r="I139" s="1" t="s">
        <v>21</v>
      </c>
      <c r="J139" s="1" t="s">
        <v>357</v>
      </c>
      <c r="K139" s="1"/>
      <c r="L139" s="1" t="s">
        <v>15</v>
      </c>
      <c r="M139" s="1" t="s">
        <v>14</v>
      </c>
    </row>
    <row r="140" spans="1:13" x14ac:dyDescent="0.3">
      <c r="A140" s="1" t="s">
        <v>368</v>
      </c>
      <c r="B140" s="1" t="s">
        <v>369</v>
      </c>
      <c r="C140" s="1" t="s">
        <v>17</v>
      </c>
      <c r="D140" s="1" t="s">
        <v>26</v>
      </c>
      <c r="E140" s="1" t="s">
        <v>132</v>
      </c>
      <c r="F140" s="1" t="s">
        <v>142</v>
      </c>
      <c r="G140" s="1" t="s">
        <v>98</v>
      </c>
      <c r="H140" s="1" t="s">
        <v>356</v>
      </c>
      <c r="I140" s="1" t="s">
        <v>21</v>
      </c>
      <c r="J140" s="1" t="s">
        <v>357</v>
      </c>
      <c r="K140" s="1"/>
      <c r="L140" s="1" t="s">
        <v>15</v>
      </c>
      <c r="M140" s="1" t="s">
        <v>14</v>
      </c>
    </row>
    <row r="141" spans="1:13" x14ac:dyDescent="0.3">
      <c r="A141" s="1" t="s">
        <v>370</v>
      </c>
      <c r="B141" s="1" t="s">
        <v>371</v>
      </c>
      <c r="C141" s="1" t="s">
        <v>17</v>
      </c>
      <c r="D141" s="1" t="s">
        <v>48</v>
      </c>
      <c r="E141" s="1" t="s">
        <v>19</v>
      </c>
      <c r="F141" s="1" t="s">
        <v>49</v>
      </c>
      <c r="G141" s="1" t="s">
        <v>98</v>
      </c>
      <c r="H141" s="1" t="s">
        <v>372</v>
      </c>
      <c r="I141" s="1" t="s">
        <v>21</v>
      </c>
      <c r="J141" s="1" t="s">
        <v>373</v>
      </c>
      <c r="K141" s="1"/>
      <c r="L141" s="1" t="s">
        <v>15</v>
      </c>
      <c r="M141" s="1" t="s">
        <v>14</v>
      </c>
    </row>
    <row r="142" spans="1:13" x14ac:dyDescent="0.3">
      <c r="A142" s="1" t="s">
        <v>374</v>
      </c>
      <c r="B142" s="1" t="s">
        <v>375</v>
      </c>
      <c r="C142" s="1" t="s">
        <v>17</v>
      </c>
      <c r="D142" s="1" t="s">
        <v>30</v>
      </c>
      <c r="E142" s="1" t="s">
        <v>19</v>
      </c>
      <c r="F142" s="1" t="s">
        <v>33</v>
      </c>
      <c r="G142" s="1" t="s">
        <v>98</v>
      </c>
      <c r="H142" s="1" t="s">
        <v>372</v>
      </c>
      <c r="I142" s="1" t="s">
        <v>21</v>
      </c>
      <c r="J142" s="1" t="s">
        <v>373</v>
      </c>
      <c r="K142" s="1"/>
      <c r="L142" s="1" t="s">
        <v>15</v>
      </c>
      <c r="M142" s="1" t="s">
        <v>14</v>
      </c>
    </row>
    <row r="143" spans="1:13" x14ac:dyDescent="0.3">
      <c r="A143" s="1" t="s">
        <v>376</v>
      </c>
      <c r="B143" s="1" t="s">
        <v>377</v>
      </c>
      <c r="C143" s="1" t="s">
        <v>17</v>
      </c>
      <c r="D143" s="1" t="s">
        <v>18</v>
      </c>
      <c r="E143" s="1" t="s">
        <v>19</v>
      </c>
      <c r="F143" s="1" t="s">
        <v>23</v>
      </c>
      <c r="G143" s="1" t="s">
        <v>98</v>
      </c>
      <c r="H143" s="1" t="s">
        <v>372</v>
      </c>
      <c r="I143" s="1" t="s">
        <v>21</v>
      </c>
      <c r="J143" s="1" t="s">
        <v>373</v>
      </c>
      <c r="K143" s="1"/>
      <c r="L143" s="1" t="s">
        <v>15</v>
      </c>
      <c r="M143" s="1" t="s">
        <v>14</v>
      </c>
    </row>
    <row r="144" spans="1:13" x14ac:dyDescent="0.3">
      <c r="A144" s="1" t="s">
        <v>378</v>
      </c>
      <c r="B144" s="1" t="s">
        <v>379</v>
      </c>
      <c r="C144" s="1" t="s">
        <v>17</v>
      </c>
      <c r="D144" s="1" t="s">
        <v>42</v>
      </c>
      <c r="E144" s="1" t="s">
        <v>19</v>
      </c>
      <c r="F144" s="1" t="s">
        <v>43</v>
      </c>
      <c r="G144" s="1" t="s">
        <v>98</v>
      </c>
      <c r="H144" s="1" t="s">
        <v>372</v>
      </c>
      <c r="I144" s="1" t="s">
        <v>21</v>
      </c>
      <c r="J144" s="1" t="s">
        <v>373</v>
      </c>
      <c r="K144" s="1"/>
      <c r="L144" s="1" t="s">
        <v>15</v>
      </c>
      <c r="M144" s="1" t="s">
        <v>14</v>
      </c>
    </row>
    <row r="145" spans="1:13" x14ac:dyDescent="0.3">
      <c r="A145" s="1" t="s">
        <v>380</v>
      </c>
      <c r="B145" s="1" t="s">
        <v>381</v>
      </c>
      <c r="C145" s="1" t="s">
        <v>17</v>
      </c>
      <c r="D145" s="1" t="s">
        <v>26</v>
      </c>
      <c r="E145" s="1" t="s">
        <v>19</v>
      </c>
      <c r="F145" s="1" t="s">
        <v>27</v>
      </c>
      <c r="G145" s="1" t="s">
        <v>98</v>
      </c>
      <c r="H145" s="1" t="s">
        <v>372</v>
      </c>
      <c r="I145" s="1" t="s">
        <v>21</v>
      </c>
      <c r="J145" s="1" t="s">
        <v>373</v>
      </c>
      <c r="K145" s="1"/>
      <c r="L145" s="1" t="s">
        <v>15</v>
      </c>
      <c r="M145" s="1" t="s">
        <v>14</v>
      </c>
    </row>
    <row r="146" spans="1:13" x14ac:dyDescent="0.3">
      <c r="A146" s="1" t="s">
        <v>382</v>
      </c>
      <c r="B146" s="1" t="s">
        <v>383</v>
      </c>
      <c r="C146" s="1" t="s">
        <v>17</v>
      </c>
      <c r="D146" s="1" t="s">
        <v>36</v>
      </c>
      <c r="E146" s="1" t="s">
        <v>19</v>
      </c>
      <c r="F146" s="1" t="s">
        <v>37</v>
      </c>
      <c r="G146" s="1" t="s">
        <v>98</v>
      </c>
      <c r="H146" s="1" t="s">
        <v>384</v>
      </c>
      <c r="I146" s="1" t="s">
        <v>21</v>
      </c>
      <c r="J146" s="1" t="s">
        <v>373</v>
      </c>
      <c r="K146" s="1"/>
      <c r="L146" s="1" t="s">
        <v>15</v>
      </c>
      <c r="M146" s="1" t="s">
        <v>14</v>
      </c>
    </row>
    <row r="147" spans="1:13" x14ac:dyDescent="0.3">
      <c r="A147" s="1" t="s">
        <v>385</v>
      </c>
      <c r="B147" s="1" t="s">
        <v>386</v>
      </c>
      <c r="C147" s="1" t="s">
        <v>17</v>
      </c>
      <c r="D147" s="1" t="s">
        <v>52</v>
      </c>
      <c r="E147" s="1" t="s">
        <v>19</v>
      </c>
      <c r="F147" s="1" t="s">
        <v>53</v>
      </c>
      <c r="G147" s="1" t="s">
        <v>98</v>
      </c>
      <c r="H147" s="1" t="s">
        <v>384</v>
      </c>
      <c r="I147" s="1" t="s">
        <v>21</v>
      </c>
      <c r="J147" s="1" t="s">
        <v>373</v>
      </c>
      <c r="K147" s="1"/>
      <c r="L147" s="1" t="s">
        <v>15</v>
      </c>
      <c r="M147" s="1" t="s">
        <v>14</v>
      </c>
    </row>
    <row r="148" spans="1:13" x14ac:dyDescent="0.3">
      <c r="A148" s="1" t="s">
        <v>387</v>
      </c>
      <c r="B148" s="1" t="s">
        <v>388</v>
      </c>
      <c r="C148" s="1" t="s">
        <v>17</v>
      </c>
      <c r="D148" s="1" t="s">
        <v>36</v>
      </c>
      <c r="E148" s="1" t="s">
        <v>19</v>
      </c>
      <c r="F148" s="1" t="s">
        <v>37</v>
      </c>
      <c r="G148" s="1" t="s">
        <v>98</v>
      </c>
      <c r="H148" s="1" t="s">
        <v>389</v>
      </c>
      <c r="I148" s="1" t="s">
        <v>21</v>
      </c>
      <c r="J148" s="1" t="s">
        <v>390</v>
      </c>
      <c r="K148" s="1"/>
      <c r="L148" s="1" t="s">
        <v>15</v>
      </c>
      <c r="M148" s="1" t="s">
        <v>14</v>
      </c>
    </row>
    <row r="149" spans="1:13" x14ac:dyDescent="0.3">
      <c r="A149" s="1" t="s">
        <v>391</v>
      </c>
      <c r="B149" s="1" t="s">
        <v>392</v>
      </c>
      <c r="C149" s="1" t="s">
        <v>17</v>
      </c>
      <c r="D149" s="1" t="s">
        <v>48</v>
      </c>
      <c r="E149" s="1" t="s">
        <v>19</v>
      </c>
      <c r="F149" s="1" t="s">
        <v>49</v>
      </c>
      <c r="G149" s="1" t="s">
        <v>98</v>
      </c>
      <c r="H149" s="1" t="s">
        <v>389</v>
      </c>
      <c r="I149" s="1" t="s">
        <v>21</v>
      </c>
      <c r="J149" s="1" t="s">
        <v>390</v>
      </c>
      <c r="K149" s="1"/>
      <c r="L149" s="1" t="s">
        <v>15</v>
      </c>
      <c r="M149" s="1" t="s">
        <v>14</v>
      </c>
    </row>
    <row r="150" spans="1:13" x14ac:dyDescent="0.3">
      <c r="A150" s="1" t="s">
        <v>393</v>
      </c>
      <c r="B150" s="1" t="s">
        <v>394</v>
      </c>
      <c r="C150" s="1" t="s">
        <v>17</v>
      </c>
      <c r="D150" s="1" t="s">
        <v>30</v>
      </c>
      <c r="E150" s="1" t="s">
        <v>19</v>
      </c>
      <c r="F150" s="1" t="s">
        <v>33</v>
      </c>
      <c r="G150" s="1" t="s">
        <v>98</v>
      </c>
      <c r="H150" s="1" t="s">
        <v>389</v>
      </c>
      <c r="I150" s="1" t="s">
        <v>21</v>
      </c>
      <c r="J150" s="1" t="s">
        <v>390</v>
      </c>
      <c r="K150" s="1"/>
      <c r="L150" s="1" t="s">
        <v>15</v>
      </c>
      <c r="M150" s="1" t="s">
        <v>14</v>
      </c>
    </row>
    <row r="151" spans="1:13" x14ac:dyDescent="0.3">
      <c r="A151" s="1" t="s">
        <v>395</v>
      </c>
      <c r="B151" s="1" t="s">
        <v>396</v>
      </c>
      <c r="C151" s="1" t="s">
        <v>17</v>
      </c>
      <c r="D151" s="1" t="s">
        <v>18</v>
      </c>
      <c r="E151" s="1" t="s">
        <v>19</v>
      </c>
      <c r="F151" s="1" t="s">
        <v>23</v>
      </c>
      <c r="G151" s="1" t="s">
        <v>98</v>
      </c>
      <c r="H151" s="1" t="s">
        <v>389</v>
      </c>
      <c r="I151" s="1" t="s">
        <v>21</v>
      </c>
      <c r="J151" s="1" t="s">
        <v>390</v>
      </c>
      <c r="K151" s="1"/>
      <c r="L151" s="1" t="s">
        <v>15</v>
      </c>
      <c r="M151" s="1" t="s">
        <v>14</v>
      </c>
    </row>
    <row r="152" spans="1:13" x14ac:dyDescent="0.3">
      <c r="A152" s="1" t="s">
        <v>397</v>
      </c>
      <c r="B152" s="1" t="s">
        <v>398</v>
      </c>
      <c r="C152" s="1" t="s">
        <v>17</v>
      </c>
      <c r="D152" s="1" t="s">
        <v>42</v>
      </c>
      <c r="E152" s="1" t="s">
        <v>19</v>
      </c>
      <c r="F152" s="1" t="s">
        <v>43</v>
      </c>
      <c r="G152" s="1" t="s">
        <v>98</v>
      </c>
      <c r="H152" s="1" t="s">
        <v>399</v>
      </c>
      <c r="I152" s="1" t="s">
        <v>21</v>
      </c>
      <c r="J152" s="1" t="s">
        <v>390</v>
      </c>
      <c r="K152" s="1"/>
      <c r="L152" s="1" t="s">
        <v>15</v>
      </c>
      <c r="M152" s="1" t="s">
        <v>14</v>
      </c>
    </row>
    <row r="153" spans="1:13" x14ac:dyDescent="0.3">
      <c r="A153" s="1" t="s">
        <v>400</v>
      </c>
      <c r="B153" s="1" t="s">
        <v>401</v>
      </c>
      <c r="C153" s="1" t="s">
        <v>17</v>
      </c>
      <c r="D153" s="1" t="s">
        <v>26</v>
      </c>
      <c r="E153" s="1" t="s">
        <v>19</v>
      </c>
      <c r="F153" s="1" t="s">
        <v>27</v>
      </c>
      <c r="G153" s="1" t="s">
        <v>98</v>
      </c>
      <c r="H153" s="1" t="s">
        <v>399</v>
      </c>
      <c r="I153" s="1" t="s">
        <v>21</v>
      </c>
      <c r="J153" s="1" t="s">
        <v>390</v>
      </c>
      <c r="K153" s="1"/>
      <c r="L153" s="1" t="s">
        <v>15</v>
      </c>
      <c r="M153" s="1" t="s">
        <v>14</v>
      </c>
    </row>
    <row r="154" spans="1:13" x14ac:dyDescent="0.3">
      <c r="A154" s="1" t="s">
        <v>402</v>
      </c>
      <c r="B154" s="1" t="s">
        <v>403</v>
      </c>
      <c r="C154" s="1" t="s">
        <v>17</v>
      </c>
      <c r="D154" s="1" t="s">
        <v>42</v>
      </c>
      <c r="E154" s="1" t="s">
        <v>19</v>
      </c>
      <c r="F154" s="1" t="s">
        <v>43</v>
      </c>
      <c r="G154" s="1" t="s">
        <v>98</v>
      </c>
      <c r="H154" s="1" t="s">
        <v>404</v>
      </c>
      <c r="I154" s="1" t="s">
        <v>21</v>
      </c>
      <c r="J154" s="1" t="s">
        <v>90</v>
      </c>
      <c r="K154" s="1"/>
      <c r="L154" s="1" t="s">
        <v>15</v>
      </c>
      <c r="M154" s="1" t="s">
        <v>14</v>
      </c>
    </row>
    <row r="155" spans="1:13" x14ac:dyDescent="0.3">
      <c r="A155" s="1" t="s">
        <v>405</v>
      </c>
      <c r="B155" s="1" t="s">
        <v>406</v>
      </c>
      <c r="C155" s="1" t="s">
        <v>17</v>
      </c>
      <c r="D155" s="1" t="s">
        <v>36</v>
      </c>
      <c r="E155" s="1" t="s">
        <v>19</v>
      </c>
      <c r="F155" s="1" t="s">
        <v>37</v>
      </c>
      <c r="G155" s="1" t="s">
        <v>98</v>
      </c>
      <c r="H155" s="1" t="s">
        <v>407</v>
      </c>
      <c r="I155" s="1" t="s">
        <v>21</v>
      </c>
      <c r="J155" s="1" t="s">
        <v>408</v>
      </c>
      <c r="K155" s="1"/>
      <c r="L155" s="1" t="s">
        <v>15</v>
      </c>
      <c r="M155" s="1" t="s">
        <v>14</v>
      </c>
    </row>
    <row r="156" spans="1:13" x14ac:dyDescent="0.3">
      <c r="A156" s="1" t="s">
        <v>409</v>
      </c>
      <c r="B156" s="1" t="s">
        <v>410</v>
      </c>
      <c r="C156" s="1" t="s">
        <v>17</v>
      </c>
      <c r="D156" s="1" t="s">
        <v>36</v>
      </c>
      <c r="E156" s="1" t="s">
        <v>19</v>
      </c>
      <c r="F156" s="1" t="s">
        <v>37</v>
      </c>
      <c r="G156" s="1" t="s">
        <v>98</v>
      </c>
      <c r="H156" s="1" t="s">
        <v>407</v>
      </c>
      <c r="I156" s="1" t="s">
        <v>21</v>
      </c>
      <c r="J156" s="1" t="s">
        <v>411</v>
      </c>
      <c r="K156" s="1"/>
      <c r="L156" s="1" t="s">
        <v>15</v>
      </c>
      <c r="M156" s="1" t="s">
        <v>14</v>
      </c>
    </row>
    <row r="157" spans="1:13" x14ac:dyDescent="0.3">
      <c r="A157" s="1" t="s">
        <v>412</v>
      </c>
      <c r="B157" s="1" t="s">
        <v>413</v>
      </c>
      <c r="C157" s="1" t="s">
        <v>17</v>
      </c>
      <c r="D157" s="1" t="s">
        <v>48</v>
      </c>
      <c r="E157" s="1" t="s">
        <v>19</v>
      </c>
      <c r="F157" s="1" t="s">
        <v>49</v>
      </c>
      <c r="G157" s="1" t="s">
        <v>98</v>
      </c>
      <c r="H157" s="1" t="s">
        <v>407</v>
      </c>
      <c r="I157" s="1" t="s">
        <v>21</v>
      </c>
      <c r="J157" s="1" t="s">
        <v>408</v>
      </c>
      <c r="K157" s="1"/>
      <c r="L157" s="1" t="s">
        <v>15</v>
      </c>
      <c r="M157" s="1" t="s">
        <v>14</v>
      </c>
    </row>
    <row r="158" spans="1:13" x14ac:dyDescent="0.3">
      <c r="A158" s="1" t="s">
        <v>414</v>
      </c>
      <c r="B158" s="1" t="s">
        <v>415</v>
      </c>
      <c r="C158" s="1" t="s">
        <v>17</v>
      </c>
      <c r="D158" s="1" t="s">
        <v>48</v>
      </c>
      <c r="E158" s="1" t="s">
        <v>19</v>
      </c>
      <c r="F158" s="1" t="s">
        <v>49</v>
      </c>
      <c r="G158" s="1" t="s">
        <v>98</v>
      </c>
      <c r="H158" s="1" t="s">
        <v>407</v>
      </c>
      <c r="I158" s="1" t="s">
        <v>21</v>
      </c>
      <c r="J158" s="1" t="s">
        <v>411</v>
      </c>
      <c r="K158" s="1"/>
      <c r="L158" s="1" t="s">
        <v>15</v>
      </c>
      <c r="M158" s="1" t="s">
        <v>14</v>
      </c>
    </row>
    <row r="159" spans="1:13" x14ac:dyDescent="0.3">
      <c r="A159" s="1" t="s">
        <v>416</v>
      </c>
      <c r="B159" s="1" t="s">
        <v>417</v>
      </c>
      <c r="C159" s="1" t="s">
        <v>17</v>
      </c>
      <c r="D159" s="1" t="s">
        <v>30</v>
      </c>
      <c r="E159" s="1" t="s">
        <v>19</v>
      </c>
      <c r="F159" s="1" t="s">
        <v>33</v>
      </c>
      <c r="G159" s="1" t="s">
        <v>98</v>
      </c>
      <c r="H159" s="1" t="s">
        <v>407</v>
      </c>
      <c r="I159" s="1" t="s">
        <v>21</v>
      </c>
      <c r="J159" s="1" t="s">
        <v>408</v>
      </c>
      <c r="K159" s="1"/>
      <c r="L159" s="1" t="s">
        <v>15</v>
      </c>
      <c r="M159" s="1" t="s">
        <v>14</v>
      </c>
    </row>
    <row r="160" spans="1:13" x14ac:dyDescent="0.3">
      <c r="A160" s="1" t="s">
        <v>418</v>
      </c>
      <c r="B160" s="1" t="s">
        <v>419</v>
      </c>
      <c r="C160" s="1" t="s">
        <v>17</v>
      </c>
      <c r="D160" s="1" t="s">
        <v>30</v>
      </c>
      <c r="E160" s="1" t="s">
        <v>19</v>
      </c>
      <c r="F160" s="1" t="s">
        <v>33</v>
      </c>
      <c r="G160" s="1" t="s">
        <v>98</v>
      </c>
      <c r="H160" s="1" t="s">
        <v>407</v>
      </c>
      <c r="I160" s="1" t="s">
        <v>21</v>
      </c>
      <c r="J160" s="1" t="s">
        <v>411</v>
      </c>
      <c r="K160" s="1"/>
      <c r="L160" s="1" t="s">
        <v>15</v>
      </c>
      <c r="M160" s="1" t="s">
        <v>14</v>
      </c>
    </row>
    <row r="161" spans="1:13" x14ac:dyDescent="0.3">
      <c r="A161" s="1" t="s">
        <v>420</v>
      </c>
      <c r="B161" s="1" t="s">
        <v>421</v>
      </c>
      <c r="C161" s="1" t="s">
        <v>17</v>
      </c>
      <c r="D161" s="1" t="s">
        <v>18</v>
      </c>
      <c r="E161" s="1" t="s">
        <v>19</v>
      </c>
      <c r="F161" s="1" t="s">
        <v>23</v>
      </c>
      <c r="G161" s="1" t="s">
        <v>98</v>
      </c>
      <c r="H161" s="1" t="s">
        <v>407</v>
      </c>
      <c r="I161" s="1" t="s">
        <v>21</v>
      </c>
      <c r="J161" s="1" t="s">
        <v>408</v>
      </c>
      <c r="K161" s="1"/>
      <c r="L161" s="1" t="s">
        <v>15</v>
      </c>
      <c r="M161" s="1" t="s">
        <v>14</v>
      </c>
    </row>
    <row r="162" spans="1:13" x14ac:dyDescent="0.3">
      <c r="A162" s="1" t="s">
        <v>422</v>
      </c>
      <c r="B162" s="1" t="s">
        <v>423</v>
      </c>
      <c r="C162" s="1" t="s">
        <v>17</v>
      </c>
      <c r="D162" s="1" t="s">
        <v>18</v>
      </c>
      <c r="E162" s="1" t="s">
        <v>19</v>
      </c>
      <c r="F162" s="1" t="s">
        <v>23</v>
      </c>
      <c r="G162" s="1" t="s">
        <v>98</v>
      </c>
      <c r="H162" s="1" t="s">
        <v>407</v>
      </c>
      <c r="I162" s="1" t="s">
        <v>21</v>
      </c>
      <c r="J162" s="1" t="s">
        <v>411</v>
      </c>
      <c r="K162" s="1"/>
      <c r="L162" s="1" t="s">
        <v>15</v>
      </c>
      <c r="M162" s="1" t="s">
        <v>14</v>
      </c>
    </row>
    <row r="163" spans="1:13" x14ac:dyDescent="0.3">
      <c r="A163" s="1" t="s">
        <v>424</v>
      </c>
      <c r="B163" s="1" t="s">
        <v>425</v>
      </c>
      <c r="C163" s="1" t="s">
        <v>17</v>
      </c>
      <c r="D163" s="1" t="s">
        <v>42</v>
      </c>
      <c r="E163" s="1" t="s">
        <v>19</v>
      </c>
      <c r="F163" s="1" t="s">
        <v>43</v>
      </c>
      <c r="G163" s="1" t="s">
        <v>98</v>
      </c>
      <c r="H163" s="1" t="s">
        <v>407</v>
      </c>
      <c r="I163" s="1" t="s">
        <v>21</v>
      </c>
      <c r="J163" s="1" t="s">
        <v>408</v>
      </c>
      <c r="K163" s="1"/>
      <c r="L163" s="1" t="s">
        <v>15</v>
      </c>
      <c r="M163" s="1" t="s">
        <v>14</v>
      </c>
    </row>
    <row r="164" spans="1:13" x14ac:dyDescent="0.3">
      <c r="A164" s="1" t="s">
        <v>426</v>
      </c>
      <c r="B164" s="1" t="s">
        <v>427</v>
      </c>
      <c r="C164" s="1" t="s">
        <v>17</v>
      </c>
      <c r="D164" s="1" t="s">
        <v>42</v>
      </c>
      <c r="E164" s="1" t="s">
        <v>19</v>
      </c>
      <c r="F164" s="1" t="s">
        <v>43</v>
      </c>
      <c r="G164" s="1" t="s">
        <v>98</v>
      </c>
      <c r="H164" s="1" t="s">
        <v>407</v>
      </c>
      <c r="I164" s="1" t="s">
        <v>21</v>
      </c>
      <c r="J164" s="1" t="s">
        <v>411</v>
      </c>
      <c r="K164" s="1"/>
      <c r="L164" s="1" t="s">
        <v>15</v>
      </c>
      <c r="M164" s="1" t="s">
        <v>14</v>
      </c>
    </row>
    <row r="165" spans="1:13" x14ac:dyDescent="0.3">
      <c r="A165" s="1" t="s">
        <v>428</v>
      </c>
      <c r="B165" s="1" t="s">
        <v>429</v>
      </c>
      <c r="C165" s="1" t="s">
        <v>17</v>
      </c>
      <c r="D165" s="1" t="s">
        <v>26</v>
      </c>
      <c r="E165" s="1" t="s">
        <v>19</v>
      </c>
      <c r="F165" s="1" t="s">
        <v>27</v>
      </c>
      <c r="G165" s="1" t="s">
        <v>98</v>
      </c>
      <c r="H165" s="1" t="s">
        <v>407</v>
      </c>
      <c r="I165" s="1" t="s">
        <v>21</v>
      </c>
      <c r="J165" s="1" t="s">
        <v>408</v>
      </c>
      <c r="K165" s="1"/>
      <c r="L165" s="1" t="s">
        <v>15</v>
      </c>
      <c r="M165" s="1" t="s">
        <v>14</v>
      </c>
    </row>
    <row r="166" spans="1:13" x14ac:dyDescent="0.3">
      <c r="A166" s="1" t="s">
        <v>430</v>
      </c>
      <c r="B166" s="1" t="s">
        <v>431</v>
      </c>
      <c r="C166" s="1" t="s">
        <v>17</v>
      </c>
      <c r="D166" s="1" t="s">
        <v>26</v>
      </c>
      <c r="E166" s="1" t="s">
        <v>19</v>
      </c>
      <c r="F166" s="1" t="s">
        <v>27</v>
      </c>
      <c r="G166" s="1" t="s">
        <v>98</v>
      </c>
      <c r="H166" s="1" t="s">
        <v>407</v>
      </c>
      <c r="I166" s="1" t="s">
        <v>21</v>
      </c>
      <c r="J166" s="1" t="s">
        <v>411</v>
      </c>
      <c r="K166" s="1"/>
      <c r="L166" s="1" t="s">
        <v>15</v>
      </c>
      <c r="M166" s="1" t="s">
        <v>14</v>
      </c>
    </row>
    <row r="167" spans="1:13" x14ac:dyDescent="0.3">
      <c r="A167" s="1" t="s">
        <v>432</v>
      </c>
      <c r="B167" s="1" t="s">
        <v>433</v>
      </c>
      <c r="C167" s="1" t="s">
        <v>17</v>
      </c>
      <c r="D167" s="1" t="s">
        <v>36</v>
      </c>
      <c r="E167" s="1" t="s">
        <v>19</v>
      </c>
      <c r="F167" s="1" t="s">
        <v>37</v>
      </c>
      <c r="G167" s="1" t="s">
        <v>98</v>
      </c>
      <c r="H167" s="1" t="s">
        <v>434</v>
      </c>
      <c r="I167" s="1" t="s">
        <v>21</v>
      </c>
      <c r="J167" s="1" t="s">
        <v>435</v>
      </c>
      <c r="K167" s="1"/>
      <c r="L167" s="1" t="s">
        <v>15</v>
      </c>
      <c r="M167" s="1" t="s">
        <v>14</v>
      </c>
    </row>
    <row r="168" spans="1:13" x14ac:dyDescent="0.3">
      <c r="A168" s="1" t="s">
        <v>436</v>
      </c>
      <c r="B168" s="1" t="s">
        <v>437</v>
      </c>
      <c r="C168" s="1" t="s">
        <v>17</v>
      </c>
      <c r="D168" s="1" t="s">
        <v>52</v>
      </c>
      <c r="E168" s="1" t="s">
        <v>19</v>
      </c>
      <c r="F168" s="1" t="s">
        <v>53</v>
      </c>
      <c r="G168" s="1" t="s">
        <v>98</v>
      </c>
      <c r="H168" s="1" t="s">
        <v>434</v>
      </c>
      <c r="I168" s="1" t="s">
        <v>21</v>
      </c>
      <c r="J168" s="1" t="s">
        <v>435</v>
      </c>
      <c r="K168" s="1"/>
      <c r="L168" s="1" t="s">
        <v>15</v>
      </c>
      <c r="M168" s="1" t="s">
        <v>14</v>
      </c>
    </row>
    <row r="169" spans="1:13" x14ac:dyDescent="0.3">
      <c r="A169" s="1" t="s">
        <v>438</v>
      </c>
      <c r="B169" s="1" t="s">
        <v>439</v>
      </c>
      <c r="C169" s="1" t="s">
        <v>17</v>
      </c>
      <c r="D169" s="1" t="s">
        <v>48</v>
      </c>
      <c r="E169" s="1" t="s">
        <v>19</v>
      </c>
      <c r="F169" s="1" t="s">
        <v>49</v>
      </c>
      <c r="G169" s="1" t="s">
        <v>98</v>
      </c>
      <c r="H169" s="1" t="s">
        <v>434</v>
      </c>
      <c r="I169" s="1" t="s">
        <v>21</v>
      </c>
      <c r="J169" s="1" t="s">
        <v>435</v>
      </c>
      <c r="K169" s="1"/>
      <c r="L169" s="1" t="s">
        <v>15</v>
      </c>
      <c r="M169" s="1" t="s">
        <v>14</v>
      </c>
    </row>
    <row r="170" spans="1:13" x14ac:dyDescent="0.3">
      <c r="A170" s="1" t="s">
        <v>440</v>
      </c>
      <c r="B170" s="1" t="s">
        <v>441</v>
      </c>
      <c r="C170" s="1" t="s">
        <v>17</v>
      </c>
      <c r="D170" s="1" t="s">
        <v>30</v>
      </c>
      <c r="E170" s="1" t="s">
        <v>19</v>
      </c>
      <c r="F170" s="1" t="s">
        <v>33</v>
      </c>
      <c r="G170" s="1" t="s">
        <v>98</v>
      </c>
      <c r="H170" s="1" t="s">
        <v>434</v>
      </c>
      <c r="I170" s="1" t="s">
        <v>21</v>
      </c>
      <c r="J170" s="1" t="s">
        <v>435</v>
      </c>
      <c r="K170" s="1"/>
      <c r="L170" s="1" t="s">
        <v>15</v>
      </c>
      <c r="M170" s="1" t="s">
        <v>14</v>
      </c>
    </row>
    <row r="171" spans="1:13" x14ac:dyDescent="0.3">
      <c r="A171" s="1" t="s">
        <v>442</v>
      </c>
      <c r="B171" s="1" t="s">
        <v>443</v>
      </c>
      <c r="C171" s="1" t="s">
        <v>17</v>
      </c>
      <c r="D171" s="1" t="s">
        <v>18</v>
      </c>
      <c r="E171" s="1" t="s">
        <v>19</v>
      </c>
      <c r="F171" s="1" t="s">
        <v>23</v>
      </c>
      <c r="G171" s="1" t="s">
        <v>98</v>
      </c>
      <c r="H171" s="1" t="s">
        <v>434</v>
      </c>
      <c r="I171" s="1" t="s">
        <v>21</v>
      </c>
      <c r="J171" s="1" t="s">
        <v>435</v>
      </c>
      <c r="K171" s="1"/>
      <c r="L171" s="1" t="s">
        <v>15</v>
      </c>
      <c r="M171" s="1" t="s">
        <v>14</v>
      </c>
    </row>
    <row r="172" spans="1:13" x14ac:dyDescent="0.3">
      <c r="A172" s="1" t="s">
        <v>444</v>
      </c>
      <c r="B172" s="1" t="s">
        <v>445</v>
      </c>
      <c r="C172" s="1" t="s">
        <v>17</v>
      </c>
      <c r="D172" s="1" t="s">
        <v>42</v>
      </c>
      <c r="E172" s="1" t="s">
        <v>19</v>
      </c>
      <c r="F172" s="1" t="s">
        <v>43</v>
      </c>
      <c r="G172" s="1" t="s">
        <v>98</v>
      </c>
      <c r="H172" s="1" t="s">
        <v>434</v>
      </c>
      <c r="I172" s="1" t="s">
        <v>21</v>
      </c>
      <c r="J172" s="1" t="s">
        <v>435</v>
      </c>
      <c r="K172" s="1"/>
      <c r="L172" s="1" t="s">
        <v>15</v>
      </c>
      <c r="M172" s="1" t="s">
        <v>14</v>
      </c>
    </row>
    <row r="173" spans="1:13" x14ac:dyDescent="0.3">
      <c r="A173" s="1" t="s">
        <v>446</v>
      </c>
      <c r="B173" s="1" t="s">
        <v>447</v>
      </c>
      <c r="C173" s="1" t="s">
        <v>17</v>
      </c>
      <c r="D173" s="1" t="s">
        <v>26</v>
      </c>
      <c r="E173" s="1" t="s">
        <v>19</v>
      </c>
      <c r="F173" s="1" t="s">
        <v>27</v>
      </c>
      <c r="G173" s="1" t="s">
        <v>98</v>
      </c>
      <c r="H173" s="1" t="s">
        <v>434</v>
      </c>
      <c r="I173" s="1" t="s">
        <v>21</v>
      </c>
      <c r="J173" s="1" t="s">
        <v>435</v>
      </c>
      <c r="K173" s="1"/>
      <c r="L173" s="1" t="s">
        <v>15</v>
      </c>
      <c r="M173" s="1" t="s">
        <v>14</v>
      </c>
    </row>
    <row r="174" spans="1:13" x14ac:dyDescent="0.3">
      <c r="A174" s="1" t="s">
        <v>448</v>
      </c>
      <c r="B174" s="1" t="s">
        <v>449</v>
      </c>
      <c r="C174" s="1" t="s">
        <v>17</v>
      </c>
      <c r="D174" s="1" t="s">
        <v>36</v>
      </c>
      <c r="E174" s="1" t="s">
        <v>19</v>
      </c>
      <c r="F174" s="1" t="s">
        <v>37</v>
      </c>
      <c r="G174" s="1" t="s">
        <v>98</v>
      </c>
      <c r="H174" s="1" t="s">
        <v>450</v>
      </c>
      <c r="I174" s="1" t="s">
        <v>21</v>
      </c>
      <c r="J174" s="1" t="s">
        <v>450</v>
      </c>
      <c r="K174" s="1"/>
      <c r="L174" s="1" t="s">
        <v>15</v>
      </c>
      <c r="M174" s="1" t="s">
        <v>14</v>
      </c>
    </row>
    <row r="175" spans="1:13" x14ac:dyDescent="0.3">
      <c r="A175" s="1" t="s">
        <v>451</v>
      </c>
      <c r="B175" s="1" t="s">
        <v>452</v>
      </c>
      <c r="C175" s="1" t="s">
        <v>17</v>
      </c>
      <c r="D175" s="1" t="s">
        <v>52</v>
      </c>
      <c r="E175" s="1" t="s">
        <v>19</v>
      </c>
      <c r="F175" s="1" t="s">
        <v>53</v>
      </c>
      <c r="G175" s="1" t="s">
        <v>98</v>
      </c>
      <c r="H175" s="1" t="s">
        <v>450</v>
      </c>
      <c r="I175" s="1" t="s">
        <v>21</v>
      </c>
      <c r="J175" s="1" t="s">
        <v>450</v>
      </c>
      <c r="K175" s="1"/>
      <c r="L175" s="1" t="s">
        <v>15</v>
      </c>
      <c r="M175" s="1" t="s">
        <v>14</v>
      </c>
    </row>
    <row r="176" spans="1:13" x14ac:dyDescent="0.3">
      <c r="A176" s="1" t="s">
        <v>453</v>
      </c>
      <c r="B176" s="1" t="s">
        <v>454</v>
      </c>
      <c r="C176" s="1" t="s">
        <v>17</v>
      </c>
      <c r="D176" s="1" t="s">
        <v>48</v>
      </c>
      <c r="E176" s="1" t="s">
        <v>19</v>
      </c>
      <c r="F176" s="1" t="s">
        <v>49</v>
      </c>
      <c r="G176" s="1" t="s">
        <v>98</v>
      </c>
      <c r="H176" s="1" t="s">
        <v>450</v>
      </c>
      <c r="I176" s="1" t="s">
        <v>21</v>
      </c>
      <c r="J176" s="1" t="s">
        <v>450</v>
      </c>
      <c r="K176" s="1"/>
      <c r="L176" s="1" t="s">
        <v>15</v>
      </c>
      <c r="M176" s="1" t="s">
        <v>14</v>
      </c>
    </row>
    <row r="177" spans="1:13" x14ac:dyDescent="0.3">
      <c r="A177" s="1" t="s">
        <v>455</v>
      </c>
      <c r="B177" s="1" t="s">
        <v>456</v>
      </c>
      <c r="C177" s="1" t="s">
        <v>17</v>
      </c>
      <c r="D177" s="1" t="s">
        <v>30</v>
      </c>
      <c r="E177" s="1" t="s">
        <v>19</v>
      </c>
      <c r="F177" s="1" t="s">
        <v>33</v>
      </c>
      <c r="G177" s="1" t="s">
        <v>98</v>
      </c>
      <c r="H177" s="1" t="s">
        <v>450</v>
      </c>
      <c r="I177" s="1" t="s">
        <v>21</v>
      </c>
      <c r="J177" s="1" t="s">
        <v>450</v>
      </c>
      <c r="K177" s="1"/>
      <c r="L177" s="1" t="s">
        <v>15</v>
      </c>
      <c r="M177" s="1" t="s">
        <v>14</v>
      </c>
    </row>
    <row r="178" spans="1:13" x14ac:dyDescent="0.3">
      <c r="A178" s="1" t="s">
        <v>457</v>
      </c>
      <c r="B178" s="1" t="s">
        <v>458</v>
      </c>
      <c r="C178" s="1" t="s">
        <v>17</v>
      </c>
      <c r="D178" s="1" t="s">
        <v>18</v>
      </c>
      <c r="E178" s="1" t="s">
        <v>19</v>
      </c>
      <c r="F178" s="1" t="s">
        <v>23</v>
      </c>
      <c r="G178" s="1" t="s">
        <v>98</v>
      </c>
      <c r="H178" s="1" t="s">
        <v>450</v>
      </c>
      <c r="I178" s="1" t="s">
        <v>21</v>
      </c>
      <c r="J178" s="1" t="s">
        <v>450</v>
      </c>
      <c r="K178" s="1"/>
      <c r="L178" s="1" t="s">
        <v>15</v>
      </c>
      <c r="M178" s="1" t="s">
        <v>14</v>
      </c>
    </row>
    <row r="179" spans="1:13" x14ac:dyDescent="0.3">
      <c r="A179" s="1" t="s">
        <v>459</v>
      </c>
      <c r="B179" s="1" t="s">
        <v>460</v>
      </c>
      <c r="C179" s="1" t="s">
        <v>17</v>
      </c>
      <c r="D179" s="1" t="s">
        <v>42</v>
      </c>
      <c r="E179" s="1" t="s">
        <v>19</v>
      </c>
      <c r="F179" s="1" t="s">
        <v>43</v>
      </c>
      <c r="G179" s="1" t="s">
        <v>98</v>
      </c>
      <c r="H179" s="1" t="s">
        <v>450</v>
      </c>
      <c r="I179" s="1" t="s">
        <v>21</v>
      </c>
      <c r="J179" s="1" t="s">
        <v>450</v>
      </c>
      <c r="K179" s="1"/>
      <c r="L179" s="1" t="s">
        <v>15</v>
      </c>
      <c r="M179" s="1" t="s">
        <v>14</v>
      </c>
    </row>
    <row r="180" spans="1:13" x14ac:dyDescent="0.3">
      <c r="A180" s="1" t="s">
        <v>461</v>
      </c>
      <c r="B180" s="1" t="s">
        <v>462</v>
      </c>
      <c r="C180" s="1" t="s">
        <v>17</v>
      </c>
      <c r="D180" s="1" t="s">
        <v>26</v>
      </c>
      <c r="E180" s="1" t="s">
        <v>19</v>
      </c>
      <c r="F180" s="1" t="s">
        <v>27</v>
      </c>
      <c r="G180" s="1" t="s">
        <v>98</v>
      </c>
      <c r="H180" s="1" t="s">
        <v>450</v>
      </c>
      <c r="I180" s="1" t="s">
        <v>21</v>
      </c>
      <c r="J180" s="1" t="s">
        <v>450</v>
      </c>
      <c r="K180" s="1"/>
      <c r="L180" s="1" t="s">
        <v>15</v>
      </c>
      <c r="M180" s="1" t="s">
        <v>14</v>
      </c>
    </row>
    <row r="181" spans="1:13" x14ac:dyDescent="0.3">
      <c r="A181" s="1" t="s">
        <v>463</v>
      </c>
      <c r="B181" s="1" t="s">
        <v>464</v>
      </c>
      <c r="C181" s="1" t="s">
        <v>465</v>
      </c>
      <c r="D181" s="1"/>
      <c r="E181" s="1"/>
      <c r="F181" s="1"/>
      <c r="G181" s="1" t="s">
        <v>98</v>
      </c>
      <c r="H181" s="1" t="s">
        <v>466</v>
      </c>
      <c r="I181" s="1"/>
      <c r="J181" s="1"/>
      <c r="K181" s="1"/>
      <c r="L181" s="1" t="s">
        <v>15</v>
      </c>
      <c r="M181" s="1" t="s">
        <v>14</v>
      </c>
    </row>
    <row r="182" spans="1:13" x14ac:dyDescent="0.3">
      <c r="A182" s="1" t="s">
        <v>467</v>
      </c>
      <c r="B182" s="1" t="s">
        <v>468</v>
      </c>
      <c r="C182" s="1" t="s">
        <v>465</v>
      </c>
      <c r="D182" s="1" t="s">
        <v>469</v>
      </c>
      <c r="E182" s="1" t="s">
        <v>471</v>
      </c>
      <c r="F182" s="1" t="s">
        <v>473</v>
      </c>
      <c r="G182" s="1" t="s">
        <v>98</v>
      </c>
      <c r="H182" s="1" t="s">
        <v>470</v>
      </c>
      <c r="I182" s="1" t="s">
        <v>469</v>
      </c>
      <c r="J182" s="1"/>
      <c r="K182" s="1" t="s">
        <v>472</v>
      </c>
      <c r="L182" s="1" t="s">
        <v>15</v>
      </c>
      <c r="M182" s="1" t="s">
        <v>14</v>
      </c>
    </row>
    <row r="183" spans="1:13" x14ac:dyDescent="0.3">
      <c r="A183" s="1" t="s">
        <v>474</v>
      </c>
      <c r="B183" s="1" t="s">
        <v>475</v>
      </c>
      <c r="C183" s="1" t="s">
        <v>465</v>
      </c>
      <c r="D183" s="1" t="s">
        <v>469</v>
      </c>
      <c r="E183" s="1" t="s">
        <v>471</v>
      </c>
      <c r="F183" s="1" t="s">
        <v>477</v>
      </c>
      <c r="G183" s="1" t="s">
        <v>98</v>
      </c>
      <c r="H183" s="1" t="s">
        <v>476</v>
      </c>
      <c r="I183" s="1" t="s">
        <v>469</v>
      </c>
      <c r="J183" s="1"/>
      <c r="K183" s="1" t="s">
        <v>472</v>
      </c>
      <c r="L183" s="1" t="s">
        <v>15</v>
      </c>
      <c r="M183" s="1" t="s">
        <v>14</v>
      </c>
    </row>
    <row r="184" spans="1:13" x14ac:dyDescent="0.3">
      <c r="A184" s="1" t="s">
        <v>478</v>
      </c>
      <c r="B184" s="1" t="s">
        <v>479</v>
      </c>
      <c r="C184" s="1" t="s">
        <v>465</v>
      </c>
      <c r="D184" s="1" t="s">
        <v>469</v>
      </c>
      <c r="E184" s="1" t="s">
        <v>471</v>
      </c>
      <c r="F184" s="1" t="s">
        <v>481</v>
      </c>
      <c r="G184" s="1" t="s">
        <v>98</v>
      </c>
      <c r="H184" s="1" t="s">
        <v>480</v>
      </c>
      <c r="I184" s="1" t="s">
        <v>469</v>
      </c>
      <c r="J184" s="1"/>
      <c r="K184" s="1" t="s">
        <v>472</v>
      </c>
      <c r="L184" s="1" t="s">
        <v>15</v>
      </c>
      <c r="M184" s="1" t="s">
        <v>14</v>
      </c>
    </row>
    <row r="185" spans="1:13" x14ac:dyDescent="0.3">
      <c r="A185" s="1" t="s">
        <v>482</v>
      </c>
      <c r="B185" s="1" t="s">
        <v>483</v>
      </c>
      <c r="C185" s="1" t="s">
        <v>465</v>
      </c>
      <c r="D185" s="1" t="s">
        <v>469</v>
      </c>
      <c r="E185" s="1" t="s">
        <v>471</v>
      </c>
      <c r="F185" s="1" t="s">
        <v>485</v>
      </c>
      <c r="G185" s="1" t="s">
        <v>98</v>
      </c>
      <c r="H185" s="1" t="s">
        <v>484</v>
      </c>
      <c r="I185" s="1" t="s">
        <v>469</v>
      </c>
      <c r="J185" s="1"/>
      <c r="K185" s="1" t="s">
        <v>472</v>
      </c>
      <c r="L185" s="1" t="s">
        <v>15</v>
      </c>
      <c r="M185" s="1" t="s">
        <v>14</v>
      </c>
    </row>
    <row r="186" spans="1:13" x14ac:dyDescent="0.3">
      <c r="A186" s="1" t="s">
        <v>486</v>
      </c>
      <c r="B186" s="1" t="s">
        <v>487</v>
      </c>
      <c r="C186" s="1" t="s">
        <v>465</v>
      </c>
      <c r="D186" s="1" t="s">
        <v>469</v>
      </c>
      <c r="E186" s="1" t="s">
        <v>471</v>
      </c>
      <c r="F186" s="1" t="s">
        <v>489</v>
      </c>
      <c r="G186" s="1" t="s">
        <v>98</v>
      </c>
      <c r="H186" s="1" t="s">
        <v>488</v>
      </c>
      <c r="I186" s="1" t="s">
        <v>469</v>
      </c>
      <c r="J186" s="1"/>
      <c r="K186" s="1" t="s">
        <v>472</v>
      </c>
      <c r="L186" s="1" t="s">
        <v>15</v>
      </c>
      <c r="M186" s="1" t="s">
        <v>14</v>
      </c>
    </row>
    <row r="187" spans="1:13" x14ac:dyDescent="0.3">
      <c r="A187" s="1" t="s">
        <v>490</v>
      </c>
      <c r="B187" s="1" t="s">
        <v>491</v>
      </c>
      <c r="C187" s="1" t="s">
        <v>492</v>
      </c>
      <c r="D187" s="1" t="s">
        <v>493</v>
      </c>
      <c r="E187" s="1" t="s">
        <v>132</v>
      </c>
      <c r="F187" s="1" t="s">
        <v>496</v>
      </c>
      <c r="G187" s="1" t="s">
        <v>98</v>
      </c>
      <c r="H187" s="1" t="s">
        <v>494</v>
      </c>
      <c r="I187" s="1" t="s">
        <v>495</v>
      </c>
      <c r="J187" s="1" t="s">
        <v>200</v>
      </c>
      <c r="K187" s="1"/>
      <c r="L187" s="1" t="s">
        <v>15</v>
      </c>
      <c r="M187" s="1" t="s">
        <v>14</v>
      </c>
    </row>
    <row r="188" spans="1:13" x14ac:dyDescent="0.3">
      <c r="A188" s="1" t="s">
        <v>497</v>
      </c>
      <c r="B188" s="1" t="s">
        <v>498</v>
      </c>
      <c r="C188" s="1" t="s">
        <v>492</v>
      </c>
      <c r="D188" s="1" t="s">
        <v>493</v>
      </c>
      <c r="E188" s="1" t="s">
        <v>132</v>
      </c>
      <c r="F188" s="1" t="s">
        <v>496</v>
      </c>
      <c r="G188" s="1" t="s">
        <v>98</v>
      </c>
      <c r="H188" s="1" t="s">
        <v>499</v>
      </c>
      <c r="I188" s="1" t="s">
        <v>495</v>
      </c>
      <c r="J188" s="1" t="s">
        <v>147</v>
      </c>
      <c r="K188" s="1"/>
      <c r="L188" s="1" t="s">
        <v>15</v>
      </c>
      <c r="M188" s="1" t="s">
        <v>14</v>
      </c>
    </row>
    <row r="189" spans="1:13" x14ac:dyDescent="0.3">
      <c r="A189" s="1" t="s">
        <v>500</v>
      </c>
      <c r="B189" s="1" t="s">
        <v>501</v>
      </c>
      <c r="C189" s="1" t="s">
        <v>492</v>
      </c>
      <c r="D189" s="1" t="s">
        <v>493</v>
      </c>
      <c r="E189" s="1" t="s">
        <v>132</v>
      </c>
      <c r="F189" s="1" t="s">
        <v>496</v>
      </c>
      <c r="G189" s="1" t="s">
        <v>98</v>
      </c>
      <c r="H189" s="1" t="s">
        <v>502</v>
      </c>
      <c r="I189" s="1" t="s">
        <v>495</v>
      </c>
      <c r="J189" s="1" t="s">
        <v>167</v>
      </c>
      <c r="K189" s="1"/>
      <c r="L189" s="1" t="s">
        <v>15</v>
      </c>
      <c r="M189" s="1" t="s">
        <v>14</v>
      </c>
    </row>
    <row r="190" spans="1:13" x14ac:dyDescent="0.3">
      <c r="A190" s="1" t="s">
        <v>503</v>
      </c>
      <c r="B190" s="1" t="s">
        <v>504</v>
      </c>
      <c r="C190" s="1" t="s">
        <v>492</v>
      </c>
      <c r="D190" s="1" t="s">
        <v>493</v>
      </c>
      <c r="E190" s="1" t="s">
        <v>132</v>
      </c>
      <c r="F190" s="1" t="s">
        <v>496</v>
      </c>
      <c r="G190" s="1" t="s">
        <v>98</v>
      </c>
      <c r="H190" s="1" t="s">
        <v>505</v>
      </c>
      <c r="I190" s="1" t="s">
        <v>495</v>
      </c>
      <c r="J190" s="1" t="s">
        <v>183</v>
      </c>
      <c r="K190" s="1"/>
      <c r="L190" s="1" t="s">
        <v>15</v>
      </c>
      <c r="M190" s="1" t="s">
        <v>14</v>
      </c>
    </row>
    <row r="191" spans="1:13" x14ac:dyDescent="0.3">
      <c r="A191" s="1" t="s">
        <v>506</v>
      </c>
      <c r="B191" s="1" t="s">
        <v>507</v>
      </c>
      <c r="C191" s="1" t="s">
        <v>492</v>
      </c>
      <c r="D191" s="1" t="s">
        <v>493</v>
      </c>
      <c r="E191" s="1" t="s">
        <v>132</v>
      </c>
      <c r="F191" s="1" t="s">
        <v>496</v>
      </c>
      <c r="G191" s="1" t="s">
        <v>98</v>
      </c>
      <c r="H191" s="1" t="s">
        <v>508</v>
      </c>
      <c r="I191" s="1" t="s">
        <v>495</v>
      </c>
      <c r="J191" s="1" t="s">
        <v>299</v>
      </c>
      <c r="K191" s="1"/>
      <c r="L191" s="1" t="s">
        <v>15</v>
      </c>
      <c r="M191" s="1" t="s">
        <v>14</v>
      </c>
    </row>
    <row r="192" spans="1:13" x14ac:dyDescent="0.3">
      <c r="A192" s="1" t="s">
        <v>509</v>
      </c>
      <c r="B192" s="1" t="s">
        <v>510</v>
      </c>
      <c r="C192" s="1" t="s">
        <v>492</v>
      </c>
      <c r="D192" s="1" t="s">
        <v>493</v>
      </c>
      <c r="E192" s="1" t="s">
        <v>132</v>
      </c>
      <c r="F192" s="1" t="s">
        <v>496</v>
      </c>
      <c r="G192" s="1" t="s">
        <v>98</v>
      </c>
      <c r="H192" s="1" t="s">
        <v>511</v>
      </c>
      <c r="I192" s="1" t="s">
        <v>495</v>
      </c>
      <c r="J192" s="1" t="s">
        <v>282</v>
      </c>
      <c r="K192" s="1"/>
      <c r="L192" s="1" t="s">
        <v>15</v>
      </c>
      <c r="M192" s="1" t="s">
        <v>14</v>
      </c>
    </row>
    <row r="193" spans="1:13" x14ac:dyDescent="0.3">
      <c r="A193" s="1" t="s">
        <v>512</v>
      </c>
      <c r="B193" s="1" t="s">
        <v>513</v>
      </c>
      <c r="C193" s="1" t="s">
        <v>492</v>
      </c>
      <c r="D193" s="1" t="s">
        <v>493</v>
      </c>
      <c r="E193" s="1" t="s">
        <v>132</v>
      </c>
      <c r="F193" s="1" t="s">
        <v>496</v>
      </c>
      <c r="G193" s="1" t="s">
        <v>98</v>
      </c>
      <c r="H193" s="1" t="s">
        <v>514</v>
      </c>
      <c r="I193" s="1" t="s">
        <v>495</v>
      </c>
      <c r="J193" s="1" t="s">
        <v>341</v>
      </c>
      <c r="K193" s="1"/>
      <c r="L193" s="1" t="s">
        <v>15</v>
      </c>
      <c r="M193" s="1" t="s">
        <v>14</v>
      </c>
    </row>
    <row r="194" spans="1:13" x14ac:dyDescent="0.3">
      <c r="A194" s="1" t="s">
        <v>515</v>
      </c>
      <c r="B194" s="1" t="s">
        <v>516</v>
      </c>
      <c r="C194" s="1" t="s">
        <v>492</v>
      </c>
      <c r="D194" s="1" t="s">
        <v>493</v>
      </c>
      <c r="E194" s="1" t="s">
        <v>132</v>
      </c>
      <c r="F194" s="1" t="s">
        <v>496</v>
      </c>
      <c r="G194" s="1" t="s">
        <v>98</v>
      </c>
      <c r="H194" s="1" t="s">
        <v>517</v>
      </c>
      <c r="I194" s="1" t="s">
        <v>495</v>
      </c>
      <c r="J194" s="1" t="s">
        <v>325</v>
      </c>
      <c r="K194" s="1"/>
      <c r="L194" s="1" t="s">
        <v>15</v>
      </c>
      <c r="M194" s="1" t="s">
        <v>14</v>
      </c>
    </row>
    <row r="195" spans="1:13" x14ac:dyDescent="0.3">
      <c r="A195" s="1" t="s">
        <v>518</v>
      </c>
      <c r="B195" s="1" t="s">
        <v>519</v>
      </c>
      <c r="C195" s="1" t="s">
        <v>492</v>
      </c>
      <c r="D195" s="1" t="s">
        <v>493</v>
      </c>
      <c r="E195" s="1" t="s">
        <v>132</v>
      </c>
      <c r="F195" s="1" t="s">
        <v>496</v>
      </c>
      <c r="G195" s="1" t="s">
        <v>98</v>
      </c>
      <c r="H195" s="1" t="s">
        <v>520</v>
      </c>
      <c r="I195" s="1" t="s">
        <v>495</v>
      </c>
      <c r="J195" s="1" t="s">
        <v>357</v>
      </c>
      <c r="K195" s="1"/>
      <c r="L195" s="1" t="s">
        <v>15</v>
      </c>
      <c r="M195" s="1" t="s">
        <v>14</v>
      </c>
    </row>
    <row r="196" spans="1:13" x14ac:dyDescent="0.3">
      <c r="A196" s="1" t="s">
        <v>521</v>
      </c>
      <c r="B196" s="1" t="s">
        <v>522</v>
      </c>
      <c r="C196" s="1" t="s">
        <v>492</v>
      </c>
      <c r="D196" s="1" t="s">
        <v>493</v>
      </c>
      <c r="E196" s="1" t="s">
        <v>19</v>
      </c>
      <c r="F196" s="1" t="s">
        <v>525</v>
      </c>
      <c r="G196" s="1" t="s">
        <v>98</v>
      </c>
      <c r="H196" s="1" t="s">
        <v>523</v>
      </c>
      <c r="I196" s="1" t="s">
        <v>495</v>
      </c>
      <c r="J196" s="1" t="s">
        <v>524</v>
      </c>
      <c r="K196" s="1"/>
      <c r="L196" s="1" t="s">
        <v>15</v>
      </c>
      <c r="M196" s="1" t="s">
        <v>14</v>
      </c>
    </row>
    <row r="197" spans="1:13" x14ac:dyDescent="0.3">
      <c r="A197" s="1" t="s">
        <v>526</v>
      </c>
      <c r="B197" s="1" t="s">
        <v>527</v>
      </c>
      <c r="C197" s="1" t="s">
        <v>492</v>
      </c>
      <c r="D197" s="1" t="s">
        <v>493</v>
      </c>
      <c r="E197" s="1" t="s">
        <v>19</v>
      </c>
      <c r="F197" s="1" t="s">
        <v>525</v>
      </c>
      <c r="G197" s="1" t="s">
        <v>98</v>
      </c>
      <c r="H197" s="1" t="s">
        <v>528</v>
      </c>
      <c r="I197" s="1" t="s">
        <v>495</v>
      </c>
      <c r="J197" s="1" t="s">
        <v>529</v>
      </c>
      <c r="K197" s="1"/>
      <c r="L197" s="1" t="s">
        <v>15</v>
      </c>
      <c r="M197" s="1" t="s">
        <v>14</v>
      </c>
    </row>
    <row r="198" spans="1:13" x14ac:dyDescent="0.3">
      <c r="A198" s="1" t="s">
        <v>530</v>
      </c>
      <c r="B198" s="1" t="s">
        <v>531</v>
      </c>
      <c r="C198" s="1" t="s">
        <v>492</v>
      </c>
      <c r="D198" s="1" t="s">
        <v>493</v>
      </c>
      <c r="E198" s="1" t="s">
        <v>19</v>
      </c>
      <c r="F198" s="1" t="s">
        <v>525</v>
      </c>
      <c r="G198" s="1" t="s">
        <v>98</v>
      </c>
      <c r="H198" s="1" t="s">
        <v>532</v>
      </c>
      <c r="I198" s="1" t="s">
        <v>495</v>
      </c>
      <c r="J198" s="1" t="s">
        <v>533</v>
      </c>
      <c r="K198" s="1"/>
      <c r="L198" s="1" t="s">
        <v>15</v>
      </c>
      <c r="M198" s="1" t="s">
        <v>14</v>
      </c>
    </row>
    <row r="199" spans="1:13" x14ac:dyDescent="0.3">
      <c r="A199" s="1" t="s">
        <v>534</v>
      </c>
      <c r="B199" s="1" t="s">
        <v>535</v>
      </c>
      <c r="C199" s="1" t="s">
        <v>492</v>
      </c>
      <c r="D199" s="1" t="s">
        <v>493</v>
      </c>
      <c r="E199" s="1" t="s">
        <v>19</v>
      </c>
      <c r="F199" s="1" t="s">
        <v>525</v>
      </c>
      <c r="G199" s="1" t="s">
        <v>98</v>
      </c>
      <c r="H199" s="1" t="s">
        <v>536</v>
      </c>
      <c r="I199" s="1" t="s">
        <v>495</v>
      </c>
      <c r="J199" s="1" t="s">
        <v>537</v>
      </c>
      <c r="K199" s="1"/>
      <c r="L199" s="1" t="s">
        <v>15</v>
      </c>
      <c r="M199" s="1" t="s">
        <v>14</v>
      </c>
    </row>
    <row r="200" spans="1:13" x14ac:dyDescent="0.3">
      <c r="A200" s="1" t="s">
        <v>538</v>
      </c>
      <c r="B200" s="1" t="s">
        <v>539</v>
      </c>
      <c r="C200" s="1" t="s">
        <v>492</v>
      </c>
      <c r="D200" s="1" t="s">
        <v>493</v>
      </c>
      <c r="E200" s="1" t="s">
        <v>19</v>
      </c>
      <c r="F200" s="1" t="s">
        <v>525</v>
      </c>
      <c r="G200" s="1" t="s">
        <v>98</v>
      </c>
      <c r="H200" s="1" t="s">
        <v>540</v>
      </c>
      <c r="I200" s="1" t="s">
        <v>495</v>
      </c>
      <c r="J200" s="1" t="s">
        <v>541</v>
      </c>
      <c r="K200" s="1"/>
      <c r="L200" s="1" t="s">
        <v>15</v>
      </c>
      <c r="M200" s="1" t="s">
        <v>14</v>
      </c>
    </row>
    <row r="201" spans="1:13" x14ac:dyDescent="0.3">
      <c r="A201" s="1" t="s">
        <v>542</v>
      </c>
      <c r="B201" s="1" t="s">
        <v>543</v>
      </c>
      <c r="C201" s="1" t="s">
        <v>492</v>
      </c>
      <c r="D201" s="1" t="s">
        <v>493</v>
      </c>
      <c r="E201" s="1" t="s">
        <v>19</v>
      </c>
      <c r="F201" s="1" t="s">
        <v>525</v>
      </c>
      <c r="G201" s="1" t="s">
        <v>98</v>
      </c>
      <c r="H201" s="1" t="s">
        <v>544</v>
      </c>
      <c r="I201" s="1" t="s">
        <v>495</v>
      </c>
      <c r="J201" s="1" t="s">
        <v>545</v>
      </c>
      <c r="K201" s="1"/>
      <c r="L201" s="1" t="s">
        <v>15</v>
      </c>
      <c r="M201" s="1" t="s">
        <v>14</v>
      </c>
    </row>
    <row r="202" spans="1:13" x14ac:dyDescent="0.3">
      <c r="A202" s="1" t="s">
        <v>546</v>
      </c>
      <c r="B202" s="1" t="s">
        <v>547</v>
      </c>
      <c r="C202" s="1" t="s">
        <v>492</v>
      </c>
      <c r="D202" s="1" t="s">
        <v>493</v>
      </c>
      <c r="E202" s="1" t="s">
        <v>19</v>
      </c>
      <c r="F202" s="1" t="s">
        <v>525</v>
      </c>
      <c r="G202" s="1" t="s">
        <v>98</v>
      </c>
      <c r="H202" s="1" t="s">
        <v>548</v>
      </c>
      <c r="I202" s="1" t="s">
        <v>495</v>
      </c>
      <c r="J202" s="1" t="s">
        <v>549</v>
      </c>
      <c r="K202" s="1"/>
      <c r="L202" s="1" t="s">
        <v>15</v>
      </c>
      <c r="M202" s="1" t="s">
        <v>14</v>
      </c>
    </row>
    <row r="203" spans="1:13" x14ac:dyDescent="0.3">
      <c r="A203" s="1" t="s">
        <v>550</v>
      </c>
      <c r="B203" s="1" t="s">
        <v>551</v>
      </c>
      <c r="C203" s="1" t="s">
        <v>492</v>
      </c>
      <c r="D203" s="1" t="s">
        <v>493</v>
      </c>
      <c r="E203" s="1" t="s">
        <v>19</v>
      </c>
      <c r="F203" s="1" t="s">
        <v>525</v>
      </c>
      <c r="G203" s="1" t="s">
        <v>98</v>
      </c>
      <c r="H203" s="1" t="s">
        <v>552</v>
      </c>
      <c r="I203" s="1" t="s">
        <v>495</v>
      </c>
      <c r="J203" s="1" t="s">
        <v>115</v>
      </c>
      <c r="K203" s="1"/>
      <c r="L203" s="1" t="s">
        <v>15</v>
      </c>
      <c r="M203" s="1" t="s">
        <v>14</v>
      </c>
    </row>
    <row r="204" spans="1:13" x14ac:dyDescent="0.3">
      <c r="A204" s="1" t="s">
        <v>553</v>
      </c>
      <c r="B204" s="1" t="s">
        <v>554</v>
      </c>
      <c r="C204" s="1" t="s">
        <v>492</v>
      </c>
      <c r="D204" s="1" t="s">
        <v>493</v>
      </c>
      <c r="E204" s="1" t="s">
        <v>19</v>
      </c>
      <c r="F204" s="1" t="s">
        <v>525</v>
      </c>
      <c r="G204" s="1" t="s">
        <v>98</v>
      </c>
      <c r="H204" s="1" t="s">
        <v>555</v>
      </c>
      <c r="I204" s="1" t="s">
        <v>495</v>
      </c>
      <c r="J204" s="1" t="s">
        <v>408</v>
      </c>
      <c r="K204" s="1"/>
      <c r="L204" s="1" t="s">
        <v>15</v>
      </c>
      <c r="M204" s="1" t="s">
        <v>14</v>
      </c>
    </row>
    <row r="205" spans="1:13" x14ac:dyDescent="0.3">
      <c r="A205" s="1" t="s">
        <v>556</v>
      </c>
      <c r="B205" s="1" t="s">
        <v>557</v>
      </c>
      <c r="C205" s="1" t="s">
        <v>492</v>
      </c>
      <c r="D205" s="1" t="s">
        <v>493</v>
      </c>
      <c r="E205" s="1" t="s">
        <v>19</v>
      </c>
      <c r="F205" s="1" t="s">
        <v>525</v>
      </c>
      <c r="G205" s="1" t="s">
        <v>98</v>
      </c>
      <c r="H205" s="1" t="s">
        <v>555</v>
      </c>
      <c r="I205" s="1" t="s">
        <v>495</v>
      </c>
      <c r="J205" s="1" t="s">
        <v>411</v>
      </c>
      <c r="K205" s="1"/>
      <c r="L205" s="1" t="s">
        <v>15</v>
      </c>
      <c r="M205" s="1" t="s">
        <v>14</v>
      </c>
    </row>
    <row r="206" spans="1:13" x14ac:dyDescent="0.3">
      <c r="A206" s="1" t="s">
        <v>558</v>
      </c>
      <c r="B206" s="1" t="s">
        <v>559</v>
      </c>
      <c r="C206" s="1" t="s">
        <v>492</v>
      </c>
      <c r="D206" s="1" t="s">
        <v>493</v>
      </c>
      <c r="E206" s="1" t="s">
        <v>19</v>
      </c>
      <c r="F206" s="1" t="s">
        <v>525</v>
      </c>
      <c r="G206" s="1" t="s">
        <v>98</v>
      </c>
      <c r="H206" s="1" t="s">
        <v>560</v>
      </c>
      <c r="I206" s="1" t="s">
        <v>495</v>
      </c>
      <c r="J206" s="1" t="s">
        <v>561</v>
      </c>
      <c r="K206" s="1"/>
      <c r="L206" s="1" t="s">
        <v>15</v>
      </c>
      <c r="M206" s="1" t="s">
        <v>14</v>
      </c>
    </row>
    <row r="207" spans="1:13" x14ac:dyDescent="0.3">
      <c r="A207" s="1" t="s">
        <v>562</v>
      </c>
      <c r="B207" s="1" t="s">
        <v>563</v>
      </c>
      <c r="C207" s="1" t="s">
        <v>492</v>
      </c>
      <c r="D207" s="1" t="s">
        <v>493</v>
      </c>
      <c r="E207" s="1" t="s">
        <v>19</v>
      </c>
      <c r="F207" s="1" t="s">
        <v>525</v>
      </c>
      <c r="G207" s="1" t="s">
        <v>98</v>
      </c>
      <c r="H207" s="1" t="s">
        <v>564</v>
      </c>
      <c r="I207" s="1" t="s">
        <v>495</v>
      </c>
      <c r="J207" s="1" t="s">
        <v>58</v>
      </c>
      <c r="K207" s="1"/>
      <c r="L207" s="1" t="s">
        <v>15</v>
      </c>
      <c r="M207" s="1" t="s">
        <v>14</v>
      </c>
    </row>
    <row r="208" spans="1:13" x14ac:dyDescent="0.3">
      <c r="A208" s="1" t="s">
        <v>565</v>
      </c>
      <c r="B208" s="1" t="s">
        <v>566</v>
      </c>
      <c r="C208" s="1" t="s">
        <v>492</v>
      </c>
      <c r="D208" s="1" t="s">
        <v>493</v>
      </c>
      <c r="E208" s="1" t="s">
        <v>19</v>
      </c>
      <c r="F208" s="1" t="s">
        <v>525</v>
      </c>
      <c r="G208" s="1" t="s">
        <v>98</v>
      </c>
      <c r="H208" s="1" t="s">
        <v>567</v>
      </c>
      <c r="I208" s="1" t="s">
        <v>495</v>
      </c>
      <c r="J208" s="1" t="s">
        <v>450</v>
      </c>
      <c r="K208" s="1"/>
      <c r="L208" s="1" t="s">
        <v>15</v>
      </c>
      <c r="M208" s="1" t="s">
        <v>14</v>
      </c>
    </row>
    <row r="209" spans="1:13" x14ac:dyDescent="0.3">
      <c r="A209" s="1" t="s">
        <v>568</v>
      </c>
      <c r="B209" s="1" t="s">
        <v>569</v>
      </c>
      <c r="C209" s="1" t="s">
        <v>492</v>
      </c>
      <c r="D209" s="1" t="s">
        <v>493</v>
      </c>
      <c r="E209" s="1" t="s">
        <v>19</v>
      </c>
      <c r="F209" s="1" t="s">
        <v>525</v>
      </c>
      <c r="G209" s="1" t="s">
        <v>98</v>
      </c>
      <c r="H209" s="1" t="s">
        <v>570</v>
      </c>
      <c r="I209" s="1" t="s">
        <v>495</v>
      </c>
      <c r="J209" s="1" t="s">
        <v>571</v>
      </c>
      <c r="K209" s="1"/>
      <c r="L209" s="1" t="s">
        <v>15</v>
      </c>
      <c r="M209" s="1" t="s">
        <v>14</v>
      </c>
    </row>
    <row r="210" spans="1:13" x14ac:dyDescent="0.3">
      <c r="A210" s="1" t="s">
        <v>572</v>
      </c>
      <c r="B210" s="1" t="s">
        <v>573</v>
      </c>
      <c r="C210" s="1" t="s">
        <v>492</v>
      </c>
      <c r="D210" s="1" t="s">
        <v>493</v>
      </c>
      <c r="E210" s="1" t="s">
        <v>19</v>
      </c>
      <c r="F210" s="1" t="s">
        <v>525</v>
      </c>
      <c r="G210" s="1" t="s">
        <v>98</v>
      </c>
      <c r="H210" s="1" t="s">
        <v>574</v>
      </c>
      <c r="I210" s="1" t="s">
        <v>495</v>
      </c>
      <c r="J210" s="1" t="s">
        <v>575</v>
      </c>
      <c r="K210" s="1"/>
      <c r="L210" s="1" t="s">
        <v>15</v>
      </c>
      <c r="M210" s="1" t="s">
        <v>14</v>
      </c>
    </row>
    <row r="211" spans="1:13" x14ac:dyDescent="0.3">
      <c r="A211" s="1" t="s">
        <v>576</v>
      </c>
      <c r="B211" s="1" t="s">
        <v>577</v>
      </c>
      <c r="C211" s="1" t="s">
        <v>492</v>
      </c>
      <c r="D211" s="1" t="s">
        <v>493</v>
      </c>
      <c r="E211" s="1" t="s">
        <v>19</v>
      </c>
      <c r="F211" s="1" t="s">
        <v>525</v>
      </c>
      <c r="G211" s="1" t="s">
        <v>98</v>
      </c>
      <c r="H211" s="1" t="s">
        <v>578</v>
      </c>
      <c r="I211" s="1" t="s">
        <v>495</v>
      </c>
      <c r="J211" s="1" t="s">
        <v>579</v>
      </c>
      <c r="K211" s="1"/>
      <c r="L211" s="1" t="s">
        <v>15</v>
      </c>
      <c r="M211" s="1" t="s">
        <v>14</v>
      </c>
    </row>
    <row r="212" spans="1:13" x14ac:dyDescent="0.3">
      <c r="A212" s="1" t="s">
        <v>580</v>
      </c>
      <c r="B212" s="1" t="s">
        <v>581</v>
      </c>
      <c r="C212" s="1" t="s">
        <v>492</v>
      </c>
      <c r="D212" s="1" t="s">
        <v>582</v>
      </c>
      <c r="E212" s="1" t="s">
        <v>132</v>
      </c>
      <c r="F212" s="1" t="s">
        <v>584</v>
      </c>
      <c r="G212" s="1" t="s">
        <v>98</v>
      </c>
      <c r="H212" s="1" t="s">
        <v>583</v>
      </c>
      <c r="I212" s="1" t="s">
        <v>495</v>
      </c>
      <c r="J212" s="1" t="s">
        <v>200</v>
      </c>
      <c r="K212" s="1"/>
      <c r="L212" s="1" t="s">
        <v>15</v>
      </c>
      <c r="M212" s="1" t="s">
        <v>14</v>
      </c>
    </row>
    <row r="213" spans="1:13" x14ac:dyDescent="0.3">
      <c r="A213" s="1" t="s">
        <v>585</v>
      </c>
      <c r="B213" s="1" t="s">
        <v>586</v>
      </c>
      <c r="C213" s="1" t="s">
        <v>492</v>
      </c>
      <c r="D213" s="1" t="s">
        <v>582</v>
      </c>
      <c r="E213" s="1" t="s">
        <v>132</v>
      </c>
      <c r="F213" s="1" t="s">
        <v>584</v>
      </c>
      <c r="G213" s="1" t="s">
        <v>98</v>
      </c>
      <c r="H213" s="1" t="s">
        <v>587</v>
      </c>
      <c r="I213" s="1" t="s">
        <v>495</v>
      </c>
      <c r="J213" s="1" t="s">
        <v>147</v>
      </c>
      <c r="K213" s="1"/>
      <c r="L213" s="1" t="s">
        <v>15</v>
      </c>
      <c r="M213" s="1" t="s">
        <v>14</v>
      </c>
    </row>
    <row r="214" spans="1:13" x14ac:dyDescent="0.3">
      <c r="A214" s="1" t="s">
        <v>588</v>
      </c>
      <c r="B214" s="1" t="s">
        <v>589</v>
      </c>
      <c r="C214" s="1" t="s">
        <v>492</v>
      </c>
      <c r="D214" s="1" t="s">
        <v>582</v>
      </c>
      <c r="E214" s="1" t="s">
        <v>132</v>
      </c>
      <c r="F214" s="1" t="s">
        <v>584</v>
      </c>
      <c r="G214" s="1" t="s">
        <v>98</v>
      </c>
      <c r="H214" s="1" t="s">
        <v>590</v>
      </c>
      <c r="I214" s="1" t="s">
        <v>495</v>
      </c>
      <c r="J214" s="1" t="s">
        <v>167</v>
      </c>
      <c r="K214" s="1"/>
      <c r="L214" s="1" t="s">
        <v>15</v>
      </c>
      <c r="M214" s="1" t="s">
        <v>14</v>
      </c>
    </row>
    <row r="215" spans="1:13" x14ac:dyDescent="0.3">
      <c r="A215" s="1" t="s">
        <v>591</v>
      </c>
      <c r="B215" s="1" t="s">
        <v>592</v>
      </c>
      <c r="C215" s="1" t="s">
        <v>492</v>
      </c>
      <c r="D215" s="1" t="s">
        <v>582</v>
      </c>
      <c r="E215" s="1" t="s">
        <v>132</v>
      </c>
      <c r="F215" s="1" t="s">
        <v>584</v>
      </c>
      <c r="G215" s="1" t="s">
        <v>98</v>
      </c>
      <c r="H215" s="1" t="s">
        <v>593</v>
      </c>
      <c r="I215" s="1" t="s">
        <v>495</v>
      </c>
      <c r="J215" s="1" t="s">
        <v>183</v>
      </c>
      <c r="K215" s="1"/>
      <c r="L215" s="1" t="s">
        <v>15</v>
      </c>
      <c r="M215" s="1" t="s">
        <v>14</v>
      </c>
    </row>
    <row r="216" spans="1:13" x14ac:dyDescent="0.3">
      <c r="A216" s="1" t="s">
        <v>594</v>
      </c>
      <c r="B216" s="1" t="s">
        <v>595</v>
      </c>
      <c r="C216" s="1" t="s">
        <v>492</v>
      </c>
      <c r="D216" s="1" t="s">
        <v>582</v>
      </c>
      <c r="E216" s="1" t="s">
        <v>132</v>
      </c>
      <c r="F216" s="1" t="s">
        <v>584</v>
      </c>
      <c r="G216" s="1" t="s">
        <v>98</v>
      </c>
      <c r="H216" s="1" t="s">
        <v>596</v>
      </c>
      <c r="I216" s="1" t="s">
        <v>495</v>
      </c>
      <c r="J216" s="1" t="s">
        <v>341</v>
      </c>
      <c r="K216" s="1"/>
      <c r="L216" s="1" t="s">
        <v>15</v>
      </c>
      <c r="M216" s="1" t="s">
        <v>14</v>
      </c>
    </row>
    <row r="217" spans="1:13" x14ac:dyDescent="0.3">
      <c r="A217" s="1" t="s">
        <v>597</v>
      </c>
      <c r="B217" s="1" t="s">
        <v>598</v>
      </c>
      <c r="C217" s="1" t="s">
        <v>492</v>
      </c>
      <c r="D217" s="1" t="s">
        <v>582</v>
      </c>
      <c r="E217" s="1" t="s">
        <v>132</v>
      </c>
      <c r="F217" s="1" t="s">
        <v>584</v>
      </c>
      <c r="G217" s="1" t="s">
        <v>98</v>
      </c>
      <c r="H217" s="1" t="s">
        <v>599</v>
      </c>
      <c r="I217" s="1" t="s">
        <v>495</v>
      </c>
      <c r="J217" s="1" t="s">
        <v>325</v>
      </c>
      <c r="K217" s="1"/>
      <c r="L217" s="1" t="s">
        <v>15</v>
      </c>
      <c r="M217" s="1" t="s">
        <v>14</v>
      </c>
    </row>
    <row r="218" spans="1:13" x14ac:dyDescent="0.3">
      <c r="A218" s="1" t="s">
        <v>600</v>
      </c>
      <c r="B218" s="1" t="s">
        <v>601</v>
      </c>
      <c r="C218" s="1" t="s">
        <v>492</v>
      </c>
      <c r="D218" s="1" t="s">
        <v>582</v>
      </c>
      <c r="E218" s="1" t="s">
        <v>132</v>
      </c>
      <c r="F218" s="1" t="s">
        <v>584</v>
      </c>
      <c r="G218" s="1" t="s">
        <v>98</v>
      </c>
      <c r="H218" s="1" t="s">
        <v>602</v>
      </c>
      <c r="I218" s="1" t="s">
        <v>495</v>
      </c>
      <c r="J218" s="1" t="s">
        <v>357</v>
      </c>
      <c r="K218" s="1"/>
      <c r="L218" s="1" t="s">
        <v>15</v>
      </c>
      <c r="M218" s="1" t="s">
        <v>14</v>
      </c>
    </row>
    <row r="219" spans="1:13" x14ac:dyDescent="0.3">
      <c r="A219" s="1" t="s">
        <v>603</v>
      </c>
      <c r="B219" s="1" t="s">
        <v>604</v>
      </c>
      <c r="C219" s="1" t="s">
        <v>492</v>
      </c>
      <c r="D219" s="1" t="s">
        <v>582</v>
      </c>
      <c r="E219" s="1" t="s">
        <v>19</v>
      </c>
      <c r="F219" s="1" t="s">
        <v>606</v>
      </c>
      <c r="G219" s="1" t="s">
        <v>98</v>
      </c>
      <c r="H219" s="1" t="s">
        <v>605</v>
      </c>
      <c r="I219" s="1" t="s">
        <v>495</v>
      </c>
      <c r="J219" s="1" t="s">
        <v>529</v>
      </c>
      <c r="K219" s="1"/>
      <c r="L219" s="1" t="s">
        <v>15</v>
      </c>
      <c r="M219" s="1" t="s">
        <v>14</v>
      </c>
    </row>
    <row r="220" spans="1:13" x14ac:dyDescent="0.3">
      <c r="A220" s="1" t="s">
        <v>607</v>
      </c>
      <c r="B220" s="1" t="s">
        <v>608</v>
      </c>
      <c r="C220" s="1" t="s">
        <v>492</v>
      </c>
      <c r="D220" s="1" t="s">
        <v>582</v>
      </c>
      <c r="E220" s="1" t="s">
        <v>19</v>
      </c>
      <c r="F220" s="1" t="s">
        <v>606</v>
      </c>
      <c r="G220" s="1" t="s">
        <v>98</v>
      </c>
      <c r="H220" s="1" t="s">
        <v>609</v>
      </c>
      <c r="I220" s="1" t="s">
        <v>495</v>
      </c>
      <c r="J220" s="1" t="s">
        <v>533</v>
      </c>
      <c r="K220" s="1"/>
      <c r="L220" s="1" t="s">
        <v>15</v>
      </c>
      <c r="M220" s="1" t="s">
        <v>14</v>
      </c>
    </row>
    <row r="221" spans="1:13" x14ac:dyDescent="0.3">
      <c r="A221" s="1" t="s">
        <v>610</v>
      </c>
      <c r="B221" s="1" t="s">
        <v>611</v>
      </c>
      <c r="C221" s="1" t="s">
        <v>492</v>
      </c>
      <c r="D221" s="1" t="s">
        <v>582</v>
      </c>
      <c r="E221" s="1" t="s">
        <v>19</v>
      </c>
      <c r="F221" s="1" t="s">
        <v>606</v>
      </c>
      <c r="G221" s="1" t="s">
        <v>98</v>
      </c>
      <c r="H221" s="1" t="s">
        <v>536</v>
      </c>
      <c r="I221" s="1" t="s">
        <v>495</v>
      </c>
      <c r="J221" s="1" t="s">
        <v>537</v>
      </c>
      <c r="K221" s="1"/>
      <c r="L221" s="1" t="s">
        <v>15</v>
      </c>
      <c r="M221" s="1" t="s">
        <v>14</v>
      </c>
    </row>
    <row r="222" spans="1:13" x14ac:dyDescent="0.3">
      <c r="A222" s="1" t="s">
        <v>612</v>
      </c>
      <c r="B222" s="1" t="s">
        <v>613</v>
      </c>
      <c r="C222" s="1" t="s">
        <v>492</v>
      </c>
      <c r="D222" s="1" t="s">
        <v>582</v>
      </c>
      <c r="E222" s="1" t="s">
        <v>19</v>
      </c>
      <c r="F222" s="1" t="s">
        <v>606</v>
      </c>
      <c r="G222" s="1" t="s">
        <v>98</v>
      </c>
      <c r="H222" s="1" t="s">
        <v>614</v>
      </c>
      <c r="I222" s="1" t="s">
        <v>495</v>
      </c>
      <c r="J222" s="1" t="s">
        <v>115</v>
      </c>
      <c r="K222" s="1"/>
      <c r="L222" s="1" t="s">
        <v>15</v>
      </c>
      <c r="M222" s="1" t="s">
        <v>14</v>
      </c>
    </row>
    <row r="223" spans="1:13" x14ac:dyDescent="0.3">
      <c r="A223" s="1" t="s">
        <v>615</v>
      </c>
      <c r="B223" s="1" t="s">
        <v>616</v>
      </c>
      <c r="C223" s="1" t="s">
        <v>492</v>
      </c>
      <c r="D223" s="1" t="s">
        <v>582</v>
      </c>
      <c r="E223" s="1" t="s">
        <v>19</v>
      </c>
      <c r="F223" s="1" t="s">
        <v>606</v>
      </c>
      <c r="G223" s="1" t="s">
        <v>98</v>
      </c>
      <c r="H223" s="1" t="s">
        <v>617</v>
      </c>
      <c r="I223" s="1" t="s">
        <v>495</v>
      </c>
      <c r="J223" s="1" t="s">
        <v>408</v>
      </c>
      <c r="K223" s="1"/>
      <c r="L223" s="1" t="s">
        <v>15</v>
      </c>
      <c r="M223" s="1" t="s">
        <v>14</v>
      </c>
    </row>
    <row r="224" spans="1:13" x14ac:dyDescent="0.3">
      <c r="A224" s="1" t="s">
        <v>618</v>
      </c>
      <c r="B224" s="1" t="s">
        <v>619</v>
      </c>
      <c r="C224" s="1" t="s">
        <v>492</v>
      </c>
      <c r="D224" s="1" t="s">
        <v>582</v>
      </c>
      <c r="E224" s="1" t="s">
        <v>19</v>
      </c>
      <c r="F224" s="1" t="s">
        <v>606</v>
      </c>
      <c r="G224" s="1" t="s">
        <v>98</v>
      </c>
      <c r="H224" s="1" t="s">
        <v>617</v>
      </c>
      <c r="I224" s="1" t="s">
        <v>495</v>
      </c>
      <c r="J224" s="1" t="s">
        <v>411</v>
      </c>
      <c r="K224" s="1"/>
      <c r="L224" s="1" t="s">
        <v>15</v>
      </c>
      <c r="M224" s="1" t="s">
        <v>14</v>
      </c>
    </row>
    <row r="225" spans="1:13" x14ac:dyDescent="0.3">
      <c r="A225" s="1" t="s">
        <v>620</v>
      </c>
      <c r="B225" s="1" t="s">
        <v>621</v>
      </c>
      <c r="C225" s="1" t="s">
        <v>492</v>
      </c>
      <c r="D225" s="1" t="s">
        <v>582</v>
      </c>
      <c r="E225" s="1" t="s">
        <v>19</v>
      </c>
      <c r="F225" s="1" t="s">
        <v>606</v>
      </c>
      <c r="G225" s="1" t="s">
        <v>98</v>
      </c>
      <c r="H225" s="1" t="s">
        <v>622</v>
      </c>
      <c r="I225" s="1" t="s">
        <v>495</v>
      </c>
      <c r="J225" s="1" t="s">
        <v>561</v>
      </c>
      <c r="K225" s="1"/>
      <c r="L225" s="1" t="s">
        <v>15</v>
      </c>
      <c r="M225" s="1" t="s">
        <v>14</v>
      </c>
    </row>
    <row r="226" spans="1:13" x14ac:dyDescent="0.3">
      <c r="A226" s="1" t="s">
        <v>623</v>
      </c>
      <c r="B226" s="1" t="s">
        <v>624</v>
      </c>
      <c r="C226" s="1" t="s">
        <v>492</v>
      </c>
      <c r="D226" s="1" t="s">
        <v>582</v>
      </c>
      <c r="E226" s="1" t="s">
        <v>19</v>
      </c>
      <c r="F226" s="1" t="s">
        <v>606</v>
      </c>
      <c r="G226" s="1" t="s">
        <v>98</v>
      </c>
      <c r="H226" s="1" t="s">
        <v>625</v>
      </c>
      <c r="I226" s="1" t="s">
        <v>495</v>
      </c>
      <c r="J226" s="1" t="s">
        <v>58</v>
      </c>
      <c r="K226" s="1"/>
      <c r="L226" s="1" t="s">
        <v>15</v>
      </c>
      <c r="M226" s="1" t="s">
        <v>14</v>
      </c>
    </row>
    <row r="227" spans="1:13" x14ac:dyDescent="0.3">
      <c r="A227" s="1" t="s">
        <v>626</v>
      </c>
      <c r="B227" s="1" t="s">
        <v>627</v>
      </c>
      <c r="C227" s="1" t="s">
        <v>492</v>
      </c>
      <c r="D227" s="1" t="s">
        <v>582</v>
      </c>
      <c r="E227" s="1" t="s">
        <v>19</v>
      </c>
      <c r="F227" s="1" t="s">
        <v>606</v>
      </c>
      <c r="G227" s="1" t="s">
        <v>98</v>
      </c>
      <c r="H227" s="1" t="s">
        <v>628</v>
      </c>
      <c r="I227" s="1" t="s">
        <v>495</v>
      </c>
      <c r="J227" s="1" t="s">
        <v>450</v>
      </c>
      <c r="K227" s="1"/>
      <c r="L227" s="1" t="s">
        <v>15</v>
      </c>
      <c r="M227" s="1" t="s">
        <v>14</v>
      </c>
    </row>
    <row r="228" spans="1:13" x14ac:dyDescent="0.3">
      <c r="A228" s="1" t="s">
        <v>629</v>
      </c>
      <c r="B228" s="1" t="s">
        <v>630</v>
      </c>
      <c r="C228" s="1" t="s">
        <v>492</v>
      </c>
      <c r="D228" s="1" t="s">
        <v>582</v>
      </c>
      <c r="E228" s="1" t="s">
        <v>19</v>
      </c>
      <c r="F228" s="1" t="s">
        <v>606</v>
      </c>
      <c r="G228" s="1" t="s">
        <v>98</v>
      </c>
      <c r="H228" s="1" t="s">
        <v>631</v>
      </c>
      <c r="I228" s="1" t="s">
        <v>495</v>
      </c>
      <c r="J228" s="1" t="s">
        <v>632</v>
      </c>
      <c r="K228" s="1"/>
      <c r="L228" s="1" t="s">
        <v>15</v>
      </c>
      <c r="M228" s="1" t="s">
        <v>14</v>
      </c>
    </row>
    <row r="229" spans="1:13" x14ac:dyDescent="0.3">
      <c r="A229" s="1" t="s">
        <v>633</v>
      </c>
      <c r="B229" s="1" t="s">
        <v>634</v>
      </c>
      <c r="C229" s="1" t="s">
        <v>492</v>
      </c>
      <c r="D229" s="1" t="s">
        <v>582</v>
      </c>
      <c r="E229" s="1" t="s">
        <v>19</v>
      </c>
      <c r="F229" s="1" t="s">
        <v>606</v>
      </c>
      <c r="G229" s="1" t="s">
        <v>98</v>
      </c>
      <c r="H229" s="1" t="s">
        <v>635</v>
      </c>
      <c r="I229" s="1" t="s">
        <v>495</v>
      </c>
      <c r="J229" s="1" t="s">
        <v>636</v>
      </c>
      <c r="K229" s="1"/>
      <c r="L229" s="1" t="s">
        <v>15</v>
      </c>
      <c r="M229" s="1" t="s">
        <v>14</v>
      </c>
    </row>
    <row r="230" spans="1:13" x14ac:dyDescent="0.3">
      <c r="A230" s="1" t="s">
        <v>637</v>
      </c>
      <c r="B230" s="1" t="s">
        <v>638</v>
      </c>
      <c r="C230" s="1" t="s">
        <v>492</v>
      </c>
      <c r="D230" s="1" t="s">
        <v>582</v>
      </c>
      <c r="E230" s="1" t="s">
        <v>19</v>
      </c>
      <c r="F230" s="1" t="s">
        <v>606</v>
      </c>
      <c r="G230" s="1" t="s">
        <v>98</v>
      </c>
      <c r="H230" s="1" t="s">
        <v>639</v>
      </c>
      <c r="I230" s="1" t="s">
        <v>495</v>
      </c>
      <c r="J230" s="1" t="s">
        <v>640</v>
      </c>
      <c r="K230" s="1"/>
      <c r="L230" s="1" t="s">
        <v>15</v>
      </c>
      <c r="M230" s="1" t="s">
        <v>14</v>
      </c>
    </row>
    <row r="231" spans="1:13" x14ac:dyDescent="0.3">
      <c r="A231" s="1" t="s">
        <v>641</v>
      </c>
      <c r="B231" s="1" t="s">
        <v>642</v>
      </c>
      <c r="C231" s="1" t="s">
        <v>492</v>
      </c>
      <c r="D231" s="1" t="s">
        <v>582</v>
      </c>
      <c r="E231" s="1" t="s">
        <v>19</v>
      </c>
      <c r="F231" s="1" t="s">
        <v>606</v>
      </c>
      <c r="G231" s="1" t="s">
        <v>98</v>
      </c>
      <c r="H231" s="1" t="s">
        <v>643</v>
      </c>
      <c r="I231" s="1" t="s">
        <v>495</v>
      </c>
      <c r="J231" s="1" t="s">
        <v>571</v>
      </c>
      <c r="K231" s="1"/>
      <c r="L231" s="1" t="s">
        <v>15</v>
      </c>
      <c r="M231" s="1" t="s">
        <v>14</v>
      </c>
    </row>
    <row r="232" spans="1:13" x14ac:dyDescent="0.3">
      <c r="A232" s="1" t="s">
        <v>644</v>
      </c>
      <c r="B232" s="1" t="s">
        <v>645</v>
      </c>
      <c r="C232" s="1" t="s">
        <v>492</v>
      </c>
      <c r="D232" s="1" t="s">
        <v>582</v>
      </c>
      <c r="E232" s="1" t="s">
        <v>132</v>
      </c>
      <c r="F232" s="1" t="s">
        <v>584</v>
      </c>
      <c r="G232" s="1" t="s">
        <v>98</v>
      </c>
      <c r="H232" s="1" t="s">
        <v>646</v>
      </c>
      <c r="I232" s="1" t="s">
        <v>495</v>
      </c>
      <c r="J232" s="1" t="s">
        <v>647</v>
      </c>
      <c r="K232" s="1"/>
      <c r="L232" s="1" t="s">
        <v>15</v>
      </c>
      <c r="M232" s="1" t="s">
        <v>14</v>
      </c>
    </row>
    <row r="233" spans="1:13" x14ac:dyDescent="0.3">
      <c r="A233" s="1" t="s">
        <v>648</v>
      </c>
      <c r="B233" s="1" t="s">
        <v>649</v>
      </c>
      <c r="C233" s="1" t="s">
        <v>492</v>
      </c>
      <c r="D233" s="1" t="s">
        <v>582</v>
      </c>
      <c r="E233" s="1" t="s">
        <v>132</v>
      </c>
      <c r="F233" s="1" t="s">
        <v>584</v>
      </c>
      <c r="G233" s="1" t="s">
        <v>98</v>
      </c>
      <c r="H233" s="1" t="s">
        <v>650</v>
      </c>
      <c r="I233" s="1" t="s">
        <v>495</v>
      </c>
      <c r="J233" s="1" t="s">
        <v>282</v>
      </c>
      <c r="K233" s="1"/>
      <c r="L233" s="1" t="s">
        <v>15</v>
      </c>
      <c r="M233" s="1" t="s">
        <v>14</v>
      </c>
    </row>
    <row r="234" spans="1:13" x14ac:dyDescent="0.3">
      <c r="A234" s="1" t="s">
        <v>651</v>
      </c>
      <c r="B234" s="1" t="s">
        <v>652</v>
      </c>
      <c r="C234" s="1" t="s">
        <v>492</v>
      </c>
      <c r="D234" s="1" t="s">
        <v>582</v>
      </c>
      <c r="E234" s="1" t="s">
        <v>19</v>
      </c>
      <c r="F234" s="1" t="s">
        <v>606</v>
      </c>
      <c r="G234" s="1" t="s">
        <v>98</v>
      </c>
      <c r="H234" s="1" t="s">
        <v>653</v>
      </c>
      <c r="I234" s="1" t="s">
        <v>495</v>
      </c>
      <c r="J234" s="1" t="s">
        <v>575</v>
      </c>
      <c r="K234" s="1"/>
      <c r="L234" s="1" t="s">
        <v>15</v>
      </c>
      <c r="M234" s="1" t="s">
        <v>14</v>
      </c>
    </row>
    <row r="235" spans="1:13" x14ac:dyDescent="0.3">
      <c r="A235" s="1" t="s">
        <v>654</v>
      </c>
      <c r="B235" s="1" t="s">
        <v>655</v>
      </c>
      <c r="C235" s="1" t="s">
        <v>492</v>
      </c>
      <c r="D235" s="1" t="s">
        <v>582</v>
      </c>
      <c r="E235" s="1" t="s">
        <v>19</v>
      </c>
      <c r="F235" s="1" t="s">
        <v>606</v>
      </c>
      <c r="G235" s="1" t="s">
        <v>98</v>
      </c>
      <c r="H235" s="1" t="s">
        <v>656</v>
      </c>
      <c r="I235" s="1" t="s">
        <v>495</v>
      </c>
      <c r="J235" s="1" t="s">
        <v>579</v>
      </c>
      <c r="K235" s="1"/>
      <c r="L235" s="1" t="s">
        <v>15</v>
      </c>
      <c r="M235" s="1" t="s">
        <v>14</v>
      </c>
    </row>
    <row r="236" spans="1:13" x14ac:dyDescent="0.3">
      <c r="A236" s="1" t="s">
        <v>657</v>
      </c>
      <c r="B236" s="1" t="s">
        <v>658</v>
      </c>
      <c r="C236" s="1" t="s">
        <v>492</v>
      </c>
      <c r="D236" s="1" t="s">
        <v>582</v>
      </c>
      <c r="E236" s="1" t="s">
        <v>19</v>
      </c>
      <c r="F236" s="1" t="s">
        <v>606</v>
      </c>
      <c r="G236" s="1" t="s">
        <v>98</v>
      </c>
      <c r="H236" s="1" t="s">
        <v>656</v>
      </c>
      <c r="I236" s="1" t="s">
        <v>495</v>
      </c>
      <c r="J236" s="1" t="s">
        <v>579</v>
      </c>
      <c r="K236" s="1"/>
      <c r="L236" s="1" t="s">
        <v>15</v>
      </c>
      <c r="M236" s="1" t="s">
        <v>14</v>
      </c>
    </row>
    <row r="237" spans="1:13" x14ac:dyDescent="0.3">
      <c r="A237" s="1" t="s">
        <v>659</v>
      </c>
      <c r="B237" s="1" t="s">
        <v>660</v>
      </c>
      <c r="C237" s="1" t="s">
        <v>492</v>
      </c>
      <c r="D237" s="1" t="s">
        <v>661</v>
      </c>
      <c r="E237" s="1" t="s">
        <v>132</v>
      </c>
      <c r="F237" s="1" t="s">
        <v>662</v>
      </c>
      <c r="G237" s="1" t="s">
        <v>98</v>
      </c>
      <c r="H237" s="1" t="s">
        <v>583</v>
      </c>
      <c r="I237" s="1" t="s">
        <v>495</v>
      </c>
      <c r="J237" s="1" t="s">
        <v>200</v>
      </c>
      <c r="K237" s="1"/>
      <c r="L237" s="1" t="s">
        <v>15</v>
      </c>
      <c r="M237" s="1" t="s">
        <v>14</v>
      </c>
    </row>
    <row r="238" spans="1:13" x14ac:dyDescent="0.3">
      <c r="A238" s="1" t="s">
        <v>663</v>
      </c>
      <c r="B238" s="1" t="s">
        <v>664</v>
      </c>
      <c r="C238" s="1" t="s">
        <v>492</v>
      </c>
      <c r="D238" s="1" t="s">
        <v>661</v>
      </c>
      <c r="E238" s="1" t="s">
        <v>132</v>
      </c>
      <c r="F238" s="1" t="s">
        <v>662</v>
      </c>
      <c r="G238" s="1" t="s">
        <v>98</v>
      </c>
      <c r="H238" s="1" t="s">
        <v>665</v>
      </c>
      <c r="I238" s="1" t="s">
        <v>495</v>
      </c>
      <c r="J238" s="1" t="s">
        <v>147</v>
      </c>
      <c r="K238" s="1"/>
      <c r="L238" s="1" t="s">
        <v>15</v>
      </c>
      <c r="M238" s="1" t="s">
        <v>14</v>
      </c>
    </row>
    <row r="239" spans="1:13" x14ac:dyDescent="0.3">
      <c r="A239" s="1" t="s">
        <v>666</v>
      </c>
      <c r="B239" s="1" t="s">
        <v>667</v>
      </c>
      <c r="C239" s="1" t="s">
        <v>492</v>
      </c>
      <c r="D239" s="1" t="s">
        <v>661</v>
      </c>
      <c r="E239" s="1" t="s">
        <v>132</v>
      </c>
      <c r="F239" s="1" t="s">
        <v>662</v>
      </c>
      <c r="G239" s="1" t="s">
        <v>98</v>
      </c>
      <c r="H239" s="1" t="s">
        <v>590</v>
      </c>
      <c r="I239" s="1" t="s">
        <v>495</v>
      </c>
      <c r="J239" s="1" t="s">
        <v>167</v>
      </c>
      <c r="K239" s="1"/>
      <c r="L239" s="1" t="s">
        <v>15</v>
      </c>
      <c r="M239" s="1" t="s">
        <v>14</v>
      </c>
    </row>
    <row r="240" spans="1:13" x14ac:dyDescent="0.3">
      <c r="A240" s="1" t="s">
        <v>668</v>
      </c>
      <c r="B240" s="1" t="s">
        <v>669</v>
      </c>
      <c r="C240" s="1" t="s">
        <v>492</v>
      </c>
      <c r="D240" s="1" t="s">
        <v>661</v>
      </c>
      <c r="E240" s="1" t="s">
        <v>132</v>
      </c>
      <c r="F240" s="1" t="s">
        <v>662</v>
      </c>
      <c r="G240" s="1" t="s">
        <v>98</v>
      </c>
      <c r="H240" s="1" t="s">
        <v>593</v>
      </c>
      <c r="I240" s="1" t="s">
        <v>495</v>
      </c>
      <c r="J240" s="1" t="s">
        <v>183</v>
      </c>
      <c r="K240" s="1"/>
      <c r="L240" s="1" t="s">
        <v>15</v>
      </c>
      <c r="M240" s="1" t="s">
        <v>14</v>
      </c>
    </row>
    <row r="241" spans="1:13" x14ac:dyDescent="0.3">
      <c r="A241" s="1" t="s">
        <v>670</v>
      </c>
      <c r="B241" s="1" t="s">
        <v>671</v>
      </c>
      <c r="C241" s="1" t="s">
        <v>492</v>
      </c>
      <c r="D241" s="1" t="s">
        <v>661</v>
      </c>
      <c r="E241" s="1" t="s">
        <v>132</v>
      </c>
      <c r="F241" s="1" t="s">
        <v>662</v>
      </c>
      <c r="G241" s="1" t="s">
        <v>98</v>
      </c>
      <c r="H241" s="1" t="s">
        <v>596</v>
      </c>
      <c r="I241" s="1" t="s">
        <v>495</v>
      </c>
      <c r="J241" s="1" t="s">
        <v>341</v>
      </c>
      <c r="K241" s="1"/>
      <c r="L241" s="1" t="s">
        <v>15</v>
      </c>
      <c r="M241" s="1" t="s">
        <v>14</v>
      </c>
    </row>
    <row r="242" spans="1:13" x14ac:dyDescent="0.3">
      <c r="A242" s="1" t="s">
        <v>672</v>
      </c>
      <c r="B242" s="1" t="s">
        <v>673</v>
      </c>
      <c r="C242" s="1" t="s">
        <v>492</v>
      </c>
      <c r="D242" s="1" t="s">
        <v>661</v>
      </c>
      <c r="E242" s="1" t="s">
        <v>132</v>
      </c>
      <c r="F242" s="1" t="s">
        <v>662</v>
      </c>
      <c r="G242" s="1" t="s">
        <v>98</v>
      </c>
      <c r="H242" s="1" t="s">
        <v>599</v>
      </c>
      <c r="I242" s="1" t="s">
        <v>495</v>
      </c>
      <c r="J242" s="1" t="s">
        <v>325</v>
      </c>
      <c r="K242" s="1"/>
      <c r="L242" s="1" t="s">
        <v>15</v>
      </c>
      <c r="M242" s="1" t="s">
        <v>14</v>
      </c>
    </row>
    <row r="243" spans="1:13" x14ac:dyDescent="0.3">
      <c r="A243" s="1" t="s">
        <v>674</v>
      </c>
      <c r="B243" s="1" t="s">
        <v>675</v>
      </c>
      <c r="C243" s="1" t="s">
        <v>492</v>
      </c>
      <c r="D243" s="1" t="s">
        <v>661</v>
      </c>
      <c r="E243" s="1" t="s">
        <v>132</v>
      </c>
      <c r="F243" s="1" t="s">
        <v>662</v>
      </c>
      <c r="G243" s="1" t="s">
        <v>98</v>
      </c>
      <c r="H243" s="1" t="s">
        <v>602</v>
      </c>
      <c r="I243" s="1" t="s">
        <v>495</v>
      </c>
      <c r="J243" s="1" t="s">
        <v>357</v>
      </c>
      <c r="K243" s="1"/>
      <c r="L243" s="1" t="s">
        <v>15</v>
      </c>
      <c r="M243" s="1" t="s">
        <v>14</v>
      </c>
    </row>
    <row r="244" spans="1:13" x14ac:dyDescent="0.3">
      <c r="A244" s="1" t="s">
        <v>676</v>
      </c>
      <c r="B244" s="1" t="s">
        <v>677</v>
      </c>
      <c r="C244" s="1" t="s">
        <v>492</v>
      </c>
      <c r="D244" s="1" t="s">
        <v>661</v>
      </c>
      <c r="E244" s="1" t="s">
        <v>19</v>
      </c>
      <c r="F244" s="1" t="s">
        <v>679</v>
      </c>
      <c r="G244" s="1" t="s">
        <v>98</v>
      </c>
      <c r="H244" s="1" t="s">
        <v>678</v>
      </c>
      <c r="I244" s="1" t="s">
        <v>495</v>
      </c>
      <c r="J244" s="1" t="s">
        <v>529</v>
      </c>
      <c r="K244" s="1"/>
      <c r="L244" s="1" t="s">
        <v>15</v>
      </c>
      <c r="M244" s="1" t="s">
        <v>14</v>
      </c>
    </row>
    <row r="245" spans="1:13" x14ac:dyDescent="0.3">
      <c r="A245" s="1" t="s">
        <v>680</v>
      </c>
      <c r="B245" s="1" t="s">
        <v>681</v>
      </c>
      <c r="C245" s="1" t="s">
        <v>492</v>
      </c>
      <c r="D245" s="1" t="s">
        <v>661</v>
      </c>
      <c r="E245" s="1" t="s">
        <v>19</v>
      </c>
      <c r="F245" s="1" t="s">
        <v>679</v>
      </c>
      <c r="G245" s="1" t="s">
        <v>98</v>
      </c>
      <c r="H245" s="1" t="s">
        <v>682</v>
      </c>
      <c r="I245" s="1" t="s">
        <v>495</v>
      </c>
      <c r="J245" s="1" t="s">
        <v>683</v>
      </c>
      <c r="K245" s="1"/>
      <c r="L245" s="1" t="s">
        <v>15</v>
      </c>
      <c r="M245" s="1" t="s">
        <v>14</v>
      </c>
    </row>
    <row r="246" spans="1:13" x14ac:dyDescent="0.3">
      <c r="A246" s="1" t="s">
        <v>684</v>
      </c>
      <c r="B246" s="1" t="s">
        <v>685</v>
      </c>
      <c r="C246" s="1" t="s">
        <v>492</v>
      </c>
      <c r="D246" s="1" t="s">
        <v>661</v>
      </c>
      <c r="E246" s="1" t="s">
        <v>19</v>
      </c>
      <c r="F246" s="1" t="s">
        <v>679</v>
      </c>
      <c r="G246" s="1" t="s">
        <v>98</v>
      </c>
      <c r="H246" s="1" t="s">
        <v>536</v>
      </c>
      <c r="I246" s="1" t="s">
        <v>495</v>
      </c>
      <c r="J246" s="1" t="s">
        <v>537</v>
      </c>
      <c r="K246" s="1"/>
      <c r="L246" s="1" t="s">
        <v>15</v>
      </c>
      <c r="M246" s="1" t="s">
        <v>14</v>
      </c>
    </row>
    <row r="247" spans="1:13" x14ac:dyDescent="0.3">
      <c r="A247" s="1" t="s">
        <v>686</v>
      </c>
      <c r="B247" s="1" t="s">
        <v>687</v>
      </c>
      <c r="C247" s="1" t="s">
        <v>492</v>
      </c>
      <c r="D247" s="1" t="s">
        <v>661</v>
      </c>
      <c r="E247" s="1" t="s">
        <v>19</v>
      </c>
      <c r="F247" s="1" t="s">
        <v>679</v>
      </c>
      <c r="G247" s="1" t="s">
        <v>98</v>
      </c>
      <c r="H247" s="1" t="s">
        <v>688</v>
      </c>
      <c r="I247" s="1" t="s">
        <v>495</v>
      </c>
      <c r="J247" s="1" t="s">
        <v>689</v>
      </c>
      <c r="K247" s="1"/>
      <c r="L247" s="1" t="s">
        <v>15</v>
      </c>
      <c r="M247" s="1" t="s">
        <v>14</v>
      </c>
    </row>
    <row r="248" spans="1:13" x14ac:dyDescent="0.3">
      <c r="A248" s="1" t="s">
        <v>690</v>
      </c>
      <c r="B248" s="1" t="s">
        <v>691</v>
      </c>
      <c r="C248" s="1" t="s">
        <v>492</v>
      </c>
      <c r="D248" s="1" t="s">
        <v>661</v>
      </c>
      <c r="E248" s="1" t="s">
        <v>19</v>
      </c>
      <c r="F248" s="1" t="s">
        <v>679</v>
      </c>
      <c r="G248" s="1" t="s">
        <v>98</v>
      </c>
      <c r="H248" s="1" t="s">
        <v>631</v>
      </c>
      <c r="I248" s="1" t="s">
        <v>495</v>
      </c>
      <c r="J248" s="1" t="s">
        <v>541</v>
      </c>
      <c r="K248" s="1"/>
      <c r="L248" s="1" t="s">
        <v>15</v>
      </c>
      <c r="M248" s="1" t="s">
        <v>14</v>
      </c>
    </row>
    <row r="249" spans="1:13" x14ac:dyDescent="0.3">
      <c r="A249" s="1" t="s">
        <v>692</v>
      </c>
      <c r="B249" s="1" t="s">
        <v>693</v>
      </c>
      <c r="C249" s="1" t="s">
        <v>492</v>
      </c>
      <c r="D249" s="1" t="s">
        <v>661</v>
      </c>
      <c r="E249" s="1" t="s">
        <v>19</v>
      </c>
      <c r="F249" s="1" t="s">
        <v>679</v>
      </c>
      <c r="G249" s="1" t="s">
        <v>98</v>
      </c>
      <c r="H249" s="1" t="s">
        <v>635</v>
      </c>
      <c r="I249" s="1" t="s">
        <v>495</v>
      </c>
      <c r="J249" s="1" t="s">
        <v>545</v>
      </c>
      <c r="K249" s="1"/>
      <c r="L249" s="1" t="s">
        <v>15</v>
      </c>
      <c r="M249" s="1" t="s">
        <v>14</v>
      </c>
    </row>
    <row r="250" spans="1:13" x14ac:dyDescent="0.3">
      <c r="A250" s="1" t="s">
        <v>694</v>
      </c>
      <c r="B250" s="1" t="s">
        <v>695</v>
      </c>
      <c r="C250" s="1" t="s">
        <v>492</v>
      </c>
      <c r="D250" s="1" t="s">
        <v>661</v>
      </c>
      <c r="E250" s="1" t="s">
        <v>19</v>
      </c>
      <c r="F250" s="1" t="s">
        <v>679</v>
      </c>
      <c r="G250" s="1" t="s">
        <v>98</v>
      </c>
      <c r="H250" s="1" t="s">
        <v>639</v>
      </c>
      <c r="I250" s="1" t="s">
        <v>495</v>
      </c>
      <c r="J250" s="1" t="s">
        <v>640</v>
      </c>
      <c r="K250" s="1"/>
      <c r="L250" s="1" t="s">
        <v>15</v>
      </c>
      <c r="M250" s="1" t="s">
        <v>14</v>
      </c>
    </row>
    <row r="251" spans="1:13" x14ac:dyDescent="0.3">
      <c r="A251" s="1" t="s">
        <v>696</v>
      </c>
      <c r="B251" s="1" t="s">
        <v>697</v>
      </c>
      <c r="C251" s="1" t="s">
        <v>492</v>
      </c>
      <c r="D251" s="1" t="s">
        <v>661</v>
      </c>
      <c r="E251" s="1" t="s">
        <v>19</v>
      </c>
      <c r="F251" s="1" t="s">
        <v>679</v>
      </c>
      <c r="G251" s="1" t="s">
        <v>98</v>
      </c>
      <c r="H251" s="1" t="s">
        <v>614</v>
      </c>
      <c r="I251" s="1" t="s">
        <v>495</v>
      </c>
      <c r="J251" s="1" t="s">
        <v>115</v>
      </c>
      <c r="K251" s="1"/>
      <c r="L251" s="1" t="s">
        <v>15</v>
      </c>
      <c r="M251" s="1" t="s">
        <v>14</v>
      </c>
    </row>
    <row r="252" spans="1:13" x14ac:dyDescent="0.3">
      <c r="A252" s="1" t="s">
        <v>698</v>
      </c>
      <c r="B252" s="1" t="s">
        <v>699</v>
      </c>
      <c r="C252" s="1" t="s">
        <v>492</v>
      </c>
      <c r="D252" s="1" t="s">
        <v>661</v>
      </c>
      <c r="E252" s="1" t="s">
        <v>19</v>
      </c>
      <c r="F252" s="1" t="s">
        <v>679</v>
      </c>
      <c r="G252" s="1" t="s">
        <v>98</v>
      </c>
      <c r="H252" s="1" t="s">
        <v>700</v>
      </c>
      <c r="I252" s="1" t="s">
        <v>495</v>
      </c>
      <c r="J252" s="1" t="s">
        <v>701</v>
      </c>
      <c r="K252" s="1"/>
      <c r="L252" s="1" t="s">
        <v>15</v>
      </c>
      <c r="M252" s="1" t="s">
        <v>14</v>
      </c>
    </row>
    <row r="253" spans="1:13" x14ac:dyDescent="0.3">
      <c r="A253" s="1" t="s">
        <v>702</v>
      </c>
      <c r="B253" s="1" t="s">
        <v>703</v>
      </c>
      <c r="C253" s="1" t="s">
        <v>492</v>
      </c>
      <c r="D253" s="1" t="s">
        <v>661</v>
      </c>
      <c r="E253" s="1" t="s">
        <v>19</v>
      </c>
      <c r="F253" s="1" t="s">
        <v>679</v>
      </c>
      <c r="G253" s="1" t="s">
        <v>98</v>
      </c>
      <c r="H253" s="1" t="s">
        <v>704</v>
      </c>
      <c r="I253" s="1" t="s">
        <v>495</v>
      </c>
      <c r="J253" s="1" t="s">
        <v>561</v>
      </c>
      <c r="K253" s="1"/>
      <c r="L253" s="1" t="s">
        <v>15</v>
      </c>
      <c r="M253" s="1" t="s">
        <v>14</v>
      </c>
    </row>
    <row r="254" spans="1:13" x14ac:dyDescent="0.3">
      <c r="A254" s="1" t="s">
        <v>705</v>
      </c>
      <c r="B254" s="1" t="s">
        <v>706</v>
      </c>
      <c r="C254" s="1" t="s">
        <v>492</v>
      </c>
      <c r="D254" s="1" t="s">
        <v>661</v>
      </c>
      <c r="E254" s="1" t="s">
        <v>19</v>
      </c>
      <c r="F254" s="1" t="s">
        <v>679</v>
      </c>
      <c r="G254" s="1" t="s">
        <v>98</v>
      </c>
      <c r="H254" s="1" t="s">
        <v>707</v>
      </c>
      <c r="I254" s="1" t="s">
        <v>495</v>
      </c>
      <c r="J254" s="1" t="s">
        <v>58</v>
      </c>
      <c r="K254" s="1"/>
      <c r="L254" s="1" t="s">
        <v>15</v>
      </c>
      <c r="M254" s="1" t="s">
        <v>14</v>
      </c>
    </row>
    <row r="255" spans="1:13" x14ac:dyDescent="0.3">
      <c r="A255" s="1" t="s">
        <v>708</v>
      </c>
      <c r="B255" s="1" t="s">
        <v>709</v>
      </c>
      <c r="C255" s="1" t="s">
        <v>492</v>
      </c>
      <c r="D255" s="1" t="s">
        <v>661</v>
      </c>
      <c r="E255" s="1" t="s">
        <v>19</v>
      </c>
      <c r="F255" s="1" t="s">
        <v>679</v>
      </c>
      <c r="G255" s="1" t="s">
        <v>98</v>
      </c>
      <c r="H255" s="1" t="s">
        <v>628</v>
      </c>
      <c r="I255" s="1" t="s">
        <v>495</v>
      </c>
      <c r="J255" s="1" t="s">
        <v>450</v>
      </c>
      <c r="K255" s="1"/>
      <c r="L255" s="1" t="s">
        <v>15</v>
      </c>
      <c r="M255" s="1" t="s">
        <v>14</v>
      </c>
    </row>
    <row r="256" spans="1:13" x14ac:dyDescent="0.3">
      <c r="A256" s="1" t="s">
        <v>710</v>
      </c>
      <c r="B256" s="1" t="s">
        <v>711</v>
      </c>
      <c r="C256" s="1" t="s">
        <v>492</v>
      </c>
      <c r="D256" s="1" t="s">
        <v>661</v>
      </c>
      <c r="E256" s="1" t="s">
        <v>19</v>
      </c>
      <c r="F256" s="1" t="s">
        <v>679</v>
      </c>
      <c r="G256" s="1" t="s">
        <v>98</v>
      </c>
      <c r="H256" s="1" t="s">
        <v>643</v>
      </c>
      <c r="I256" s="1" t="s">
        <v>495</v>
      </c>
      <c r="J256" s="1" t="s">
        <v>571</v>
      </c>
      <c r="K256" s="1"/>
      <c r="L256" s="1" t="s">
        <v>15</v>
      </c>
      <c r="M256" s="1" t="s">
        <v>14</v>
      </c>
    </row>
    <row r="257" spans="1:13" x14ac:dyDescent="0.3">
      <c r="A257" s="1" t="s">
        <v>712</v>
      </c>
      <c r="B257" s="1" t="s">
        <v>713</v>
      </c>
      <c r="C257" s="1" t="s">
        <v>492</v>
      </c>
      <c r="D257" s="1" t="s">
        <v>661</v>
      </c>
      <c r="E257" s="1" t="s">
        <v>132</v>
      </c>
      <c r="F257" s="1" t="s">
        <v>662</v>
      </c>
      <c r="G257" s="1" t="s">
        <v>98</v>
      </c>
      <c r="H257" s="1" t="s">
        <v>714</v>
      </c>
      <c r="I257" s="1" t="s">
        <v>495</v>
      </c>
      <c r="J257" s="1" t="s">
        <v>647</v>
      </c>
      <c r="K257" s="1"/>
      <c r="L257" s="1" t="s">
        <v>15</v>
      </c>
      <c r="M257" s="1" t="s">
        <v>14</v>
      </c>
    </row>
    <row r="258" spans="1:13" x14ac:dyDescent="0.3">
      <c r="A258" s="1" t="s">
        <v>715</v>
      </c>
      <c r="B258" s="1" t="s">
        <v>716</v>
      </c>
      <c r="C258" s="1" t="s">
        <v>492</v>
      </c>
      <c r="D258" s="1" t="s">
        <v>661</v>
      </c>
      <c r="E258" s="1" t="s">
        <v>132</v>
      </c>
      <c r="F258" s="1" t="s">
        <v>662</v>
      </c>
      <c r="G258" s="1" t="s">
        <v>98</v>
      </c>
      <c r="H258" s="1" t="s">
        <v>650</v>
      </c>
      <c r="I258" s="1" t="s">
        <v>495</v>
      </c>
      <c r="J258" s="1" t="s">
        <v>282</v>
      </c>
      <c r="K258" s="1"/>
      <c r="L258" s="1" t="s">
        <v>15</v>
      </c>
      <c r="M258" s="1" t="s">
        <v>14</v>
      </c>
    </row>
    <row r="259" spans="1:13" x14ac:dyDescent="0.3">
      <c r="A259" s="1" t="s">
        <v>717</v>
      </c>
      <c r="B259" s="1" t="s">
        <v>718</v>
      </c>
      <c r="C259" s="1" t="s">
        <v>492</v>
      </c>
      <c r="D259" s="1" t="s">
        <v>661</v>
      </c>
      <c r="E259" s="1" t="s">
        <v>19</v>
      </c>
      <c r="F259" s="1" t="s">
        <v>679</v>
      </c>
      <c r="G259" s="1" t="s">
        <v>98</v>
      </c>
      <c r="H259" s="1" t="s">
        <v>231</v>
      </c>
      <c r="I259" s="1" t="s">
        <v>495</v>
      </c>
      <c r="J259" s="1" t="s">
        <v>232</v>
      </c>
      <c r="K259" s="1"/>
      <c r="L259" s="1" t="s">
        <v>15</v>
      </c>
      <c r="M259" s="1" t="s">
        <v>14</v>
      </c>
    </row>
    <row r="260" spans="1:13" x14ac:dyDescent="0.3">
      <c r="A260" s="1" t="s">
        <v>719</v>
      </c>
      <c r="B260" s="1" t="s">
        <v>720</v>
      </c>
      <c r="C260" s="1" t="s">
        <v>492</v>
      </c>
      <c r="D260" s="1" t="s">
        <v>661</v>
      </c>
      <c r="E260" s="1" t="s">
        <v>19</v>
      </c>
      <c r="F260" s="1" t="s">
        <v>679</v>
      </c>
      <c r="G260" s="1" t="s">
        <v>98</v>
      </c>
      <c r="H260" s="1" t="s">
        <v>609</v>
      </c>
      <c r="I260" s="1" t="s">
        <v>495</v>
      </c>
      <c r="J260" s="1" t="s">
        <v>533</v>
      </c>
      <c r="K260" s="1"/>
      <c r="L260" s="1" t="s">
        <v>15</v>
      </c>
      <c r="M260" s="1" t="s">
        <v>14</v>
      </c>
    </row>
    <row r="261" spans="1:13" x14ac:dyDescent="0.3">
      <c r="A261" s="1" t="s">
        <v>721</v>
      </c>
      <c r="B261" s="1" t="s">
        <v>722</v>
      </c>
      <c r="C261" s="1" t="s">
        <v>492</v>
      </c>
      <c r="D261" s="1" t="s">
        <v>661</v>
      </c>
      <c r="E261" s="1" t="s">
        <v>19</v>
      </c>
      <c r="F261" s="1" t="s">
        <v>679</v>
      </c>
      <c r="G261" s="1" t="s">
        <v>98</v>
      </c>
      <c r="H261" s="1" t="s">
        <v>723</v>
      </c>
      <c r="I261" s="1" t="s">
        <v>495</v>
      </c>
      <c r="J261" s="1" t="s">
        <v>575</v>
      </c>
      <c r="K261" s="1"/>
      <c r="L261" s="1" t="s">
        <v>15</v>
      </c>
      <c r="M261" s="1" t="s">
        <v>14</v>
      </c>
    </row>
    <row r="262" spans="1:13" x14ac:dyDescent="0.3">
      <c r="A262" s="1" t="s">
        <v>724</v>
      </c>
      <c r="B262" s="1" t="s">
        <v>725</v>
      </c>
      <c r="C262" s="1" t="s">
        <v>492</v>
      </c>
      <c r="D262" s="1" t="s">
        <v>661</v>
      </c>
      <c r="E262" s="1" t="s">
        <v>19</v>
      </c>
      <c r="F262" s="1" t="s">
        <v>679</v>
      </c>
      <c r="G262" s="1" t="s">
        <v>98</v>
      </c>
      <c r="H262" s="1" t="s">
        <v>726</v>
      </c>
      <c r="I262" s="1" t="s">
        <v>495</v>
      </c>
      <c r="J262" s="1" t="s">
        <v>727</v>
      </c>
      <c r="K262" s="1"/>
      <c r="L262" s="1" t="s">
        <v>15</v>
      </c>
      <c r="M262" s="1" t="s">
        <v>14</v>
      </c>
    </row>
    <row r="263" spans="1:13" x14ac:dyDescent="0.3">
      <c r="A263" s="1" t="s">
        <v>728</v>
      </c>
      <c r="B263" s="1" t="s">
        <v>729</v>
      </c>
      <c r="C263" s="1" t="s">
        <v>492</v>
      </c>
      <c r="D263" s="1" t="s">
        <v>730</v>
      </c>
      <c r="E263" s="1" t="s">
        <v>132</v>
      </c>
      <c r="F263" s="1" t="s">
        <v>732</v>
      </c>
      <c r="G263" s="1" t="s">
        <v>98</v>
      </c>
      <c r="H263" s="1" t="s">
        <v>494</v>
      </c>
      <c r="I263" s="1" t="s">
        <v>731</v>
      </c>
      <c r="J263" s="1" t="s">
        <v>200</v>
      </c>
      <c r="K263" s="1"/>
      <c r="L263" s="1" t="s">
        <v>15</v>
      </c>
      <c r="M263" s="1" t="s">
        <v>14</v>
      </c>
    </row>
    <row r="264" spans="1:13" x14ac:dyDescent="0.3">
      <c r="A264" s="1" t="s">
        <v>733</v>
      </c>
      <c r="B264" s="1" t="s">
        <v>734</v>
      </c>
      <c r="C264" s="1" t="s">
        <v>492</v>
      </c>
      <c r="D264" s="1" t="s">
        <v>730</v>
      </c>
      <c r="E264" s="1" t="s">
        <v>132</v>
      </c>
      <c r="F264" s="1" t="s">
        <v>732</v>
      </c>
      <c r="G264" s="1" t="s">
        <v>98</v>
      </c>
      <c r="H264" s="1" t="s">
        <v>499</v>
      </c>
      <c r="I264" s="1" t="s">
        <v>731</v>
      </c>
      <c r="J264" s="1" t="s">
        <v>147</v>
      </c>
      <c r="K264" s="1"/>
      <c r="L264" s="1" t="s">
        <v>15</v>
      </c>
      <c r="M264" s="1" t="s">
        <v>14</v>
      </c>
    </row>
    <row r="265" spans="1:13" x14ac:dyDescent="0.3">
      <c r="A265" s="1" t="s">
        <v>735</v>
      </c>
      <c r="B265" s="1" t="s">
        <v>736</v>
      </c>
      <c r="C265" s="1" t="s">
        <v>492</v>
      </c>
      <c r="D265" s="1" t="s">
        <v>730</v>
      </c>
      <c r="E265" s="1" t="s">
        <v>132</v>
      </c>
      <c r="F265" s="1" t="s">
        <v>732</v>
      </c>
      <c r="G265" s="1" t="s">
        <v>98</v>
      </c>
      <c r="H265" s="1" t="s">
        <v>502</v>
      </c>
      <c r="I265" s="1" t="s">
        <v>731</v>
      </c>
      <c r="J265" s="1" t="s">
        <v>167</v>
      </c>
      <c r="K265" s="1"/>
      <c r="L265" s="1" t="s">
        <v>15</v>
      </c>
      <c r="M265" s="1" t="s">
        <v>14</v>
      </c>
    </row>
    <row r="266" spans="1:13" x14ac:dyDescent="0.3">
      <c r="A266" s="1" t="s">
        <v>737</v>
      </c>
      <c r="B266" s="1" t="s">
        <v>738</v>
      </c>
      <c r="C266" s="1" t="s">
        <v>492</v>
      </c>
      <c r="D266" s="1" t="s">
        <v>730</v>
      </c>
      <c r="E266" s="1" t="s">
        <v>132</v>
      </c>
      <c r="F266" s="1" t="s">
        <v>732</v>
      </c>
      <c r="G266" s="1" t="s">
        <v>98</v>
      </c>
      <c r="H266" s="1" t="s">
        <v>505</v>
      </c>
      <c r="I266" s="1" t="s">
        <v>731</v>
      </c>
      <c r="J266" s="1" t="s">
        <v>183</v>
      </c>
      <c r="K266" s="1"/>
      <c r="L266" s="1" t="s">
        <v>15</v>
      </c>
      <c r="M266" s="1" t="s">
        <v>14</v>
      </c>
    </row>
    <row r="267" spans="1:13" x14ac:dyDescent="0.3">
      <c r="A267" s="1" t="s">
        <v>739</v>
      </c>
      <c r="B267" s="1" t="s">
        <v>740</v>
      </c>
      <c r="C267" s="1" t="s">
        <v>492</v>
      </c>
      <c r="D267" s="1" t="s">
        <v>730</v>
      </c>
      <c r="E267" s="1" t="s">
        <v>132</v>
      </c>
      <c r="F267" s="1" t="s">
        <v>732</v>
      </c>
      <c r="G267" s="1" t="s">
        <v>98</v>
      </c>
      <c r="H267" s="1" t="s">
        <v>514</v>
      </c>
      <c r="I267" s="1" t="s">
        <v>731</v>
      </c>
      <c r="J267" s="1" t="s">
        <v>341</v>
      </c>
      <c r="K267" s="1"/>
      <c r="L267" s="1" t="s">
        <v>15</v>
      </c>
      <c r="M267" s="1" t="s">
        <v>14</v>
      </c>
    </row>
    <row r="268" spans="1:13" x14ac:dyDescent="0.3">
      <c r="A268" s="1" t="s">
        <v>741</v>
      </c>
      <c r="B268" s="1" t="s">
        <v>742</v>
      </c>
      <c r="C268" s="1" t="s">
        <v>492</v>
      </c>
      <c r="D268" s="1" t="s">
        <v>730</v>
      </c>
      <c r="E268" s="1" t="s">
        <v>132</v>
      </c>
      <c r="F268" s="1" t="s">
        <v>732</v>
      </c>
      <c r="G268" s="1" t="s">
        <v>98</v>
      </c>
      <c r="H268" s="1" t="s">
        <v>517</v>
      </c>
      <c r="I268" s="1" t="s">
        <v>731</v>
      </c>
      <c r="J268" s="1" t="s">
        <v>325</v>
      </c>
      <c r="K268" s="1"/>
      <c r="L268" s="1" t="s">
        <v>15</v>
      </c>
      <c r="M268" s="1" t="s">
        <v>14</v>
      </c>
    </row>
    <row r="269" spans="1:13" x14ac:dyDescent="0.3">
      <c r="A269" s="1" t="s">
        <v>743</v>
      </c>
      <c r="B269" s="1" t="s">
        <v>744</v>
      </c>
      <c r="C269" s="1" t="s">
        <v>492</v>
      </c>
      <c r="D269" s="1" t="s">
        <v>730</v>
      </c>
      <c r="E269" s="1" t="s">
        <v>132</v>
      </c>
      <c r="F269" s="1" t="s">
        <v>732</v>
      </c>
      <c r="G269" s="1" t="s">
        <v>98</v>
      </c>
      <c r="H269" s="1" t="s">
        <v>520</v>
      </c>
      <c r="I269" s="1" t="s">
        <v>731</v>
      </c>
      <c r="J269" s="1" t="s">
        <v>357</v>
      </c>
      <c r="K269" s="1"/>
      <c r="L269" s="1" t="s">
        <v>15</v>
      </c>
      <c r="M269" s="1" t="s">
        <v>14</v>
      </c>
    </row>
    <row r="270" spans="1:13" x14ac:dyDescent="0.3">
      <c r="A270" s="1" t="s">
        <v>745</v>
      </c>
      <c r="B270" s="1" t="s">
        <v>746</v>
      </c>
      <c r="C270" s="1" t="s">
        <v>492</v>
      </c>
      <c r="D270" s="1" t="s">
        <v>730</v>
      </c>
      <c r="E270" s="1" t="s">
        <v>132</v>
      </c>
      <c r="F270" s="1" t="s">
        <v>732</v>
      </c>
      <c r="G270" s="1" t="s">
        <v>98</v>
      </c>
      <c r="H270" s="1" t="s">
        <v>747</v>
      </c>
      <c r="I270" s="1" t="s">
        <v>731</v>
      </c>
      <c r="J270" s="1" t="s">
        <v>748</v>
      </c>
      <c r="K270" s="1"/>
      <c r="L270" s="1" t="s">
        <v>15</v>
      </c>
      <c r="M270" s="1" t="s">
        <v>14</v>
      </c>
    </row>
    <row r="271" spans="1:13" x14ac:dyDescent="0.3">
      <c r="A271" s="1" t="s">
        <v>749</v>
      </c>
      <c r="B271" s="1" t="s">
        <v>750</v>
      </c>
      <c r="C271" s="1" t="s">
        <v>492</v>
      </c>
      <c r="D271" s="1" t="s">
        <v>730</v>
      </c>
      <c r="E271" s="1" t="s">
        <v>19</v>
      </c>
      <c r="F271" s="1" t="s">
        <v>753</v>
      </c>
      <c r="G271" s="1" t="s">
        <v>98</v>
      </c>
      <c r="H271" s="1" t="s">
        <v>751</v>
      </c>
      <c r="I271" s="1" t="s">
        <v>731</v>
      </c>
      <c r="J271" s="1" t="s">
        <v>752</v>
      </c>
      <c r="K271" s="1"/>
      <c r="L271" s="1" t="s">
        <v>15</v>
      </c>
      <c r="M271" s="1" t="s">
        <v>14</v>
      </c>
    </row>
    <row r="272" spans="1:13" x14ac:dyDescent="0.3">
      <c r="A272" s="1" t="s">
        <v>754</v>
      </c>
      <c r="B272" s="1" t="s">
        <v>755</v>
      </c>
      <c r="C272" s="1" t="s">
        <v>492</v>
      </c>
      <c r="D272" s="1" t="s">
        <v>730</v>
      </c>
      <c r="E272" s="1" t="s">
        <v>19</v>
      </c>
      <c r="F272" s="1" t="s">
        <v>753</v>
      </c>
      <c r="G272" s="1" t="s">
        <v>98</v>
      </c>
      <c r="H272" s="1" t="s">
        <v>756</v>
      </c>
      <c r="I272" s="1" t="s">
        <v>731</v>
      </c>
      <c r="J272" s="1" t="s">
        <v>757</v>
      </c>
      <c r="K272" s="1"/>
      <c r="L272" s="1" t="s">
        <v>15</v>
      </c>
      <c r="M272" s="1" t="s">
        <v>14</v>
      </c>
    </row>
    <row r="273" spans="1:13" x14ac:dyDescent="0.3">
      <c r="A273" s="1" t="s">
        <v>758</v>
      </c>
      <c r="B273" s="1" t="s">
        <v>759</v>
      </c>
      <c r="C273" s="1" t="s">
        <v>492</v>
      </c>
      <c r="D273" s="1" t="s">
        <v>730</v>
      </c>
      <c r="E273" s="1" t="s">
        <v>19</v>
      </c>
      <c r="F273" s="1" t="s">
        <v>753</v>
      </c>
      <c r="G273" s="1" t="s">
        <v>98</v>
      </c>
      <c r="H273" s="1" t="s">
        <v>544</v>
      </c>
      <c r="I273" s="1" t="s">
        <v>731</v>
      </c>
      <c r="J273" s="1" t="s">
        <v>545</v>
      </c>
      <c r="K273" s="1"/>
      <c r="L273" s="1" t="s">
        <v>15</v>
      </c>
      <c r="M273" s="1" t="s">
        <v>14</v>
      </c>
    </row>
    <row r="274" spans="1:13" x14ac:dyDescent="0.3">
      <c r="A274" s="1" t="s">
        <v>760</v>
      </c>
      <c r="B274" s="1" t="s">
        <v>761</v>
      </c>
      <c r="C274" s="1" t="s">
        <v>492</v>
      </c>
      <c r="D274" s="1" t="s">
        <v>730</v>
      </c>
      <c r="E274" s="1" t="s">
        <v>19</v>
      </c>
      <c r="F274" s="1" t="s">
        <v>753</v>
      </c>
      <c r="G274" s="1" t="s">
        <v>98</v>
      </c>
      <c r="H274" s="1" t="s">
        <v>552</v>
      </c>
      <c r="I274" s="1" t="s">
        <v>731</v>
      </c>
      <c r="J274" s="1" t="s">
        <v>115</v>
      </c>
      <c r="K274" s="1"/>
      <c r="L274" s="1" t="s">
        <v>15</v>
      </c>
      <c r="M274" s="1" t="s">
        <v>14</v>
      </c>
    </row>
    <row r="275" spans="1:13" x14ac:dyDescent="0.3">
      <c r="A275" s="1" t="s">
        <v>762</v>
      </c>
      <c r="B275" s="1" t="s">
        <v>763</v>
      </c>
      <c r="C275" s="1" t="s">
        <v>492</v>
      </c>
      <c r="D275" s="1" t="s">
        <v>730</v>
      </c>
      <c r="E275" s="1" t="s">
        <v>19</v>
      </c>
      <c r="F275" s="1" t="s">
        <v>753</v>
      </c>
      <c r="G275" s="1" t="s">
        <v>98</v>
      </c>
      <c r="H275" s="1" t="s">
        <v>555</v>
      </c>
      <c r="I275" s="1" t="s">
        <v>731</v>
      </c>
      <c r="J275" s="1" t="s">
        <v>764</v>
      </c>
      <c r="K275" s="1"/>
      <c r="L275" s="1" t="s">
        <v>15</v>
      </c>
      <c r="M275" s="1" t="s">
        <v>14</v>
      </c>
    </row>
    <row r="276" spans="1:13" x14ac:dyDescent="0.3">
      <c r="A276" s="1" t="s">
        <v>765</v>
      </c>
      <c r="B276" s="1" t="s">
        <v>766</v>
      </c>
      <c r="C276" s="1" t="s">
        <v>492</v>
      </c>
      <c r="D276" s="1" t="s">
        <v>730</v>
      </c>
      <c r="E276" s="1" t="s">
        <v>19</v>
      </c>
      <c r="F276" s="1" t="s">
        <v>753</v>
      </c>
      <c r="G276" s="1" t="s">
        <v>98</v>
      </c>
      <c r="H276" s="1" t="s">
        <v>555</v>
      </c>
      <c r="I276" s="1" t="s">
        <v>731</v>
      </c>
      <c r="J276" s="1" t="s">
        <v>767</v>
      </c>
      <c r="K276" s="1"/>
      <c r="L276" s="1" t="s">
        <v>15</v>
      </c>
      <c r="M276" s="1" t="s">
        <v>14</v>
      </c>
    </row>
    <row r="277" spans="1:13" x14ac:dyDescent="0.3">
      <c r="A277" s="1" t="s">
        <v>768</v>
      </c>
      <c r="B277" s="1" t="s">
        <v>769</v>
      </c>
      <c r="C277" s="1" t="s">
        <v>492</v>
      </c>
      <c r="D277" s="1" t="s">
        <v>730</v>
      </c>
      <c r="E277" s="1" t="s">
        <v>19</v>
      </c>
      <c r="F277" s="1" t="s">
        <v>753</v>
      </c>
      <c r="G277" s="1" t="s">
        <v>98</v>
      </c>
      <c r="H277" s="1" t="s">
        <v>560</v>
      </c>
      <c r="I277" s="1" t="s">
        <v>731</v>
      </c>
      <c r="J277" s="1" t="s">
        <v>561</v>
      </c>
      <c r="K277" s="1"/>
      <c r="L277" s="1" t="s">
        <v>15</v>
      </c>
      <c r="M277" s="1" t="s">
        <v>14</v>
      </c>
    </row>
    <row r="278" spans="1:13" x14ac:dyDescent="0.3">
      <c r="A278" s="1" t="s">
        <v>770</v>
      </c>
      <c r="B278" s="1" t="s">
        <v>771</v>
      </c>
      <c r="C278" s="1" t="s">
        <v>492</v>
      </c>
      <c r="D278" s="1" t="s">
        <v>730</v>
      </c>
      <c r="E278" s="1" t="s">
        <v>19</v>
      </c>
      <c r="F278" s="1" t="s">
        <v>753</v>
      </c>
      <c r="G278" s="1" t="s">
        <v>98</v>
      </c>
      <c r="H278" s="1" t="s">
        <v>772</v>
      </c>
      <c r="I278" s="1" t="s">
        <v>731</v>
      </c>
      <c r="J278" s="1" t="s">
        <v>773</v>
      </c>
      <c r="K278" s="1"/>
      <c r="L278" s="1" t="s">
        <v>15</v>
      </c>
      <c r="M278" s="1" t="s">
        <v>14</v>
      </c>
    </row>
    <row r="279" spans="1:13" x14ac:dyDescent="0.3">
      <c r="A279" s="1" t="s">
        <v>774</v>
      </c>
      <c r="B279" s="1" t="s">
        <v>775</v>
      </c>
      <c r="C279" s="1" t="s">
        <v>492</v>
      </c>
      <c r="D279" s="1" t="s">
        <v>730</v>
      </c>
      <c r="E279" s="1" t="s">
        <v>19</v>
      </c>
      <c r="F279" s="1" t="s">
        <v>753</v>
      </c>
      <c r="G279" s="1" t="s">
        <v>98</v>
      </c>
      <c r="H279" s="1" t="s">
        <v>567</v>
      </c>
      <c r="I279" s="1" t="s">
        <v>731</v>
      </c>
      <c r="J279" s="1" t="s">
        <v>450</v>
      </c>
      <c r="K279" s="1"/>
      <c r="L279" s="1" t="s">
        <v>15</v>
      </c>
      <c r="M279" s="1" t="s">
        <v>14</v>
      </c>
    </row>
    <row r="280" spans="1:13" x14ac:dyDescent="0.3">
      <c r="A280" s="1" t="s">
        <v>776</v>
      </c>
      <c r="B280" s="1" t="s">
        <v>706</v>
      </c>
      <c r="C280" s="1" t="s">
        <v>492</v>
      </c>
      <c r="D280" s="1" t="s">
        <v>730</v>
      </c>
      <c r="E280" s="1" t="s">
        <v>19</v>
      </c>
      <c r="F280" s="1" t="s">
        <v>753</v>
      </c>
      <c r="G280" s="1" t="s">
        <v>98</v>
      </c>
      <c r="H280" s="1" t="s">
        <v>772</v>
      </c>
      <c r="I280" s="1" t="s">
        <v>731</v>
      </c>
      <c r="J280" s="1" t="s">
        <v>773</v>
      </c>
      <c r="K280" s="1"/>
      <c r="L280" s="1" t="s">
        <v>15</v>
      </c>
      <c r="M280" s="1" t="s">
        <v>14</v>
      </c>
    </row>
    <row r="281" spans="1:13" x14ac:dyDescent="0.3">
      <c r="A281" s="1" t="s">
        <v>777</v>
      </c>
      <c r="B281" s="1" t="s">
        <v>778</v>
      </c>
      <c r="C281" s="1" t="s">
        <v>492</v>
      </c>
      <c r="D281" s="1" t="s">
        <v>730</v>
      </c>
      <c r="E281" s="1" t="s">
        <v>19</v>
      </c>
      <c r="F281" s="1" t="s">
        <v>753</v>
      </c>
      <c r="G281" s="1" t="s">
        <v>98</v>
      </c>
      <c r="H281" s="1" t="s">
        <v>779</v>
      </c>
      <c r="I281" s="1" t="s">
        <v>731</v>
      </c>
      <c r="J281" s="1" t="s">
        <v>780</v>
      </c>
      <c r="K281" s="1"/>
      <c r="L281" s="1" t="s">
        <v>15</v>
      </c>
      <c r="M281" s="1" t="s">
        <v>14</v>
      </c>
    </row>
    <row r="282" spans="1:13" x14ac:dyDescent="0.3">
      <c r="A282" s="1" t="s">
        <v>781</v>
      </c>
      <c r="B282" s="1" t="s">
        <v>782</v>
      </c>
      <c r="C282" s="1" t="s">
        <v>492</v>
      </c>
      <c r="D282" s="1" t="s">
        <v>730</v>
      </c>
      <c r="E282" s="1" t="s">
        <v>19</v>
      </c>
      <c r="F282" s="1" t="s">
        <v>753</v>
      </c>
      <c r="G282" s="1" t="s">
        <v>98</v>
      </c>
      <c r="H282" s="1" t="s">
        <v>783</v>
      </c>
      <c r="I282" s="1" t="s">
        <v>731</v>
      </c>
      <c r="J282" s="1" t="s">
        <v>773</v>
      </c>
      <c r="K282" s="1"/>
      <c r="L282" s="1" t="s">
        <v>15</v>
      </c>
      <c r="M282" s="1" t="s">
        <v>14</v>
      </c>
    </row>
    <row r="283" spans="1:13" x14ac:dyDescent="0.3">
      <c r="A283" s="1" t="s">
        <v>784</v>
      </c>
      <c r="B283" s="1" t="s">
        <v>785</v>
      </c>
      <c r="C283" s="1" t="s">
        <v>492</v>
      </c>
      <c r="D283" s="1" t="s">
        <v>730</v>
      </c>
      <c r="E283" s="1" t="s">
        <v>19</v>
      </c>
      <c r="F283" s="1" t="s">
        <v>753</v>
      </c>
      <c r="G283" s="1" t="s">
        <v>98</v>
      </c>
      <c r="H283" s="1" t="s">
        <v>786</v>
      </c>
      <c r="I283" s="1" t="s">
        <v>731</v>
      </c>
      <c r="J283" s="1" t="s">
        <v>232</v>
      </c>
      <c r="K283" s="1"/>
      <c r="L283" s="1" t="s">
        <v>15</v>
      </c>
      <c r="M283" s="1" t="s">
        <v>14</v>
      </c>
    </row>
    <row r="284" spans="1:13" x14ac:dyDescent="0.3">
      <c r="A284" s="1" t="s">
        <v>787</v>
      </c>
      <c r="B284" s="1" t="s">
        <v>788</v>
      </c>
      <c r="C284" s="1" t="s">
        <v>492</v>
      </c>
      <c r="D284" s="1" t="s">
        <v>730</v>
      </c>
      <c r="E284" s="1" t="s">
        <v>19</v>
      </c>
      <c r="F284" s="1" t="s">
        <v>753</v>
      </c>
      <c r="G284" s="1" t="s">
        <v>98</v>
      </c>
      <c r="H284" s="1" t="s">
        <v>789</v>
      </c>
      <c r="I284" s="1" t="s">
        <v>731</v>
      </c>
      <c r="J284" s="1" t="s">
        <v>790</v>
      </c>
      <c r="K284" s="1"/>
      <c r="L284" s="1" t="s">
        <v>15</v>
      </c>
      <c r="M284" s="1" t="s">
        <v>14</v>
      </c>
    </row>
    <row r="285" spans="1:13" x14ac:dyDescent="0.3">
      <c r="A285" s="1" t="s">
        <v>791</v>
      </c>
      <c r="B285" s="1" t="s">
        <v>792</v>
      </c>
      <c r="C285" s="1" t="s">
        <v>492</v>
      </c>
      <c r="D285" s="1" t="s">
        <v>730</v>
      </c>
      <c r="E285" s="1" t="s">
        <v>19</v>
      </c>
      <c r="F285" s="1" t="s">
        <v>753</v>
      </c>
      <c r="G285" s="1" t="s">
        <v>98</v>
      </c>
      <c r="H285" s="1" t="s">
        <v>793</v>
      </c>
      <c r="I285" s="1" t="s">
        <v>731</v>
      </c>
      <c r="J285" s="1" t="s">
        <v>794</v>
      </c>
      <c r="K285" s="1"/>
      <c r="L285" s="1" t="s">
        <v>15</v>
      </c>
      <c r="M285" s="1" t="s">
        <v>14</v>
      </c>
    </row>
    <row r="286" spans="1:13" x14ac:dyDescent="0.3">
      <c r="A286" s="1" t="s">
        <v>795</v>
      </c>
      <c r="B286" s="1" t="s">
        <v>796</v>
      </c>
      <c r="C286" s="1" t="s">
        <v>492</v>
      </c>
      <c r="D286" s="1" t="s">
        <v>730</v>
      </c>
      <c r="E286" s="1" t="s">
        <v>19</v>
      </c>
      <c r="F286" s="1" t="s">
        <v>753</v>
      </c>
      <c r="G286" s="1" t="s">
        <v>98</v>
      </c>
      <c r="H286" s="1" t="s">
        <v>797</v>
      </c>
      <c r="I286" s="1" t="s">
        <v>731</v>
      </c>
      <c r="J286" s="1"/>
      <c r="K286" s="1"/>
      <c r="L286" s="1" t="s">
        <v>15</v>
      </c>
      <c r="M286" s="1" t="s">
        <v>14</v>
      </c>
    </row>
    <row r="287" spans="1:13" x14ac:dyDescent="0.3">
      <c r="A287" s="1" t="s">
        <v>798</v>
      </c>
      <c r="B287" s="1" t="s">
        <v>799</v>
      </c>
      <c r="C287" s="1" t="s">
        <v>492</v>
      </c>
      <c r="D287" s="1" t="s">
        <v>800</v>
      </c>
      <c r="E287" s="1" t="s">
        <v>132</v>
      </c>
      <c r="F287" s="1" t="s">
        <v>801</v>
      </c>
      <c r="G287" s="1" t="s">
        <v>98</v>
      </c>
      <c r="H287" s="1" t="s">
        <v>494</v>
      </c>
      <c r="I287" s="1" t="s">
        <v>731</v>
      </c>
      <c r="J287" s="1" t="s">
        <v>200</v>
      </c>
      <c r="K287" s="1"/>
      <c r="L287" s="1" t="s">
        <v>15</v>
      </c>
      <c r="M287" s="1" t="s">
        <v>14</v>
      </c>
    </row>
    <row r="288" spans="1:13" x14ac:dyDescent="0.3">
      <c r="A288" s="1" t="s">
        <v>802</v>
      </c>
      <c r="B288" s="1" t="s">
        <v>803</v>
      </c>
      <c r="C288" s="1" t="s">
        <v>492</v>
      </c>
      <c r="D288" s="1" t="s">
        <v>800</v>
      </c>
      <c r="E288" s="1" t="s">
        <v>132</v>
      </c>
      <c r="F288" s="1" t="s">
        <v>801</v>
      </c>
      <c r="G288" s="1" t="s">
        <v>98</v>
      </c>
      <c r="H288" s="1" t="s">
        <v>499</v>
      </c>
      <c r="I288" s="1" t="s">
        <v>731</v>
      </c>
      <c r="J288" s="1" t="s">
        <v>147</v>
      </c>
      <c r="K288" s="1"/>
      <c r="L288" s="1" t="s">
        <v>15</v>
      </c>
      <c r="M288" s="1" t="s">
        <v>14</v>
      </c>
    </row>
    <row r="289" spans="1:13" x14ac:dyDescent="0.3">
      <c r="A289" s="1" t="s">
        <v>804</v>
      </c>
      <c r="B289" s="1" t="s">
        <v>805</v>
      </c>
      <c r="C289" s="1" t="s">
        <v>492</v>
      </c>
      <c r="D289" s="1" t="s">
        <v>800</v>
      </c>
      <c r="E289" s="1" t="s">
        <v>132</v>
      </c>
      <c r="F289" s="1" t="s">
        <v>801</v>
      </c>
      <c r="G289" s="1" t="s">
        <v>98</v>
      </c>
      <c r="H289" s="1" t="s">
        <v>502</v>
      </c>
      <c r="I289" s="1" t="s">
        <v>731</v>
      </c>
      <c r="J289" s="1" t="s">
        <v>167</v>
      </c>
      <c r="K289" s="1"/>
      <c r="L289" s="1" t="s">
        <v>15</v>
      </c>
      <c r="M289" s="1" t="s">
        <v>14</v>
      </c>
    </row>
    <row r="290" spans="1:13" x14ac:dyDescent="0.3">
      <c r="A290" s="1" t="s">
        <v>806</v>
      </c>
      <c r="B290" s="1" t="s">
        <v>807</v>
      </c>
      <c r="C290" s="1" t="s">
        <v>492</v>
      </c>
      <c r="D290" s="1" t="s">
        <v>800</v>
      </c>
      <c r="E290" s="1" t="s">
        <v>132</v>
      </c>
      <c r="F290" s="1" t="s">
        <v>801</v>
      </c>
      <c r="G290" s="1" t="s">
        <v>98</v>
      </c>
      <c r="H290" s="1" t="s">
        <v>505</v>
      </c>
      <c r="I290" s="1" t="s">
        <v>731</v>
      </c>
      <c r="J290" s="1" t="s">
        <v>183</v>
      </c>
      <c r="K290" s="1"/>
      <c r="L290" s="1" t="s">
        <v>15</v>
      </c>
      <c r="M290" s="1" t="s">
        <v>14</v>
      </c>
    </row>
    <row r="291" spans="1:13" x14ac:dyDescent="0.3">
      <c r="A291" s="1" t="s">
        <v>808</v>
      </c>
      <c r="B291" s="1" t="s">
        <v>809</v>
      </c>
      <c r="C291" s="1" t="s">
        <v>492</v>
      </c>
      <c r="D291" s="1" t="s">
        <v>800</v>
      </c>
      <c r="E291" s="1" t="s">
        <v>132</v>
      </c>
      <c r="F291" s="1" t="s">
        <v>801</v>
      </c>
      <c r="G291" s="1" t="s">
        <v>98</v>
      </c>
      <c r="H291" s="1" t="s">
        <v>514</v>
      </c>
      <c r="I291" s="1" t="s">
        <v>731</v>
      </c>
      <c r="J291" s="1" t="s">
        <v>341</v>
      </c>
      <c r="K291" s="1"/>
      <c r="L291" s="1" t="s">
        <v>15</v>
      </c>
      <c r="M291" s="1" t="s">
        <v>14</v>
      </c>
    </row>
    <row r="292" spans="1:13" x14ac:dyDescent="0.3">
      <c r="A292" s="1" t="s">
        <v>810</v>
      </c>
      <c r="B292" s="1" t="s">
        <v>811</v>
      </c>
      <c r="C292" s="1" t="s">
        <v>492</v>
      </c>
      <c r="D292" s="1" t="s">
        <v>800</v>
      </c>
      <c r="E292" s="1" t="s">
        <v>132</v>
      </c>
      <c r="F292" s="1" t="s">
        <v>801</v>
      </c>
      <c r="G292" s="1" t="s">
        <v>98</v>
      </c>
      <c r="H292" s="1" t="s">
        <v>517</v>
      </c>
      <c r="I292" s="1" t="s">
        <v>731</v>
      </c>
      <c r="J292" s="1" t="s">
        <v>325</v>
      </c>
      <c r="K292" s="1"/>
      <c r="L292" s="1" t="s">
        <v>15</v>
      </c>
      <c r="M292" s="1" t="s">
        <v>14</v>
      </c>
    </row>
    <row r="293" spans="1:13" x14ac:dyDescent="0.3">
      <c r="A293" s="1" t="s">
        <v>812</v>
      </c>
      <c r="B293" s="1" t="s">
        <v>813</v>
      </c>
      <c r="C293" s="1" t="s">
        <v>492</v>
      </c>
      <c r="D293" s="1" t="s">
        <v>800</v>
      </c>
      <c r="E293" s="1" t="s">
        <v>132</v>
      </c>
      <c r="F293" s="1" t="s">
        <v>801</v>
      </c>
      <c r="G293" s="1" t="s">
        <v>98</v>
      </c>
      <c r="H293" s="1" t="s">
        <v>520</v>
      </c>
      <c r="I293" s="1" t="s">
        <v>731</v>
      </c>
      <c r="J293" s="1" t="s">
        <v>357</v>
      </c>
      <c r="K293" s="1"/>
      <c r="L293" s="1" t="s">
        <v>15</v>
      </c>
      <c r="M293" s="1" t="s">
        <v>14</v>
      </c>
    </row>
    <row r="294" spans="1:13" x14ac:dyDescent="0.3">
      <c r="A294" s="1" t="s">
        <v>814</v>
      </c>
      <c r="B294" s="1" t="s">
        <v>815</v>
      </c>
      <c r="C294" s="1" t="s">
        <v>492</v>
      </c>
      <c r="D294" s="1" t="s">
        <v>800</v>
      </c>
      <c r="E294" s="1" t="s">
        <v>132</v>
      </c>
      <c r="F294" s="1" t="s">
        <v>801</v>
      </c>
      <c r="G294" s="1" t="s">
        <v>98</v>
      </c>
      <c r="H294" s="1" t="s">
        <v>816</v>
      </c>
      <c r="I294" s="1" t="s">
        <v>731</v>
      </c>
      <c r="J294" s="1" t="s">
        <v>748</v>
      </c>
      <c r="K294" s="1"/>
      <c r="L294" s="1" t="s">
        <v>15</v>
      </c>
      <c r="M294" s="1" t="s">
        <v>14</v>
      </c>
    </row>
    <row r="295" spans="1:13" x14ac:dyDescent="0.3">
      <c r="A295" s="1" t="s">
        <v>817</v>
      </c>
      <c r="B295" s="1" t="s">
        <v>818</v>
      </c>
      <c r="C295" s="1" t="s">
        <v>492</v>
      </c>
      <c r="D295" s="1" t="s">
        <v>800</v>
      </c>
      <c r="E295" s="1" t="s">
        <v>19</v>
      </c>
      <c r="F295" s="1" t="s">
        <v>819</v>
      </c>
      <c r="G295" s="1" t="s">
        <v>98</v>
      </c>
      <c r="H295" s="1" t="s">
        <v>756</v>
      </c>
      <c r="I295" s="1" t="s">
        <v>731</v>
      </c>
      <c r="J295" s="1" t="s">
        <v>757</v>
      </c>
      <c r="K295" s="1"/>
      <c r="L295" s="1" t="s">
        <v>15</v>
      </c>
      <c r="M295" s="1" t="s">
        <v>14</v>
      </c>
    </row>
    <row r="296" spans="1:13" x14ac:dyDescent="0.3">
      <c r="A296" s="1" t="s">
        <v>820</v>
      </c>
      <c r="B296" s="1" t="s">
        <v>821</v>
      </c>
      <c r="C296" s="1" t="s">
        <v>492</v>
      </c>
      <c r="D296" s="1" t="s">
        <v>800</v>
      </c>
      <c r="E296" s="1" t="s">
        <v>19</v>
      </c>
      <c r="F296" s="1" t="s">
        <v>819</v>
      </c>
      <c r="G296" s="1" t="s">
        <v>98</v>
      </c>
      <c r="H296" s="1" t="s">
        <v>544</v>
      </c>
      <c r="I296" s="1" t="s">
        <v>731</v>
      </c>
      <c r="J296" s="1" t="s">
        <v>545</v>
      </c>
      <c r="K296" s="1"/>
      <c r="L296" s="1" t="s">
        <v>15</v>
      </c>
      <c r="M296" s="1" t="s">
        <v>14</v>
      </c>
    </row>
    <row r="297" spans="1:13" x14ac:dyDescent="0.3">
      <c r="A297" s="1" t="s">
        <v>822</v>
      </c>
      <c r="B297" s="1" t="s">
        <v>823</v>
      </c>
      <c r="C297" s="1" t="s">
        <v>492</v>
      </c>
      <c r="D297" s="1" t="s">
        <v>800</v>
      </c>
      <c r="E297" s="1" t="s">
        <v>19</v>
      </c>
      <c r="F297" s="1" t="s">
        <v>819</v>
      </c>
      <c r="G297" s="1" t="s">
        <v>98</v>
      </c>
      <c r="H297" s="1" t="s">
        <v>552</v>
      </c>
      <c r="I297" s="1" t="s">
        <v>731</v>
      </c>
      <c r="J297" s="1" t="s">
        <v>115</v>
      </c>
      <c r="K297" s="1"/>
      <c r="L297" s="1" t="s">
        <v>15</v>
      </c>
      <c r="M297" s="1" t="s">
        <v>14</v>
      </c>
    </row>
    <row r="298" spans="1:13" x14ac:dyDescent="0.3">
      <c r="A298" s="1" t="s">
        <v>824</v>
      </c>
      <c r="B298" s="1" t="s">
        <v>825</v>
      </c>
      <c r="C298" s="1" t="s">
        <v>492</v>
      </c>
      <c r="D298" s="1" t="s">
        <v>800</v>
      </c>
      <c r="E298" s="1" t="s">
        <v>19</v>
      </c>
      <c r="F298" s="1" t="s">
        <v>819</v>
      </c>
      <c r="G298" s="1" t="s">
        <v>98</v>
      </c>
      <c r="H298" s="1" t="s">
        <v>555</v>
      </c>
      <c r="I298" s="1" t="s">
        <v>731</v>
      </c>
      <c r="J298" s="1" t="s">
        <v>764</v>
      </c>
      <c r="K298" s="1"/>
      <c r="L298" s="1" t="s">
        <v>15</v>
      </c>
      <c r="M298" s="1" t="s">
        <v>14</v>
      </c>
    </row>
    <row r="299" spans="1:13" x14ac:dyDescent="0.3">
      <c r="A299" s="1" t="s">
        <v>826</v>
      </c>
      <c r="B299" s="1" t="s">
        <v>827</v>
      </c>
      <c r="C299" s="1" t="s">
        <v>492</v>
      </c>
      <c r="D299" s="1" t="s">
        <v>800</v>
      </c>
      <c r="E299" s="1" t="s">
        <v>19</v>
      </c>
      <c r="F299" s="1" t="s">
        <v>819</v>
      </c>
      <c r="G299" s="1" t="s">
        <v>98</v>
      </c>
      <c r="H299" s="1" t="s">
        <v>555</v>
      </c>
      <c r="I299" s="1" t="s">
        <v>731</v>
      </c>
      <c r="J299" s="1" t="s">
        <v>767</v>
      </c>
      <c r="K299" s="1"/>
      <c r="L299" s="1" t="s">
        <v>15</v>
      </c>
      <c r="M299" s="1" t="s">
        <v>14</v>
      </c>
    </row>
    <row r="300" spans="1:13" x14ac:dyDescent="0.3">
      <c r="A300" s="1" t="s">
        <v>828</v>
      </c>
      <c r="B300" s="1" t="s">
        <v>829</v>
      </c>
      <c r="C300" s="1" t="s">
        <v>492</v>
      </c>
      <c r="D300" s="1" t="s">
        <v>800</v>
      </c>
      <c r="E300" s="1" t="s">
        <v>19</v>
      </c>
      <c r="F300" s="1" t="s">
        <v>819</v>
      </c>
      <c r="G300" s="1" t="s">
        <v>98</v>
      </c>
      <c r="H300" s="1" t="s">
        <v>560</v>
      </c>
      <c r="I300" s="1" t="s">
        <v>731</v>
      </c>
      <c r="J300" s="1" t="s">
        <v>561</v>
      </c>
      <c r="K300" s="1"/>
      <c r="L300" s="1" t="s">
        <v>15</v>
      </c>
      <c r="M300" s="1" t="s">
        <v>14</v>
      </c>
    </row>
    <row r="301" spans="1:13" x14ac:dyDescent="0.3">
      <c r="A301" s="1" t="s">
        <v>830</v>
      </c>
      <c r="B301" s="1" t="s">
        <v>831</v>
      </c>
      <c r="C301" s="1" t="s">
        <v>492</v>
      </c>
      <c r="D301" s="1" t="s">
        <v>800</v>
      </c>
      <c r="E301" s="1" t="s">
        <v>19</v>
      </c>
      <c r="F301" s="1" t="s">
        <v>819</v>
      </c>
      <c r="G301" s="1" t="s">
        <v>98</v>
      </c>
      <c r="H301" s="1" t="s">
        <v>772</v>
      </c>
      <c r="I301" s="1" t="s">
        <v>731</v>
      </c>
      <c r="J301" s="1" t="s">
        <v>773</v>
      </c>
      <c r="K301" s="1"/>
      <c r="L301" s="1" t="s">
        <v>15</v>
      </c>
      <c r="M301" s="1" t="s">
        <v>14</v>
      </c>
    </row>
    <row r="302" spans="1:13" x14ac:dyDescent="0.3">
      <c r="A302" s="1" t="s">
        <v>832</v>
      </c>
      <c r="B302" s="1" t="s">
        <v>833</v>
      </c>
      <c r="C302" s="1" t="s">
        <v>492</v>
      </c>
      <c r="D302" s="1" t="s">
        <v>800</v>
      </c>
      <c r="E302" s="1" t="s">
        <v>19</v>
      </c>
      <c r="F302" s="1" t="s">
        <v>819</v>
      </c>
      <c r="G302" s="1" t="s">
        <v>98</v>
      </c>
      <c r="H302" s="1" t="s">
        <v>567</v>
      </c>
      <c r="I302" s="1" t="s">
        <v>731</v>
      </c>
      <c r="J302" s="1" t="s">
        <v>450</v>
      </c>
      <c r="K302" s="1"/>
      <c r="L302" s="1" t="s">
        <v>15</v>
      </c>
      <c r="M302" s="1" t="s">
        <v>14</v>
      </c>
    </row>
    <row r="303" spans="1:13" x14ac:dyDescent="0.3">
      <c r="A303" s="1" t="s">
        <v>834</v>
      </c>
      <c r="B303" s="1" t="s">
        <v>835</v>
      </c>
      <c r="C303" s="1" t="s">
        <v>492</v>
      </c>
      <c r="D303" s="1" t="s">
        <v>800</v>
      </c>
      <c r="E303" s="1" t="s">
        <v>19</v>
      </c>
      <c r="F303" s="1" t="s">
        <v>819</v>
      </c>
      <c r="G303" s="1" t="s">
        <v>98</v>
      </c>
      <c r="H303" s="1" t="s">
        <v>779</v>
      </c>
      <c r="I303" s="1" t="s">
        <v>731</v>
      </c>
      <c r="J303" s="1" t="s">
        <v>780</v>
      </c>
      <c r="K303" s="1"/>
      <c r="L303" s="1" t="s">
        <v>15</v>
      </c>
      <c r="M303" s="1" t="s">
        <v>14</v>
      </c>
    </row>
    <row r="304" spans="1:13" x14ac:dyDescent="0.3">
      <c r="A304" s="1" t="s">
        <v>836</v>
      </c>
      <c r="B304" s="1" t="s">
        <v>837</v>
      </c>
      <c r="C304" s="1" t="s">
        <v>492</v>
      </c>
      <c r="D304" s="1" t="s">
        <v>800</v>
      </c>
      <c r="E304" s="1" t="s">
        <v>19</v>
      </c>
      <c r="F304" s="1" t="s">
        <v>819</v>
      </c>
      <c r="G304" s="1" t="s">
        <v>98</v>
      </c>
      <c r="H304" s="1" t="s">
        <v>783</v>
      </c>
      <c r="I304" s="1" t="s">
        <v>731</v>
      </c>
      <c r="J304" s="1" t="s">
        <v>773</v>
      </c>
      <c r="K304" s="1"/>
      <c r="L304" s="1" t="s">
        <v>15</v>
      </c>
      <c r="M304" s="1" t="s">
        <v>14</v>
      </c>
    </row>
    <row r="305" spans="1:13" x14ac:dyDescent="0.3">
      <c r="A305" s="1" t="s">
        <v>838</v>
      </c>
      <c r="B305" s="1" t="s">
        <v>839</v>
      </c>
      <c r="C305" s="1" t="s">
        <v>492</v>
      </c>
      <c r="D305" s="1" t="s">
        <v>800</v>
      </c>
      <c r="E305" s="1" t="s">
        <v>19</v>
      </c>
      <c r="F305" s="1" t="s">
        <v>819</v>
      </c>
      <c r="G305" s="1" t="s">
        <v>98</v>
      </c>
      <c r="H305" s="1" t="s">
        <v>840</v>
      </c>
      <c r="I305" s="1" t="s">
        <v>731</v>
      </c>
      <c r="J305" s="1" t="s">
        <v>232</v>
      </c>
      <c r="K305" s="1"/>
      <c r="L305" s="1" t="s">
        <v>15</v>
      </c>
      <c r="M305" s="1" t="s">
        <v>14</v>
      </c>
    </row>
    <row r="306" spans="1:13" x14ac:dyDescent="0.3">
      <c r="A306" s="1" t="s">
        <v>841</v>
      </c>
      <c r="B306" s="1" t="s">
        <v>842</v>
      </c>
      <c r="C306" s="1" t="s">
        <v>492</v>
      </c>
      <c r="D306" s="1" t="s">
        <v>800</v>
      </c>
      <c r="E306" s="1" t="s">
        <v>19</v>
      </c>
      <c r="F306" s="1" t="s">
        <v>819</v>
      </c>
      <c r="G306" s="1" t="s">
        <v>98</v>
      </c>
      <c r="H306" s="1" t="s">
        <v>843</v>
      </c>
      <c r="I306" s="1" t="s">
        <v>731</v>
      </c>
      <c r="J306" s="1" t="s">
        <v>579</v>
      </c>
      <c r="K306" s="1"/>
      <c r="L306" s="1" t="s">
        <v>15</v>
      </c>
      <c r="M306" s="1" t="s">
        <v>14</v>
      </c>
    </row>
    <row r="307" spans="1:13" x14ac:dyDescent="0.3">
      <c r="A307" s="1" t="s">
        <v>844</v>
      </c>
      <c r="B307" s="1" t="s">
        <v>845</v>
      </c>
      <c r="C307" s="1" t="s">
        <v>492</v>
      </c>
      <c r="D307" s="1" t="s">
        <v>800</v>
      </c>
      <c r="E307" s="1" t="s">
        <v>19</v>
      </c>
      <c r="F307" s="1" t="s">
        <v>819</v>
      </c>
      <c r="G307" s="1" t="s">
        <v>98</v>
      </c>
      <c r="H307" s="1" t="s">
        <v>846</v>
      </c>
      <c r="I307" s="1" t="s">
        <v>731</v>
      </c>
      <c r="J307" s="1" t="s">
        <v>790</v>
      </c>
      <c r="K307" s="1"/>
      <c r="L307" s="1" t="s">
        <v>15</v>
      </c>
      <c r="M307" s="1" t="s">
        <v>14</v>
      </c>
    </row>
    <row r="308" spans="1:13" x14ac:dyDescent="0.3">
      <c r="A308" s="1" t="s">
        <v>847</v>
      </c>
      <c r="B308" s="1" t="s">
        <v>848</v>
      </c>
      <c r="C308" s="1" t="s">
        <v>492</v>
      </c>
      <c r="D308" s="1" t="s">
        <v>800</v>
      </c>
      <c r="E308" s="1" t="s">
        <v>19</v>
      </c>
      <c r="F308" s="1" t="s">
        <v>819</v>
      </c>
      <c r="G308" s="1" t="s">
        <v>98</v>
      </c>
      <c r="H308" s="1" t="s">
        <v>849</v>
      </c>
      <c r="I308" s="1" t="s">
        <v>731</v>
      </c>
      <c r="J308" s="1" t="s">
        <v>752</v>
      </c>
      <c r="K308" s="1"/>
      <c r="L308" s="1" t="s">
        <v>15</v>
      </c>
      <c r="M308" s="1" t="s">
        <v>14</v>
      </c>
    </row>
    <row r="309" spans="1:13" x14ac:dyDescent="0.3">
      <c r="A309" s="1" t="s">
        <v>850</v>
      </c>
      <c r="B309" s="1" t="s">
        <v>851</v>
      </c>
      <c r="C309" s="1" t="s">
        <v>492</v>
      </c>
      <c r="D309" s="1" t="s">
        <v>800</v>
      </c>
      <c r="E309" s="1" t="s">
        <v>19</v>
      </c>
      <c r="F309" s="1" t="s">
        <v>819</v>
      </c>
      <c r="G309" s="1" t="s">
        <v>98</v>
      </c>
      <c r="H309" s="1" t="s">
        <v>852</v>
      </c>
      <c r="I309" s="1" t="s">
        <v>731</v>
      </c>
      <c r="J309" s="1" t="s">
        <v>853</v>
      </c>
      <c r="K309" s="1"/>
      <c r="L309" s="1" t="s">
        <v>15</v>
      </c>
      <c r="M309" s="1" t="s">
        <v>14</v>
      </c>
    </row>
    <row r="310" spans="1:13" x14ac:dyDescent="0.3">
      <c r="A310" s="1" t="s">
        <v>854</v>
      </c>
      <c r="B310" s="1" t="s">
        <v>855</v>
      </c>
      <c r="C310" s="1" t="s">
        <v>492</v>
      </c>
      <c r="D310" s="1" t="s">
        <v>856</v>
      </c>
      <c r="E310" s="1" t="s">
        <v>132</v>
      </c>
      <c r="F310" s="1" t="s">
        <v>857</v>
      </c>
      <c r="G310" s="1" t="s">
        <v>98</v>
      </c>
      <c r="H310" s="1" t="s">
        <v>494</v>
      </c>
      <c r="I310" s="1" t="s">
        <v>731</v>
      </c>
      <c r="J310" s="1" t="s">
        <v>200</v>
      </c>
      <c r="K310" s="1"/>
      <c r="L310" s="1" t="s">
        <v>15</v>
      </c>
      <c r="M310" s="1" t="s">
        <v>14</v>
      </c>
    </row>
    <row r="311" spans="1:13" x14ac:dyDescent="0.3">
      <c r="A311" s="1" t="s">
        <v>858</v>
      </c>
      <c r="B311" s="1" t="s">
        <v>859</v>
      </c>
      <c r="C311" s="1" t="s">
        <v>492</v>
      </c>
      <c r="D311" s="1" t="s">
        <v>856</v>
      </c>
      <c r="E311" s="1" t="s">
        <v>132</v>
      </c>
      <c r="F311" s="1" t="s">
        <v>857</v>
      </c>
      <c r="G311" s="1" t="s">
        <v>98</v>
      </c>
      <c r="H311" s="1" t="s">
        <v>499</v>
      </c>
      <c r="I311" s="1" t="s">
        <v>731</v>
      </c>
      <c r="J311" s="1" t="s">
        <v>147</v>
      </c>
      <c r="K311" s="1"/>
      <c r="L311" s="1" t="s">
        <v>15</v>
      </c>
      <c r="M311" s="1" t="s">
        <v>14</v>
      </c>
    </row>
    <row r="312" spans="1:13" x14ac:dyDescent="0.3">
      <c r="A312" s="1" t="s">
        <v>860</v>
      </c>
      <c r="B312" s="1" t="s">
        <v>861</v>
      </c>
      <c r="C312" s="1" t="s">
        <v>492</v>
      </c>
      <c r="D312" s="1" t="s">
        <v>856</v>
      </c>
      <c r="E312" s="1" t="s">
        <v>132</v>
      </c>
      <c r="F312" s="1" t="s">
        <v>857</v>
      </c>
      <c r="G312" s="1" t="s">
        <v>98</v>
      </c>
      <c r="H312" s="1" t="s">
        <v>502</v>
      </c>
      <c r="I312" s="1" t="s">
        <v>731</v>
      </c>
      <c r="J312" s="1" t="s">
        <v>167</v>
      </c>
      <c r="K312" s="1"/>
      <c r="L312" s="1" t="s">
        <v>15</v>
      </c>
      <c r="M312" s="1" t="s">
        <v>14</v>
      </c>
    </row>
    <row r="313" spans="1:13" x14ac:dyDescent="0.3">
      <c r="A313" s="1" t="s">
        <v>862</v>
      </c>
      <c r="B313" s="1" t="s">
        <v>863</v>
      </c>
      <c r="C313" s="1" t="s">
        <v>492</v>
      </c>
      <c r="D313" s="1" t="s">
        <v>856</v>
      </c>
      <c r="E313" s="1" t="s">
        <v>132</v>
      </c>
      <c r="F313" s="1" t="s">
        <v>857</v>
      </c>
      <c r="G313" s="1" t="s">
        <v>98</v>
      </c>
      <c r="H313" s="1" t="s">
        <v>505</v>
      </c>
      <c r="I313" s="1" t="s">
        <v>731</v>
      </c>
      <c r="J313" s="1" t="s">
        <v>183</v>
      </c>
      <c r="K313" s="1"/>
      <c r="L313" s="1" t="s">
        <v>15</v>
      </c>
      <c r="M313" s="1" t="s">
        <v>14</v>
      </c>
    </row>
    <row r="314" spans="1:13" x14ac:dyDescent="0.3">
      <c r="A314" s="1" t="s">
        <v>864</v>
      </c>
      <c r="B314" s="1" t="s">
        <v>865</v>
      </c>
      <c r="C314" s="1" t="s">
        <v>492</v>
      </c>
      <c r="D314" s="1" t="s">
        <v>856</v>
      </c>
      <c r="E314" s="1" t="s">
        <v>132</v>
      </c>
      <c r="F314" s="1" t="s">
        <v>857</v>
      </c>
      <c r="G314" s="1" t="s">
        <v>98</v>
      </c>
      <c r="H314" s="1" t="s">
        <v>514</v>
      </c>
      <c r="I314" s="1" t="s">
        <v>731</v>
      </c>
      <c r="J314" s="1" t="s">
        <v>341</v>
      </c>
      <c r="K314" s="1"/>
      <c r="L314" s="1" t="s">
        <v>15</v>
      </c>
      <c r="M314" s="1" t="s">
        <v>14</v>
      </c>
    </row>
    <row r="315" spans="1:13" x14ac:dyDescent="0.3">
      <c r="A315" s="1" t="s">
        <v>866</v>
      </c>
      <c r="B315" s="1" t="s">
        <v>867</v>
      </c>
      <c r="C315" s="1" t="s">
        <v>492</v>
      </c>
      <c r="D315" s="1" t="s">
        <v>856</v>
      </c>
      <c r="E315" s="1" t="s">
        <v>132</v>
      </c>
      <c r="F315" s="1" t="s">
        <v>857</v>
      </c>
      <c r="G315" s="1" t="s">
        <v>98</v>
      </c>
      <c r="H315" s="1" t="s">
        <v>517</v>
      </c>
      <c r="I315" s="1" t="s">
        <v>731</v>
      </c>
      <c r="J315" s="1" t="s">
        <v>325</v>
      </c>
      <c r="K315" s="1"/>
      <c r="L315" s="1" t="s">
        <v>15</v>
      </c>
      <c r="M315" s="1" t="s">
        <v>14</v>
      </c>
    </row>
    <row r="316" spans="1:13" x14ac:dyDescent="0.3">
      <c r="A316" s="1" t="s">
        <v>868</v>
      </c>
      <c r="B316" s="1" t="s">
        <v>869</v>
      </c>
      <c r="C316" s="1" t="s">
        <v>492</v>
      </c>
      <c r="D316" s="1" t="s">
        <v>856</v>
      </c>
      <c r="E316" s="1" t="s">
        <v>132</v>
      </c>
      <c r="F316" s="1" t="s">
        <v>857</v>
      </c>
      <c r="G316" s="1" t="s">
        <v>98</v>
      </c>
      <c r="H316" s="1" t="s">
        <v>520</v>
      </c>
      <c r="I316" s="1" t="s">
        <v>731</v>
      </c>
      <c r="J316" s="1" t="s">
        <v>357</v>
      </c>
      <c r="K316" s="1"/>
      <c r="L316" s="1" t="s">
        <v>15</v>
      </c>
      <c r="M316" s="1" t="s">
        <v>14</v>
      </c>
    </row>
    <row r="317" spans="1:13" x14ac:dyDescent="0.3">
      <c r="A317" s="1" t="s">
        <v>870</v>
      </c>
      <c r="B317" s="1" t="s">
        <v>871</v>
      </c>
      <c r="C317" s="1" t="s">
        <v>492</v>
      </c>
      <c r="D317" s="1" t="s">
        <v>856</v>
      </c>
      <c r="E317" s="1" t="s">
        <v>132</v>
      </c>
      <c r="F317" s="1" t="s">
        <v>857</v>
      </c>
      <c r="G317" s="1" t="s">
        <v>98</v>
      </c>
      <c r="H317" s="1" t="s">
        <v>816</v>
      </c>
      <c r="I317" s="1" t="s">
        <v>731</v>
      </c>
      <c r="J317" s="1" t="s">
        <v>748</v>
      </c>
      <c r="K317" s="1"/>
      <c r="L317" s="1" t="s">
        <v>15</v>
      </c>
      <c r="M317" s="1" t="s">
        <v>14</v>
      </c>
    </row>
    <row r="318" spans="1:13" x14ac:dyDescent="0.3">
      <c r="A318" s="1" t="s">
        <v>872</v>
      </c>
      <c r="B318" s="1" t="s">
        <v>873</v>
      </c>
      <c r="C318" s="1" t="s">
        <v>492</v>
      </c>
      <c r="D318" s="1" t="s">
        <v>856</v>
      </c>
      <c r="E318" s="1" t="s">
        <v>19</v>
      </c>
      <c r="F318" s="1" t="s">
        <v>875</v>
      </c>
      <c r="G318" s="1" t="s">
        <v>98</v>
      </c>
      <c r="H318" s="1" t="s">
        <v>874</v>
      </c>
      <c r="I318" s="1" t="s">
        <v>731</v>
      </c>
      <c r="J318" s="1"/>
      <c r="K318" s="1"/>
      <c r="L318" s="1" t="s">
        <v>15</v>
      </c>
      <c r="M318" s="1" t="s">
        <v>14</v>
      </c>
    </row>
    <row r="319" spans="1:13" x14ac:dyDescent="0.3">
      <c r="A319" s="1" t="s">
        <v>876</v>
      </c>
      <c r="B319" s="1" t="s">
        <v>877</v>
      </c>
      <c r="C319" s="1" t="s">
        <v>492</v>
      </c>
      <c r="D319" s="1" t="s">
        <v>856</v>
      </c>
      <c r="E319" s="1" t="s">
        <v>19</v>
      </c>
      <c r="F319" s="1" t="s">
        <v>875</v>
      </c>
      <c r="G319" s="1" t="s">
        <v>98</v>
      </c>
      <c r="H319" s="1" t="s">
        <v>751</v>
      </c>
      <c r="I319" s="1" t="s">
        <v>731</v>
      </c>
      <c r="J319" s="1" t="s">
        <v>752</v>
      </c>
      <c r="K319" s="1"/>
      <c r="L319" s="1" t="s">
        <v>15</v>
      </c>
      <c r="M319" s="1" t="s">
        <v>14</v>
      </c>
    </row>
    <row r="320" spans="1:13" x14ac:dyDescent="0.3">
      <c r="A320" s="1" t="s">
        <v>878</v>
      </c>
      <c r="B320" s="1" t="s">
        <v>879</v>
      </c>
      <c r="C320" s="1" t="s">
        <v>492</v>
      </c>
      <c r="D320" s="1" t="s">
        <v>856</v>
      </c>
      <c r="E320" s="1" t="s">
        <v>19</v>
      </c>
      <c r="F320" s="1" t="s">
        <v>875</v>
      </c>
      <c r="G320" s="1" t="s">
        <v>98</v>
      </c>
      <c r="H320" s="1" t="s">
        <v>880</v>
      </c>
      <c r="I320" s="1" t="s">
        <v>731</v>
      </c>
      <c r="J320" s="1"/>
      <c r="K320" s="1"/>
      <c r="L320" s="1" t="s">
        <v>15</v>
      </c>
      <c r="M320" s="1" t="s">
        <v>14</v>
      </c>
    </row>
    <row r="321" spans="1:13" x14ac:dyDescent="0.3">
      <c r="A321" s="1" t="s">
        <v>881</v>
      </c>
      <c r="B321" s="1" t="s">
        <v>882</v>
      </c>
      <c r="C321" s="1" t="s">
        <v>492</v>
      </c>
      <c r="D321" s="1" t="s">
        <v>856</v>
      </c>
      <c r="E321" s="1" t="s">
        <v>19</v>
      </c>
      <c r="F321" s="1" t="s">
        <v>875</v>
      </c>
      <c r="G321" s="1" t="s">
        <v>98</v>
      </c>
      <c r="H321" s="1" t="s">
        <v>756</v>
      </c>
      <c r="I321" s="1" t="s">
        <v>731</v>
      </c>
      <c r="J321" s="1" t="s">
        <v>757</v>
      </c>
      <c r="K321" s="1"/>
      <c r="L321" s="1" t="s">
        <v>15</v>
      </c>
      <c r="M321" s="1" t="s">
        <v>14</v>
      </c>
    </row>
    <row r="322" spans="1:13" x14ac:dyDescent="0.3">
      <c r="A322" s="1" t="s">
        <v>883</v>
      </c>
      <c r="B322" s="1" t="s">
        <v>884</v>
      </c>
      <c r="C322" s="1" t="s">
        <v>492</v>
      </c>
      <c r="D322" s="1" t="s">
        <v>856</v>
      </c>
      <c r="E322" s="1" t="s">
        <v>19</v>
      </c>
      <c r="F322" s="1" t="s">
        <v>875</v>
      </c>
      <c r="G322" s="1" t="s">
        <v>98</v>
      </c>
      <c r="H322" s="1" t="s">
        <v>885</v>
      </c>
      <c r="I322" s="1" t="s">
        <v>731</v>
      </c>
      <c r="J322" s="1"/>
      <c r="K322" s="1"/>
      <c r="L322" s="1" t="s">
        <v>15</v>
      </c>
      <c r="M322" s="1" t="s">
        <v>14</v>
      </c>
    </row>
    <row r="323" spans="1:13" x14ac:dyDescent="0.3">
      <c r="A323" s="1" t="s">
        <v>886</v>
      </c>
      <c r="B323" s="1" t="s">
        <v>887</v>
      </c>
      <c r="C323" s="1" t="s">
        <v>492</v>
      </c>
      <c r="D323" s="1" t="s">
        <v>856</v>
      </c>
      <c r="E323" s="1" t="s">
        <v>19</v>
      </c>
      <c r="F323" s="1" t="s">
        <v>875</v>
      </c>
      <c r="G323" s="1" t="s">
        <v>98</v>
      </c>
      <c r="H323" s="1" t="s">
        <v>564</v>
      </c>
      <c r="I323" s="1" t="s">
        <v>731</v>
      </c>
      <c r="J323" s="1" t="s">
        <v>773</v>
      </c>
      <c r="K323" s="1"/>
      <c r="L323" s="1" t="s">
        <v>15</v>
      </c>
      <c r="M323" s="1" t="s">
        <v>14</v>
      </c>
    </row>
    <row r="324" spans="1:13" x14ac:dyDescent="0.3">
      <c r="A324" s="1" t="s">
        <v>888</v>
      </c>
      <c r="B324" s="1" t="s">
        <v>889</v>
      </c>
      <c r="C324" s="1" t="s">
        <v>492</v>
      </c>
      <c r="D324" s="1" t="s">
        <v>856</v>
      </c>
      <c r="E324" s="1" t="s">
        <v>19</v>
      </c>
      <c r="F324" s="1" t="s">
        <v>875</v>
      </c>
      <c r="G324" s="1" t="s">
        <v>98</v>
      </c>
      <c r="H324" s="1" t="s">
        <v>552</v>
      </c>
      <c r="I324" s="1" t="s">
        <v>731</v>
      </c>
      <c r="J324" s="1" t="s">
        <v>115</v>
      </c>
      <c r="K324" s="1"/>
      <c r="L324" s="1" t="s">
        <v>15</v>
      </c>
      <c r="M324" s="1" t="s">
        <v>14</v>
      </c>
    </row>
    <row r="325" spans="1:13" x14ac:dyDescent="0.3">
      <c r="A325" s="1" t="s">
        <v>890</v>
      </c>
      <c r="B325" s="1" t="s">
        <v>891</v>
      </c>
      <c r="C325" s="1" t="s">
        <v>492</v>
      </c>
      <c r="D325" s="1" t="s">
        <v>856</v>
      </c>
      <c r="E325" s="1" t="s">
        <v>19</v>
      </c>
      <c r="F325" s="1" t="s">
        <v>875</v>
      </c>
      <c r="G325" s="1" t="s">
        <v>98</v>
      </c>
      <c r="H325" s="1" t="s">
        <v>892</v>
      </c>
      <c r="I325" s="1" t="s">
        <v>731</v>
      </c>
      <c r="J325" s="1" t="s">
        <v>764</v>
      </c>
      <c r="K325" s="1"/>
      <c r="L325" s="1" t="s">
        <v>15</v>
      </c>
      <c r="M325" s="1" t="s">
        <v>14</v>
      </c>
    </row>
    <row r="326" spans="1:13" x14ac:dyDescent="0.3">
      <c r="A326" s="1" t="s">
        <v>893</v>
      </c>
      <c r="B326" s="1" t="s">
        <v>894</v>
      </c>
      <c r="C326" s="1" t="s">
        <v>492</v>
      </c>
      <c r="D326" s="1" t="s">
        <v>856</v>
      </c>
      <c r="E326" s="1" t="s">
        <v>19</v>
      </c>
      <c r="F326" s="1" t="s">
        <v>875</v>
      </c>
      <c r="G326" s="1" t="s">
        <v>98</v>
      </c>
      <c r="H326" s="1" t="s">
        <v>895</v>
      </c>
      <c r="I326" s="1" t="s">
        <v>731</v>
      </c>
      <c r="J326" s="1" t="s">
        <v>767</v>
      </c>
      <c r="K326" s="1"/>
      <c r="L326" s="1" t="s">
        <v>15</v>
      </c>
      <c r="M326" s="1" t="s">
        <v>14</v>
      </c>
    </row>
    <row r="327" spans="1:13" x14ac:dyDescent="0.3">
      <c r="A327" s="1" t="s">
        <v>896</v>
      </c>
      <c r="B327" s="1" t="s">
        <v>897</v>
      </c>
      <c r="C327" s="1" t="s">
        <v>492</v>
      </c>
      <c r="D327" s="1" t="s">
        <v>856</v>
      </c>
      <c r="E327" s="1" t="s">
        <v>19</v>
      </c>
      <c r="F327" s="1" t="s">
        <v>875</v>
      </c>
      <c r="G327" s="1" t="s">
        <v>98</v>
      </c>
      <c r="H327" s="1" t="s">
        <v>560</v>
      </c>
      <c r="I327" s="1" t="s">
        <v>731</v>
      </c>
      <c r="J327" s="1" t="s">
        <v>561</v>
      </c>
      <c r="K327" s="1"/>
      <c r="L327" s="1" t="s">
        <v>15</v>
      </c>
      <c r="M327" s="1" t="s">
        <v>14</v>
      </c>
    </row>
    <row r="328" spans="1:13" x14ac:dyDescent="0.3">
      <c r="A328" s="1" t="s">
        <v>898</v>
      </c>
      <c r="B328" s="1" t="s">
        <v>899</v>
      </c>
      <c r="C328" s="1" t="s">
        <v>492</v>
      </c>
      <c r="D328" s="1" t="s">
        <v>856</v>
      </c>
      <c r="E328" s="1" t="s">
        <v>19</v>
      </c>
      <c r="F328" s="1" t="s">
        <v>875</v>
      </c>
      <c r="G328" s="1" t="s">
        <v>98</v>
      </c>
      <c r="H328" s="1" t="s">
        <v>900</v>
      </c>
      <c r="I328" s="1" t="s">
        <v>731</v>
      </c>
      <c r="J328" s="1" t="s">
        <v>450</v>
      </c>
      <c r="K328" s="1"/>
      <c r="L328" s="1" t="s">
        <v>15</v>
      </c>
      <c r="M328" s="1" t="s">
        <v>14</v>
      </c>
    </row>
    <row r="329" spans="1:13" x14ac:dyDescent="0.3">
      <c r="A329" s="1" t="s">
        <v>901</v>
      </c>
      <c r="B329" s="1" t="s">
        <v>902</v>
      </c>
      <c r="C329" s="1" t="s">
        <v>492</v>
      </c>
      <c r="D329" s="1" t="s">
        <v>856</v>
      </c>
      <c r="E329" s="1" t="s">
        <v>19</v>
      </c>
      <c r="F329" s="1" t="s">
        <v>875</v>
      </c>
      <c r="G329" s="1" t="s">
        <v>98</v>
      </c>
      <c r="H329" s="1" t="s">
        <v>903</v>
      </c>
      <c r="I329" s="1" t="s">
        <v>731</v>
      </c>
      <c r="J329" s="1" t="s">
        <v>232</v>
      </c>
      <c r="K329" s="1"/>
      <c r="L329" s="1" t="s">
        <v>15</v>
      </c>
      <c r="M329" s="1" t="s">
        <v>14</v>
      </c>
    </row>
    <row r="330" spans="1:13" x14ac:dyDescent="0.3">
      <c r="A330" s="1" t="s">
        <v>904</v>
      </c>
      <c r="B330" s="1" t="s">
        <v>905</v>
      </c>
      <c r="C330" s="1" t="s">
        <v>492</v>
      </c>
      <c r="D330" s="1" t="s">
        <v>856</v>
      </c>
      <c r="E330" s="1" t="s">
        <v>19</v>
      </c>
      <c r="F330" s="1" t="s">
        <v>875</v>
      </c>
      <c r="G330" s="1" t="s">
        <v>98</v>
      </c>
      <c r="H330" s="1" t="s">
        <v>779</v>
      </c>
      <c r="I330" s="1" t="s">
        <v>731</v>
      </c>
      <c r="J330" s="1" t="s">
        <v>780</v>
      </c>
      <c r="K330" s="1"/>
      <c r="L330" s="1" t="s">
        <v>15</v>
      </c>
      <c r="M330" s="1" t="s">
        <v>14</v>
      </c>
    </row>
    <row r="331" spans="1:13" x14ac:dyDescent="0.3">
      <c r="A331" s="1" t="s">
        <v>906</v>
      </c>
      <c r="B331" s="1" t="s">
        <v>907</v>
      </c>
      <c r="C331" s="1" t="s">
        <v>492</v>
      </c>
      <c r="D331" s="1" t="s">
        <v>856</v>
      </c>
      <c r="E331" s="1" t="s">
        <v>19</v>
      </c>
      <c r="F331" s="1" t="s">
        <v>875</v>
      </c>
      <c r="G331" s="1" t="s">
        <v>98</v>
      </c>
      <c r="H331" s="1" t="s">
        <v>783</v>
      </c>
      <c r="I331" s="1" t="s">
        <v>731</v>
      </c>
      <c r="J331" s="1" t="s">
        <v>773</v>
      </c>
      <c r="K331" s="1"/>
      <c r="L331" s="1" t="s">
        <v>15</v>
      </c>
      <c r="M331" s="1" t="s">
        <v>14</v>
      </c>
    </row>
    <row r="332" spans="1:13" x14ac:dyDescent="0.3">
      <c r="A332" s="1" t="s">
        <v>908</v>
      </c>
      <c r="B332" s="1" t="s">
        <v>909</v>
      </c>
      <c r="C332" s="1" t="s">
        <v>492</v>
      </c>
      <c r="D332" s="1" t="s">
        <v>856</v>
      </c>
      <c r="E332" s="1" t="s">
        <v>19</v>
      </c>
      <c r="F332" s="1" t="s">
        <v>875</v>
      </c>
      <c r="G332" s="1" t="s">
        <v>98</v>
      </c>
      <c r="H332" s="1" t="s">
        <v>846</v>
      </c>
      <c r="I332" s="1" t="s">
        <v>731</v>
      </c>
      <c r="J332" s="1" t="s">
        <v>790</v>
      </c>
      <c r="K332" s="1"/>
      <c r="L332" s="1" t="s">
        <v>15</v>
      </c>
      <c r="M332" s="1" t="s">
        <v>14</v>
      </c>
    </row>
    <row r="333" spans="1:13" x14ac:dyDescent="0.3">
      <c r="A333" s="1" t="s">
        <v>910</v>
      </c>
      <c r="B333" s="1" t="s">
        <v>911</v>
      </c>
      <c r="C333" s="1" t="s">
        <v>492</v>
      </c>
      <c r="D333" s="1" t="s">
        <v>856</v>
      </c>
      <c r="E333" s="1" t="s">
        <v>19</v>
      </c>
      <c r="F333" s="1" t="s">
        <v>875</v>
      </c>
      <c r="G333" s="1" t="s">
        <v>98</v>
      </c>
      <c r="H333" s="1" t="s">
        <v>912</v>
      </c>
      <c r="I333" s="1" t="s">
        <v>731</v>
      </c>
      <c r="J333" s="1" t="s">
        <v>545</v>
      </c>
      <c r="K333" s="1"/>
      <c r="L333" s="1" t="s">
        <v>15</v>
      </c>
      <c r="M333" s="1" t="s">
        <v>14</v>
      </c>
    </row>
    <row r="334" spans="1:13" x14ac:dyDescent="0.3">
      <c r="A334" s="1" t="s">
        <v>913</v>
      </c>
      <c r="B334" s="1" t="s">
        <v>914</v>
      </c>
      <c r="C334" s="1" t="s">
        <v>492</v>
      </c>
      <c r="D334" s="1" t="s">
        <v>856</v>
      </c>
      <c r="E334" s="1" t="s">
        <v>19</v>
      </c>
      <c r="F334" s="1" t="s">
        <v>875</v>
      </c>
      <c r="G334" s="1" t="s">
        <v>98</v>
      </c>
      <c r="H334" s="1" t="s">
        <v>915</v>
      </c>
      <c r="I334" s="1" t="s">
        <v>731</v>
      </c>
      <c r="J334" s="1" t="s">
        <v>853</v>
      </c>
      <c r="K334" s="1"/>
      <c r="L334" s="1" t="s">
        <v>15</v>
      </c>
      <c r="M334" s="1" t="s">
        <v>14</v>
      </c>
    </row>
    <row r="335" spans="1:13" x14ac:dyDescent="0.3">
      <c r="A335" s="1" t="s">
        <v>916</v>
      </c>
      <c r="B335" s="1" t="s">
        <v>917</v>
      </c>
      <c r="C335" s="1" t="s">
        <v>492</v>
      </c>
      <c r="D335" s="1" t="s">
        <v>856</v>
      </c>
      <c r="E335" s="1" t="s">
        <v>19</v>
      </c>
      <c r="F335" s="1" t="s">
        <v>875</v>
      </c>
      <c r="G335" s="1" t="s">
        <v>98</v>
      </c>
      <c r="H335" s="1" t="s">
        <v>656</v>
      </c>
      <c r="I335" s="1" t="s">
        <v>731</v>
      </c>
      <c r="J335" s="1" t="s">
        <v>579</v>
      </c>
      <c r="K335" s="1"/>
      <c r="L335" s="1" t="s">
        <v>15</v>
      </c>
      <c r="M335" s="1" t="s">
        <v>14</v>
      </c>
    </row>
    <row r="336" spans="1:13" x14ac:dyDescent="0.3">
      <c r="A336" s="1" t="s">
        <v>918</v>
      </c>
      <c r="B336" s="1" t="s">
        <v>919</v>
      </c>
      <c r="C336" s="1" t="s">
        <v>492</v>
      </c>
      <c r="D336" s="1" t="s">
        <v>920</v>
      </c>
      <c r="E336" s="1" t="s">
        <v>132</v>
      </c>
      <c r="F336" s="1" t="s">
        <v>921</v>
      </c>
      <c r="G336" s="1" t="s">
        <v>98</v>
      </c>
      <c r="H336" s="1" t="s">
        <v>494</v>
      </c>
      <c r="I336" s="1" t="s">
        <v>731</v>
      </c>
      <c r="J336" s="1" t="s">
        <v>200</v>
      </c>
      <c r="K336" s="1"/>
      <c r="L336" s="1" t="s">
        <v>15</v>
      </c>
      <c r="M336" s="1" t="s">
        <v>14</v>
      </c>
    </row>
    <row r="337" spans="1:13" x14ac:dyDescent="0.3">
      <c r="A337" s="1" t="s">
        <v>922</v>
      </c>
      <c r="B337" s="1" t="s">
        <v>923</v>
      </c>
      <c r="C337" s="1" t="s">
        <v>492</v>
      </c>
      <c r="D337" s="1" t="s">
        <v>920</v>
      </c>
      <c r="E337" s="1" t="s">
        <v>132</v>
      </c>
      <c r="F337" s="1" t="s">
        <v>921</v>
      </c>
      <c r="G337" s="1" t="s">
        <v>98</v>
      </c>
      <c r="H337" s="1" t="s">
        <v>499</v>
      </c>
      <c r="I337" s="1" t="s">
        <v>731</v>
      </c>
      <c r="J337" s="1" t="s">
        <v>147</v>
      </c>
      <c r="K337" s="1"/>
      <c r="L337" s="1" t="s">
        <v>15</v>
      </c>
      <c r="M337" s="1" t="s">
        <v>14</v>
      </c>
    </row>
    <row r="338" spans="1:13" x14ac:dyDescent="0.3">
      <c r="A338" s="1" t="s">
        <v>924</v>
      </c>
      <c r="B338" s="1" t="s">
        <v>925</v>
      </c>
      <c r="C338" s="1" t="s">
        <v>492</v>
      </c>
      <c r="D338" s="1" t="s">
        <v>920</v>
      </c>
      <c r="E338" s="1" t="s">
        <v>132</v>
      </c>
      <c r="F338" s="1" t="s">
        <v>921</v>
      </c>
      <c r="G338" s="1" t="s">
        <v>98</v>
      </c>
      <c r="H338" s="1" t="s">
        <v>502</v>
      </c>
      <c r="I338" s="1" t="s">
        <v>731</v>
      </c>
      <c r="J338" s="1" t="s">
        <v>167</v>
      </c>
      <c r="K338" s="1"/>
      <c r="L338" s="1" t="s">
        <v>15</v>
      </c>
      <c r="M338" s="1" t="s">
        <v>14</v>
      </c>
    </row>
    <row r="339" spans="1:13" x14ac:dyDescent="0.3">
      <c r="A339" s="1" t="s">
        <v>926</v>
      </c>
      <c r="B339" s="1" t="s">
        <v>927</v>
      </c>
      <c r="C339" s="1" t="s">
        <v>492</v>
      </c>
      <c r="D339" s="1" t="s">
        <v>920</v>
      </c>
      <c r="E339" s="1" t="s">
        <v>132</v>
      </c>
      <c r="F339" s="1" t="s">
        <v>921</v>
      </c>
      <c r="G339" s="1" t="s">
        <v>98</v>
      </c>
      <c r="H339" s="1" t="s">
        <v>505</v>
      </c>
      <c r="I339" s="1" t="s">
        <v>731</v>
      </c>
      <c r="J339" s="1" t="s">
        <v>183</v>
      </c>
      <c r="K339" s="1"/>
      <c r="L339" s="1" t="s">
        <v>15</v>
      </c>
      <c r="M339" s="1" t="s">
        <v>14</v>
      </c>
    </row>
    <row r="340" spans="1:13" x14ac:dyDescent="0.3">
      <c r="A340" s="1" t="s">
        <v>928</v>
      </c>
      <c r="B340" s="1" t="s">
        <v>929</v>
      </c>
      <c r="C340" s="1" t="s">
        <v>492</v>
      </c>
      <c r="D340" s="1" t="s">
        <v>920</v>
      </c>
      <c r="E340" s="1" t="s">
        <v>132</v>
      </c>
      <c r="F340" s="1" t="s">
        <v>921</v>
      </c>
      <c r="G340" s="1" t="s">
        <v>98</v>
      </c>
      <c r="H340" s="1" t="s">
        <v>514</v>
      </c>
      <c r="I340" s="1" t="s">
        <v>731</v>
      </c>
      <c r="J340" s="1" t="s">
        <v>341</v>
      </c>
      <c r="K340" s="1"/>
      <c r="L340" s="1" t="s">
        <v>15</v>
      </c>
      <c r="M340" s="1" t="s">
        <v>14</v>
      </c>
    </row>
    <row r="341" spans="1:13" x14ac:dyDescent="0.3">
      <c r="A341" s="1" t="s">
        <v>930</v>
      </c>
      <c r="B341" s="1" t="s">
        <v>931</v>
      </c>
      <c r="C341" s="1" t="s">
        <v>492</v>
      </c>
      <c r="D341" s="1" t="s">
        <v>920</v>
      </c>
      <c r="E341" s="1" t="s">
        <v>132</v>
      </c>
      <c r="F341" s="1" t="s">
        <v>921</v>
      </c>
      <c r="G341" s="1" t="s">
        <v>98</v>
      </c>
      <c r="H341" s="1" t="s">
        <v>517</v>
      </c>
      <c r="I341" s="1" t="s">
        <v>731</v>
      </c>
      <c r="J341" s="1" t="s">
        <v>325</v>
      </c>
      <c r="K341" s="1"/>
      <c r="L341" s="1" t="s">
        <v>15</v>
      </c>
      <c r="M341" s="1" t="s">
        <v>14</v>
      </c>
    </row>
    <row r="342" spans="1:13" x14ac:dyDescent="0.3">
      <c r="A342" s="1" t="s">
        <v>932</v>
      </c>
      <c r="B342" s="1" t="s">
        <v>933</v>
      </c>
      <c r="C342" s="1" t="s">
        <v>492</v>
      </c>
      <c r="D342" s="1" t="s">
        <v>920</v>
      </c>
      <c r="E342" s="1" t="s">
        <v>132</v>
      </c>
      <c r="F342" s="1" t="s">
        <v>921</v>
      </c>
      <c r="G342" s="1" t="s">
        <v>98</v>
      </c>
      <c r="H342" s="1" t="s">
        <v>520</v>
      </c>
      <c r="I342" s="1" t="s">
        <v>731</v>
      </c>
      <c r="J342" s="1" t="s">
        <v>357</v>
      </c>
      <c r="K342" s="1"/>
      <c r="L342" s="1" t="s">
        <v>15</v>
      </c>
      <c r="M342" s="1" t="s">
        <v>14</v>
      </c>
    </row>
    <row r="343" spans="1:13" x14ac:dyDescent="0.3">
      <c r="A343" s="1" t="s">
        <v>934</v>
      </c>
      <c r="B343" s="1" t="s">
        <v>935</v>
      </c>
      <c r="C343" s="1" t="s">
        <v>492</v>
      </c>
      <c r="D343" s="1" t="s">
        <v>920</v>
      </c>
      <c r="E343" s="1" t="s">
        <v>132</v>
      </c>
      <c r="F343" s="1" t="s">
        <v>921</v>
      </c>
      <c r="G343" s="1" t="s">
        <v>98</v>
      </c>
      <c r="H343" s="1" t="s">
        <v>816</v>
      </c>
      <c r="I343" s="1" t="s">
        <v>731</v>
      </c>
      <c r="J343" s="1" t="s">
        <v>748</v>
      </c>
      <c r="K343" s="1"/>
      <c r="L343" s="1" t="s">
        <v>15</v>
      </c>
      <c r="M343" s="1" t="s">
        <v>14</v>
      </c>
    </row>
    <row r="344" spans="1:13" x14ac:dyDescent="0.3">
      <c r="A344" s="1" t="s">
        <v>936</v>
      </c>
      <c r="B344" s="1" t="s">
        <v>937</v>
      </c>
      <c r="C344" s="1" t="s">
        <v>492</v>
      </c>
      <c r="D344" s="1" t="s">
        <v>920</v>
      </c>
      <c r="E344" s="1" t="s">
        <v>19</v>
      </c>
      <c r="F344" s="1" t="s">
        <v>939</v>
      </c>
      <c r="G344" s="1" t="s">
        <v>98</v>
      </c>
      <c r="H344" s="1" t="s">
        <v>938</v>
      </c>
      <c r="I344" s="1" t="s">
        <v>731</v>
      </c>
      <c r="J344" s="1" t="s">
        <v>757</v>
      </c>
      <c r="K344" s="1"/>
      <c r="L344" s="1" t="s">
        <v>15</v>
      </c>
      <c r="M344" s="1" t="s">
        <v>14</v>
      </c>
    </row>
    <row r="345" spans="1:13" x14ac:dyDescent="0.3">
      <c r="A345" s="1" t="s">
        <v>940</v>
      </c>
      <c r="B345" s="1" t="s">
        <v>941</v>
      </c>
      <c r="C345" s="1" t="s">
        <v>492</v>
      </c>
      <c r="D345" s="1" t="s">
        <v>920</v>
      </c>
      <c r="E345" s="1" t="s">
        <v>19</v>
      </c>
      <c r="F345" s="1" t="s">
        <v>939</v>
      </c>
      <c r="G345" s="1" t="s">
        <v>98</v>
      </c>
      <c r="H345" s="1" t="s">
        <v>942</v>
      </c>
      <c r="I345" s="1" t="s">
        <v>731</v>
      </c>
      <c r="J345" s="1" t="s">
        <v>545</v>
      </c>
      <c r="K345" s="1"/>
      <c r="L345" s="1" t="s">
        <v>15</v>
      </c>
      <c r="M345" s="1" t="s">
        <v>14</v>
      </c>
    </row>
    <row r="346" spans="1:13" x14ac:dyDescent="0.3">
      <c r="A346" s="1" t="s">
        <v>943</v>
      </c>
      <c r="B346" s="1" t="s">
        <v>944</v>
      </c>
      <c r="C346" s="1" t="s">
        <v>492</v>
      </c>
      <c r="D346" s="1" t="s">
        <v>920</v>
      </c>
      <c r="E346" s="1" t="s">
        <v>19</v>
      </c>
      <c r="F346" s="1" t="s">
        <v>939</v>
      </c>
      <c r="G346" s="1" t="s">
        <v>98</v>
      </c>
      <c r="H346" s="1" t="s">
        <v>552</v>
      </c>
      <c r="I346" s="1" t="s">
        <v>731</v>
      </c>
      <c r="J346" s="1" t="s">
        <v>115</v>
      </c>
      <c r="K346" s="1"/>
      <c r="L346" s="1" t="s">
        <v>15</v>
      </c>
      <c r="M346" s="1" t="s">
        <v>14</v>
      </c>
    </row>
    <row r="347" spans="1:13" x14ac:dyDescent="0.3">
      <c r="A347" s="1" t="s">
        <v>945</v>
      </c>
      <c r="B347" s="1" t="s">
        <v>946</v>
      </c>
      <c r="C347" s="1" t="s">
        <v>492</v>
      </c>
      <c r="D347" s="1" t="s">
        <v>920</v>
      </c>
      <c r="E347" s="1" t="s">
        <v>19</v>
      </c>
      <c r="F347" s="1" t="s">
        <v>939</v>
      </c>
      <c r="G347" s="1" t="s">
        <v>98</v>
      </c>
      <c r="H347" s="1" t="s">
        <v>560</v>
      </c>
      <c r="I347" s="1" t="s">
        <v>731</v>
      </c>
      <c r="J347" s="1" t="s">
        <v>561</v>
      </c>
      <c r="K347" s="1"/>
      <c r="L347" s="1" t="s">
        <v>15</v>
      </c>
      <c r="M347" s="1" t="s">
        <v>14</v>
      </c>
    </row>
    <row r="348" spans="1:13" x14ac:dyDescent="0.3">
      <c r="A348" s="1" t="s">
        <v>947</v>
      </c>
      <c r="B348" s="1" t="s">
        <v>948</v>
      </c>
      <c r="C348" s="1" t="s">
        <v>492</v>
      </c>
      <c r="D348" s="1" t="s">
        <v>920</v>
      </c>
      <c r="E348" s="1" t="s">
        <v>19</v>
      </c>
      <c r="F348" s="1" t="s">
        <v>939</v>
      </c>
      <c r="G348" s="1" t="s">
        <v>98</v>
      </c>
      <c r="H348" s="1" t="s">
        <v>900</v>
      </c>
      <c r="I348" s="1" t="s">
        <v>731</v>
      </c>
      <c r="J348" s="1" t="s">
        <v>450</v>
      </c>
      <c r="K348" s="1"/>
      <c r="L348" s="1" t="s">
        <v>15</v>
      </c>
      <c r="M348" s="1" t="s">
        <v>14</v>
      </c>
    </row>
    <row r="349" spans="1:13" x14ac:dyDescent="0.3">
      <c r="A349" s="1" t="s">
        <v>949</v>
      </c>
      <c r="B349" s="1" t="s">
        <v>950</v>
      </c>
      <c r="C349" s="1" t="s">
        <v>492</v>
      </c>
      <c r="D349" s="1" t="s">
        <v>920</v>
      </c>
      <c r="E349" s="1" t="s">
        <v>19</v>
      </c>
      <c r="F349" s="1" t="s">
        <v>939</v>
      </c>
      <c r="G349" s="1" t="s">
        <v>98</v>
      </c>
      <c r="H349" s="1" t="s">
        <v>951</v>
      </c>
      <c r="I349" s="1" t="s">
        <v>731</v>
      </c>
      <c r="J349" s="1" t="s">
        <v>952</v>
      </c>
      <c r="K349" s="1"/>
      <c r="L349" s="1" t="s">
        <v>15</v>
      </c>
      <c r="M349" s="1" t="s">
        <v>14</v>
      </c>
    </row>
    <row r="350" spans="1:13" x14ac:dyDescent="0.3">
      <c r="A350" s="1" t="s">
        <v>953</v>
      </c>
      <c r="B350" s="1" t="s">
        <v>954</v>
      </c>
      <c r="C350" s="1" t="s">
        <v>492</v>
      </c>
      <c r="D350" s="1" t="s">
        <v>920</v>
      </c>
      <c r="E350" s="1" t="s">
        <v>19</v>
      </c>
      <c r="F350" s="1" t="s">
        <v>939</v>
      </c>
      <c r="G350" s="1" t="s">
        <v>98</v>
      </c>
      <c r="H350" s="1" t="s">
        <v>779</v>
      </c>
      <c r="I350" s="1" t="s">
        <v>731</v>
      </c>
      <c r="J350" s="1" t="s">
        <v>780</v>
      </c>
      <c r="K350" s="1"/>
      <c r="L350" s="1" t="s">
        <v>15</v>
      </c>
      <c r="M350" s="1" t="s">
        <v>14</v>
      </c>
    </row>
    <row r="351" spans="1:13" x14ac:dyDescent="0.3">
      <c r="A351" s="1" t="s">
        <v>955</v>
      </c>
      <c r="B351" s="1" t="s">
        <v>956</v>
      </c>
      <c r="C351" s="1" t="s">
        <v>492</v>
      </c>
      <c r="D351" s="1" t="s">
        <v>920</v>
      </c>
      <c r="E351" s="1" t="s">
        <v>19</v>
      </c>
      <c r="F351" s="1" t="s">
        <v>939</v>
      </c>
      <c r="G351" s="1" t="s">
        <v>98</v>
      </c>
      <c r="H351" s="1" t="s">
        <v>957</v>
      </c>
      <c r="I351" s="1" t="s">
        <v>731</v>
      </c>
      <c r="J351" s="1" t="s">
        <v>773</v>
      </c>
      <c r="K351" s="1"/>
      <c r="L351" s="1" t="s">
        <v>15</v>
      </c>
      <c r="M351" s="1" t="s">
        <v>14</v>
      </c>
    </row>
    <row r="352" spans="1:13" x14ac:dyDescent="0.3">
      <c r="A352" s="1" t="s">
        <v>958</v>
      </c>
      <c r="B352" s="1" t="s">
        <v>959</v>
      </c>
      <c r="C352" s="1" t="s">
        <v>492</v>
      </c>
      <c r="D352" s="1" t="s">
        <v>920</v>
      </c>
      <c r="E352" s="1" t="s">
        <v>19</v>
      </c>
      <c r="F352" s="1" t="s">
        <v>939</v>
      </c>
      <c r="G352" s="1" t="s">
        <v>98</v>
      </c>
      <c r="H352" s="1" t="s">
        <v>960</v>
      </c>
      <c r="I352" s="1" t="s">
        <v>731</v>
      </c>
      <c r="J352" s="1" t="s">
        <v>773</v>
      </c>
      <c r="K352" s="1"/>
      <c r="L352" s="1" t="s">
        <v>15</v>
      </c>
      <c r="M352" s="1" t="s">
        <v>14</v>
      </c>
    </row>
    <row r="353" spans="1:13" x14ac:dyDescent="0.3">
      <c r="A353" s="1" t="s">
        <v>961</v>
      </c>
      <c r="B353" s="1" t="s">
        <v>962</v>
      </c>
      <c r="C353" s="1" t="s">
        <v>492</v>
      </c>
      <c r="D353" s="1" t="s">
        <v>920</v>
      </c>
      <c r="E353" s="1" t="s">
        <v>19</v>
      </c>
      <c r="F353" s="1" t="s">
        <v>939</v>
      </c>
      <c r="G353" s="1" t="s">
        <v>98</v>
      </c>
      <c r="H353" s="1" t="s">
        <v>231</v>
      </c>
      <c r="I353" s="1" t="s">
        <v>731</v>
      </c>
      <c r="J353" s="1" t="s">
        <v>232</v>
      </c>
      <c r="K353" s="1"/>
      <c r="L353" s="1" t="s">
        <v>15</v>
      </c>
      <c r="M353" s="1" t="s">
        <v>14</v>
      </c>
    </row>
    <row r="354" spans="1:13" x14ac:dyDescent="0.3">
      <c r="A354" s="1" t="s">
        <v>963</v>
      </c>
      <c r="B354" s="1" t="s">
        <v>964</v>
      </c>
      <c r="C354" s="1" t="s">
        <v>492</v>
      </c>
      <c r="D354" s="1" t="s">
        <v>920</v>
      </c>
      <c r="E354" s="1" t="s">
        <v>19</v>
      </c>
      <c r="F354" s="1" t="s">
        <v>939</v>
      </c>
      <c r="G354" s="1" t="s">
        <v>98</v>
      </c>
      <c r="H354" s="1" t="s">
        <v>965</v>
      </c>
      <c r="I354" s="1" t="s">
        <v>731</v>
      </c>
      <c r="J354" s="1" t="s">
        <v>966</v>
      </c>
      <c r="K354" s="1"/>
      <c r="L354" s="1" t="s">
        <v>15</v>
      </c>
      <c r="M354" s="1" t="s">
        <v>14</v>
      </c>
    </row>
    <row r="355" spans="1:13" x14ac:dyDescent="0.3">
      <c r="A355" s="1" t="s">
        <v>967</v>
      </c>
      <c r="B355" s="1" t="s">
        <v>968</v>
      </c>
      <c r="C355" s="1" t="s">
        <v>492</v>
      </c>
      <c r="D355" s="1" t="s">
        <v>920</v>
      </c>
      <c r="E355" s="1" t="s">
        <v>19</v>
      </c>
      <c r="F355" s="1" t="s">
        <v>939</v>
      </c>
      <c r="G355" s="1" t="s">
        <v>98</v>
      </c>
      <c r="H355" s="1" t="s">
        <v>846</v>
      </c>
      <c r="I355" s="1" t="s">
        <v>731</v>
      </c>
      <c r="J355" s="1" t="s">
        <v>790</v>
      </c>
      <c r="K355" s="1"/>
      <c r="L355" s="1" t="s">
        <v>15</v>
      </c>
      <c r="M355" s="1" t="s">
        <v>14</v>
      </c>
    </row>
    <row r="356" spans="1:13" x14ac:dyDescent="0.3">
      <c r="A356" s="1" t="s">
        <v>969</v>
      </c>
      <c r="B356" s="1" t="s">
        <v>970</v>
      </c>
      <c r="C356" s="1" t="s">
        <v>492</v>
      </c>
      <c r="D356" s="1" t="s">
        <v>920</v>
      </c>
      <c r="E356" s="1" t="s">
        <v>19</v>
      </c>
      <c r="F356" s="1" t="s">
        <v>939</v>
      </c>
      <c r="G356" s="1" t="s">
        <v>98</v>
      </c>
      <c r="H356" s="1" t="s">
        <v>971</v>
      </c>
      <c r="I356" s="1" t="s">
        <v>731</v>
      </c>
      <c r="J356" s="1"/>
      <c r="K356" s="1"/>
      <c r="L356" s="1" t="s">
        <v>15</v>
      </c>
      <c r="M356" s="1" t="s">
        <v>14</v>
      </c>
    </row>
    <row r="357" spans="1:13" x14ac:dyDescent="0.3">
      <c r="A357" s="1" t="s">
        <v>972</v>
      </c>
      <c r="B357" s="1" t="s">
        <v>973</v>
      </c>
      <c r="C357" s="1" t="s">
        <v>492</v>
      </c>
      <c r="D357" s="1" t="s">
        <v>920</v>
      </c>
      <c r="E357" s="1" t="s">
        <v>19</v>
      </c>
      <c r="F357" s="1" t="s">
        <v>939</v>
      </c>
      <c r="G357" s="1" t="s">
        <v>98</v>
      </c>
      <c r="H357" s="1" t="s">
        <v>678</v>
      </c>
      <c r="I357" s="1" t="s">
        <v>731</v>
      </c>
      <c r="J357" s="1" t="s">
        <v>752</v>
      </c>
      <c r="K357" s="1"/>
      <c r="L357" s="1" t="s">
        <v>15</v>
      </c>
      <c r="M357" s="1" t="s">
        <v>14</v>
      </c>
    </row>
    <row r="358" spans="1:13" x14ac:dyDescent="0.3">
      <c r="A358" s="1" t="s">
        <v>974</v>
      </c>
      <c r="B358" s="1" t="s">
        <v>975</v>
      </c>
      <c r="C358" s="1" t="s">
        <v>492</v>
      </c>
      <c r="D358" s="1" t="s">
        <v>920</v>
      </c>
      <c r="E358" s="1" t="s">
        <v>19</v>
      </c>
      <c r="F358" s="1" t="s">
        <v>939</v>
      </c>
      <c r="G358" s="1" t="s">
        <v>98</v>
      </c>
      <c r="H358" s="1" t="s">
        <v>976</v>
      </c>
      <c r="I358" s="1" t="s">
        <v>731</v>
      </c>
      <c r="J358" s="1" t="s">
        <v>853</v>
      </c>
      <c r="K358" s="1"/>
      <c r="L358" s="1" t="s">
        <v>15</v>
      </c>
      <c r="M358" s="1" t="s">
        <v>14</v>
      </c>
    </row>
    <row r="359" spans="1:13" x14ac:dyDescent="0.3">
      <c r="A359" s="1" t="s">
        <v>977</v>
      </c>
      <c r="B359" s="1" t="s">
        <v>978</v>
      </c>
      <c r="C359" s="1" t="s">
        <v>492</v>
      </c>
      <c r="D359" s="1" t="s">
        <v>979</v>
      </c>
      <c r="E359" s="1" t="s">
        <v>132</v>
      </c>
      <c r="F359" s="1" t="s">
        <v>980</v>
      </c>
      <c r="G359" s="1" t="s">
        <v>98</v>
      </c>
      <c r="H359" s="1" t="s">
        <v>494</v>
      </c>
      <c r="I359" s="1" t="s">
        <v>731</v>
      </c>
      <c r="J359" s="1" t="s">
        <v>200</v>
      </c>
      <c r="K359" s="1"/>
      <c r="L359" s="1" t="s">
        <v>15</v>
      </c>
      <c r="M359" s="1" t="s">
        <v>14</v>
      </c>
    </row>
    <row r="360" spans="1:13" x14ac:dyDescent="0.3">
      <c r="A360" s="1" t="s">
        <v>981</v>
      </c>
      <c r="B360" s="1" t="s">
        <v>982</v>
      </c>
      <c r="C360" s="1" t="s">
        <v>492</v>
      </c>
      <c r="D360" s="1" t="s">
        <v>979</v>
      </c>
      <c r="E360" s="1" t="s">
        <v>132</v>
      </c>
      <c r="F360" s="1" t="s">
        <v>980</v>
      </c>
      <c r="G360" s="1" t="s">
        <v>98</v>
      </c>
      <c r="H360" s="1" t="s">
        <v>499</v>
      </c>
      <c r="I360" s="1" t="s">
        <v>731</v>
      </c>
      <c r="J360" s="1" t="s">
        <v>147</v>
      </c>
      <c r="K360" s="1"/>
      <c r="L360" s="1" t="s">
        <v>15</v>
      </c>
      <c r="M360" s="1" t="s">
        <v>14</v>
      </c>
    </row>
    <row r="361" spans="1:13" x14ac:dyDescent="0.3">
      <c r="A361" s="1" t="s">
        <v>983</v>
      </c>
      <c r="B361" s="1" t="s">
        <v>984</v>
      </c>
      <c r="C361" s="1" t="s">
        <v>492</v>
      </c>
      <c r="D361" s="1" t="s">
        <v>979</v>
      </c>
      <c r="E361" s="1" t="s">
        <v>132</v>
      </c>
      <c r="F361" s="1" t="s">
        <v>980</v>
      </c>
      <c r="G361" s="1" t="s">
        <v>98</v>
      </c>
      <c r="H361" s="1" t="s">
        <v>502</v>
      </c>
      <c r="I361" s="1" t="s">
        <v>731</v>
      </c>
      <c r="J361" s="1" t="s">
        <v>167</v>
      </c>
      <c r="K361" s="1"/>
      <c r="L361" s="1" t="s">
        <v>15</v>
      </c>
      <c r="M361" s="1" t="s">
        <v>14</v>
      </c>
    </row>
    <row r="362" spans="1:13" x14ac:dyDescent="0.3">
      <c r="A362" s="1" t="s">
        <v>985</v>
      </c>
      <c r="B362" s="1" t="s">
        <v>986</v>
      </c>
      <c r="C362" s="1" t="s">
        <v>492</v>
      </c>
      <c r="D362" s="1" t="s">
        <v>979</v>
      </c>
      <c r="E362" s="1" t="s">
        <v>132</v>
      </c>
      <c r="F362" s="1" t="s">
        <v>980</v>
      </c>
      <c r="G362" s="1" t="s">
        <v>98</v>
      </c>
      <c r="H362" s="1" t="s">
        <v>505</v>
      </c>
      <c r="I362" s="1" t="s">
        <v>731</v>
      </c>
      <c r="J362" s="1" t="s">
        <v>183</v>
      </c>
      <c r="K362" s="1"/>
      <c r="L362" s="1" t="s">
        <v>15</v>
      </c>
      <c r="M362" s="1" t="s">
        <v>14</v>
      </c>
    </row>
    <row r="363" spans="1:13" x14ac:dyDescent="0.3">
      <c r="A363" s="1" t="s">
        <v>987</v>
      </c>
      <c r="B363" s="1" t="s">
        <v>988</v>
      </c>
      <c r="C363" s="1" t="s">
        <v>492</v>
      </c>
      <c r="D363" s="1" t="s">
        <v>979</v>
      </c>
      <c r="E363" s="1" t="s">
        <v>132</v>
      </c>
      <c r="F363" s="1" t="s">
        <v>980</v>
      </c>
      <c r="G363" s="1" t="s">
        <v>98</v>
      </c>
      <c r="H363" s="1" t="s">
        <v>514</v>
      </c>
      <c r="I363" s="1" t="s">
        <v>731</v>
      </c>
      <c r="J363" s="1" t="s">
        <v>341</v>
      </c>
      <c r="K363" s="1"/>
      <c r="L363" s="1" t="s">
        <v>15</v>
      </c>
      <c r="M363" s="1" t="s">
        <v>14</v>
      </c>
    </row>
    <row r="364" spans="1:13" x14ac:dyDescent="0.3">
      <c r="A364" s="1" t="s">
        <v>989</v>
      </c>
      <c r="B364" s="1" t="s">
        <v>990</v>
      </c>
      <c r="C364" s="1" t="s">
        <v>492</v>
      </c>
      <c r="D364" s="1" t="s">
        <v>979</v>
      </c>
      <c r="E364" s="1" t="s">
        <v>132</v>
      </c>
      <c r="F364" s="1" t="s">
        <v>980</v>
      </c>
      <c r="G364" s="1" t="s">
        <v>98</v>
      </c>
      <c r="H364" s="1" t="s">
        <v>517</v>
      </c>
      <c r="I364" s="1" t="s">
        <v>731</v>
      </c>
      <c r="J364" s="1" t="s">
        <v>325</v>
      </c>
      <c r="K364" s="1"/>
      <c r="L364" s="1" t="s">
        <v>15</v>
      </c>
      <c r="M364" s="1" t="s">
        <v>14</v>
      </c>
    </row>
    <row r="365" spans="1:13" x14ac:dyDescent="0.3">
      <c r="A365" s="1" t="s">
        <v>991</v>
      </c>
      <c r="B365" s="1" t="s">
        <v>992</v>
      </c>
      <c r="C365" s="1" t="s">
        <v>492</v>
      </c>
      <c r="D365" s="1" t="s">
        <v>979</v>
      </c>
      <c r="E365" s="1" t="s">
        <v>132</v>
      </c>
      <c r="F365" s="1" t="s">
        <v>980</v>
      </c>
      <c r="G365" s="1" t="s">
        <v>98</v>
      </c>
      <c r="H365" s="1" t="s">
        <v>520</v>
      </c>
      <c r="I365" s="1" t="s">
        <v>731</v>
      </c>
      <c r="J365" s="1" t="s">
        <v>357</v>
      </c>
      <c r="K365" s="1"/>
      <c r="L365" s="1" t="s">
        <v>15</v>
      </c>
      <c r="M365" s="1" t="s">
        <v>14</v>
      </c>
    </row>
    <row r="366" spans="1:13" x14ac:dyDescent="0.3">
      <c r="A366" s="1" t="s">
        <v>993</v>
      </c>
      <c r="B366" s="1" t="s">
        <v>994</v>
      </c>
      <c r="C366" s="1" t="s">
        <v>492</v>
      </c>
      <c r="D366" s="1" t="s">
        <v>979</v>
      </c>
      <c r="E366" s="1" t="s">
        <v>132</v>
      </c>
      <c r="F366" s="1" t="s">
        <v>980</v>
      </c>
      <c r="G366" s="1" t="s">
        <v>98</v>
      </c>
      <c r="H366" s="1" t="s">
        <v>995</v>
      </c>
      <c r="I366" s="1" t="s">
        <v>731</v>
      </c>
      <c r="J366" s="1" t="s">
        <v>748</v>
      </c>
      <c r="K366" s="1"/>
      <c r="L366" s="1" t="s">
        <v>15</v>
      </c>
      <c r="M366" s="1" t="s">
        <v>14</v>
      </c>
    </row>
    <row r="367" spans="1:13" x14ac:dyDescent="0.3">
      <c r="A367" s="1" t="s">
        <v>996</v>
      </c>
      <c r="B367" s="1" t="s">
        <v>997</v>
      </c>
      <c r="C367" s="1" t="s">
        <v>492</v>
      </c>
      <c r="D367" s="1" t="s">
        <v>979</v>
      </c>
      <c r="E367" s="1" t="s">
        <v>19</v>
      </c>
      <c r="F367" s="1" t="s">
        <v>998</v>
      </c>
      <c r="G367" s="1" t="s">
        <v>98</v>
      </c>
      <c r="H367" s="1" t="s">
        <v>938</v>
      </c>
      <c r="I367" s="1" t="s">
        <v>731</v>
      </c>
      <c r="J367" s="1" t="s">
        <v>757</v>
      </c>
      <c r="K367" s="1"/>
      <c r="L367" s="1" t="s">
        <v>15</v>
      </c>
      <c r="M367" s="1" t="s">
        <v>14</v>
      </c>
    </row>
    <row r="368" spans="1:13" x14ac:dyDescent="0.3">
      <c r="A368" s="1" t="s">
        <v>999</v>
      </c>
      <c r="B368" s="1" t="s">
        <v>1000</v>
      </c>
      <c r="C368" s="1" t="s">
        <v>492</v>
      </c>
      <c r="D368" s="1" t="s">
        <v>979</v>
      </c>
      <c r="E368" s="1" t="s">
        <v>19</v>
      </c>
      <c r="F368" s="1" t="s">
        <v>998</v>
      </c>
      <c r="G368" s="1" t="s">
        <v>98</v>
      </c>
      <c r="H368" s="1" t="s">
        <v>942</v>
      </c>
      <c r="I368" s="1" t="s">
        <v>731</v>
      </c>
      <c r="J368" s="1" t="s">
        <v>545</v>
      </c>
      <c r="K368" s="1"/>
      <c r="L368" s="1" t="s">
        <v>15</v>
      </c>
      <c r="M368" s="1" t="s">
        <v>14</v>
      </c>
    </row>
    <row r="369" spans="1:13" x14ac:dyDescent="0.3">
      <c r="A369" s="1" t="s">
        <v>1001</v>
      </c>
      <c r="B369" s="1" t="s">
        <v>1002</v>
      </c>
      <c r="C369" s="1" t="s">
        <v>492</v>
      </c>
      <c r="D369" s="1" t="s">
        <v>979</v>
      </c>
      <c r="E369" s="1" t="s">
        <v>19</v>
      </c>
      <c r="F369" s="1" t="s">
        <v>998</v>
      </c>
      <c r="G369" s="1" t="s">
        <v>98</v>
      </c>
      <c r="H369" s="1" t="s">
        <v>552</v>
      </c>
      <c r="I369" s="1" t="s">
        <v>731</v>
      </c>
      <c r="J369" s="1" t="s">
        <v>115</v>
      </c>
      <c r="K369" s="1"/>
      <c r="L369" s="1" t="s">
        <v>15</v>
      </c>
      <c r="M369" s="1" t="s">
        <v>14</v>
      </c>
    </row>
    <row r="370" spans="1:13" x14ac:dyDescent="0.3">
      <c r="A370" s="1" t="s">
        <v>1003</v>
      </c>
      <c r="B370" s="1" t="s">
        <v>1004</v>
      </c>
      <c r="C370" s="1" t="s">
        <v>492</v>
      </c>
      <c r="D370" s="1" t="s">
        <v>979</v>
      </c>
      <c r="E370" s="1" t="s">
        <v>19</v>
      </c>
      <c r="F370" s="1" t="s">
        <v>998</v>
      </c>
      <c r="G370" s="1" t="s">
        <v>98</v>
      </c>
      <c r="H370" s="1" t="s">
        <v>1005</v>
      </c>
      <c r="I370" s="1" t="s">
        <v>731</v>
      </c>
      <c r="J370" s="1" t="s">
        <v>764</v>
      </c>
      <c r="K370" s="1"/>
      <c r="L370" s="1" t="s">
        <v>15</v>
      </c>
      <c r="M370" s="1" t="s">
        <v>14</v>
      </c>
    </row>
    <row r="371" spans="1:13" x14ac:dyDescent="0.3">
      <c r="A371" s="1" t="s">
        <v>1006</v>
      </c>
      <c r="B371" s="1" t="s">
        <v>1007</v>
      </c>
      <c r="C371" s="1" t="s">
        <v>492</v>
      </c>
      <c r="D371" s="1" t="s">
        <v>979</v>
      </c>
      <c r="E371" s="1" t="s">
        <v>19</v>
      </c>
      <c r="F371" s="1" t="s">
        <v>998</v>
      </c>
      <c r="G371" s="1" t="s">
        <v>98</v>
      </c>
      <c r="H371" s="1" t="s">
        <v>1008</v>
      </c>
      <c r="I371" s="1" t="s">
        <v>731</v>
      </c>
      <c r="J371" s="1" t="s">
        <v>767</v>
      </c>
      <c r="K371" s="1"/>
      <c r="L371" s="1" t="s">
        <v>15</v>
      </c>
      <c r="M371" s="1" t="s">
        <v>14</v>
      </c>
    </row>
    <row r="372" spans="1:13" x14ac:dyDescent="0.3">
      <c r="A372" s="1" t="s">
        <v>1009</v>
      </c>
      <c r="B372" s="1" t="s">
        <v>1010</v>
      </c>
      <c r="C372" s="1" t="s">
        <v>492</v>
      </c>
      <c r="D372" s="1" t="s">
        <v>979</v>
      </c>
      <c r="E372" s="1" t="s">
        <v>19</v>
      </c>
      <c r="F372" s="1" t="s">
        <v>998</v>
      </c>
      <c r="G372" s="1" t="s">
        <v>98</v>
      </c>
      <c r="H372" s="1" t="s">
        <v>560</v>
      </c>
      <c r="I372" s="1" t="s">
        <v>731</v>
      </c>
      <c r="J372" s="1" t="s">
        <v>561</v>
      </c>
      <c r="K372" s="1"/>
      <c r="L372" s="1" t="s">
        <v>15</v>
      </c>
      <c r="M372" s="1" t="s">
        <v>14</v>
      </c>
    </row>
    <row r="373" spans="1:13" x14ac:dyDescent="0.3">
      <c r="A373" s="1" t="s">
        <v>1011</v>
      </c>
      <c r="B373" s="1" t="s">
        <v>1012</v>
      </c>
      <c r="C373" s="1" t="s">
        <v>492</v>
      </c>
      <c r="D373" s="1" t="s">
        <v>979</v>
      </c>
      <c r="E373" s="1" t="s">
        <v>19</v>
      </c>
      <c r="F373" s="1" t="s">
        <v>998</v>
      </c>
      <c r="G373" s="1" t="s">
        <v>98</v>
      </c>
      <c r="H373" s="1" t="s">
        <v>1013</v>
      </c>
      <c r="I373" s="1" t="s">
        <v>731</v>
      </c>
      <c r="J373" s="1" t="s">
        <v>1014</v>
      </c>
      <c r="K373" s="1"/>
      <c r="L373" s="1" t="s">
        <v>15</v>
      </c>
      <c r="M373" s="1" t="s">
        <v>14</v>
      </c>
    </row>
    <row r="374" spans="1:13" x14ac:dyDescent="0.3">
      <c r="A374" s="1" t="s">
        <v>1015</v>
      </c>
      <c r="B374" s="1" t="s">
        <v>1016</v>
      </c>
      <c r="C374" s="1" t="s">
        <v>492</v>
      </c>
      <c r="D374" s="1" t="s">
        <v>979</v>
      </c>
      <c r="E374" s="1" t="s">
        <v>19</v>
      </c>
      <c r="F374" s="1" t="s">
        <v>998</v>
      </c>
      <c r="G374" s="1" t="s">
        <v>98</v>
      </c>
      <c r="H374" s="1" t="s">
        <v>900</v>
      </c>
      <c r="I374" s="1" t="s">
        <v>731</v>
      </c>
      <c r="J374" s="1" t="s">
        <v>450</v>
      </c>
      <c r="K374" s="1"/>
      <c r="L374" s="1" t="s">
        <v>15</v>
      </c>
      <c r="M374" s="1" t="s">
        <v>14</v>
      </c>
    </row>
    <row r="375" spans="1:13" x14ac:dyDescent="0.3">
      <c r="A375" s="1" t="s">
        <v>1017</v>
      </c>
      <c r="B375" s="1" t="s">
        <v>1018</v>
      </c>
      <c r="C375" s="1" t="s">
        <v>492</v>
      </c>
      <c r="D375" s="1" t="s">
        <v>979</v>
      </c>
      <c r="E375" s="1" t="s">
        <v>19</v>
      </c>
      <c r="F375" s="1" t="s">
        <v>998</v>
      </c>
      <c r="G375" s="1" t="s">
        <v>98</v>
      </c>
      <c r="H375" s="1" t="s">
        <v>1019</v>
      </c>
      <c r="I375" s="1" t="s">
        <v>731</v>
      </c>
      <c r="J375" s="1" t="s">
        <v>773</v>
      </c>
      <c r="K375" s="1"/>
      <c r="L375" s="1" t="s">
        <v>15</v>
      </c>
      <c r="M375" s="1" t="s">
        <v>14</v>
      </c>
    </row>
    <row r="376" spans="1:13" x14ac:dyDescent="0.3">
      <c r="A376" s="1" t="s">
        <v>1020</v>
      </c>
      <c r="B376" s="1" t="s">
        <v>1021</v>
      </c>
      <c r="C376" s="1" t="s">
        <v>492</v>
      </c>
      <c r="D376" s="1" t="s">
        <v>979</v>
      </c>
      <c r="E376" s="1" t="s">
        <v>19</v>
      </c>
      <c r="F376" s="1" t="s">
        <v>998</v>
      </c>
      <c r="G376" s="1" t="s">
        <v>98</v>
      </c>
      <c r="H376" s="1" t="s">
        <v>779</v>
      </c>
      <c r="I376" s="1" t="s">
        <v>731</v>
      </c>
      <c r="J376" s="1" t="s">
        <v>780</v>
      </c>
      <c r="K376" s="1"/>
      <c r="L376" s="1" t="s">
        <v>15</v>
      </c>
      <c r="M376" s="1" t="s">
        <v>14</v>
      </c>
    </row>
    <row r="377" spans="1:13" x14ac:dyDescent="0.3">
      <c r="A377" s="1" t="s">
        <v>1022</v>
      </c>
      <c r="B377" s="1" t="s">
        <v>1023</v>
      </c>
      <c r="C377" s="1" t="s">
        <v>492</v>
      </c>
      <c r="D377" s="1" t="s">
        <v>979</v>
      </c>
      <c r="E377" s="1" t="s">
        <v>19</v>
      </c>
      <c r="F377" s="1" t="s">
        <v>998</v>
      </c>
      <c r="G377" s="1" t="s">
        <v>98</v>
      </c>
      <c r="H377" s="1" t="s">
        <v>1024</v>
      </c>
      <c r="I377" s="1" t="s">
        <v>731</v>
      </c>
      <c r="J377" s="1" t="s">
        <v>232</v>
      </c>
      <c r="K377" s="1"/>
      <c r="L377" s="1" t="s">
        <v>15</v>
      </c>
      <c r="M377" s="1" t="s">
        <v>14</v>
      </c>
    </row>
    <row r="378" spans="1:13" x14ac:dyDescent="0.3">
      <c r="A378" s="1" t="s">
        <v>1025</v>
      </c>
      <c r="B378" s="1" t="s">
        <v>1026</v>
      </c>
      <c r="C378" s="1" t="s">
        <v>492</v>
      </c>
      <c r="D378" s="1" t="s">
        <v>979</v>
      </c>
      <c r="E378" s="1" t="s">
        <v>19</v>
      </c>
      <c r="F378" s="1" t="s">
        <v>998</v>
      </c>
      <c r="G378" s="1" t="s">
        <v>98</v>
      </c>
      <c r="H378" s="1" t="s">
        <v>1027</v>
      </c>
      <c r="I378" s="1" t="s">
        <v>731</v>
      </c>
      <c r="J378" s="1" t="s">
        <v>790</v>
      </c>
      <c r="K378" s="1"/>
      <c r="L378" s="1" t="s">
        <v>15</v>
      </c>
      <c r="M378" s="1" t="s">
        <v>14</v>
      </c>
    </row>
    <row r="379" spans="1:13" x14ac:dyDescent="0.3">
      <c r="A379" s="1" t="s">
        <v>1028</v>
      </c>
      <c r="B379" s="1" t="s">
        <v>1029</v>
      </c>
      <c r="C379" s="1" t="s">
        <v>492</v>
      </c>
      <c r="D379" s="1" t="s">
        <v>979</v>
      </c>
      <c r="E379" s="1" t="s">
        <v>19</v>
      </c>
      <c r="F379" s="1" t="s">
        <v>998</v>
      </c>
      <c r="G379" s="1" t="s">
        <v>98</v>
      </c>
      <c r="H379" s="1" t="s">
        <v>1030</v>
      </c>
      <c r="I379" s="1" t="s">
        <v>731</v>
      </c>
      <c r="J379" s="1" t="s">
        <v>853</v>
      </c>
      <c r="K379" s="1"/>
      <c r="L379" s="1" t="s">
        <v>15</v>
      </c>
      <c r="M379" s="1" t="s">
        <v>14</v>
      </c>
    </row>
    <row r="380" spans="1:13" x14ac:dyDescent="0.3">
      <c r="A380" s="1" t="s">
        <v>1031</v>
      </c>
      <c r="B380" s="1" t="s">
        <v>1032</v>
      </c>
      <c r="C380" s="1" t="s">
        <v>492</v>
      </c>
      <c r="D380" s="1" t="s">
        <v>979</v>
      </c>
      <c r="E380" s="1" t="s">
        <v>19</v>
      </c>
      <c r="F380" s="1" t="s">
        <v>998</v>
      </c>
      <c r="G380" s="1" t="s">
        <v>98</v>
      </c>
      <c r="H380" s="1" t="s">
        <v>1033</v>
      </c>
      <c r="I380" s="1" t="s">
        <v>731</v>
      </c>
      <c r="J380" s="1" t="s">
        <v>545</v>
      </c>
      <c r="K380" s="1"/>
      <c r="L380" s="1" t="s">
        <v>15</v>
      </c>
      <c r="M380" s="1" t="s">
        <v>14</v>
      </c>
    </row>
    <row r="381" spans="1:13" x14ac:dyDescent="0.3">
      <c r="A381" s="1" t="s">
        <v>1034</v>
      </c>
      <c r="B381" s="1" t="s">
        <v>1035</v>
      </c>
      <c r="C381" s="1" t="s">
        <v>492</v>
      </c>
      <c r="D381" s="1" t="s">
        <v>979</v>
      </c>
      <c r="E381" s="1" t="s">
        <v>19</v>
      </c>
      <c r="F381" s="1" t="s">
        <v>998</v>
      </c>
      <c r="G381" s="1" t="s">
        <v>98</v>
      </c>
      <c r="H381" s="1" t="s">
        <v>1036</v>
      </c>
      <c r="I381" s="1" t="s">
        <v>731</v>
      </c>
      <c r="J381" s="1" t="s">
        <v>752</v>
      </c>
      <c r="K381" s="1"/>
      <c r="L381" s="1" t="s">
        <v>15</v>
      </c>
      <c r="M381" s="1" t="s">
        <v>14</v>
      </c>
    </row>
    <row r="382" spans="1:13" x14ac:dyDescent="0.3">
      <c r="A382" s="1" t="s">
        <v>1037</v>
      </c>
      <c r="B382" s="1" t="s">
        <v>1038</v>
      </c>
      <c r="C382" s="1" t="s">
        <v>492</v>
      </c>
      <c r="D382" s="1" t="s">
        <v>1039</v>
      </c>
      <c r="E382" s="1" t="s">
        <v>132</v>
      </c>
      <c r="F382" s="1" t="s">
        <v>1040</v>
      </c>
      <c r="G382" s="1" t="s">
        <v>98</v>
      </c>
      <c r="H382" s="1" t="s">
        <v>494</v>
      </c>
      <c r="I382" s="1" t="s">
        <v>731</v>
      </c>
      <c r="J382" s="1" t="s">
        <v>200</v>
      </c>
      <c r="K382" s="1"/>
      <c r="L382" s="1" t="s">
        <v>15</v>
      </c>
      <c r="M382" s="1" t="s">
        <v>14</v>
      </c>
    </row>
    <row r="383" spans="1:13" x14ac:dyDescent="0.3">
      <c r="A383" s="1" t="s">
        <v>1041</v>
      </c>
      <c r="B383" s="1" t="s">
        <v>1042</v>
      </c>
      <c r="C383" s="1" t="s">
        <v>492</v>
      </c>
      <c r="D383" s="1" t="s">
        <v>1039</v>
      </c>
      <c r="E383" s="1" t="s">
        <v>132</v>
      </c>
      <c r="F383" s="1" t="s">
        <v>1040</v>
      </c>
      <c r="G383" s="1" t="s">
        <v>98</v>
      </c>
      <c r="H383" s="1" t="s">
        <v>499</v>
      </c>
      <c r="I383" s="1" t="s">
        <v>731</v>
      </c>
      <c r="J383" s="1" t="s">
        <v>147</v>
      </c>
      <c r="K383" s="1"/>
      <c r="L383" s="1" t="s">
        <v>15</v>
      </c>
      <c r="M383" s="1" t="s">
        <v>14</v>
      </c>
    </row>
    <row r="384" spans="1:13" x14ac:dyDescent="0.3">
      <c r="A384" s="1" t="s">
        <v>1043</v>
      </c>
      <c r="B384" s="1" t="s">
        <v>1044</v>
      </c>
      <c r="C384" s="1" t="s">
        <v>492</v>
      </c>
      <c r="D384" s="1" t="s">
        <v>1039</v>
      </c>
      <c r="E384" s="1" t="s">
        <v>132</v>
      </c>
      <c r="F384" s="1" t="s">
        <v>1040</v>
      </c>
      <c r="G384" s="1" t="s">
        <v>98</v>
      </c>
      <c r="H384" s="1" t="s">
        <v>502</v>
      </c>
      <c r="I384" s="1" t="s">
        <v>731</v>
      </c>
      <c r="J384" s="1" t="s">
        <v>167</v>
      </c>
      <c r="K384" s="1"/>
      <c r="L384" s="1" t="s">
        <v>15</v>
      </c>
      <c r="M384" s="1" t="s">
        <v>14</v>
      </c>
    </row>
    <row r="385" spans="1:13" x14ac:dyDescent="0.3">
      <c r="A385" s="1" t="s">
        <v>1045</v>
      </c>
      <c r="B385" s="1" t="s">
        <v>1046</v>
      </c>
      <c r="C385" s="1" t="s">
        <v>492</v>
      </c>
      <c r="D385" s="1" t="s">
        <v>1039</v>
      </c>
      <c r="E385" s="1" t="s">
        <v>132</v>
      </c>
      <c r="F385" s="1" t="s">
        <v>1040</v>
      </c>
      <c r="G385" s="1" t="s">
        <v>98</v>
      </c>
      <c r="H385" s="1" t="s">
        <v>505</v>
      </c>
      <c r="I385" s="1" t="s">
        <v>731</v>
      </c>
      <c r="J385" s="1" t="s">
        <v>183</v>
      </c>
      <c r="K385" s="1"/>
      <c r="L385" s="1" t="s">
        <v>15</v>
      </c>
      <c r="M385" s="1" t="s">
        <v>14</v>
      </c>
    </row>
    <row r="386" spans="1:13" x14ac:dyDescent="0.3">
      <c r="A386" s="1" t="s">
        <v>1047</v>
      </c>
      <c r="B386" s="1" t="s">
        <v>1048</v>
      </c>
      <c r="C386" s="1" t="s">
        <v>492</v>
      </c>
      <c r="D386" s="1" t="s">
        <v>1039</v>
      </c>
      <c r="E386" s="1" t="s">
        <v>132</v>
      </c>
      <c r="F386" s="1" t="s">
        <v>1040</v>
      </c>
      <c r="G386" s="1" t="s">
        <v>98</v>
      </c>
      <c r="H386" s="1" t="s">
        <v>514</v>
      </c>
      <c r="I386" s="1" t="s">
        <v>731</v>
      </c>
      <c r="J386" s="1" t="s">
        <v>341</v>
      </c>
      <c r="K386" s="1"/>
      <c r="L386" s="1" t="s">
        <v>15</v>
      </c>
      <c r="M386" s="1" t="s">
        <v>14</v>
      </c>
    </row>
    <row r="387" spans="1:13" x14ac:dyDescent="0.3">
      <c r="A387" s="1" t="s">
        <v>1049</v>
      </c>
      <c r="B387" s="1" t="s">
        <v>1050</v>
      </c>
      <c r="C387" s="1" t="s">
        <v>492</v>
      </c>
      <c r="D387" s="1" t="s">
        <v>1039</v>
      </c>
      <c r="E387" s="1" t="s">
        <v>132</v>
      </c>
      <c r="F387" s="1" t="s">
        <v>1040</v>
      </c>
      <c r="G387" s="1" t="s">
        <v>98</v>
      </c>
      <c r="H387" s="1" t="s">
        <v>517</v>
      </c>
      <c r="I387" s="1" t="s">
        <v>731</v>
      </c>
      <c r="J387" s="1" t="s">
        <v>325</v>
      </c>
      <c r="K387" s="1"/>
      <c r="L387" s="1" t="s">
        <v>15</v>
      </c>
      <c r="M387" s="1" t="s">
        <v>14</v>
      </c>
    </row>
    <row r="388" spans="1:13" x14ac:dyDescent="0.3">
      <c r="A388" s="1" t="s">
        <v>1051</v>
      </c>
      <c r="B388" s="1" t="s">
        <v>1052</v>
      </c>
      <c r="C388" s="1" t="s">
        <v>492</v>
      </c>
      <c r="D388" s="1" t="s">
        <v>1039</v>
      </c>
      <c r="E388" s="1" t="s">
        <v>132</v>
      </c>
      <c r="F388" s="1" t="s">
        <v>1040</v>
      </c>
      <c r="G388" s="1" t="s">
        <v>98</v>
      </c>
      <c r="H388" s="1" t="s">
        <v>520</v>
      </c>
      <c r="I388" s="1" t="s">
        <v>731</v>
      </c>
      <c r="J388" s="1" t="s">
        <v>357</v>
      </c>
      <c r="K388" s="1"/>
      <c r="L388" s="1" t="s">
        <v>15</v>
      </c>
      <c r="M388" s="1" t="s">
        <v>14</v>
      </c>
    </row>
    <row r="389" spans="1:13" x14ac:dyDescent="0.3">
      <c r="A389" s="1" t="s">
        <v>1053</v>
      </c>
      <c r="B389" s="1" t="s">
        <v>1054</v>
      </c>
      <c r="C389" s="1" t="s">
        <v>492</v>
      </c>
      <c r="D389" s="1" t="s">
        <v>1039</v>
      </c>
      <c r="E389" s="1" t="s">
        <v>132</v>
      </c>
      <c r="F389" s="1" t="s">
        <v>1040</v>
      </c>
      <c r="G389" s="1" t="s">
        <v>98</v>
      </c>
      <c r="H389" s="1" t="s">
        <v>816</v>
      </c>
      <c r="I389" s="1" t="s">
        <v>731</v>
      </c>
      <c r="J389" s="1" t="s">
        <v>748</v>
      </c>
      <c r="K389" s="1"/>
      <c r="L389" s="1" t="s">
        <v>15</v>
      </c>
      <c r="M389" s="1" t="s">
        <v>14</v>
      </c>
    </row>
    <row r="390" spans="1:13" x14ac:dyDescent="0.3">
      <c r="A390" s="1" t="s">
        <v>1055</v>
      </c>
      <c r="B390" s="1" t="s">
        <v>1056</v>
      </c>
      <c r="C390" s="1" t="s">
        <v>492</v>
      </c>
      <c r="D390" s="1" t="s">
        <v>1039</v>
      </c>
      <c r="E390" s="1" t="s">
        <v>19</v>
      </c>
      <c r="F390" s="1" t="s">
        <v>1057</v>
      </c>
      <c r="G390" s="1" t="s">
        <v>98</v>
      </c>
      <c r="H390" s="1" t="s">
        <v>751</v>
      </c>
      <c r="I390" s="1" t="s">
        <v>731</v>
      </c>
      <c r="J390" s="1" t="s">
        <v>752</v>
      </c>
      <c r="K390" s="1"/>
      <c r="L390" s="1" t="s">
        <v>15</v>
      </c>
      <c r="M390" s="1" t="s">
        <v>14</v>
      </c>
    </row>
    <row r="391" spans="1:13" x14ac:dyDescent="0.3">
      <c r="A391" s="1" t="s">
        <v>1058</v>
      </c>
      <c r="B391" s="1" t="s">
        <v>1059</v>
      </c>
      <c r="C391" s="1" t="s">
        <v>492</v>
      </c>
      <c r="D391" s="1" t="s">
        <v>1039</v>
      </c>
      <c r="E391" s="1" t="s">
        <v>19</v>
      </c>
      <c r="F391" s="1" t="s">
        <v>1057</v>
      </c>
      <c r="G391" s="1" t="s">
        <v>98</v>
      </c>
      <c r="H391" s="1" t="s">
        <v>938</v>
      </c>
      <c r="I391" s="1" t="s">
        <v>731</v>
      </c>
      <c r="J391" s="1" t="s">
        <v>757</v>
      </c>
      <c r="K391" s="1"/>
      <c r="L391" s="1" t="s">
        <v>15</v>
      </c>
      <c r="M391" s="1" t="s">
        <v>14</v>
      </c>
    </row>
    <row r="392" spans="1:13" x14ac:dyDescent="0.3">
      <c r="A392" s="1" t="s">
        <v>1060</v>
      </c>
      <c r="B392" s="1" t="s">
        <v>1061</v>
      </c>
      <c r="C392" s="1" t="s">
        <v>492</v>
      </c>
      <c r="D392" s="1" t="s">
        <v>1039</v>
      </c>
      <c r="E392" s="1" t="s">
        <v>19</v>
      </c>
      <c r="F392" s="1" t="s">
        <v>1057</v>
      </c>
      <c r="G392" s="1" t="s">
        <v>98</v>
      </c>
      <c r="H392" s="1" t="s">
        <v>1062</v>
      </c>
      <c r="I392" s="1" t="s">
        <v>731</v>
      </c>
      <c r="J392" s="1"/>
      <c r="K392" s="1"/>
      <c r="L392" s="1" t="s">
        <v>15</v>
      </c>
      <c r="M392" s="1" t="s">
        <v>14</v>
      </c>
    </row>
    <row r="393" spans="1:13" x14ac:dyDescent="0.3">
      <c r="A393" s="1" t="s">
        <v>1063</v>
      </c>
      <c r="B393" s="1" t="s">
        <v>1064</v>
      </c>
      <c r="C393" s="1" t="s">
        <v>492</v>
      </c>
      <c r="D393" s="1" t="s">
        <v>1039</v>
      </c>
      <c r="E393" s="1" t="s">
        <v>19</v>
      </c>
      <c r="F393" s="1" t="s">
        <v>1057</v>
      </c>
      <c r="G393" s="1" t="s">
        <v>98</v>
      </c>
      <c r="H393" s="1" t="s">
        <v>779</v>
      </c>
      <c r="I393" s="1" t="s">
        <v>731</v>
      </c>
      <c r="J393" s="1" t="s">
        <v>780</v>
      </c>
      <c r="K393" s="1"/>
      <c r="L393" s="1" t="s">
        <v>15</v>
      </c>
      <c r="M393" s="1" t="s">
        <v>14</v>
      </c>
    </row>
    <row r="394" spans="1:13" x14ac:dyDescent="0.3">
      <c r="A394" s="1" t="s">
        <v>1065</v>
      </c>
      <c r="B394" s="1" t="s">
        <v>1066</v>
      </c>
      <c r="C394" s="1" t="s">
        <v>492</v>
      </c>
      <c r="D394" s="1" t="s">
        <v>1039</v>
      </c>
      <c r="E394" s="1" t="s">
        <v>132</v>
      </c>
      <c r="F394" s="1" t="s">
        <v>1040</v>
      </c>
      <c r="G394" s="1" t="s">
        <v>98</v>
      </c>
      <c r="H394" s="1" t="s">
        <v>942</v>
      </c>
      <c r="I394" s="1" t="s">
        <v>731</v>
      </c>
      <c r="J394" s="1" t="s">
        <v>545</v>
      </c>
      <c r="K394" s="1"/>
      <c r="L394" s="1" t="s">
        <v>15</v>
      </c>
      <c r="M394" s="1" t="s">
        <v>14</v>
      </c>
    </row>
    <row r="395" spans="1:13" x14ac:dyDescent="0.3">
      <c r="A395" s="1" t="s">
        <v>1067</v>
      </c>
      <c r="B395" s="1" t="s">
        <v>1068</v>
      </c>
      <c r="C395" s="1" t="s">
        <v>492</v>
      </c>
      <c r="D395" s="1" t="s">
        <v>1039</v>
      </c>
      <c r="E395" s="1" t="s">
        <v>19</v>
      </c>
      <c r="F395" s="1" t="s">
        <v>1057</v>
      </c>
      <c r="G395" s="1" t="s">
        <v>98</v>
      </c>
      <c r="H395" s="1" t="s">
        <v>552</v>
      </c>
      <c r="I395" s="1" t="s">
        <v>731</v>
      </c>
      <c r="J395" s="1" t="s">
        <v>115</v>
      </c>
      <c r="K395" s="1"/>
      <c r="L395" s="1" t="s">
        <v>15</v>
      </c>
      <c r="M395" s="1" t="s">
        <v>14</v>
      </c>
    </row>
    <row r="396" spans="1:13" x14ac:dyDescent="0.3">
      <c r="A396" s="1" t="s">
        <v>1069</v>
      </c>
      <c r="B396" s="1" t="s">
        <v>1070</v>
      </c>
      <c r="C396" s="1" t="s">
        <v>492</v>
      </c>
      <c r="D396" s="1" t="s">
        <v>1039</v>
      </c>
      <c r="E396" s="1" t="s">
        <v>19</v>
      </c>
      <c r="F396" s="1" t="s">
        <v>1057</v>
      </c>
      <c r="G396" s="1" t="s">
        <v>98</v>
      </c>
      <c r="H396" s="1" t="s">
        <v>1071</v>
      </c>
      <c r="I396" s="1" t="s">
        <v>731</v>
      </c>
      <c r="J396" s="1" t="s">
        <v>966</v>
      </c>
      <c r="K396" s="1"/>
      <c r="L396" s="1" t="s">
        <v>15</v>
      </c>
      <c r="M396" s="1" t="s">
        <v>14</v>
      </c>
    </row>
    <row r="397" spans="1:13" x14ac:dyDescent="0.3">
      <c r="A397" s="1" t="s">
        <v>1072</v>
      </c>
      <c r="B397" s="1" t="s">
        <v>1073</v>
      </c>
      <c r="C397" s="1" t="s">
        <v>492</v>
      </c>
      <c r="D397" s="1" t="s">
        <v>1039</v>
      </c>
      <c r="E397" s="1" t="s">
        <v>19</v>
      </c>
      <c r="F397" s="1" t="s">
        <v>1057</v>
      </c>
      <c r="G397" s="1" t="s">
        <v>98</v>
      </c>
      <c r="H397" s="1" t="s">
        <v>560</v>
      </c>
      <c r="I397" s="1" t="s">
        <v>731</v>
      </c>
      <c r="J397" s="1" t="s">
        <v>561</v>
      </c>
      <c r="K397" s="1"/>
      <c r="L397" s="1" t="s">
        <v>15</v>
      </c>
      <c r="M397" s="1" t="s">
        <v>14</v>
      </c>
    </row>
    <row r="398" spans="1:13" x14ac:dyDescent="0.3">
      <c r="A398" s="1" t="s">
        <v>1074</v>
      </c>
      <c r="B398" s="1" t="s">
        <v>1075</v>
      </c>
      <c r="C398" s="1" t="s">
        <v>492</v>
      </c>
      <c r="D398" s="1" t="s">
        <v>1039</v>
      </c>
      <c r="E398" s="1" t="s">
        <v>19</v>
      </c>
      <c r="F398" s="1" t="s">
        <v>1057</v>
      </c>
      <c r="G398" s="1" t="s">
        <v>98</v>
      </c>
      <c r="H398" s="1" t="s">
        <v>1013</v>
      </c>
      <c r="I398" s="1" t="s">
        <v>731</v>
      </c>
      <c r="J398" s="1" t="s">
        <v>1014</v>
      </c>
      <c r="K398" s="1"/>
      <c r="L398" s="1" t="s">
        <v>15</v>
      </c>
      <c r="M398" s="1" t="s">
        <v>14</v>
      </c>
    </row>
    <row r="399" spans="1:13" x14ac:dyDescent="0.3">
      <c r="A399" s="1" t="s">
        <v>1076</v>
      </c>
      <c r="B399" s="1" t="s">
        <v>1077</v>
      </c>
      <c r="C399" s="1" t="s">
        <v>492</v>
      </c>
      <c r="D399" s="1" t="s">
        <v>1039</v>
      </c>
      <c r="E399" s="1" t="s">
        <v>19</v>
      </c>
      <c r="F399" s="1" t="s">
        <v>1057</v>
      </c>
      <c r="G399" s="1" t="s">
        <v>98</v>
      </c>
      <c r="H399" s="1" t="s">
        <v>1019</v>
      </c>
      <c r="I399" s="1" t="s">
        <v>731</v>
      </c>
      <c r="J399" s="1" t="s">
        <v>773</v>
      </c>
      <c r="K399" s="1"/>
      <c r="L399" s="1" t="s">
        <v>15</v>
      </c>
      <c r="M399" s="1" t="s">
        <v>14</v>
      </c>
    </row>
    <row r="400" spans="1:13" x14ac:dyDescent="0.3">
      <c r="A400" s="1" t="s">
        <v>1078</v>
      </c>
      <c r="B400" s="1" t="s">
        <v>1079</v>
      </c>
      <c r="C400" s="1" t="s">
        <v>492</v>
      </c>
      <c r="D400" s="1" t="s">
        <v>1039</v>
      </c>
      <c r="E400" s="1" t="s">
        <v>19</v>
      </c>
      <c r="F400" s="1" t="s">
        <v>1057</v>
      </c>
      <c r="G400" s="1" t="s">
        <v>98</v>
      </c>
      <c r="H400" s="1" t="s">
        <v>900</v>
      </c>
      <c r="I400" s="1" t="s">
        <v>731</v>
      </c>
      <c r="J400" s="1" t="s">
        <v>450</v>
      </c>
      <c r="K400" s="1"/>
      <c r="L400" s="1" t="s">
        <v>15</v>
      </c>
      <c r="M400" s="1" t="s">
        <v>14</v>
      </c>
    </row>
    <row r="401" spans="1:13" x14ac:dyDescent="0.3">
      <c r="A401" s="1" t="s">
        <v>1080</v>
      </c>
      <c r="B401" s="1" t="s">
        <v>1081</v>
      </c>
      <c r="C401" s="1" t="s">
        <v>492</v>
      </c>
      <c r="D401" s="1" t="s">
        <v>1039</v>
      </c>
      <c r="E401" s="1" t="s">
        <v>19</v>
      </c>
      <c r="F401" s="1" t="s">
        <v>1057</v>
      </c>
      <c r="G401" s="1" t="s">
        <v>98</v>
      </c>
      <c r="H401" s="1" t="s">
        <v>231</v>
      </c>
      <c r="I401" s="1" t="s">
        <v>731</v>
      </c>
      <c r="J401" s="1" t="s">
        <v>232</v>
      </c>
      <c r="K401" s="1"/>
      <c r="L401" s="1" t="s">
        <v>15</v>
      </c>
      <c r="M401" s="1" t="s">
        <v>14</v>
      </c>
    </row>
    <row r="402" spans="1:13" x14ac:dyDescent="0.3">
      <c r="A402" s="1" t="s">
        <v>1082</v>
      </c>
      <c r="B402" s="1" t="s">
        <v>1083</v>
      </c>
      <c r="C402" s="1" t="s">
        <v>492</v>
      </c>
      <c r="D402" s="1" t="s">
        <v>1039</v>
      </c>
      <c r="E402" s="1" t="s">
        <v>19</v>
      </c>
      <c r="F402" s="1" t="s">
        <v>1057</v>
      </c>
      <c r="G402" s="1" t="s">
        <v>98</v>
      </c>
      <c r="H402" s="1" t="s">
        <v>1084</v>
      </c>
      <c r="I402" s="1" t="s">
        <v>731</v>
      </c>
      <c r="J402" s="1" t="s">
        <v>579</v>
      </c>
      <c r="K402" s="1"/>
      <c r="L402" s="1" t="s">
        <v>15</v>
      </c>
      <c r="M402" s="1" t="s">
        <v>14</v>
      </c>
    </row>
    <row r="403" spans="1:13" x14ac:dyDescent="0.3">
      <c r="A403" s="1" t="s">
        <v>1085</v>
      </c>
      <c r="B403" s="1" t="s">
        <v>1086</v>
      </c>
      <c r="C403" s="1" t="s">
        <v>492</v>
      </c>
      <c r="D403" s="1" t="s">
        <v>1039</v>
      </c>
      <c r="E403" s="1" t="s">
        <v>19</v>
      </c>
      <c r="F403" s="1" t="s">
        <v>1057</v>
      </c>
      <c r="G403" s="1" t="s">
        <v>98</v>
      </c>
      <c r="H403" s="1" t="s">
        <v>1087</v>
      </c>
      <c r="I403" s="1" t="s">
        <v>731</v>
      </c>
      <c r="J403" s="1" t="s">
        <v>790</v>
      </c>
      <c r="K403" s="1"/>
      <c r="L403" s="1" t="s">
        <v>15</v>
      </c>
      <c r="M403" s="1" t="s">
        <v>14</v>
      </c>
    </row>
    <row r="404" spans="1:13" x14ac:dyDescent="0.3">
      <c r="A404" s="1" t="s">
        <v>1088</v>
      </c>
      <c r="B404" s="1" t="s">
        <v>1089</v>
      </c>
      <c r="C404" s="1" t="s">
        <v>492</v>
      </c>
      <c r="D404" s="1" t="s">
        <v>1039</v>
      </c>
      <c r="E404" s="1" t="s">
        <v>19</v>
      </c>
      <c r="F404" s="1" t="s">
        <v>1057</v>
      </c>
      <c r="G404" s="1" t="s">
        <v>98</v>
      </c>
      <c r="H404" s="1" t="s">
        <v>1090</v>
      </c>
      <c r="I404" s="1" t="s">
        <v>731</v>
      </c>
      <c r="J404" s="1"/>
      <c r="K404" s="1"/>
      <c r="L404" s="1" t="s">
        <v>15</v>
      </c>
      <c r="M404" s="1" t="s">
        <v>14</v>
      </c>
    </row>
    <row r="405" spans="1:13" x14ac:dyDescent="0.3">
      <c r="A405" s="1" t="s">
        <v>1091</v>
      </c>
      <c r="B405" s="1" t="s">
        <v>1092</v>
      </c>
      <c r="C405" s="1" t="s">
        <v>492</v>
      </c>
      <c r="D405" s="1" t="s">
        <v>1039</v>
      </c>
      <c r="E405" s="1" t="s">
        <v>19</v>
      </c>
      <c r="F405" s="1" t="s">
        <v>1057</v>
      </c>
      <c r="G405" s="1" t="s">
        <v>98</v>
      </c>
      <c r="H405" s="1" t="s">
        <v>1093</v>
      </c>
      <c r="I405" s="1" t="s">
        <v>731</v>
      </c>
      <c r="J405" s="1" t="s">
        <v>853</v>
      </c>
      <c r="K405" s="1"/>
      <c r="L405" s="1" t="s">
        <v>15</v>
      </c>
      <c r="M405" s="1" t="s">
        <v>14</v>
      </c>
    </row>
    <row r="406" spans="1:13" x14ac:dyDescent="0.3">
      <c r="A406" s="1" t="s">
        <v>1094</v>
      </c>
      <c r="B406" s="1" t="s">
        <v>1095</v>
      </c>
      <c r="C406" s="1" t="s">
        <v>492</v>
      </c>
      <c r="D406" s="1" t="s">
        <v>1096</v>
      </c>
      <c r="E406" s="1" t="s">
        <v>132</v>
      </c>
      <c r="F406" s="1" t="s">
        <v>1097</v>
      </c>
      <c r="G406" s="1" t="s">
        <v>98</v>
      </c>
      <c r="H406" s="1" t="s">
        <v>494</v>
      </c>
      <c r="I406" s="1" t="s">
        <v>731</v>
      </c>
      <c r="J406" s="1" t="s">
        <v>200</v>
      </c>
      <c r="K406" s="1"/>
      <c r="L406" s="1" t="s">
        <v>15</v>
      </c>
      <c r="M406" s="1" t="s">
        <v>14</v>
      </c>
    </row>
    <row r="407" spans="1:13" x14ac:dyDescent="0.3">
      <c r="A407" s="1" t="s">
        <v>1098</v>
      </c>
      <c r="B407" s="1" t="s">
        <v>1099</v>
      </c>
      <c r="C407" s="1" t="s">
        <v>492</v>
      </c>
      <c r="D407" s="1" t="s">
        <v>1096</v>
      </c>
      <c r="E407" s="1" t="s">
        <v>132</v>
      </c>
      <c r="F407" s="1" t="s">
        <v>1097</v>
      </c>
      <c r="G407" s="1" t="s">
        <v>98</v>
      </c>
      <c r="H407" s="1" t="s">
        <v>499</v>
      </c>
      <c r="I407" s="1" t="s">
        <v>731</v>
      </c>
      <c r="J407" s="1" t="s">
        <v>147</v>
      </c>
      <c r="K407" s="1"/>
      <c r="L407" s="1" t="s">
        <v>15</v>
      </c>
      <c r="M407" s="1" t="s">
        <v>14</v>
      </c>
    </row>
    <row r="408" spans="1:13" x14ac:dyDescent="0.3">
      <c r="A408" s="1" t="s">
        <v>1100</v>
      </c>
      <c r="B408" s="1" t="s">
        <v>1101</v>
      </c>
      <c r="C408" s="1" t="s">
        <v>492</v>
      </c>
      <c r="D408" s="1" t="s">
        <v>1096</v>
      </c>
      <c r="E408" s="1" t="s">
        <v>132</v>
      </c>
      <c r="F408" s="1" t="s">
        <v>1097</v>
      </c>
      <c r="G408" s="1" t="s">
        <v>98</v>
      </c>
      <c r="H408" s="1" t="s">
        <v>502</v>
      </c>
      <c r="I408" s="1" t="s">
        <v>731</v>
      </c>
      <c r="J408" s="1" t="s">
        <v>167</v>
      </c>
      <c r="K408" s="1"/>
      <c r="L408" s="1" t="s">
        <v>15</v>
      </c>
      <c r="M408" s="1" t="s">
        <v>14</v>
      </c>
    </row>
    <row r="409" spans="1:13" x14ac:dyDescent="0.3">
      <c r="A409" s="1" t="s">
        <v>1102</v>
      </c>
      <c r="B409" s="1" t="s">
        <v>1103</v>
      </c>
      <c r="C409" s="1" t="s">
        <v>492</v>
      </c>
      <c r="D409" s="1" t="s">
        <v>1096</v>
      </c>
      <c r="E409" s="1" t="s">
        <v>132</v>
      </c>
      <c r="F409" s="1" t="s">
        <v>1097</v>
      </c>
      <c r="G409" s="1" t="s">
        <v>98</v>
      </c>
      <c r="H409" s="1" t="s">
        <v>505</v>
      </c>
      <c r="I409" s="1" t="s">
        <v>731</v>
      </c>
      <c r="J409" s="1" t="s">
        <v>183</v>
      </c>
      <c r="K409" s="1"/>
      <c r="L409" s="1" t="s">
        <v>15</v>
      </c>
      <c r="M409" s="1" t="s">
        <v>14</v>
      </c>
    </row>
    <row r="410" spans="1:13" x14ac:dyDescent="0.3">
      <c r="A410" s="1" t="s">
        <v>1104</v>
      </c>
      <c r="B410" s="1" t="s">
        <v>1105</v>
      </c>
      <c r="C410" s="1" t="s">
        <v>492</v>
      </c>
      <c r="D410" s="1" t="s">
        <v>1096</v>
      </c>
      <c r="E410" s="1" t="s">
        <v>132</v>
      </c>
      <c r="F410" s="1" t="s">
        <v>1097</v>
      </c>
      <c r="G410" s="1" t="s">
        <v>98</v>
      </c>
      <c r="H410" s="1" t="s">
        <v>514</v>
      </c>
      <c r="I410" s="1" t="s">
        <v>731</v>
      </c>
      <c r="J410" s="1" t="s">
        <v>341</v>
      </c>
      <c r="K410" s="1"/>
      <c r="L410" s="1" t="s">
        <v>15</v>
      </c>
      <c r="M410" s="1" t="s">
        <v>14</v>
      </c>
    </row>
    <row r="411" spans="1:13" x14ac:dyDescent="0.3">
      <c r="A411" s="1" t="s">
        <v>1106</v>
      </c>
      <c r="B411" s="1" t="s">
        <v>1107</v>
      </c>
      <c r="C411" s="1" t="s">
        <v>492</v>
      </c>
      <c r="D411" s="1" t="s">
        <v>1096</v>
      </c>
      <c r="E411" s="1" t="s">
        <v>132</v>
      </c>
      <c r="F411" s="1" t="s">
        <v>1097</v>
      </c>
      <c r="G411" s="1" t="s">
        <v>98</v>
      </c>
      <c r="H411" s="1" t="s">
        <v>517</v>
      </c>
      <c r="I411" s="1" t="s">
        <v>731</v>
      </c>
      <c r="J411" s="1" t="s">
        <v>325</v>
      </c>
      <c r="K411" s="1"/>
      <c r="L411" s="1" t="s">
        <v>15</v>
      </c>
      <c r="M411" s="1" t="s">
        <v>14</v>
      </c>
    </row>
    <row r="412" spans="1:13" x14ac:dyDescent="0.3">
      <c r="A412" s="1" t="s">
        <v>1108</v>
      </c>
      <c r="B412" s="1" t="s">
        <v>1109</v>
      </c>
      <c r="C412" s="1" t="s">
        <v>492</v>
      </c>
      <c r="D412" s="1" t="s">
        <v>1096</v>
      </c>
      <c r="E412" s="1" t="s">
        <v>132</v>
      </c>
      <c r="F412" s="1" t="s">
        <v>1097</v>
      </c>
      <c r="G412" s="1" t="s">
        <v>98</v>
      </c>
      <c r="H412" s="1" t="s">
        <v>520</v>
      </c>
      <c r="I412" s="1" t="s">
        <v>731</v>
      </c>
      <c r="J412" s="1" t="s">
        <v>357</v>
      </c>
      <c r="K412" s="1"/>
      <c r="L412" s="1" t="s">
        <v>15</v>
      </c>
      <c r="M412" s="1" t="s">
        <v>14</v>
      </c>
    </row>
    <row r="413" spans="1:13" x14ac:dyDescent="0.3">
      <c r="A413" s="1" t="s">
        <v>1110</v>
      </c>
      <c r="B413" s="1" t="s">
        <v>1111</v>
      </c>
      <c r="C413" s="1" t="s">
        <v>492</v>
      </c>
      <c r="D413" s="1" t="s">
        <v>1096</v>
      </c>
      <c r="E413" s="1" t="s">
        <v>19</v>
      </c>
      <c r="F413" s="1" t="s">
        <v>1112</v>
      </c>
      <c r="G413" s="1" t="s">
        <v>98</v>
      </c>
      <c r="H413" s="1" t="s">
        <v>751</v>
      </c>
      <c r="I413" s="1" t="s">
        <v>731</v>
      </c>
      <c r="J413" s="1" t="s">
        <v>752</v>
      </c>
      <c r="K413" s="1"/>
      <c r="L413" s="1" t="s">
        <v>15</v>
      </c>
      <c r="M413" s="1" t="s">
        <v>14</v>
      </c>
    </row>
    <row r="414" spans="1:13" x14ac:dyDescent="0.3">
      <c r="A414" s="1" t="s">
        <v>1113</v>
      </c>
      <c r="B414" s="1" t="s">
        <v>1114</v>
      </c>
      <c r="C414" s="1" t="s">
        <v>492</v>
      </c>
      <c r="D414" s="1" t="s">
        <v>1096</v>
      </c>
      <c r="E414" s="1" t="s">
        <v>19</v>
      </c>
      <c r="F414" s="1" t="s">
        <v>1112</v>
      </c>
      <c r="G414" s="1" t="s">
        <v>98</v>
      </c>
      <c r="H414" s="1" t="s">
        <v>938</v>
      </c>
      <c r="I414" s="1" t="s">
        <v>731</v>
      </c>
      <c r="J414" s="1" t="s">
        <v>757</v>
      </c>
      <c r="K414" s="1"/>
      <c r="L414" s="1" t="s">
        <v>15</v>
      </c>
      <c r="M414" s="1" t="s">
        <v>14</v>
      </c>
    </row>
    <row r="415" spans="1:13" x14ac:dyDescent="0.3">
      <c r="A415" s="1" t="s">
        <v>1115</v>
      </c>
      <c r="B415" s="1" t="s">
        <v>1116</v>
      </c>
      <c r="C415" s="1" t="s">
        <v>492</v>
      </c>
      <c r="D415" s="1" t="s">
        <v>1096</v>
      </c>
      <c r="E415" s="1" t="s">
        <v>19</v>
      </c>
      <c r="F415" s="1" t="s">
        <v>1112</v>
      </c>
      <c r="G415" s="1" t="s">
        <v>98</v>
      </c>
      <c r="H415" s="1" t="s">
        <v>1062</v>
      </c>
      <c r="I415" s="1" t="s">
        <v>731</v>
      </c>
      <c r="J415" s="1"/>
      <c r="K415" s="1"/>
      <c r="L415" s="1" t="s">
        <v>15</v>
      </c>
      <c r="M415" s="1" t="s">
        <v>14</v>
      </c>
    </row>
    <row r="416" spans="1:13" x14ac:dyDescent="0.3">
      <c r="A416" s="1" t="s">
        <v>1117</v>
      </c>
      <c r="B416" s="1" t="s">
        <v>1118</v>
      </c>
      <c r="C416" s="1" t="s">
        <v>492</v>
      </c>
      <c r="D416" s="1" t="s">
        <v>1096</v>
      </c>
      <c r="E416" s="1" t="s">
        <v>19</v>
      </c>
      <c r="F416" s="1" t="s">
        <v>1112</v>
      </c>
      <c r="G416" s="1" t="s">
        <v>98</v>
      </c>
      <c r="H416" s="1" t="s">
        <v>779</v>
      </c>
      <c r="I416" s="1" t="s">
        <v>731</v>
      </c>
      <c r="J416" s="1" t="s">
        <v>780</v>
      </c>
      <c r="K416" s="1"/>
      <c r="L416" s="1" t="s">
        <v>15</v>
      </c>
      <c r="M416" s="1" t="s">
        <v>14</v>
      </c>
    </row>
    <row r="417" spans="1:13" x14ac:dyDescent="0.3">
      <c r="A417" s="1" t="s">
        <v>1119</v>
      </c>
      <c r="B417" s="1" t="s">
        <v>1120</v>
      </c>
      <c r="C417" s="1" t="s">
        <v>492</v>
      </c>
      <c r="D417" s="1" t="s">
        <v>1096</v>
      </c>
      <c r="E417" s="1" t="s">
        <v>19</v>
      </c>
      <c r="F417" s="1" t="s">
        <v>1112</v>
      </c>
      <c r="G417" s="1" t="s">
        <v>98</v>
      </c>
      <c r="H417" s="1" t="s">
        <v>942</v>
      </c>
      <c r="I417" s="1" t="s">
        <v>731</v>
      </c>
      <c r="J417" s="1" t="s">
        <v>545</v>
      </c>
      <c r="K417" s="1"/>
      <c r="L417" s="1" t="s">
        <v>15</v>
      </c>
      <c r="M417" s="1" t="s">
        <v>14</v>
      </c>
    </row>
    <row r="418" spans="1:13" x14ac:dyDescent="0.3">
      <c r="A418" s="1" t="s">
        <v>1121</v>
      </c>
      <c r="B418" s="1" t="s">
        <v>1122</v>
      </c>
      <c r="C418" s="1" t="s">
        <v>492</v>
      </c>
      <c r="D418" s="1" t="s">
        <v>1096</v>
      </c>
      <c r="E418" s="1" t="s">
        <v>19</v>
      </c>
      <c r="F418" s="1" t="s">
        <v>1112</v>
      </c>
      <c r="G418" s="1" t="s">
        <v>98</v>
      </c>
      <c r="H418" s="1" t="s">
        <v>552</v>
      </c>
      <c r="I418" s="1" t="s">
        <v>731</v>
      </c>
      <c r="J418" s="1" t="s">
        <v>115</v>
      </c>
      <c r="K418" s="1"/>
      <c r="L418" s="1" t="s">
        <v>15</v>
      </c>
      <c r="M418" s="1" t="s">
        <v>14</v>
      </c>
    </row>
    <row r="419" spans="1:13" x14ac:dyDescent="0.3">
      <c r="A419" s="1" t="s">
        <v>1123</v>
      </c>
      <c r="B419" s="1" t="s">
        <v>1124</v>
      </c>
      <c r="C419" s="1" t="s">
        <v>492</v>
      </c>
      <c r="D419" s="1" t="s">
        <v>1096</v>
      </c>
      <c r="E419" s="1" t="s">
        <v>19</v>
      </c>
      <c r="F419" s="1" t="s">
        <v>1112</v>
      </c>
      <c r="G419" s="1" t="s">
        <v>98</v>
      </c>
      <c r="H419" s="1" t="s">
        <v>1125</v>
      </c>
      <c r="I419" s="1" t="s">
        <v>731</v>
      </c>
      <c r="J419" s="1" t="s">
        <v>966</v>
      </c>
      <c r="K419" s="1"/>
      <c r="L419" s="1" t="s">
        <v>15</v>
      </c>
      <c r="M419" s="1" t="s">
        <v>14</v>
      </c>
    </row>
    <row r="420" spans="1:13" x14ac:dyDescent="0.3">
      <c r="A420" s="1" t="s">
        <v>1126</v>
      </c>
      <c r="B420" s="1" t="s">
        <v>1127</v>
      </c>
      <c r="C420" s="1" t="s">
        <v>492</v>
      </c>
      <c r="D420" s="1" t="s">
        <v>1096</v>
      </c>
      <c r="E420" s="1" t="s">
        <v>19</v>
      </c>
      <c r="F420" s="1" t="s">
        <v>1112</v>
      </c>
      <c r="G420" s="1" t="s">
        <v>98</v>
      </c>
      <c r="H420" s="1" t="s">
        <v>560</v>
      </c>
      <c r="I420" s="1" t="s">
        <v>731</v>
      </c>
      <c r="J420" s="1" t="s">
        <v>561</v>
      </c>
      <c r="K420" s="1"/>
      <c r="L420" s="1" t="s">
        <v>15</v>
      </c>
      <c r="M420" s="1" t="s">
        <v>14</v>
      </c>
    </row>
    <row r="421" spans="1:13" x14ac:dyDescent="0.3">
      <c r="A421" s="1" t="s">
        <v>1128</v>
      </c>
      <c r="B421" s="1" t="s">
        <v>1129</v>
      </c>
      <c r="C421" s="1" t="s">
        <v>492</v>
      </c>
      <c r="D421" s="1" t="s">
        <v>1096</v>
      </c>
      <c r="E421" s="1" t="s">
        <v>19</v>
      </c>
      <c r="F421" s="1" t="s">
        <v>1112</v>
      </c>
      <c r="G421" s="1" t="s">
        <v>98</v>
      </c>
      <c r="H421" s="1" t="s">
        <v>1013</v>
      </c>
      <c r="I421" s="1" t="s">
        <v>731</v>
      </c>
      <c r="J421" s="1" t="s">
        <v>1014</v>
      </c>
      <c r="K421" s="1"/>
      <c r="L421" s="1" t="s">
        <v>15</v>
      </c>
      <c r="M421" s="1" t="s">
        <v>14</v>
      </c>
    </row>
    <row r="422" spans="1:13" x14ac:dyDescent="0.3">
      <c r="A422" s="1" t="s">
        <v>1130</v>
      </c>
      <c r="B422" s="1" t="s">
        <v>1131</v>
      </c>
      <c r="C422" s="1" t="s">
        <v>492</v>
      </c>
      <c r="D422" s="1" t="s">
        <v>1096</v>
      </c>
      <c r="E422" s="1" t="s">
        <v>19</v>
      </c>
      <c r="F422" s="1" t="s">
        <v>1112</v>
      </c>
      <c r="G422" s="1" t="s">
        <v>98</v>
      </c>
      <c r="H422" s="1" t="s">
        <v>1132</v>
      </c>
      <c r="I422" s="1" t="s">
        <v>731</v>
      </c>
      <c r="J422" s="1" t="s">
        <v>773</v>
      </c>
      <c r="K422" s="1"/>
      <c r="L422" s="1" t="s">
        <v>15</v>
      </c>
      <c r="M422" s="1" t="s">
        <v>14</v>
      </c>
    </row>
    <row r="423" spans="1:13" x14ac:dyDescent="0.3">
      <c r="A423" s="1" t="s">
        <v>1133</v>
      </c>
      <c r="B423" s="1" t="s">
        <v>1134</v>
      </c>
      <c r="C423" s="1" t="s">
        <v>492</v>
      </c>
      <c r="D423" s="1" t="s">
        <v>1096</v>
      </c>
      <c r="E423" s="1" t="s">
        <v>19</v>
      </c>
      <c r="F423" s="1" t="s">
        <v>1112</v>
      </c>
      <c r="G423" s="1" t="s">
        <v>98</v>
      </c>
      <c r="H423" s="1" t="s">
        <v>900</v>
      </c>
      <c r="I423" s="1" t="s">
        <v>731</v>
      </c>
      <c r="J423" s="1" t="s">
        <v>450</v>
      </c>
      <c r="K423" s="1"/>
      <c r="L423" s="1" t="s">
        <v>15</v>
      </c>
      <c r="M423" s="1" t="s">
        <v>14</v>
      </c>
    </row>
    <row r="424" spans="1:13" x14ac:dyDescent="0.3">
      <c r="A424" s="1" t="s">
        <v>1135</v>
      </c>
      <c r="B424" s="1" t="s">
        <v>1136</v>
      </c>
      <c r="C424" s="1" t="s">
        <v>492</v>
      </c>
      <c r="D424" s="1" t="s">
        <v>1096</v>
      </c>
      <c r="E424" s="1" t="s">
        <v>19</v>
      </c>
      <c r="F424" s="1" t="s">
        <v>1112</v>
      </c>
      <c r="G424" s="1" t="s">
        <v>98</v>
      </c>
      <c r="H424" s="1" t="s">
        <v>840</v>
      </c>
      <c r="I424" s="1" t="s">
        <v>731</v>
      </c>
      <c r="J424" s="1" t="s">
        <v>232</v>
      </c>
      <c r="K424" s="1"/>
      <c r="L424" s="1" t="s">
        <v>15</v>
      </c>
      <c r="M424" s="1" t="s">
        <v>14</v>
      </c>
    </row>
    <row r="425" spans="1:13" x14ac:dyDescent="0.3">
      <c r="A425" s="1" t="s">
        <v>1137</v>
      </c>
      <c r="B425" s="1" t="s">
        <v>1138</v>
      </c>
      <c r="C425" s="1" t="s">
        <v>492</v>
      </c>
      <c r="D425" s="1" t="s">
        <v>1096</v>
      </c>
      <c r="E425" s="1" t="s">
        <v>19</v>
      </c>
      <c r="F425" s="1" t="s">
        <v>1112</v>
      </c>
      <c r="G425" s="1" t="s">
        <v>98</v>
      </c>
      <c r="H425" s="1" t="s">
        <v>1139</v>
      </c>
      <c r="I425" s="1" t="s">
        <v>731</v>
      </c>
      <c r="J425" s="1" t="s">
        <v>579</v>
      </c>
      <c r="K425" s="1"/>
      <c r="L425" s="1" t="s">
        <v>15</v>
      </c>
      <c r="M425" s="1" t="s">
        <v>14</v>
      </c>
    </row>
    <row r="426" spans="1:13" x14ac:dyDescent="0.3">
      <c r="A426" s="1" t="s">
        <v>1140</v>
      </c>
      <c r="B426" s="1" t="s">
        <v>1141</v>
      </c>
      <c r="C426" s="1" t="s">
        <v>492</v>
      </c>
      <c r="D426" s="1" t="s">
        <v>1096</v>
      </c>
      <c r="E426" s="1" t="s">
        <v>132</v>
      </c>
      <c r="F426" s="1" t="s">
        <v>1097</v>
      </c>
      <c r="G426" s="1" t="s">
        <v>98</v>
      </c>
      <c r="H426" s="1" t="s">
        <v>1142</v>
      </c>
      <c r="I426" s="1" t="s">
        <v>731</v>
      </c>
      <c r="J426" s="1" t="s">
        <v>748</v>
      </c>
      <c r="K426" s="1"/>
      <c r="L426" s="1" t="s">
        <v>15</v>
      </c>
      <c r="M426" s="1" t="s">
        <v>14</v>
      </c>
    </row>
    <row r="427" spans="1:13" x14ac:dyDescent="0.3">
      <c r="A427" s="1" t="s">
        <v>1143</v>
      </c>
      <c r="B427" s="1" t="s">
        <v>1144</v>
      </c>
      <c r="C427" s="1" t="s">
        <v>492</v>
      </c>
      <c r="D427" s="1" t="s">
        <v>1096</v>
      </c>
      <c r="E427" s="1" t="s">
        <v>19</v>
      </c>
      <c r="F427" s="1" t="s">
        <v>1112</v>
      </c>
      <c r="G427" s="1" t="s">
        <v>98</v>
      </c>
      <c r="H427" s="1" t="s">
        <v>1145</v>
      </c>
      <c r="I427" s="1" t="s">
        <v>731</v>
      </c>
      <c r="J427" s="1" t="s">
        <v>790</v>
      </c>
      <c r="K427" s="1"/>
      <c r="L427" s="1" t="s">
        <v>15</v>
      </c>
      <c r="M427" s="1" t="s">
        <v>14</v>
      </c>
    </row>
    <row r="428" spans="1:13" x14ac:dyDescent="0.3">
      <c r="A428" s="1" t="s">
        <v>1146</v>
      </c>
      <c r="B428" s="1" t="s">
        <v>1147</v>
      </c>
      <c r="C428" s="1" t="s">
        <v>492</v>
      </c>
      <c r="D428" s="1" t="s">
        <v>1096</v>
      </c>
      <c r="E428" s="1" t="s">
        <v>19</v>
      </c>
      <c r="F428" s="1" t="s">
        <v>1112</v>
      </c>
      <c r="G428" s="1" t="s">
        <v>98</v>
      </c>
      <c r="H428" s="1" t="s">
        <v>1148</v>
      </c>
      <c r="I428" s="1" t="s">
        <v>731</v>
      </c>
      <c r="J428" s="1"/>
      <c r="K428" s="1"/>
      <c r="L428" s="1" t="s">
        <v>15</v>
      </c>
      <c r="M428" s="1" t="s">
        <v>14</v>
      </c>
    </row>
    <row r="429" spans="1:13" x14ac:dyDescent="0.3">
      <c r="A429" s="1" t="s">
        <v>1149</v>
      </c>
      <c r="B429" s="1" t="s">
        <v>1150</v>
      </c>
      <c r="C429" s="1" t="s">
        <v>492</v>
      </c>
      <c r="D429" s="1" t="s">
        <v>1096</v>
      </c>
      <c r="E429" s="1" t="s">
        <v>19</v>
      </c>
      <c r="F429" s="1" t="s">
        <v>1112</v>
      </c>
      <c r="G429" s="1" t="s">
        <v>98</v>
      </c>
      <c r="H429" s="1" t="s">
        <v>1151</v>
      </c>
      <c r="I429" s="1" t="s">
        <v>731</v>
      </c>
      <c r="J429" s="1" t="s">
        <v>853</v>
      </c>
      <c r="K429" s="1"/>
      <c r="L429" s="1" t="s">
        <v>15</v>
      </c>
      <c r="M429" s="1" t="s">
        <v>14</v>
      </c>
    </row>
    <row r="430" spans="1:13" x14ac:dyDescent="0.3">
      <c r="A430" s="1" t="s">
        <v>1152</v>
      </c>
      <c r="B430" s="1" t="s">
        <v>1153</v>
      </c>
      <c r="C430" s="1" t="s">
        <v>492</v>
      </c>
      <c r="D430" s="1" t="s">
        <v>1096</v>
      </c>
      <c r="E430" s="1" t="s">
        <v>19</v>
      </c>
      <c r="F430" s="1" t="s">
        <v>1112</v>
      </c>
      <c r="G430" s="1" t="s">
        <v>98</v>
      </c>
      <c r="H430" s="1" t="s">
        <v>1154</v>
      </c>
      <c r="I430" s="1" t="s">
        <v>731</v>
      </c>
      <c r="J430" s="1"/>
      <c r="K430" s="1"/>
      <c r="L430" s="1" t="s">
        <v>15</v>
      </c>
      <c r="M430" s="1" t="s">
        <v>14</v>
      </c>
    </row>
    <row r="431" spans="1:13" x14ac:dyDescent="0.3">
      <c r="A431" s="1" t="s">
        <v>1155</v>
      </c>
      <c r="B431" s="1" t="s">
        <v>1156</v>
      </c>
      <c r="C431" s="1" t="s">
        <v>492</v>
      </c>
      <c r="D431" s="1" t="s">
        <v>1157</v>
      </c>
      <c r="E431" s="1" t="s">
        <v>132</v>
      </c>
      <c r="F431" s="1" t="s">
        <v>1158</v>
      </c>
      <c r="G431" s="1" t="s">
        <v>98</v>
      </c>
      <c r="H431" s="1" t="s">
        <v>514</v>
      </c>
      <c r="I431" s="1" t="s">
        <v>731</v>
      </c>
      <c r="J431" s="1" t="s">
        <v>341</v>
      </c>
      <c r="K431" s="1"/>
      <c r="L431" s="1" t="s">
        <v>15</v>
      </c>
      <c r="M431" s="1" t="s">
        <v>14</v>
      </c>
    </row>
    <row r="432" spans="1:13" x14ac:dyDescent="0.3">
      <c r="A432" s="1" t="s">
        <v>1159</v>
      </c>
      <c r="B432" s="1" t="s">
        <v>1160</v>
      </c>
      <c r="C432" s="1" t="s">
        <v>492</v>
      </c>
      <c r="D432" s="1" t="s">
        <v>1157</v>
      </c>
      <c r="E432" s="1" t="s">
        <v>132</v>
      </c>
      <c r="F432" s="1" t="s">
        <v>1158</v>
      </c>
      <c r="G432" s="1" t="s">
        <v>98</v>
      </c>
      <c r="H432" s="1" t="s">
        <v>1161</v>
      </c>
      <c r="I432" s="1" t="s">
        <v>731</v>
      </c>
      <c r="J432" s="1" t="s">
        <v>325</v>
      </c>
      <c r="K432" s="1"/>
      <c r="L432" s="1" t="s">
        <v>15</v>
      </c>
      <c r="M432" s="1" t="s">
        <v>14</v>
      </c>
    </row>
    <row r="433" spans="1:13" x14ac:dyDescent="0.3">
      <c r="A433" s="1" t="s">
        <v>1162</v>
      </c>
      <c r="B433" s="1" t="s">
        <v>1163</v>
      </c>
      <c r="C433" s="1" t="s">
        <v>492</v>
      </c>
      <c r="D433" s="1" t="s">
        <v>1157</v>
      </c>
      <c r="E433" s="1" t="s">
        <v>132</v>
      </c>
      <c r="F433" s="1" t="s">
        <v>1158</v>
      </c>
      <c r="G433" s="1" t="s">
        <v>98</v>
      </c>
      <c r="H433" s="1" t="s">
        <v>520</v>
      </c>
      <c r="I433" s="1" t="s">
        <v>731</v>
      </c>
      <c r="J433" s="1" t="s">
        <v>357</v>
      </c>
      <c r="K433" s="1"/>
      <c r="L433" s="1" t="s">
        <v>15</v>
      </c>
      <c r="M433" s="1" t="s">
        <v>14</v>
      </c>
    </row>
    <row r="434" spans="1:13" x14ac:dyDescent="0.3">
      <c r="A434" s="1" t="s">
        <v>1164</v>
      </c>
      <c r="B434" s="1" t="s">
        <v>1165</v>
      </c>
      <c r="C434" s="1" t="s">
        <v>492</v>
      </c>
      <c r="D434" s="1" t="s">
        <v>1157</v>
      </c>
      <c r="E434" s="1" t="s">
        <v>132</v>
      </c>
      <c r="F434" s="1" t="s">
        <v>1158</v>
      </c>
      <c r="G434" s="1" t="s">
        <v>98</v>
      </c>
      <c r="H434" s="1" t="s">
        <v>494</v>
      </c>
      <c r="I434" s="1" t="s">
        <v>731</v>
      </c>
      <c r="J434" s="1" t="s">
        <v>200</v>
      </c>
      <c r="K434" s="1"/>
      <c r="L434" s="1" t="s">
        <v>15</v>
      </c>
      <c r="M434" s="1" t="s">
        <v>14</v>
      </c>
    </row>
    <row r="435" spans="1:13" x14ac:dyDescent="0.3">
      <c r="A435" s="1" t="s">
        <v>1166</v>
      </c>
      <c r="B435" s="1" t="s">
        <v>1167</v>
      </c>
      <c r="C435" s="1" t="s">
        <v>492</v>
      </c>
      <c r="D435" s="1" t="s">
        <v>1157</v>
      </c>
      <c r="E435" s="1" t="s">
        <v>132</v>
      </c>
      <c r="F435" s="1" t="s">
        <v>1158</v>
      </c>
      <c r="G435" s="1" t="s">
        <v>98</v>
      </c>
      <c r="H435" s="1" t="s">
        <v>499</v>
      </c>
      <c r="I435" s="1" t="s">
        <v>731</v>
      </c>
      <c r="J435" s="1" t="s">
        <v>147</v>
      </c>
      <c r="K435" s="1"/>
      <c r="L435" s="1" t="s">
        <v>15</v>
      </c>
      <c r="M435" s="1" t="s">
        <v>14</v>
      </c>
    </row>
    <row r="436" spans="1:13" x14ac:dyDescent="0.3">
      <c r="A436" s="1" t="s">
        <v>1168</v>
      </c>
      <c r="B436" s="1" t="s">
        <v>1169</v>
      </c>
      <c r="C436" s="1" t="s">
        <v>492</v>
      </c>
      <c r="D436" s="1" t="s">
        <v>1157</v>
      </c>
      <c r="E436" s="1" t="s">
        <v>132</v>
      </c>
      <c r="F436" s="1" t="s">
        <v>1158</v>
      </c>
      <c r="G436" s="1" t="s">
        <v>98</v>
      </c>
      <c r="H436" s="1" t="s">
        <v>1170</v>
      </c>
      <c r="I436" s="1" t="s">
        <v>731</v>
      </c>
      <c r="J436" s="1" t="s">
        <v>167</v>
      </c>
      <c r="K436" s="1"/>
      <c r="L436" s="1" t="s">
        <v>15</v>
      </c>
      <c r="M436" s="1" t="s">
        <v>14</v>
      </c>
    </row>
    <row r="437" spans="1:13" x14ac:dyDescent="0.3">
      <c r="A437" s="1" t="s">
        <v>1171</v>
      </c>
      <c r="B437" s="1" t="s">
        <v>1172</v>
      </c>
      <c r="C437" s="1" t="s">
        <v>492</v>
      </c>
      <c r="D437" s="1" t="s">
        <v>1157</v>
      </c>
      <c r="E437" s="1" t="s">
        <v>132</v>
      </c>
      <c r="F437" s="1" t="s">
        <v>1158</v>
      </c>
      <c r="G437" s="1" t="s">
        <v>98</v>
      </c>
      <c r="H437" s="1" t="s">
        <v>505</v>
      </c>
      <c r="I437" s="1" t="s">
        <v>731</v>
      </c>
      <c r="J437" s="1" t="s">
        <v>183</v>
      </c>
      <c r="K437" s="1"/>
      <c r="L437" s="1" t="s">
        <v>15</v>
      </c>
      <c r="M437" s="1" t="s">
        <v>14</v>
      </c>
    </row>
    <row r="438" spans="1:13" x14ac:dyDescent="0.3">
      <c r="A438" s="1" t="s">
        <v>1173</v>
      </c>
      <c r="B438" s="1" t="s">
        <v>1174</v>
      </c>
      <c r="C438" s="1" t="s">
        <v>492</v>
      </c>
      <c r="D438" s="1" t="s">
        <v>1157</v>
      </c>
      <c r="E438" s="1" t="s">
        <v>132</v>
      </c>
      <c r="F438" s="1" t="s">
        <v>1158</v>
      </c>
      <c r="G438" s="1" t="s">
        <v>98</v>
      </c>
      <c r="H438" s="1" t="s">
        <v>1175</v>
      </c>
      <c r="I438" s="1" t="s">
        <v>731</v>
      </c>
      <c r="J438" s="1" t="s">
        <v>748</v>
      </c>
      <c r="K438" s="1"/>
      <c r="L438" s="1" t="s">
        <v>15</v>
      </c>
      <c r="M438" s="1" t="s">
        <v>14</v>
      </c>
    </row>
    <row r="439" spans="1:13" x14ac:dyDescent="0.3">
      <c r="A439" s="1" t="s">
        <v>1176</v>
      </c>
      <c r="B439" s="1" t="s">
        <v>1177</v>
      </c>
      <c r="C439" s="1" t="s">
        <v>492</v>
      </c>
      <c r="D439" s="1" t="s">
        <v>1157</v>
      </c>
      <c r="E439" s="1" t="s">
        <v>19</v>
      </c>
      <c r="F439" s="1" t="s">
        <v>1179</v>
      </c>
      <c r="G439" s="1" t="s">
        <v>98</v>
      </c>
      <c r="H439" s="1" t="s">
        <v>1178</v>
      </c>
      <c r="I439" s="1" t="s">
        <v>731</v>
      </c>
      <c r="J439" s="1" t="s">
        <v>790</v>
      </c>
      <c r="K439" s="1"/>
      <c r="L439" s="1" t="s">
        <v>15</v>
      </c>
      <c r="M439" s="1" t="s">
        <v>14</v>
      </c>
    </row>
    <row r="440" spans="1:13" x14ac:dyDescent="0.3">
      <c r="A440" s="1" t="s">
        <v>1180</v>
      </c>
      <c r="B440" s="1" t="s">
        <v>1181</v>
      </c>
      <c r="C440" s="1" t="s">
        <v>492</v>
      </c>
      <c r="D440" s="1" t="s">
        <v>1157</v>
      </c>
      <c r="E440" s="1" t="s">
        <v>19</v>
      </c>
      <c r="F440" s="1" t="s">
        <v>1179</v>
      </c>
      <c r="G440" s="1" t="s">
        <v>98</v>
      </c>
      <c r="H440" s="1" t="s">
        <v>1182</v>
      </c>
      <c r="I440" s="1" t="s">
        <v>731</v>
      </c>
      <c r="J440" s="1" t="s">
        <v>752</v>
      </c>
      <c r="K440" s="1"/>
      <c r="L440" s="1" t="s">
        <v>15</v>
      </c>
      <c r="M440" s="1" t="s">
        <v>14</v>
      </c>
    </row>
    <row r="441" spans="1:13" x14ac:dyDescent="0.3">
      <c r="A441" s="1" t="s">
        <v>1183</v>
      </c>
      <c r="B441" s="1" t="s">
        <v>1184</v>
      </c>
      <c r="C441" s="1" t="s">
        <v>492</v>
      </c>
      <c r="D441" s="1" t="s">
        <v>1157</v>
      </c>
      <c r="E441" s="1" t="s">
        <v>19</v>
      </c>
      <c r="F441" s="1" t="s">
        <v>1179</v>
      </c>
      <c r="G441" s="1" t="s">
        <v>98</v>
      </c>
      <c r="H441" s="1" t="s">
        <v>938</v>
      </c>
      <c r="I441" s="1" t="s">
        <v>731</v>
      </c>
      <c r="J441" s="1" t="s">
        <v>757</v>
      </c>
      <c r="K441" s="1"/>
      <c r="L441" s="1" t="s">
        <v>15</v>
      </c>
      <c r="M441" s="1" t="s">
        <v>14</v>
      </c>
    </row>
    <row r="442" spans="1:13" x14ac:dyDescent="0.3">
      <c r="A442" s="1" t="s">
        <v>1185</v>
      </c>
      <c r="B442" s="1" t="s">
        <v>1186</v>
      </c>
      <c r="C442" s="1" t="s">
        <v>492</v>
      </c>
      <c r="D442" s="1" t="s">
        <v>1157</v>
      </c>
      <c r="E442" s="1" t="s">
        <v>19</v>
      </c>
      <c r="F442" s="1" t="s">
        <v>1179</v>
      </c>
      <c r="G442" s="1" t="s">
        <v>98</v>
      </c>
      <c r="H442" s="1" t="s">
        <v>1062</v>
      </c>
      <c r="I442" s="1" t="s">
        <v>731</v>
      </c>
      <c r="J442" s="1"/>
      <c r="K442" s="1"/>
      <c r="L442" s="1" t="s">
        <v>15</v>
      </c>
      <c r="M442" s="1" t="s">
        <v>14</v>
      </c>
    </row>
    <row r="443" spans="1:13" x14ac:dyDescent="0.3">
      <c r="A443" s="1" t="s">
        <v>1187</v>
      </c>
      <c r="B443" s="1" t="s">
        <v>1188</v>
      </c>
      <c r="C443" s="1" t="s">
        <v>492</v>
      </c>
      <c r="D443" s="1" t="s">
        <v>1157</v>
      </c>
      <c r="E443" s="1" t="s">
        <v>19</v>
      </c>
      <c r="F443" s="1" t="s">
        <v>1179</v>
      </c>
      <c r="G443" s="1" t="s">
        <v>98</v>
      </c>
      <c r="H443" s="1" t="s">
        <v>779</v>
      </c>
      <c r="I443" s="1" t="s">
        <v>731</v>
      </c>
      <c r="J443" s="1" t="s">
        <v>780</v>
      </c>
      <c r="K443" s="1"/>
      <c r="L443" s="1" t="s">
        <v>15</v>
      </c>
      <c r="M443" s="1" t="s">
        <v>14</v>
      </c>
    </row>
    <row r="444" spans="1:13" x14ac:dyDescent="0.3">
      <c r="A444" s="1" t="s">
        <v>1189</v>
      </c>
      <c r="B444" s="1" t="s">
        <v>1190</v>
      </c>
      <c r="C444" s="1" t="s">
        <v>492</v>
      </c>
      <c r="D444" s="1" t="s">
        <v>1157</v>
      </c>
      <c r="E444" s="1" t="s">
        <v>19</v>
      </c>
      <c r="F444" s="1" t="s">
        <v>1179</v>
      </c>
      <c r="G444" s="1" t="s">
        <v>98</v>
      </c>
      <c r="H444" s="1" t="s">
        <v>942</v>
      </c>
      <c r="I444" s="1" t="s">
        <v>731</v>
      </c>
      <c r="J444" s="1" t="s">
        <v>545</v>
      </c>
      <c r="K444" s="1"/>
      <c r="L444" s="1" t="s">
        <v>15</v>
      </c>
      <c r="M444" s="1" t="s">
        <v>14</v>
      </c>
    </row>
    <row r="445" spans="1:13" x14ac:dyDescent="0.3">
      <c r="A445" s="1" t="s">
        <v>1191</v>
      </c>
      <c r="B445" s="1" t="s">
        <v>1192</v>
      </c>
      <c r="C445" s="1" t="s">
        <v>492</v>
      </c>
      <c r="D445" s="1" t="s">
        <v>1157</v>
      </c>
      <c r="E445" s="1" t="s">
        <v>19</v>
      </c>
      <c r="F445" s="1" t="s">
        <v>1179</v>
      </c>
      <c r="G445" s="1" t="s">
        <v>98</v>
      </c>
      <c r="H445" s="1" t="s">
        <v>1013</v>
      </c>
      <c r="I445" s="1" t="s">
        <v>731</v>
      </c>
      <c r="J445" s="1" t="s">
        <v>1014</v>
      </c>
      <c r="K445" s="1"/>
      <c r="L445" s="1" t="s">
        <v>15</v>
      </c>
      <c r="M445" s="1" t="s">
        <v>14</v>
      </c>
    </row>
    <row r="446" spans="1:13" x14ac:dyDescent="0.3">
      <c r="A446" s="1" t="s">
        <v>1193</v>
      </c>
      <c r="B446" s="1" t="s">
        <v>1194</v>
      </c>
      <c r="C446" s="1" t="s">
        <v>492</v>
      </c>
      <c r="D446" s="1" t="s">
        <v>1157</v>
      </c>
      <c r="E446" s="1" t="s">
        <v>19</v>
      </c>
      <c r="F446" s="1" t="s">
        <v>1179</v>
      </c>
      <c r="G446" s="1" t="s">
        <v>98</v>
      </c>
      <c r="H446" s="1" t="s">
        <v>1132</v>
      </c>
      <c r="I446" s="1" t="s">
        <v>731</v>
      </c>
      <c r="J446" s="1" t="s">
        <v>773</v>
      </c>
      <c r="K446" s="1"/>
      <c r="L446" s="1" t="s">
        <v>15</v>
      </c>
      <c r="M446" s="1" t="s">
        <v>14</v>
      </c>
    </row>
    <row r="447" spans="1:13" x14ac:dyDescent="0.3">
      <c r="A447" s="1" t="s">
        <v>1195</v>
      </c>
      <c r="B447" s="1" t="s">
        <v>1196</v>
      </c>
      <c r="C447" s="1" t="s">
        <v>492</v>
      </c>
      <c r="D447" s="1" t="s">
        <v>1157</v>
      </c>
      <c r="E447" s="1" t="s">
        <v>19</v>
      </c>
      <c r="F447" s="1" t="s">
        <v>1179</v>
      </c>
      <c r="G447" s="1" t="s">
        <v>98</v>
      </c>
      <c r="H447" s="1" t="s">
        <v>900</v>
      </c>
      <c r="I447" s="1" t="s">
        <v>731</v>
      </c>
      <c r="J447" s="1" t="s">
        <v>450</v>
      </c>
      <c r="K447" s="1"/>
      <c r="L447" s="1" t="s">
        <v>15</v>
      </c>
      <c r="M447" s="1" t="s">
        <v>14</v>
      </c>
    </row>
    <row r="448" spans="1:13" x14ac:dyDescent="0.3">
      <c r="A448" s="1" t="s">
        <v>1197</v>
      </c>
      <c r="B448" s="1" t="s">
        <v>1198</v>
      </c>
      <c r="C448" s="1" t="s">
        <v>492</v>
      </c>
      <c r="D448" s="1" t="s">
        <v>1157</v>
      </c>
      <c r="E448" s="1" t="s">
        <v>19</v>
      </c>
      <c r="F448" s="1" t="s">
        <v>1179</v>
      </c>
      <c r="G448" s="1" t="s">
        <v>98</v>
      </c>
      <c r="H448" s="1" t="s">
        <v>840</v>
      </c>
      <c r="I448" s="1" t="s">
        <v>731</v>
      </c>
      <c r="J448" s="1" t="s">
        <v>232</v>
      </c>
      <c r="K448" s="1"/>
      <c r="L448" s="1" t="s">
        <v>15</v>
      </c>
      <c r="M448" s="1" t="s">
        <v>14</v>
      </c>
    </row>
    <row r="449" spans="1:13" x14ac:dyDescent="0.3">
      <c r="A449" s="1" t="s">
        <v>1199</v>
      </c>
      <c r="B449" s="1" t="s">
        <v>1200</v>
      </c>
      <c r="C449" s="1" t="s">
        <v>492</v>
      </c>
      <c r="D449" s="1" t="s">
        <v>1157</v>
      </c>
      <c r="E449" s="1" t="s">
        <v>19</v>
      </c>
      <c r="F449" s="1" t="s">
        <v>1179</v>
      </c>
      <c r="G449" s="1" t="s">
        <v>98</v>
      </c>
      <c r="H449" s="1" t="s">
        <v>1139</v>
      </c>
      <c r="I449" s="1" t="s">
        <v>731</v>
      </c>
      <c r="J449" s="1" t="s">
        <v>579</v>
      </c>
      <c r="K449" s="1"/>
      <c r="L449" s="1" t="s">
        <v>15</v>
      </c>
      <c r="M449" s="1" t="s">
        <v>14</v>
      </c>
    </row>
    <row r="450" spans="1:13" x14ac:dyDescent="0.3">
      <c r="A450" s="1" t="s">
        <v>1201</v>
      </c>
      <c r="B450" s="1" t="s">
        <v>1202</v>
      </c>
      <c r="C450" s="1" t="s">
        <v>492</v>
      </c>
      <c r="D450" s="1" t="s">
        <v>1157</v>
      </c>
      <c r="E450" s="1" t="s">
        <v>19</v>
      </c>
      <c r="F450" s="1" t="s">
        <v>1179</v>
      </c>
      <c r="G450" s="1" t="s">
        <v>98</v>
      </c>
      <c r="H450" s="1" t="s">
        <v>1203</v>
      </c>
      <c r="I450" s="1" t="s">
        <v>731</v>
      </c>
      <c r="J450" s="1"/>
      <c r="K450" s="1"/>
      <c r="L450" s="1" t="s">
        <v>15</v>
      </c>
      <c r="M450" s="1" t="s">
        <v>14</v>
      </c>
    </row>
    <row r="451" spans="1:13" x14ac:dyDescent="0.3">
      <c r="A451" s="1" t="s">
        <v>1204</v>
      </c>
      <c r="B451" s="1" t="s">
        <v>1205</v>
      </c>
      <c r="C451" s="1" t="s">
        <v>492</v>
      </c>
      <c r="D451" s="1" t="s">
        <v>1157</v>
      </c>
      <c r="E451" s="1" t="s">
        <v>19</v>
      </c>
      <c r="F451" s="1" t="s">
        <v>1179</v>
      </c>
      <c r="G451" s="1" t="s">
        <v>98</v>
      </c>
      <c r="H451" s="1" t="s">
        <v>1206</v>
      </c>
      <c r="I451" s="1" t="s">
        <v>731</v>
      </c>
      <c r="J451" s="1"/>
      <c r="K451" s="1"/>
      <c r="L451" s="1" t="s">
        <v>15</v>
      </c>
      <c r="M451" s="1" t="s">
        <v>14</v>
      </c>
    </row>
    <row r="452" spans="1:13" x14ac:dyDescent="0.3">
      <c r="A452" s="1" t="s">
        <v>1207</v>
      </c>
      <c r="B452" s="1" t="s">
        <v>1208</v>
      </c>
      <c r="C452" s="1" t="s">
        <v>492</v>
      </c>
      <c r="D452" s="1" t="s">
        <v>1157</v>
      </c>
      <c r="E452" s="1" t="s">
        <v>19</v>
      </c>
      <c r="F452" s="1" t="s">
        <v>1179</v>
      </c>
      <c r="G452" s="1" t="s">
        <v>98</v>
      </c>
      <c r="H452" s="1" t="s">
        <v>852</v>
      </c>
      <c r="I452" s="1" t="s">
        <v>731</v>
      </c>
      <c r="J452" s="1" t="s">
        <v>853</v>
      </c>
      <c r="K452" s="1"/>
      <c r="L452" s="1" t="s">
        <v>15</v>
      </c>
      <c r="M452" s="1" t="s">
        <v>14</v>
      </c>
    </row>
    <row r="453" spans="1:13" x14ac:dyDescent="0.3">
      <c r="A453" s="1" t="s">
        <v>1209</v>
      </c>
      <c r="B453" s="1" t="s">
        <v>1210</v>
      </c>
      <c r="C453" s="1" t="s">
        <v>492</v>
      </c>
      <c r="D453" s="1" t="s">
        <v>1211</v>
      </c>
      <c r="E453" s="1" t="s">
        <v>132</v>
      </c>
      <c r="F453" s="1" t="s">
        <v>1212</v>
      </c>
      <c r="G453" s="1" t="s">
        <v>98</v>
      </c>
      <c r="H453" s="1" t="s">
        <v>514</v>
      </c>
      <c r="I453" s="1" t="s">
        <v>731</v>
      </c>
      <c r="J453" s="1" t="s">
        <v>341</v>
      </c>
      <c r="K453" s="1"/>
      <c r="L453" s="1" t="s">
        <v>15</v>
      </c>
      <c r="M453" s="1" t="s">
        <v>14</v>
      </c>
    </row>
    <row r="454" spans="1:13" x14ac:dyDescent="0.3">
      <c r="A454" s="1" t="s">
        <v>1213</v>
      </c>
      <c r="B454" s="1" t="s">
        <v>1214</v>
      </c>
      <c r="C454" s="1" t="s">
        <v>492</v>
      </c>
      <c r="D454" s="1" t="s">
        <v>1211</v>
      </c>
      <c r="E454" s="1" t="s">
        <v>132</v>
      </c>
      <c r="F454" s="1" t="s">
        <v>1212</v>
      </c>
      <c r="G454" s="1" t="s">
        <v>98</v>
      </c>
      <c r="H454" s="1" t="s">
        <v>1161</v>
      </c>
      <c r="I454" s="1" t="s">
        <v>731</v>
      </c>
      <c r="J454" s="1" t="s">
        <v>325</v>
      </c>
      <c r="K454" s="1"/>
      <c r="L454" s="1" t="s">
        <v>15</v>
      </c>
      <c r="M454" s="1" t="s">
        <v>14</v>
      </c>
    </row>
    <row r="455" spans="1:13" x14ac:dyDescent="0.3">
      <c r="A455" s="1" t="s">
        <v>1215</v>
      </c>
      <c r="B455" s="1" t="s">
        <v>1216</v>
      </c>
      <c r="C455" s="1" t="s">
        <v>492</v>
      </c>
      <c r="D455" s="1" t="s">
        <v>1211</v>
      </c>
      <c r="E455" s="1" t="s">
        <v>132</v>
      </c>
      <c r="F455" s="1" t="s">
        <v>1212</v>
      </c>
      <c r="G455" s="1" t="s">
        <v>98</v>
      </c>
      <c r="H455" s="1" t="s">
        <v>520</v>
      </c>
      <c r="I455" s="1" t="s">
        <v>731</v>
      </c>
      <c r="J455" s="1" t="s">
        <v>357</v>
      </c>
      <c r="K455" s="1"/>
      <c r="L455" s="1" t="s">
        <v>15</v>
      </c>
      <c r="M455" s="1" t="s">
        <v>14</v>
      </c>
    </row>
    <row r="456" spans="1:13" x14ac:dyDescent="0.3">
      <c r="A456" s="1" t="s">
        <v>1217</v>
      </c>
      <c r="B456" s="1" t="s">
        <v>1218</v>
      </c>
      <c r="C456" s="1" t="s">
        <v>492</v>
      </c>
      <c r="D456" s="1" t="s">
        <v>1211</v>
      </c>
      <c r="E456" s="1" t="s">
        <v>132</v>
      </c>
      <c r="F456" s="1" t="s">
        <v>1212</v>
      </c>
      <c r="G456" s="1" t="s">
        <v>98</v>
      </c>
      <c r="H456" s="1" t="s">
        <v>494</v>
      </c>
      <c r="I456" s="1" t="s">
        <v>731</v>
      </c>
      <c r="J456" s="1" t="s">
        <v>200</v>
      </c>
      <c r="K456" s="1"/>
      <c r="L456" s="1" t="s">
        <v>15</v>
      </c>
      <c r="M456" s="1" t="s">
        <v>14</v>
      </c>
    </row>
    <row r="457" spans="1:13" x14ac:dyDescent="0.3">
      <c r="A457" s="1" t="s">
        <v>1219</v>
      </c>
      <c r="B457" s="1" t="s">
        <v>1220</v>
      </c>
      <c r="C457" s="1" t="s">
        <v>492</v>
      </c>
      <c r="D457" s="1" t="s">
        <v>1211</v>
      </c>
      <c r="E457" s="1" t="s">
        <v>132</v>
      </c>
      <c r="F457" s="1" t="s">
        <v>1212</v>
      </c>
      <c r="G457" s="1" t="s">
        <v>98</v>
      </c>
      <c r="H457" s="1" t="s">
        <v>499</v>
      </c>
      <c r="I457" s="1" t="s">
        <v>731</v>
      </c>
      <c r="J457" s="1" t="s">
        <v>147</v>
      </c>
      <c r="K457" s="1"/>
      <c r="L457" s="1" t="s">
        <v>15</v>
      </c>
      <c r="M457" s="1" t="s">
        <v>14</v>
      </c>
    </row>
    <row r="458" spans="1:13" x14ac:dyDescent="0.3">
      <c r="A458" s="1" t="s">
        <v>1221</v>
      </c>
      <c r="B458" s="1" t="s">
        <v>1222</v>
      </c>
      <c r="C458" s="1" t="s">
        <v>492</v>
      </c>
      <c r="D458" s="1" t="s">
        <v>1211</v>
      </c>
      <c r="E458" s="1" t="s">
        <v>132</v>
      </c>
      <c r="F458" s="1" t="s">
        <v>1212</v>
      </c>
      <c r="G458" s="1" t="s">
        <v>98</v>
      </c>
      <c r="H458" s="1" t="s">
        <v>1170</v>
      </c>
      <c r="I458" s="1" t="s">
        <v>731</v>
      </c>
      <c r="J458" s="1" t="s">
        <v>167</v>
      </c>
      <c r="K458" s="1"/>
      <c r="L458" s="1" t="s">
        <v>15</v>
      </c>
      <c r="M458" s="1" t="s">
        <v>14</v>
      </c>
    </row>
    <row r="459" spans="1:13" x14ac:dyDescent="0.3">
      <c r="A459" s="1" t="s">
        <v>1223</v>
      </c>
      <c r="B459" s="1" t="s">
        <v>1224</v>
      </c>
      <c r="C459" s="1" t="s">
        <v>492</v>
      </c>
      <c r="D459" s="1" t="s">
        <v>1211</v>
      </c>
      <c r="E459" s="1" t="s">
        <v>132</v>
      </c>
      <c r="F459" s="1" t="s">
        <v>1212</v>
      </c>
      <c r="G459" s="1" t="s">
        <v>98</v>
      </c>
      <c r="H459" s="1" t="s">
        <v>505</v>
      </c>
      <c r="I459" s="1" t="s">
        <v>731</v>
      </c>
      <c r="J459" s="1" t="s">
        <v>183</v>
      </c>
      <c r="K459" s="1"/>
      <c r="L459" s="1" t="s">
        <v>15</v>
      </c>
      <c r="M459" s="1" t="s">
        <v>14</v>
      </c>
    </row>
    <row r="460" spans="1:13" x14ac:dyDescent="0.3">
      <c r="A460" s="1" t="s">
        <v>1225</v>
      </c>
      <c r="B460" s="1" t="s">
        <v>1226</v>
      </c>
      <c r="C460" s="1" t="s">
        <v>492</v>
      </c>
      <c r="D460" s="1" t="s">
        <v>1211</v>
      </c>
      <c r="E460" s="1" t="s">
        <v>132</v>
      </c>
      <c r="F460" s="1" t="s">
        <v>1212</v>
      </c>
      <c r="G460" s="1" t="s">
        <v>98</v>
      </c>
      <c r="H460" s="1" t="s">
        <v>1175</v>
      </c>
      <c r="I460" s="1" t="s">
        <v>731</v>
      </c>
      <c r="J460" s="1" t="s">
        <v>748</v>
      </c>
      <c r="K460" s="1"/>
      <c r="L460" s="1" t="s">
        <v>15</v>
      </c>
      <c r="M460" s="1" t="s">
        <v>14</v>
      </c>
    </row>
    <row r="461" spans="1:13" x14ac:dyDescent="0.3">
      <c r="A461" s="1" t="s">
        <v>1227</v>
      </c>
      <c r="B461" s="1" t="s">
        <v>1228</v>
      </c>
      <c r="C461" s="1" t="s">
        <v>492</v>
      </c>
      <c r="D461" s="1" t="s">
        <v>1211</v>
      </c>
      <c r="E461" s="1" t="s">
        <v>19</v>
      </c>
      <c r="F461" s="1" t="s">
        <v>1229</v>
      </c>
      <c r="G461" s="1" t="s">
        <v>98</v>
      </c>
      <c r="H461" s="1" t="s">
        <v>1178</v>
      </c>
      <c r="I461" s="1" t="s">
        <v>731</v>
      </c>
      <c r="J461" s="1" t="s">
        <v>790</v>
      </c>
      <c r="K461" s="1"/>
      <c r="L461" s="1" t="s">
        <v>15</v>
      </c>
      <c r="M461" s="1" t="s">
        <v>14</v>
      </c>
    </row>
    <row r="462" spans="1:13" x14ac:dyDescent="0.3">
      <c r="A462" s="1" t="s">
        <v>1230</v>
      </c>
      <c r="B462" s="1" t="s">
        <v>1231</v>
      </c>
      <c r="C462" s="1" t="s">
        <v>492</v>
      </c>
      <c r="D462" s="1" t="s">
        <v>1211</v>
      </c>
      <c r="E462" s="1" t="s">
        <v>19</v>
      </c>
      <c r="F462" s="1" t="s">
        <v>1229</v>
      </c>
      <c r="G462" s="1" t="s">
        <v>98</v>
      </c>
      <c r="H462" s="1" t="s">
        <v>1182</v>
      </c>
      <c r="I462" s="1" t="s">
        <v>731</v>
      </c>
      <c r="J462" s="1" t="s">
        <v>752</v>
      </c>
      <c r="K462" s="1"/>
      <c r="L462" s="1" t="s">
        <v>15</v>
      </c>
      <c r="M462" s="1" t="s">
        <v>14</v>
      </c>
    </row>
    <row r="463" spans="1:13" x14ac:dyDescent="0.3">
      <c r="A463" s="1" t="s">
        <v>1232</v>
      </c>
      <c r="B463" s="1" t="s">
        <v>1233</v>
      </c>
      <c r="C463" s="1" t="s">
        <v>492</v>
      </c>
      <c r="D463" s="1" t="s">
        <v>1211</v>
      </c>
      <c r="E463" s="1" t="s">
        <v>19</v>
      </c>
      <c r="F463" s="1" t="s">
        <v>1229</v>
      </c>
      <c r="G463" s="1" t="s">
        <v>98</v>
      </c>
      <c r="H463" s="1" t="s">
        <v>938</v>
      </c>
      <c r="I463" s="1" t="s">
        <v>731</v>
      </c>
      <c r="J463" s="1" t="s">
        <v>757</v>
      </c>
      <c r="K463" s="1"/>
      <c r="L463" s="1" t="s">
        <v>15</v>
      </c>
      <c r="M463" s="1" t="s">
        <v>14</v>
      </c>
    </row>
    <row r="464" spans="1:13" x14ac:dyDescent="0.3">
      <c r="A464" s="1" t="s">
        <v>1234</v>
      </c>
      <c r="B464" s="1" t="s">
        <v>1235</v>
      </c>
      <c r="C464" s="1" t="s">
        <v>492</v>
      </c>
      <c r="D464" s="1" t="s">
        <v>1211</v>
      </c>
      <c r="E464" s="1" t="s">
        <v>19</v>
      </c>
      <c r="F464" s="1" t="s">
        <v>1229</v>
      </c>
      <c r="G464" s="1" t="s">
        <v>98</v>
      </c>
      <c r="H464" s="1" t="s">
        <v>1062</v>
      </c>
      <c r="I464" s="1" t="s">
        <v>731</v>
      </c>
      <c r="J464" s="1"/>
      <c r="K464" s="1"/>
      <c r="L464" s="1" t="s">
        <v>15</v>
      </c>
      <c r="M464" s="1" t="s">
        <v>14</v>
      </c>
    </row>
    <row r="465" spans="1:13" x14ac:dyDescent="0.3">
      <c r="A465" s="1" t="s">
        <v>1236</v>
      </c>
      <c r="B465" s="1" t="s">
        <v>1237</v>
      </c>
      <c r="C465" s="1" t="s">
        <v>492</v>
      </c>
      <c r="D465" s="1" t="s">
        <v>1211</v>
      </c>
      <c r="E465" s="1" t="s">
        <v>19</v>
      </c>
      <c r="F465" s="1" t="s">
        <v>1229</v>
      </c>
      <c r="G465" s="1" t="s">
        <v>98</v>
      </c>
      <c r="H465" s="1" t="s">
        <v>779</v>
      </c>
      <c r="I465" s="1" t="s">
        <v>731</v>
      </c>
      <c r="J465" s="1" t="s">
        <v>780</v>
      </c>
      <c r="K465" s="1"/>
      <c r="L465" s="1" t="s">
        <v>15</v>
      </c>
      <c r="M465" s="1" t="s">
        <v>14</v>
      </c>
    </row>
    <row r="466" spans="1:13" x14ac:dyDescent="0.3">
      <c r="A466" s="1" t="s">
        <v>1238</v>
      </c>
      <c r="B466" s="1" t="s">
        <v>1239</v>
      </c>
      <c r="C466" s="1" t="s">
        <v>492</v>
      </c>
      <c r="D466" s="1" t="s">
        <v>1211</v>
      </c>
      <c r="E466" s="1" t="s">
        <v>19</v>
      </c>
      <c r="F466" s="1" t="s">
        <v>1229</v>
      </c>
      <c r="G466" s="1" t="s">
        <v>98</v>
      </c>
      <c r="H466" s="1" t="s">
        <v>942</v>
      </c>
      <c r="I466" s="1" t="s">
        <v>731</v>
      </c>
      <c r="J466" s="1" t="s">
        <v>545</v>
      </c>
      <c r="K466" s="1"/>
      <c r="L466" s="1" t="s">
        <v>15</v>
      </c>
      <c r="M466" s="1" t="s">
        <v>14</v>
      </c>
    </row>
    <row r="467" spans="1:13" x14ac:dyDescent="0.3">
      <c r="A467" s="1" t="s">
        <v>1240</v>
      </c>
      <c r="B467" s="1" t="s">
        <v>1241</v>
      </c>
      <c r="C467" s="1" t="s">
        <v>492</v>
      </c>
      <c r="D467" s="1" t="s">
        <v>1211</v>
      </c>
      <c r="E467" s="1" t="s">
        <v>19</v>
      </c>
      <c r="F467" s="1" t="s">
        <v>1229</v>
      </c>
      <c r="G467" s="1" t="s">
        <v>98</v>
      </c>
      <c r="H467" s="1" t="s">
        <v>1013</v>
      </c>
      <c r="I467" s="1" t="s">
        <v>731</v>
      </c>
      <c r="J467" s="1" t="s">
        <v>1014</v>
      </c>
      <c r="K467" s="1"/>
      <c r="L467" s="1" t="s">
        <v>15</v>
      </c>
      <c r="M467" s="1" t="s">
        <v>14</v>
      </c>
    </row>
    <row r="468" spans="1:13" x14ac:dyDescent="0.3">
      <c r="A468" s="1" t="s">
        <v>1242</v>
      </c>
      <c r="B468" s="1" t="s">
        <v>1243</v>
      </c>
      <c r="C468" s="1" t="s">
        <v>492</v>
      </c>
      <c r="D468" s="1" t="s">
        <v>1211</v>
      </c>
      <c r="E468" s="1" t="s">
        <v>19</v>
      </c>
      <c r="F468" s="1" t="s">
        <v>1229</v>
      </c>
      <c r="G468" s="1" t="s">
        <v>98</v>
      </c>
      <c r="H468" s="1" t="s">
        <v>1132</v>
      </c>
      <c r="I468" s="1" t="s">
        <v>731</v>
      </c>
      <c r="J468" s="1" t="s">
        <v>773</v>
      </c>
      <c r="K468" s="1"/>
      <c r="L468" s="1" t="s">
        <v>15</v>
      </c>
      <c r="M468" s="1" t="s">
        <v>14</v>
      </c>
    </row>
    <row r="469" spans="1:13" x14ac:dyDescent="0.3">
      <c r="A469" s="1" t="s">
        <v>1244</v>
      </c>
      <c r="B469" s="1" t="s">
        <v>1245</v>
      </c>
      <c r="C469" s="1" t="s">
        <v>492</v>
      </c>
      <c r="D469" s="1" t="s">
        <v>1211</v>
      </c>
      <c r="E469" s="1" t="s">
        <v>19</v>
      </c>
      <c r="F469" s="1" t="s">
        <v>1229</v>
      </c>
      <c r="G469" s="1" t="s">
        <v>98</v>
      </c>
      <c r="H469" s="1" t="s">
        <v>900</v>
      </c>
      <c r="I469" s="1" t="s">
        <v>731</v>
      </c>
      <c r="J469" s="1" t="s">
        <v>450</v>
      </c>
      <c r="K469" s="1"/>
      <c r="L469" s="1" t="s">
        <v>15</v>
      </c>
      <c r="M469" s="1" t="s">
        <v>14</v>
      </c>
    </row>
    <row r="470" spans="1:13" x14ac:dyDescent="0.3">
      <c r="A470" s="1" t="s">
        <v>1246</v>
      </c>
      <c r="B470" s="1" t="s">
        <v>1247</v>
      </c>
      <c r="C470" s="1" t="s">
        <v>492</v>
      </c>
      <c r="D470" s="1" t="s">
        <v>1211</v>
      </c>
      <c r="E470" s="1" t="s">
        <v>19</v>
      </c>
      <c r="F470" s="1" t="s">
        <v>1229</v>
      </c>
      <c r="G470" s="1" t="s">
        <v>98</v>
      </c>
      <c r="H470" s="1" t="s">
        <v>840</v>
      </c>
      <c r="I470" s="1" t="s">
        <v>731</v>
      </c>
      <c r="J470" s="1" t="s">
        <v>232</v>
      </c>
      <c r="K470" s="1"/>
      <c r="L470" s="1" t="s">
        <v>15</v>
      </c>
      <c r="M470" s="1" t="s">
        <v>14</v>
      </c>
    </row>
    <row r="471" spans="1:13" x14ac:dyDescent="0.3">
      <c r="A471" s="1" t="s">
        <v>1248</v>
      </c>
      <c r="B471" s="1" t="s">
        <v>1249</v>
      </c>
      <c r="C471" s="1" t="s">
        <v>492</v>
      </c>
      <c r="D471" s="1" t="s">
        <v>1211</v>
      </c>
      <c r="E471" s="1" t="s">
        <v>19</v>
      </c>
      <c r="F471" s="1" t="s">
        <v>1229</v>
      </c>
      <c r="G471" s="1" t="s">
        <v>98</v>
      </c>
      <c r="H471" s="1" t="s">
        <v>1139</v>
      </c>
      <c r="I471" s="1" t="s">
        <v>731</v>
      </c>
      <c r="J471" s="1" t="s">
        <v>579</v>
      </c>
      <c r="K471" s="1"/>
      <c r="L471" s="1" t="s">
        <v>15</v>
      </c>
      <c r="M471" s="1" t="s">
        <v>14</v>
      </c>
    </row>
    <row r="472" spans="1:13" x14ac:dyDescent="0.3">
      <c r="A472" s="1" t="s">
        <v>1250</v>
      </c>
      <c r="B472" s="1" t="s">
        <v>1251</v>
      </c>
      <c r="C472" s="1" t="s">
        <v>492</v>
      </c>
      <c r="D472" s="1" t="s">
        <v>1211</v>
      </c>
      <c r="E472" s="1" t="s">
        <v>19</v>
      </c>
      <c r="F472" s="1" t="s">
        <v>1229</v>
      </c>
      <c r="G472" s="1" t="s">
        <v>98</v>
      </c>
      <c r="H472" s="1" t="s">
        <v>1252</v>
      </c>
      <c r="I472" s="1" t="s">
        <v>731</v>
      </c>
      <c r="J472" s="1"/>
      <c r="K472" s="1"/>
      <c r="L472" s="1" t="s">
        <v>15</v>
      </c>
      <c r="M472" s="1" t="s">
        <v>14</v>
      </c>
    </row>
    <row r="473" spans="1:13" x14ac:dyDescent="0.3">
      <c r="A473" s="1" t="s">
        <v>1253</v>
      </c>
      <c r="B473" s="1" t="s">
        <v>1254</v>
      </c>
      <c r="C473" s="1" t="s">
        <v>492</v>
      </c>
      <c r="D473" s="1" t="s">
        <v>1211</v>
      </c>
      <c r="E473" s="1" t="s">
        <v>19</v>
      </c>
      <c r="F473" s="1" t="s">
        <v>1229</v>
      </c>
      <c r="G473" s="1" t="s">
        <v>98</v>
      </c>
      <c r="H473" s="1" t="s">
        <v>852</v>
      </c>
      <c r="I473" s="1" t="s">
        <v>731</v>
      </c>
      <c r="J473" s="1" t="s">
        <v>853</v>
      </c>
      <c r="K473" s="1"/>
      <c r="L473" s="1" t="s">
        <v>15</v>
      </c>
      <c r="M473" s="1" t="s">
        <v>14</v>
      </c>
    </row>
    <row r="474" spans="1:13" x14ac:dyDescent="0.3">
      <c r="A474" s="1" t="s">
        <v>1255</v>
      </c>
      <c r="B474" s="1" t="s">
        <v>1256</v>
      </c>
      <c r="C474" s="1" t="s">
        <v>492</v>
      </c>
      <c r="D474" s="1" t="s">
        <v>1211</v>
      </c>
      <c r="E474" s="1" t="s">
        <v>19</v>
      </c>
      <c r="F474" s="1" t="s">
        <v>1229</v>
      </c>
      <c r="G474" s="1" t="s">
        <v>98</v>
      </c>
      <c r="H474" s="1" t="s">
        <v>1206</v>
      </c>
      <c r="I474" s="1" t="s">
        <v>731</v>
      </c>
      <c r="J474" s="1"/>
      <c r="K474" s="1"/>
      <c r="L474" s="1" t="s">
        <v>15</v>
      </c>
      <c r="M474" s="1" t="s">
        <v>14</v>
      </c>
    </row>
    <row r="475" spans="1:13" x14ac:dyDescent="0.3">
      <c r="A475" s="1" t="s">
        <v>1257</v>
      </c>
      <c r="B475" s="1" t="s">
        <v>1258</v>
      </c>
      <c r="C475" s="1" t="s">
        <v>492</v>
      </c>
      <c r="D475" s="1" t="s">
        <v>1259</v>
      </c>
      <c r="E475" s="1" t="s">
        <v>132</v>
      </c>
      <c r="F475" s="1" t="s">
        <v>1261</v>
      </c>
      <c r="G475" s="1" t="s">
        <v>98</v>
      </c>
      <c r="H475" s="1" t="s">
        <v>1260</v>
      </c>
      <c r="I475" s="1" t="s">
        <v>1259</v>
      </c>
      <c r="J475" s="1"/>
      <c r="K475" s="1"/>
      <c r="L475" s="1" t="s">
        <v>15</v>
      </c>
      <c r="M475" s="1" t="s">
        <v>14</v>
      </c>
    </row>
    <row r="476" spans="1:13" x14ac:dyDescent="0.3">
      <c r="A476" s="1" t="s">
        <v>1262</v>
      </c>
      <c r="B476" s="1" t="s">
        <v>1263</v>
      </c>
      <c r="C476" s="1" t="s">
        <v>492</v>
      </c>
      <c r="D476" s="1" t="s">
        <v>1259</v>
      </c>
      <c r="E476" s="1" t="s">
        <v>132</v>
      </c>
      <c r="F476" s="1" t="s">
        <v>1261</v>
      </c>
      <c r="G476" s="1" t="s">
        <v>98</v>
      </c>
      <c r="H476" s="1" t="s">
        <v>1264</v>
      </c>
      <c r="I476" s="1" t="s">
        <v>1259</v>
      </c>
      <c r="J476" s="1"/>
      <c r="K476" s="1"/>
      <c r="L476" s="1" t="s">
        <v>15</v>
      </c>
      <c r="M476" s="1" t="s">
        <v>14</v>
      </c>
    </row>
    <row r="477" spans="1:13" x14ac:dyDescent="0.3">
      <c r="A477" s="1" t="s">
        <v>1265</v>
      </c>
      <c r="B477" s="1" t="s">
        <v>1266</v>
      </c>
      <c r="C477" s="1" t="s">
        <v>492</v>
      </c>
      <c r="D477" s="1" t="s">
        <v>1259</v>
      </c>
      <c r="E477" s="1" t="s">
        <v>132</v>
      </c>
      <c r="F477" s="1" t="s">
        <v>1261</v>
      </c>
      <c r="G477" s="1" t="s">
        <v>98</v>
      </c>
      <c r="H477" s="1" t="s">
        <v>1267</v>
      </c>
      <c r="I477" s="1" t="s">
        <v>1259</v>
      </c>
      <c r="J477" s="1"/>
      <c r="K477" s="1"/>
      <c r="L477" s="1" t="s">
        <v>15</v>
      </c>
      <c r="M477" s="1" t="s">
        <v>14</v>
      </c>
    </row>
    <row r="478" spans="1:13" x14ac:dyDescent="0.3">
      <c r="A478" s="1" t="s">
        <v>1268</v>
      </c>
      <c r="B478" s="1" t="s">
        <v>1269</v>
      </c>
      <c r="C478" s="1" t="s">
        <v>492</v>
      </c>
      <c r="D478" s="1" t="s">
        <v>1259</v>
      </c>
      <c r="E478" s="1" t="s">
        <v>132</v>
      </c>
      <c r="F478" s="1" t="s">
        <v>1261</v>
      </c>
      <c r="G478" s="1" t="s">
        <v>98</v>
      </c>
      <c r="H478" s="1" t="s">
        <v>1270</v>
      </c>
      <c r="I478" s="1" t="s">
        <v>1259</v>
      </c>
      <c r="J478" s="1"/>
      <c r="K478" s="1"/>
      <c r="L478" s="1" t="s">
        <v>15</v>
      </c>
      <c r="M478" s="1" t="s">
        <v>14</v>
      </c>
    </row>
    <row r="479" spans="1:13" x14ac:dyDescent="0.3">
      <c r="A479" s="1" t="s">
        <v>1271</v>
      </c>
      <c r="B479" s="1" t="s">
        <v>1272</v>
      </c>
      <c r="C479" s="1" t="s">
        <v>492</v>
      </c>
      <c r="D479" s="1" t="s">
        <v>1259</v>
      </c>
      <c r="E479" s="1" t="s">
        <v>132</v>
      </c>
      <c r="F479" s="1" t="s">
        <v>1261</v>
      </c>
      <c r="G479" s="1" t="s">
        <v>98</v>
      </c>
      <c r="H479" s="1" t="s">
        <v>1273</v>
      </c>
      <c r="I479" s="1" t="s">
        <v>1259</v>
      </c>
      <c r="J479" s="1"/>
      <c r="K479" s="1"/>
      <c r="L479" s="1" t="s">
        <v>15</v>
      </c>
      <c r="M479" s="1" t="s">
        <v>14</v>
      </c>
    </row>
    <row r="480" spans="1:13" x14ac:dyDescent="0.3">
      <c r="A480" s="1" t="s">
        <v>1274</v>
      </c>
      <c r="B480" s="1" t="s">
        <v>1275</v>
      </c>
      <c r="C480" s="1" t="s">
        <v>492</v>
      </c>
      <c r="D480" s="1" t="s">
        <v>1259</v>
      </c>
      <c r="E480" s="1" t="s">
        <v>132</v>
      </c>
      <c r="F480" s="1" t="s">
        <v>1261</v>
      </c>
      <c r="G480" s="1" t="s">
        <v>98</v>
      </c>
      <c r="H480" s="1" t="s">
        <v>1276</v>
      </c>
      <c r="I480" s="1" t="s">
        <v>1259</v>
      </c>
      <c r="J480" s="1"/>
      <c r="K480" s="1"/>
      <c r="L480" s="1" t="s">
        <v>15</v>
      </c>
      <c r="M480" s="1" t="s">
        <v>14</v>
      </c>
    </row>
    <row r="481" spans="1:13" x14ac:dyDescent="0.3">
      <c r="A481" s="1" t="s">
        <v>1277</v>
      </c>
      <c r="B481" s="1" t="s">
        <v>1278</v>
      </c>
      <c r="C481" s="1" t="s">
        <v>492</v>
      </c>
      <c r="D481" s="1" t="s">
        <v>1259</v>
      </c>
      <c r="E481" s="1" t="s">
        <v>19</v>
      </c>
      <c r="F481" s="1" t="s">
        <v>1280</v>
      </c>
      <c r="G481" s="1" t="s">
        <v>98</v>
      </c>
      <c r="H481" s="1" t="s">
        <v>1279</v>
      </c>
      <c r="I481" s="1" t="s">
        <v>1259</v>
      </c>
      <c r="J481" s="1"/>
      <c r="K481" s="1"/>
      <c r="L481" s="1" t="s">
        <v>15</v>
      </c>
      <c r="M481" s="1" t="s">
        <v>14</v>
      </c>
    </row>
    <row r="482" spans="1:13" x14ac:dyDescent="0.3">
      <c r="A482" s="1" t="s">
        <v>1281</v>
      </c>
      <c r="B482" s="1" t="s">
        <v>1282</v>
      </c>
      <c r="C482" s="1" t="s">
        <v>492</v>
      </c>
      <c r="D482" s="1" t="s">
        <v>1259</v>
      </c>
      <c r="E482" s="1" t="s">
        <v>19</v>
      </c>
      <c r="F482" s="1" t="s">
        <v>1280</v>
      </c>
      <c r="G482" s="1" t="s">
        <v>98</v>
      </c>
      <c r="H482" s="1" t="s">
        <v>1283</v>
      </c>
      <c r="I482" s="1" t="s">
        <v>1259</v>
      </c>
      <c r="J482" s="1"/>
      <c r="K482" s="1"/>
      <c r="L482" s="1" t="s">
        <v>15</v>
      </c>
      <c r="M482" s="1" t="s">
        <v>14</v>
      </c>
    </row>
    <row r="483" spans="1:13" x14ac:dyDescent="0.3">
      <c r="A483" s="1" t="s">
        <v>1284</v>
      </c>
      <c r="B483" s="1" t="s">
        <v>1285</v>
      </c>
      <c r="C483" s="1" t="s">
        <v>492</v>
      </c>
      <c r="D483" s="1" t="s">
        <v>1286</v>
      </c>
      <c r="E483" s="1" t="s">
        <v>19</v>
      </c>
      <c r="F483" s="1" t="s">
        <v>1289</v>
      </c>
      <c r="G483" s="1" t="s">
        <v>98</v>
      </c>
      <c r="H483" s="1" t="s">
        <v>1287</v>
      </c>
      <c r="I483" s="1" t="s">
        <v>1288</v>
      </c>
      <c r="J483" s="1"/>
      <c r="K483" s="1"/>
      <c r="L483" s="1" t="s">
        <v>15</v>
      </c>
      <c r="M483" s="1" t="s">
        <v>14</v>
      </c>
    </row>
    <row r="484" spans="1:13" x14ac:dyDescent="0.3">
      <c r="A484" s="1" t="s">
        <v>1290</v>
      </c>
      <c r="B484" s="1" t="s">
        <v>1291</v>
      </c>
      <c r="C484" s="1" t="s">
        <v>492</v>
      </c>
      <c r="D484" s="1" t="s">
        <v>1286</v>
      </c>
      <c r="E484" s="1" t="s">
        <v>19</v>
      </c>
      <c r="F484" s="1" t="s">
        <v>1289</v>
      </c>
      <c r="G484" s="1" t="s">
        <v>98</v>
      </c>
      <c r="H484" s="1" t="s">
        <v>1292</v>
      </c>
      <c r="I484" s="1" t="s">
        <v>1288</v>
      </c>
      <c r="J484" s="1"/>
      <c r="K484" s="1"/>
      <c r="L484" s="1" t="s">
        <v>15</v>
      </c>
      <c r="M484" s="1" t="s">
        <v>14</v>
      </c>
    </row>
    <row r="485" spans="1:13" x14ac:dyDescent="0.3">
      <c r="A485" s="1" t="s">
        <v>1293</v>
      </c>
      <c r="B485" s="1" t="s">
        <v>1294</v>
      </c>
      <c r="C485" s="1" t="s">
        <v>492</v>
      </c>
      <c r="D485" s="1" t="s">
        <v>1286</v>
      </c>
      <c r="E485" s="1" t="s">
        <v>19</v>
      </c>
      <c r="F485" s="1" t="s">
        <v>1289</v>
      </c>
      <c r="G485" s="1" t="s">
        <v>98</v>
      </c>
      <c r="H485" s="1" t="s">
        <v>1295</v>
      </c>
      <c r="I485" s="1" t="s">
        <v>1288</v>
      </c>
      <c r="J485" s="1"/>
      <c r="K485" s="1"/>
      <c r="L485" s="1" t="s">
        <v>15</v>
      </c>
      <c r="M485" s="1" t="s">
        <v>14</v>
      </c>
    </row>
    <row r="486" spans="1:13" x14ac:dyDescent="0.3">
      <c r="A486" s="1" t="s">
        <v>1296</v>
      </c>
      <c r="B486" s="1" t="s">
        <v>1297</v>
      </c>
      <c r="C486" s="1" t="s">
        <v>492</v>
      </c>
      <c r="D486" s="1" t="s">
        <v>1298</v>
      </c>
      <c r="E486" s="1" t="s">
        <v>19</v>
      </c>
      <c r="F486" s="1" t="s">
        <v>1300</v>
      </c>
      <c r="G486" s="1" t="s">
        <v>98</v>
      </c>
      <c r="H486" s="1" t="s">
        <v>1299</v>
      </c>
      <c r="I486" s="1" t="s">
        <v>1288</v>
      </c>
      <c r="J486" s="1"/>
      <c r="K486" s="1"/>
      <c r="L486" s="1" t="s">
        <v>15</v>
      </c>
      <c r="M486" s="1" t="s">
        <v>14</v>
      </c>
    </row>
    <row r="487" spans="1:13" x14ac:dyDescent="0.3">
      <c r="A487" s="1" t="s">
        <v>1301</v>
      </c>
      <c r="B487" s="1" t="s">
        <v>1302</v>
      </c>
      <c r="C487" s="1" t="s">
        <v>492</v>
      </c>
      <c r="D487" s="1" t="s">
        <v>1298</v>
      </c>
      <c r="E487" s="1" t="s">
        <v>19</v>
      </c>
      <c r="F487" s="1" t="s">
        <v>1300</v>
      </c>
      <c r="G487" s="1" t="s">
        <v>98</v>
      </c>
      <c r="H487" s="1" t="s">
        <v>1303</v>
      </c>
      <c r="I487" s="1" t="s">
        <v>1288</v>
      </c>
      <c r="J487" s="1"/>
      <c r="K487" s="1"/>
      <c r="L487" s="1" t="s">
        <v>15</v>
      </c>
      <c r="M487" s="1" t="s">
        <v>14</v>
      </c>
    </row>
    <row r="488" spans="1:13" x14ac:dyDescent="0.3">
      <c r="A488" s="1" t="s">
        <v>1304</v>
      </c>
      <c r="B488" s="1" t="s">
        <v>1305</v>
      </c>
      <c r="C488" s="1" t="s">
        <v>492</v>
      </c>
      <c r="D488" s="1" t="s">
        <v>1298</v>
      </c>
      <c r="E488" s="1" t="s">
        <v>19</v>
      </c>
      <c r="F488" s="1" t="s">
        <v>1300</v>
      </c>
      <c r="G488" s="1" t="s">
        <v>98</v>
      </c>
      <c r="H488" s="1" t="s">
        <v>957</v>
      </c>
      <c r="I488" s="1" t="s">
        <v>1288</v>
      </c>
      <c r="J488" s="1"/>
      <c r="K488" s="1"/>
      <c r="L488" s="1" t="s">
        <v>15</v>
      </c>
      <c r="M488" s="1" t="s">
        <v>14</v>
      </c>
    </row>
    <row r="489" spans="1:13" x14ac:dyDescent="0.3">
      <c r="A489" s="1" t="s">
        <v>1306</v>
      </c>
      <c r="B489" s="1" t="s">
        <v>1307</v>
      </c>
      <c r="C489" s="1" t="s">
        <v>492</v>
      </c>
      <c r="D489" s="1" t="s">
        <v>1298</v>
      </c>
      <c r="E489" s="1" t="s">
        <v>19</v>
      </c>
      <c r="F489" s="1" t="s">
        <v>1300</v>
      </c>
      <c r="G489" s="1" t="s">
        <v>98</v>
      </c>
      <c r="H489" s="1" t="s">
        <v>1308</v>
      </c>
      <c r="I489" s="1" t="s">
        <v>1288</v>
      </c>
      <c r="J489" s="1"/>
      <c r="K489" s="1"/>
      <c r="L489" s="1" t="s">
        <v>15</v>
      </c>
      <c r="M489" s="1" t="s">
        <v>14</v>
      </c>
    </row>
    <row r="490" spans="1:13" x14ac:dyDescent="0.3">
      <c r="A490" s="1" t="s">
        <v>1309</v>
      </c>
      <c r="B490" s="1" t="s">
        <v>1310</v>
      </c>
      <c r="C490" s="1" t="s">
        <v>492</v>
      </c>
      <c r="D490" s="1" t="s">
        <v>1298</v>
      </c>
      <c r="E490" s="1" t="s">
        <v>19</v>
      </c>
      <c r="F490" s="1" t="s">
        <v>1300</v>
      </c>
      <c r="G490" s="1" t="s">
        <v>98</v>
      </c>
      <c r="H490" s="1" t="s">
        <v>1311</v>
      </c>
      <c r="I490" s="1" t="s">
        <v>1288</v>
      </c>
      <c r="J490" s="1"/>
      <c r="K490" s="1"/>
      <c r="L490" s="1" t="s">
        <v>15</v>
      </c>
      <c r="M490" s="1" t="s">
        <v>14</v>
      </c>
    </row>
    <row r="491" spans="1:13" x14ac:dyDescent="0.3">
      <c r="A491" s="1" t="s">
        <v>1312</v>
      </c>
      <c r="B491" s="1" t="s">
        <v>1313</v>
      </c>
      <c r="C491" s="1" t="s">
        <v>492</v>
      </c>
      <c r="D491" s="1" t="s">
        <v>1314</v>
      </c>
      <c r="E491" s="1" t="s">
        <v>19</v>
      </c>
      <c r="F491" s="1" t="s">
        <v>1316</v>
      </c>
      <c r="G491" s="1" t="s">
        <v>98</v>
      </c>
      <c r="H491" s="1" t="s">
        <v>1315</v>
      </c>
      <c r="I491" s="1" t="s">
        <v>1288</v>
      </c>
      <c r="J491" s="1"/>
      <c r="K491" s="1"/>
      <c r="L491" s="1" t="s">
        <v>15</v>
      </c>
      <c r="M491" s="1" t="s">
        <v>14</v>
      </c>
    </row>
    <row r="492" spans="1:13" x14ac:dyDescent="0.3">
      <c r="A492" s="1" t="s">
        <v>1317</v>
      </c>
      <c r="B492" s="1" t="s">
        <v>1318</v>
      </c>
      <c r="C492" s="1" t="s">
        <v>492</v>
      </c>
      <c r="D492" s="1" t="s">
        <v>1298</v>
      </c>
      <c r="E492" s="1" t="s">
        <v>19</v>
      </c>
      <c r="F492" s="1" t="s">
        <v>1320</v>
      </c>
      <c r="G492" s="1" t="s">
        <v>98</v>
      </c>
      <c r="H492" s="1" t="s">
        <v>1319</v>
      </c>
      <c r="I492" s="1" t="s">
        <v>1288</v>
      </c>
      <c r="J492" s="1"/>
      <c r="K492" s="1"/>
      <c r="L492" s="1" t="s">
        <v>15</v>
      </c>
      <c r="M492" s="1" t="s">
        <v>14</v>
      </c>
    </row>
    <row r="493" spans="1:13" x14ac:dyDescent="0.3">
      <c r="A493" s="1" t="s">
        <v>1321</v>
      </c>
      <c r="B493" s="1" t="s">
        <v>1322</v>
      </c>
      <c r="C493" s="1" t="s">
        <v>17</v>
      </c>
      <c r="D493" s="1" t="s">
        <v>1323</v>
      </c>
      <c r="E493" s="1" t="s">
        <v>19</v>
      </c>
      <c r="F493" s="1" t="s">
        <v>1320</v>
      </c>
      <c r="G493" s="1" t="s">
        <v>98</v>
      </c>
      <c r="H493" s="1" t="s">
        <v>1324</v>
      </c>
      <c r="I493" s="1" t="s">
        <v>1325</v>
      </c>
      <c r="J493" s="1"/>
      <c r="K493" s="1"/>
      <c r="L493" s="1" t="s">
        <v>15</v>
      </c>
      <c r="M493" s="1" t="s">
        <v>14</v>
      </c>
    </row>
    <row r="494" spans="1:13" x14ac:dyDescent="0.3">
      <c r="A494" s="1" t="s">
        <v>1326</v>
      </c>
      <c r="B494" s="1" t="s">
        <v>1327</v>
      </c>
      <c r="C494" s="1" t="s">
        <v>492</v>
      </c>
      <c r="D494" s="1" t="s">
        <v>1314</v>
      </c>
      <c r="E494" s="1" t="s">
        <v>19</v>
      </c>
      <c r="F494" s="1" t="s">
        <v>1316</v>
      </c>
      <c r="G494" s="1" t="s">
        <v>98</v>
      </c>
      <c r="H494" s="1" t="s">
        <v>1328</v>
      </c>
      <c r="I494" s="1" t="s">
        <v>1288</v>
      </c>
      <c r="J494" s="1"/>
      <c r="K494" s="1"/>
      <c r="L494" s="1" t="s">
        <v>15</v>
      </c>
      <c r="M494" s="1" t="s">
        <v>14</v>
      </c>
    </row>
    <row r="495" spans="1:13" x14ac:dyDescent="0.3">
      <c r="A495" s="1" t="s">
        <v>1329</v>
      </c>
      <c r="B495" s="1" t="s">
        <v>1330</v>
      </c>
      <c r="C495" s="1" t="s">
        <v>492</v>
      </c>
      <c r="D495" s="1" t="s">
        <v>1314</v>
      </c>
      <c r="E495" s="1" t="s">
        <v>19</v>
      </c>
      <c r="F495" s="1" t="s">
        <v>1316</v>
      </c>
      <c r="G495" s="1" t="s">
        <v>98</v>
      </c>
      <c r="H495" s="1" t="s">
        <v>1331</v>
      </c>
      <c r="I495" s="1" t="s">
        <v>1288</v>
      </c>
      <c r="J495" s="1"/>
      <c r="K495" s="1"/>
      <c r="L495" s="1" t="s">
        <v>15</v>
      </c>
      <c r="M495" s="1" t="s">
        <v>14</v>
      </c>
    </row>
    <row r="496" spans="1:13" x14ac:dyDescent="0.3">
      <c r="A496" s="1" t="s">
        <v>1332</v>
      </c>
      <c r="B496" s="1" t="s">
        <v>1333</v>
      </c>
      <c r="C496" s="1" t="s">
        <v>492</v>
      </c>
      <c r="D496" s="1" t="s">
        <v>1334</v>
      </c>
      <c r="E496" s="1" t="s">
        <v>19</v>
      </c>
      <c r="F496" s="1" t="s">
        <v>1337</v>
      </c>
      <c r="G496" s="1" t="s">
        <v>98</v>
      </c>
      <c r="H496" s="1" t="s">
        <v>1335</v>
      </c>
      <c r="I496" s="1" t="s">
        <v>1336</v>
      </c>
      <c r="J496" s="1"/>
      <c r="K496" s="1"/>
      <c r="L496" s="1" t="s">
        <v>15</v>
      </c>
      <c r="M496" s="1" t="s">
        <v>14</v>
      </c>
    </row>
    <row r="497" spans="1:13" x14ac:dyDescent="0.3">
      <c r="A497" s="1" t="s">
        <v>1338</v>
      </c>
      <c r="B497" s="1" t="s">
        <v>1339</v>
      </c>
      <c r="C497" s="1" t="s">
        <v>492</v>
      </c>
      <c r="D497" s="1" t="s">
        <v>1334</v>
      </c>
      <c r="E497" s="1" t="s">
        <v>19</v>
      </c>
      <c r="F497" s="1" t="s">
        <v>1337</v>
      </c>
      <c r="G497" s="1" t="s">
        <v>98</v>
      </c>
      <c r="H497" s="1" t="s">
        <v>1340</v>
      </c>
      <c r="I497" s="1" t="s">
        <v>1336</v>
      </c>
      <c r="J497" s="1"/>
      <c r="K497" s="1"/>
      <c r="L497" s="1" t="s">
        <v>15</v>
      </c>
      <c r="M497" s="1" t="s">
        <v>14</v>
      </c>
    </row>
    <row r="498" spans="1:13" x14ac:dyDescent="0.3">
      <c r="A498" s="1" t="s">
        <v>1341</v>
      </c>
      <c r="B498" s="1" t="s">
        <v>1342</v>
      </c>
      <c r="C498" s="1" t="s">
        <v>492</v>
      </c>
      <c r="D498" s="1" t="s">
        <v>1334</v>
      </c>
      <c r="E498" s="1" t="s">
        <v>19</v>
      </c>
      <c r="F498" s="1" t="s">
        <v>1337</v>
      </c>
      <c r="G498" s="1" t="s">
        <v>98</v>
      </c>
      <c r="H498" s="1" t="s">
        <v>1343</v>
      </c>
      <c r="I498" s="1" t="s">
        <v>1336</v>
      </c>
      <c r="J498" s="1"/>
      <c r="K498" s="1"/>
      <c r="L498" s="1" t="s">
        <v>15</v>
      </c>
      <c r="M498" s="1" t="s">
        <v>14</v>
      </c>
    </row>
    <row r="499" spans="1:13" x14ac:dyDescent="0.3">
      <c r="A499" s="1" t="s">
        <v>1344</v>
      </c>
      <c r="B499" s="1" t="s">
        <v>1345</v>
      </c>
      <c r="C499" s="1" t="s">
        <v>492</v>
      </c>
      <c r="D499" s="1" t="s">
        <v>1334</v>
      </c>
      <c r="E499" s="1" t="s">
        <v>19</v>
      </c>
      <c r="F499" s="1" t="s">
        <v>1337</v>
      </c>
      <c r="G499" s="1" t="s">
        <v>98</v>
      </c>
      <c r="H499" s="1" t="s">
        <v>1346</v>
      </c>
      <c r="I499" s="1" t="s">
        <v>1336</v>
      </c>
      <c r="J499" s="1"/>
      <c r="K499" s="1"/>
      <c r="L499" s="1" t="s">
        <v>15</v>
      </c>
      <c r="M499" s="1" t="s">
        <v>14</v>
      </c>
    </row>
    <row r="500" spans="1:13" x14ac:dyDescent="0.3">
      <c r="A500" s="1" t="s">
        <v>1347</v>
      </c>
      <c r="B500" s="1" t="s">
        <v>1348</v>
      </c>
      <c r="C500" s="1" t="s">
        <v>492</v>
      </c>
      <c r="D500" s="1" t="s">
        <v>1334</v>
      </c>
      <c r="E500" s="1" t="s">
        <v>19</v>
      </c>
      <c r="F500" s="1" t="s">
        <v>1337</v>
      </c>
      <c r="G500" s="1" t="s">
        <v>98</v>
      </c>
      <c r="H500" s="1" t="s">
        <v>1349</v>
      </c>
      <c r="I500" s="1" t="s">
        <v>1336</v>
      </c>
      <c r="J500" s="1"/>
      <c r="K500" s="1"/>
      <c r="L500" s="1" t="s">
        <v>15</v>
      </c>
      <c r="M500" s="1" t="s">
        <v>14</v>
      </c>
    </row>
    <row r="501" spans="1:13" x14ac:dyDescent="0.3">
      <c r="A501" s="1" t="s">
        <v>1350</v>
      </c>
      <c r="B501" s="1" t="s">
        <v>1351</v>
      </c>
      <c r="C501" s="1" t="s">
        <v>492</v>
      </c>
      <c r="D501" s="1" t="s">
        <v>1334</v>
      </c>
      <c r="E501" s="1" t="s">
        <v>19</v>
      </c>
      <c r="F501" s="1" t="s">
        <v>1337</v>
      </c>
      <c r="G501" s="1" t="s">
        <v>98</v>
      </c>
      <c r="H501" s="1" t="s">
        <v>1352</v>
      </c>
      <c r="I501" s="1" t="s">
        <v>1336</v>
      </c>
      <c r="J501" s="1"/>
      <c r="K501" s="1"/>
      <c r="L501" s="1" t="s">
        <v>15</v>
      </c>
      <c r="M501" s="1" t="s">
        <v>14</v>
      </c>
    </row>
    <row r="502" spans="1:13" x14ac:dyDescent="0.3">
      <c r="A502" s="1" t="s">
        <v>1353</v>
      </c>
      <c r="B502" s="1" t="s">
        <v>1354</v>
      </c>
      <c r="C502" s="1" t="s">
        <v>492</v>
      </c>
      <c r="D502" s="1" t="s">
        <v>1334</v>
      </c>
      <c r="E502" s="1" t="s">
        <v>19</v>
      </c>
      <c r="F502" s="1" t="s">
        <v>1337</v>
      </c>
      <c r="G502" s="1" t="s">
        <v>98</v>
      </c>
      <c r="H502" s="1" t="s">
        <v>1355</v>
      </c>
      <c r="I502" s="1" t="s">
        <v>1336</v>
      </c>
      <c r="J502" s="1"/>
      <c r="K502" s="1"/>
      <c r="L502" s="1" t="s">
        <v>15</v>
      </c>
      <c r="M502" s="1" t="s">
        <v>14</v>
      </c>
    </row>
    <row r="503" spans="1:13" x14ac:dyDescent="0.3">
      <c r="A503" s="1" t="s">
        <v>1356</v>
      </c>
      <c r="B503" s="1" t="s">
        <v>1357</v>
      </c>
      <c r="C503" s="1" t="s">
        <v>492</v>
      </c>
      <c r="D503" s="1" t="s">
        <v>1334</v>
      </c>
      <c r="E503" s="1" t="s">
        <v>19</v>
      </c>
      <c r="F503" s="1" t="s">
        <v>1337</v>
      </c>
      <c r="G503" s="1" t="s">
        <v>98</v>
      </c>
      <c r="H503" s="1" t="s">
        <v>1358</v>
      </c>
      <c r="I503" s="1" t="s">
        <v>1336</v>
      </c>
      <c r="J503" s="1"/>
      <c r="K503" s="1"/>
      <c r="L503" s="1" t="s">
        <v>15</v>
      </c>
      <c r="M503" s="1" t="s">
        <v>14</v>
      </c>
    </row>
    <row r="504" spans="1:13" x14ac:dyDescent="0.3">
      <c r="A504" s="1" t="s">
        <v>1359</v>
      </c>
      <c r="B504" s="1" t="s">
        <v>1360</v>
      </c>
      <c r="C504" s="1" t="s">
        <v>492</v>
      </c>
      <c r="D504" s="1" t="s">
        <v>1334</v>
      </c>
      <c r="E504" s="1" t="s">
        <v>19</v>
      </c>
      <c r="F504" s="1" t="s">
        <v>1337</v>
      </c>
      <c r="G504" s="1" t="s">
        <v>98</v>
      </c>
      <c r="H504" s="1" t="s">
        <v>1361</v>
      </c>
      <c r="I504" s="1" t="s">
        <v>1336</v>
      </c>
      <c r="J504" s="1"/>
      <c r="K504" s="1"/>
      <c r="L504" s="1" t="s">
        <v>15</v>
      </c>
      <c r="M504" s="1" t="s">
        <v>14</v>
      </c>
    </row>
    <row r="505" spans="1:13" x14ac:dyDescent="0.3">
      <c r="A505" s="1" t="s">
        <v>1362</v>
      </c>
      <c r="B505" s="1" t="s">
        <v>1363</v>
      </c>
      <c r="C505" s="1" t="s">
        <v>492</v>
      </c>
      <c r="D505" s="1" t="s">
        <v>1334</v>
      </c>
      <c r="E505" s="1" t="s">
        <v>19</v>
      </c>
      <c r="F505" s="1" t="s">
        <v>1337</v>
      </c>
      <c r="G505" s="1" t="s">
        <v>98</v>
      </c>
      <c r="H505" s="1" t="s">
        <v>1364</v>
      </c>
      <c r="I505" s="1" t="s">
        <v>1336</v>
      </c>
      <c r="J505" s="1"/>
      <c r="K505" s="1"/>
      <c r="L505" s="1" t="s">
        <v>15</v>
      </c>
      <c r="M505" s="1" t="s">
        <v>14</v>
      </c>
    </row>
    <row r="506" spans="1:13" x14ac:dyDescent="0.3">
      <c r="A506" s="1" t="s">
        <v>1365</v>
      </c>
      <c r="B506" s="1" t="s">
        <v>1366</v>
      </c>
      <c r="C506" s="1" t="s">
        <v>492</v>
      </c>
      <c r="D506" s="1" t="s">
        <v>1334</v>
      </c>
      <c r="E506" s="1" t="s">
        <v>19</v>
      </c>
      <c r="F506" s="1" t="s">
        <v>1337</v>
      </c>
      <c r="G506" s="1" t="s">
        <v>98</v>
      </c>
      <c r="H506" s="1" t="s">
        <v>1367</v>
      </c>
      <c r="I506" s="1" t="s">
        <v>1336</v>
      </c>
      <c r="J506" s="1"/>
      <c r="K506" s="1"/>
      <c r="L506" s="1" t="s">
        <v>15</v>
      </c>
      <c r="M506" s="1" t="s">
        <v>14</v>
      </c>
    </row>
    <row r="507" spans="1:13" x14ac:dyDescent="0.3">
      <c r="A507" s="1" t="s">
        <v>1368</v>
      </c>
      <c r="B507" s="1" t="s">
        <v>1369</v>
      </c>
      <c r="C507" s="1" t="s">
        <v>492</v>
      </c>
      <c r="D507" s="1" t="s">
        <v>1334</v>
      </c>
      <c r="E507" s="1" t="s">
        <v>19</v>
      </c>
      <c r="F507" s="1" t="s">
        <v>1337</v>
      </c>
      <c r="G507" s="1" t="s">
        <v>98</v>
      </c>
      <c r="H507" s="1" t="s">
        <v>900</v>
      </c>
      <c r="I507" s="1" t="s">
        <v>1336</v>
      </c>
      <c r="J507" s="1"/>
      <c r="K507" s="1"/>
      <c r="L507" s="1" t="s">
        <v>15</v>
      </c>
      <c r="M507" s="1" t="s">
        <v>14</v>
      </c>
    </row>
    <row r="508" spans="1:13" x14ac:dyDescent="0.3">
      <c r="A508" s="1" t="s">
        <v>1370</v>
      </c>
      <c r="B508" s="1" t="s">
        <v>1371</v>
      </c>
      <c r="C508" s="1" t="s">
        <v>492</v>
      </c>
      <c r="D508" s="1" t="s">
        <v>1334</v>
      </c>
      <c r="E508" s="1" t="s">
        <v>19</v>
      </c>
      <c r="F508" s="1" t="s">
        <v>1337</v>
      </c>
      <c r="G508" s="1" t="s">
        <v>98</v>
      </c>
      <c r="H508" s="1" t="s">
        <v>1372</v>
      </c>
      <c r="I508" s="1" t="s">
        <v>1336</v>
      </c>
      <c r="J508" s="1"/>
      <c r="K508" s="1"/>
      <c r="L508" s="1" t="s">
        <v>15</v>
      </c>
      <c r="M508" s="1" t="s">
        <v>14</v>
      </c>
    </row>
    <row r="509" spans="1:13" x14ac:dyDescent="0.3">
      <c r="A509" s="1" t="s">
        <v>1373</v>
      </c>
      <c r="B509" s="1" t="s">
        <v>1374</v>
      </c>
      <c r="C509" s="1" t="s">
        <v>492</v>
      </c>
      <c r="D509" s="1" t="s">
        <v>1334</v>
      </c>
      <c r="E509" s="1" t="s">
        <v>19</v>
      </c>
      <c r="F509" s="1" t="s">
        <v>1337</v>
      </c>
      <c r="G509" s="1" t="s">
        <v>98</v>
      </c>
      <c r="H509" s="1" t="s">
        <v>1375</v>
      </c>
      <c r="I509" s="1" t="s">
        <v>1336</v>
      </c>
      <c r="J509" s="1"/>
      <c r="K509" s="1"/>
      <c r="L509" s="1" t="s">
        <v>15</v>
      </c>
      <c r="M509" s="1" t="s">
        <v>14</v>
      </c>
    </row>
    <row r="510" spans="1:13" x14ac:dyDescent="0.3">
      <c r="A510" s="1" t="s">
        <v>1376</v>
      </c>
      <c r="B510" s="1" t="s">
        <v>1377</v>
      </c>
      <c r="C510" s="1" t="s">
        <v>492</v>
      </c>
      <c r="D510" s="1" t="s">
        <v>1334</v>
      </c>
      <c r="E510" s="1" t="s">
        <v>19</v>
      </c>
      <c r="F510" s="1" t="s">
        <v>1337</v>
      </c>
      <c r="G510" s="1" t="s">
        <v>98</v>
      </c>
      <c r="H510" s="1" t="s">
        <v>1378</v>
      </c>
      <c r="I510" s="1" t="s">
        <v>1336</v>
      </c>
      <c r="J510" s="1"/>
      <c r="K510" s="1"/>
      <c r="L510" s="1" t="s">
        <v>15</v>
      </c>
      <c r="M510" s="1" t="s">
        <v>14</v>
      </c>
    </row>
    <row r="511" spans="1:13" x14ac:dyDescent="0.3">
      <c r="A511" s="1" t="s">
        <v>1379</v>
      </c>
      <c r="B511" s="1" t="s">
        <v>1380</v>
      </c>
      <c r="C511" s="1" t="s">
        <v>492</v>
      </c>
      <c r="D511" s="1" t="s">
        <v>1334</v>
      </c>
      <c r="E511" s="1" t="s">
        <v>19</v>
      </c>
      <c r="F511" s="1" t="s">
        <v>1337</v>
      </c>
      <c r="G511" s="1" t="s">
        <v>98</v>
      </c>
      <c r="H511" s="1" t="s">
        <v>1381</v>
      </c>
      <c r="I511" s="1" t="s">
        <v>1336</v>
      </c>
      <c r="J511" s="1"/>
      <c r="K511" s="1"/>
      <c r="L511" s="1" t="s">
        <v>15</v>
      </c>
      <c r="M511" s="1" t="s">
        <v>14</v>
      </c>
    </row>
    <row r="512" spans="1:13" x14ac:dyDescent="0.3">
      <c r="A512" s="1" t="s">
        <v>1382</v>
      </c>
      <c r="B512" s="1" t="s">
        <v>1383</v>
      </c>
      <c r="C512" s="1" t="s">
        <v>492</v>
      </c>
      <c r="D512" s="1" t="s">
        <v>1334</v>
      </c>
      <c r="E512" s="1" t="s">
        <v>19</v>
      </c>
      <c r="F512" s="1" t="s">
        <v>1337</v>
      </c>
      <c r="G512" s="1" t="s">
        <v>98</v>
      </c>
      <c r="H512" s="1" t="s">
        <v>1384</v>
      </c>
      <c r="I512" s="1" t="s">
        <v>1336</v>
      </c>
      <c r="J512" s="1"/>
      <c r="K512" s="1"/>
      <c r="L512" s="1" t="s">
        <v>15</v>
      </c>
      <c r="M512" s="1" t="s">
        <v>14</v>
      </c>
    </row>
    <row r="513" spans="1:13" x14ac:dyDescent="0.3">
      <c r="A513" s="1" t="s">
        <v>1385</v>
      </c>
      <c r="B513" s="1" t="s">
        <v>1386</v>
      </c>
      <c r="C513" s="1" t="s">
        <v>492</v>
      </c>
      <c r="D513" s="1" t="s">
        <v>1387</v>
      </c>
      <c r="E513" s="1" t="s">
        <v>19</v>
      </c>
      <c r="F513" s="1" t="s">
        <v>1389</v>
      </c>
      <c r="G513" s="1" t="s">
        <v>98</v>
      </c>
      <c r="H513" s="1" t="s">
        <v>1388</v>
      </c>
      <c r="I513" s="1" t="s">
        <v>1336</v>
      </c>
      <c r="J513" s="1"/>
      <c r="K513" s="1"/>
      <c r="L513" s="1" t="s">
        <v>15</v>
      </c>
      <c r="M513" s="1" t="s">
        <v>14</v>
      </c>
    </row>
    <row r="514" spans="1:13" x14ac:dyDescent="0.3">
      <c r="A514" s="1" t="s">
        <v>1390</v>
      </c>
      <c r="B514" s="1" t="s">
        <v>1391</v>
      </c>
      <c r="C514" s="1" t="s">
        <v>492</v>
      </c>
      <c r="D514" s="1" t="s">
        <v>1387</v>
      </c>
      <c r="E514" s="1" t="s">
        <v>19</v>
      </c>
      <c r="F514" s="1" t="s">
        <v>1389</v>
      </c>
      <c r="G514" s="1" t="s">
        <v>98</v>
      </c>
      <c r="H514" s="1" t="s">
        <v>1392</v>
      </c>
      <c r="I514" s="1" t="s">
        <v>1336</v>
      </c>
      <c r="J514" s="1"/>
      <c r="K514" s="1"/>
      <c r="L514" s="1" t="s">
        <v>15</v>
      </c>
      <c r="M514" s="1" t="s">
        <v>14</v>
      </c>
    </row>
    <row r="515" spans="1:13" x14ac:dyDescent="0.3">
      <c r="A515" s="1" t="s">
        <v>1393</v>
      </c>
      <c r="B515" s="1" t="s">
        <v>1394</v>
      </c>
      <c r="C515" s="1" t="s">
        <v>492</v>
      </c>
      <c r="D515" s="1" t="s">
        <v>1387</v>
      </c>
      <c r="E515" s="1" t="s">
        <v>19</v>
      </c>
      <c r="F515" s="1" t="s">
        <v>1389</v>
      </c>
      <c r="G515" s="1" t="s">
        <v>98</v>
      </c>
      <c r="H515" s="1" t="s">
        <v>1343</v>
      </c>
      <c r="I515" s="1" t="s">
        <v>1336</v>
      </c>
      <c r="J515" s="1"/>
      <c r="K515" s="1"/>
      <c r="L515" s="1" t="s">
        <v>15</v>
      </c>
      <c r="M515" s="1" t="s">
        <v>14</v>
      </c>
    </row>
    <row r="516" spans="1:13" x14ac:dyDescent="0.3">
      <c r="A516" s="1" t="s">
        <v>1395</v>
      </c>
      <c r="B516" s="1" t="s">
        <v>1396</v>
      </c>
      <c r="C516" s="1" t="s">
        <v>492</v>
      </c>
      <c r="D516" s="1" t="s">
        <v>1387</v>
      </c>
      <c r="E516" s="1" t="s">
        <v>19</v>
      </c>
      <c r="F516" s="1" t="s">
        <v>1389</v>
      </c>
      <c r="G516" s="1" t="s">
        <v>98</v>
      </c>
      <c r="H516" s="1" t="s">
        <v>678</v>
      </c>
      <c r="I516" s="1" t="s">
        <v>1336</v>
      </c>
      <c r="J516" s="1"/>
      <c r="K516" s="1"/>
      <c r="L516" s="1" t="s">
        <v>15</v>
      </c>
      <c r="M516" s="1" t="s">
        <v>14</v>
      </c>
    </row>
    <row r="517" spans="1:13" x14ac:dyDescent="0.3">
      <c r="A517" s="1" t="s">
        <v>1397</v>
      </c>
      <c r="B517" s="1" t="s">
        <v>1398</v>
      </c>
      <c r="C517" s="1" t="s">
        <v>492</v>
      </c>
      <c r="D517" s="1" t="s">
        <v>1387</v>
      </c>
      <c r="E517" s="1" t="s">
        <v>19</v>
      </c>
      <c r="F517" s="1" t="s">
        <v>1389</v>
      </c>
      <c r="G517" s="1" t="s">
        <v>98</v>
      </c>
      <c r="H517" s="1" t="s">
        <v>1399</v>
      </c>
      <c r="I517" s="1" t="s">
        <v>1336</v>
      </c>
      <c r="J517" s="1"/>
      <c r="K517" s="1"/>
      <c r="L517" s="1" t="s">
        <v>15</v>
      </c>
      <c r="M517" s="1" t="s">
        <v>14</v>
      </c>
    </row>
    <row r="518" spans="1:13" x14ac:dyDescent="0.3">
      <c r="A518" s="1" t="s">
        <v>1400</v>
      </c>
      <c r="B518" s="1" t="s">
        <v>1401</v>
      </c>
      <c r="C518" s="1" t="s">
        <v>492</v>
      </c>
      <c r="D518" s="1" t="s">
        <v>1387</v>
      </c>
      <c r="E518" s="1" t="s">
        <v>19</v>
      </c>
      <c r="F518" s="1" t="s">
        <v>1389</v>
      </c>
      <c r="G518" s="1" t="s">
        <v>98</v>
      </c>
      <c r="H518" s="1" t="s">
        <v>1352</v>
      </c>
      <c r="I518" s="1" t="s">
        <v>1336</v>
      </c>
      <c r="J518" s="1"/>
      <c r="K518" s="1"/>
      <c r="L518" s="1" t="s">
        <v>15</v>
      </c>
      <c r="M518" s="1" t="s">
        <v>14</v>
      </c>
    </row>
    <row r="519" spans="1:13" x14ac:dyDescent="0.3">
      <c r="A519" s="1" t="s">
        <v>1402</v>
      </c>
      <c r="B519" s="1" t="s">
        <v>1403</v>
      </c>
      <c r="C519" s="1" t="s">
        <v>492</v>
      </c>
      <c r="D519" s="1" t="s">
        <v>1387</v>
      </c>
      <c r="E519" s="1" t="s">
        <v>19</v>
      </c>
      <c r="F519" s="1" t="s">
        <v>1389</v>
      </c>
      <c r="G519" s="1" t="s">
        <v>98</v>
      </c>
      <c r="H519" s="1" t="s">
        <v>1404</v>
      </c>
      <c r="I519" s="1" t="s">
        <v>1336</v>
      </c>
      <c r="J519" s="1"/>
      <c r="K519" s="1"/>
      <c r="L519" s="1" t="s">
        <v>15</v>
      </c>
      <c r="M519" s="1" t="s">
        <v>14</v>
      </c>
    </row>
    <row r="520" spans="1:13" x14ac:dyDescent="0.3">
      <c r="A520" s="1" t="s">
        <v>1405</v>
      </c>
      <c r="B520" s="1" t="s">
        <v>1406</v>
      </c>
      <c r="C520" s="1" t="s">
        <v>492</v>
      </c>
      <c r="D520" s="1" t="s">
        <v>1387</v>
      </c>
      <c r="E520" s="1" t="s">
        <v>19</v>
      </c>
      <c r="F520" s="1" t="s">
        <v>1389</v>
      </c>
      <c r="G520" s="1" t="s">
        <v>98</v>
      </c>
      <c r="H520" s="1" t="s">
        <v>1407</v>
      </c>
      <c r="I520" s="1" t="s">
        <v>1336</v>
      </c>
      <c r="J520" s="1"/>
      <c r="K520" s="1"/>
      <c r="L520" s="1" t="s">
        <v>15</v>
      </c>
      <c r="M520" s="1" t="s">
        <v>14</v>
      </c>
    </row>
    <row r="521" spans="1:13" x14ac:dyDescent="0.3">
      <c r="A521" s="1" t="s">
        <v>1408</v>
      </c>
      <c r="B521" s="1" t="s">
        <v>1409</v>
      </c>
      <c r="C521" s="1" t="s">
        <v>492</v>
      </c>
      <c r="D521" s="1" t="s">
        <v>1387</v>
      </c>
      <c r="E521" s="1" t="s">
        <v>19</v>
      </c>
      <c r="F521" s="1" t="s">
        <v>1389</v>
      </c>
      <c r="G521" s="1" t="s">
        <v>98</v>
      </c>
      <c r="H521" s="1" t="s">
        <v>1410</v>
      </c>
      <c r="I521" s="1" t="s">
        <v>1336</v>
      </c>
      <c r="J521" s="1"/>
      <c r="K521" s="1"/>
      <c r="L521" s="1" t="s">
        <v>15</v>
      </c>
      <c r="M521" s="1" t="s">
        <v>14</v>
      </c>
    </row>
    <row r="522" spans="1:13" x14ac:dyDescent="0.3">
      <c r="A522" s="1" t="s">
        <v>1411</v>
      </c>
      <c r="B522" s="1" t="s">
        <v>1412</v>
      </c>
      <c r="C522" s="1" t="s">
        <v>492</v>
      </c>
      <c r="D522" s="1" t="s">
        <v>1387</v>
      </c>
      <c r="E522" s="1" t="s">
        <v>19</v>
      </c>
      <c r="F522" s="1" t="s">
        <v>1389</v>
      </c>
      <c r="G522" s="1" t="s">
        <v>98</v>
      </c>
      <c r="H522" s="1" t="s">
        <v>1413</v>
      </c>
      <c r="I522" s="1" t="s">
        <v>1336</v>
      </c>
      <c r="J522" s="1"/>
      <c r="K522" s="1"/>
      <c r="L522" s="1" t="s">
        <v>15</v>
      </c>
      <c r="M522" s="1" t="s">
        <v>14</v>
      </c>
    </row>
    <row r="523" spans="1:13" x14ac:dyDescent="0.3">
      <c r="A523" s="1" t="s">
        <v>1414</v>
      </c>
      <c r="B523" s="1" t="s">
        <v>1415</v>
      </c>
      <c r="C523" s="1" t="s">
        <v>492</v>
      </c>
      <c r="D523" s="1" t="s">
        <v>1387</v>
      </c>
      <c r="E523" s="1" t="s">
        <v>19</v>
      </c>
      <c r="F523" s="1" t="s">
        <v>1389</v>
      </c>
      <c r="G523" s="1" t="s">
        <v>98</v>
      </c>
      <c r="H523" s="1" t="s">
        <v>1416</v>
      </c>
      <c r="I523" s="1" t="s">
        <v>1336</v>
      </c>
      <c r="J523" s="1"/>
      <c r="K523" s="1"/>
      <c r="L523" s="1" t="s">
        <v>15</v>
      </c>
      <c r="M523" s="1" t="s">
        <v>14</v>
      </c>
    </row>
    <row r="524" spans="1:13" x14ac:dyDescent="0.3">
      <c r="A524" s="1" t="s">
        <v>1417</v>
      </c>
      <c r="B524" s="1" t="s">
        <v>1418</v>
      </c>
      <c r="C524" s="1" t="s">
        <v>492</v>
      </c>
      <c r="D524" s="1" t="s">
        <v>1387</v>
      </c>
      <c r="E524" s="1" t="s">
        <v>19</v>
      </c>
      <c r="F524" s="1" t="s">
        <v>1389</v>
      </c>
      <c r="G524" s="1" t="s">
        <v>98</v>
      </c>
      <c r="H524" s="1" t="s">
        <v>1419</v>
      </c>
      <c r="I524" s="1" t="s">
        <v>1336</v>
      </c>
      <c r="J524" s="1"/>
      <c r="K524" s="1"/>
      <c r="L524" s="1" t="s">
        <v>15</v>
      </c>
      <c r="M524" s="1" t="s">
        <v>14</v>
      </c>
    </row>
    <row r="525" spans="1:13" x14ac:dyDescent="0.3">
      <c r="A525" s="1" t="s">
        <v>1420</v>
      </c>
      <c r="B525" s="1" t="s">
        <v>1421</v>
      </c>
      <c r="C525" s="1" t="s">
        <v>492</v>
      </c>
      <c r="D525" s="1" t="s">
        <v>1387</v>
      </c>
      <c r="E525" s="1" t="s">
        <v>19</v>
      </c>
      <c r="F525" s="1" t="s">
        <v>1389</v>
      </c>
      <c r="G525" s="1" t="s">
        <v>98</v>
      </c>
      <c r="H525" s="1" t="s">
        <v>1378</v>
      </c>
      <c r="I525" s="1" t="s">
        <v>1336</v>
      </c>
      <c r="J525" s="1"/>
      <c r="K525" s="1"/>
      <c r="L525" s="1" t="s">
        <v>15</v>
      </c>
      <c r="M525" s="1" t="s">
        <v>14</v>
      </c>
    </row>
    <row r="526" spans="1:13" x14ac:dyDescent="0.3">
      <c r="A526" s="1" t="s">
        <v>1422</v>
      </c>
      <c r="B526" s="1" t="s">
        <v>1423</v>
      </c>
      <c r="C526" s="1" t="s">
        <v>492</v>
      </c>
      <c r="D526" s="1" t="s">
        <v>1387</v>
      </c>
      <c r="E526" s="1" t="s">
        <v>19</v>
      </c>
      <c r="F526" s="1" t="s">
        <v>1389</v>
      </c>
      <c r="G526" s="1" t="s">
        <v>98</v>
      </c>
      <c r="H526" s="1" t="s">
        <v>1372</v>
      </c>
      <c r="I526" s="1" t="s">
        <v>1336</v>
      </c>
      <c r="J526" s="1"/>
      <c r="K526" s="1"/>
      <c r="L526" s="1" t="s">
        <v>15</v>
      </c>
      <c r="M526" s="1" t="s">
        <v>14</v>
      </c>
    </row>
    <row r="527" spans="1:13" x14ac:dyDescent="0.3">
      <c r="A527" s="1" t="s">
        <v>1424</v>
      </c>
      <c r="B527" s="1" t="s">
        <v>1425</v>
      </c>
      <c r="C527" s="1" t="s">
        <v>492</v>
      </c>
      <c r="D527" s="1" t="s">
        <v>1387</v>
      </c>
      <c r="E527" s="1" t="s">
        <v>19</v>
      </c>
      <c r="F527" s="1" t="s">
        <v>1389</v>
      </c>
      <c r="G527" s="1" t="s">
        <v>98</v>
      </c>
      <c r="H527" s="1" t="s">
        <v>1426</v>
      </c>
      <c r="I527" s="1" t="s">
        <v>1336</v>
      </c>
      <c r="J527" s="1"/>
      <c r="K527" s="1"/>
      <c r="L527" s="1" t="s">
        <v>15</v>
      </c>
      <c r="M527" s="1" t="s">
        <v>14</v>
      </c>
    </row>
    <row r="528" spans="1:13" x14ac:dyDescent="0.3">
      <c r="A528" s="1" t="s">
        <v>1427</v>
      </c>
      <c r="B528" s="1" t="s">
        <v>1428</v>
      </c>
      <c r="C528" s="1" t="s">
        <v>492</v>
      </c>
      <c r="D528" s="1" t="s">
        <v>1387</v>
      </c>
      <c r="E528" s="1" t="s">
        <v>19</v>
      </c>
      <c r="F528" s="1" t="s">
        <v>1389</v>
      </c>
      <c r="G528" s="1" t="s">
        <v>98</v>
      </c>
      <c r="H528" s="1" t="s">
        <v>1429</v>
      </c>
      <c r="I528" s="1" t="s">
        <v>1336</v>
      </c>
      <c r="J528" s="1"/>
      <c r="K528" s="1"/>
      <c r="L528" s="1" t="s">
        <v>15</v>
      </c>
      <c r="M528" s="1" t="s">
        <v>14</v>
      </c>
    </row>
    <row r="529" spans="1:13" x14ac:dyDescent="0.3">
      <c r="A529" s="1" t="s">
        <v>1430</v>
      </c>
      <c r="B529" s="1" t="s">
        <v>1431</v>
      </c>
      <c r="C529" s="1" t="s">
        <v>492</v>
      </c>
      <c r="D529" s="1" t="s">
        <v>1387</v>
      </c>
      <c r="E529" s="1" t="s">
        <v>19</v>
      </c>
      <c r="F529" s="1" t="s">
        <v>1389</v>
      </c>
      <c r="G529" s="1" t="s">
        <v>98</v>
      </c>
      <c r="H529" s="1" t="s">
        <v>1432</v>
      </c>
      <c r="I529" s="1" t="s">
        <v>1336</v>
      </c>
      <c r="J529" s="1"/>
      <c r="K529" s="1"/>
      <c r="L529" s="1" t="s">
        <v>15</v>
      </c>
      <c r="M529" s="1" t="s">
        <v>14</v>
      </c>
    </row>
    <row r="530" spans="1:13" x14ac:dyDescent="0.3">
      <c r="A530" s="1" t="s">
        <v>1433</v>
      </c>
      <c r="B530" s="1" t="s">
        <v>1434</v>
      </c>
      <c r="C530" s="1" t="s">
        <v>492</v>
      </c>
      <c r="D530" s="1" t="s">
        <v>1435</v>
      </c>
      <c r="E530" s="1" t="s">
        <v>132</v>
      </c>
      <c r="F530" s="1" t="s">
        <v>1437</v>
      </c>
      <c r="G530" s="1" t="s">
        <v>98</v>
      </c>
      <c r="H530" s="1" t="s">
        <v>1436</v>
      </c>
      <c r="I530" s="1" t="s">
        <v>1336</v>
      </c>
      <c r="J530" s="1"/>
      <c r="K530" s="1"/>
      <c r="L530" s="1" t="s">
        <v>15</v>
      </c>
      <c r="M530" s="1" t="s">
        <v>14</v>
      </c>
    </row>
    <row r="531" spans="1:13" x14ac:dyDescent="0.3">
      <c r="A531" s="1" t="s">
        <v>1438</v>
      </c>
      <c r="B531" s="1" t="s">
        <v>1439</v>
      </c>
      <c r="C531" s="1" t="s">
        <v>492</v>
      </c>
      <c r="D531" s="1" t="s">
        <v>1435</v>
      </c>
      <c r="E531" s="1" t="s">
        <v>132</v>
      </c>
      <c r="F531" s="1" t="s">
        <v>1437</v>
      </c>
      <c r="G531" s="1" t="s">
        <v>98</v>
      </c>
      <c r="H531" s="1" t="s">
        <v>1440</v>
      </c>
      <c r="I531" s="1" t="s">
        <v>1336</v>
      </c>
      <c r="J531" s="1"/>
      <c r="K531" s="1"/>
      <c r="L531" s="1" t="s">
        <v>15</v>
      </c>
      <c r="M531" s="1" t="s">
        <v>14</v>
      </c>
    </row>
    <row r="532" spans="1:13" x14ac:dyDescent="0.3">
      <c r="A532" s="1" t="s">
        <v>1441</v>
      </c>
      <c r="B532" s="1" t="s">
        <v>1442</v>
      </c>
      <c r="C532" s="1" t="s">
        <v>492</v>
      </c>
      <c r="D532" s="1" t="s">
        <v>1435</v>
      </c>
      <c r="E532" s="1" t="s">
        <v>132</v>
      </c>
      <c r="F532" s="1" t="s">
        <v>1437</v>
      </c>
      <c r="G532" s="1" t="s">
        <v>98</v>
      </c>
      <c r="H532" s="1" t="s">
        <v>1443</v>
      </c>
      <c r="I532" s="1" t="s">
        <v>1336</v>
      </c>
      <c r="J532" s="1"/>
      <c r="K532" s="1"/>
      <c r="L532" s="1" t="s">
        <v>15</v>
      </c>
      <c r="M532" s="1" t="s">
        <v>14</v>
      </c>
    </row>
    <row r="533" spans="1:13" x14ac:dyDescent="0.3">
      <c r="A533" s="1" t="s">
        <v>1444</v>
      </c>
      <c r="B533" s="1" t="s">
        <v>1445</v>
      </c>
      <c r="C533" s="1" t="s">
        <v>492</v>
      </c>
      <c r="D533" s="1" t="s">
        <v>1435</v>
      </c>
      <c r="E533" s="1" t="s">
        <v>132</v>
      </c>
      <c r="F533" s="1" t="s">
        <v>1437</v>
      </c>
      <c r="G533" s="1" t="s">
        <v>98</v>
      </c>
      <c r="H533" s="1" t="s">
        <v>514</v>
      </c>
      <c r="I533" s="1" t="s">
        <v>1336</v>
      </c>
      <c r="J533" s="1" t="s">
        <v>341</v>
      </c>
      <c r="K533" s="1"/>
      <c r="L533" s="1" t="s">
        <v>15</v>
      </c>
      <c r="M533" s="1" t="s">
        <v>14</v>
      </c>
    </row>
    <row r="534" spans="1:13" x14ac:dyDescent="0.3">
      <c r="A534" s="1" t="s">
        <v>1446</v>
      </c>
      <c r="B534" s="1" t="s">
        <v>1447</v>
      </c>
      <c r="C534" s="1" t="s">
        <v>492</v>
      </c>
      <c r="D534" s="1" t="s">
        <v>1435</v>
      </c>
      <c r="E534" s="1" t="s">
        <v>132</v>
      </c>
      <c r="F534" s="1" t="s">
        <v>1437</v>
      </c>
      <c r="G534" s="1" t="s">
        <v>98</v>
      </c>
      <c r="H534" s="1" t="s">
        <v>1448</v>
      </c>
      <c r="I534" s="1" t="s">
        <v>1336</v>
      </c>
      <c r="J534" s="1" t="s">
        <v>357</v>
      </c>
      <c r="K534" s="1"/>
      <c r="L534" s="1" t="s">
        <v>15</v>
      </c>
      <c r="M534" s="1" t="s">
        <v>14</v>
      </c>
    </row>
    <row r="535" spans="1:13" x14ac:dyDescent="0.3">
      <c r="A535" s="1" t="s">
        <v>1449</v>
      </c>
      <c r="B535" s="1" t="s">
        <v>1450</v>
      </c>
      <c r="C535" s="1" t="s">
        <v>492</v>
      </c>
      <c r="D535" s="1" t="s">
        <v>1435</v>
      </c>
      <c r="E535" s="1" t="s">
        <v>132</v>
      </c>
      <c r="F535" s="1" t="s">
        <v>1437</v>
      </c>
      <c r="G535" s="1" t="s">
        <v>98</v>
      </c>
      <c r="H535" s="1" t="s">
        <v>1451</v>
      </c>
      <c r="I535" s="1" t="s">
        <v>1336</v>
      </c>
      <c r="J535" s="1"/>
      <c r="K535" s="1"/>
      <c r="L535" s="1" t="s">
        <v>15</v>
      </c>
      <c r="M535" s="1" t="s">
        <v>14</v>
      </c>
    </row>
    <row r="536" spans="1:13" x14ac:dyDescent="0.3">
      <c r="A536" s="1" t="s">
        <v>1452</v>
      </c>
      <c r="B536" s="1" t="s">
        <v>1453</v>
      </c>
      <c r="C536" s="1" t="s">
        <v>492</v>
      </c>
      <c r="D536" s="1" t="s">
        <v>1435</v>
      </c>
      <c r="E536" s="1" t="s">
        <v>132</v>
      </c>
      <c r="F536" s="1" t="s">
        <v>1437</v>
      </c>
      <c r="G536" s="1" t="s">
        <v>98</v>
      </c>
      <c r="H536" s="1" t="s">
        <v>1454</v>
      </c>
      <c r="I536" s="1" t="s">
        <v>1336</v>
      </c>
      <c r="J536" s="1"/>
      <c r="K536" s="1"/>
      <c r="L536" s="1" t="s">
        <v>15</v>
      </c>
      <c r="M536" s="1" t="s">
        <v>14</v>
      </c>
    </row>
    <row r="537" spans="1:13" x14ac:dyDescent="0.3">
      <c r="A537" s="1" t="s">
        <v>1455</v>
      </c>
      <c r="B537" s="1" t="s">
        <v>1456</v>
      </c>
      <c r="C537" s="1" t="s">
        <v>492</v>
      </c>
      <c r="D537" s="1" t="s">
        <v>1457</v>
      </c>
      <c r="E537" s="1" t="s">
        <v>132</v>
      </c>
      <c r="F537" s="1" t="s">
        <v>1459</v>
      </c>
      <c r="G537" s="1" t="s">
        <v>98</v>
      </c>
      <c r="H537" s="1" t="s">
        <v>1458</v>
      </c>
      <c r="I537" s="1" t="s">
        <v>1336</v>
      </c>
      <c r="J537" s="1" t="s">
        <v>357</v>
      </c>
      <c r="K537" s="1"/>
      <c r="L537" s="1" t="s">
        <v>15</v>
      </c>
      <c r="M537" s="1" t="s">
        <v>14</v>
      </c>
    </row>
    <row r="538" spans="1:13" x14ac:dyDescent="0.3">
      <c r="A538" s="1" t="s">
        <v>1460</v>
      </c>
      <c r="B538" s="1" t="s">
        <v>1461</v>
      </c>
      <c r="C538" s="1" t="s">
        <v>492</v>
      </c>
      <c r="D538" s="1" t="s">
        <v>1457</v>
      </c>
      <c r="E538" s="1" t="s">
        <v>132</v>
      </c>
      <c r="F538" s="1" t="s">
        <v>1459</v>
      </c>
      <c r="G538" s="1" t="s">
        <v>98</v>
      </c>
      <c r="H538" s="1" t="s">
        <v>1462</v>
      </c>
      <c r="I538" s="1" t="s">
        <v>1336</v>
      </c>
      <c r="J538" s="1"/>
      <c r="K538" s="1"/>
      <c r="L538" s="1" t="s">
        <v>15</v>
      </c>
      <c r="M538" s="1" t="s">
        <v>14</v>
      </c>
    </row>
    <row r="539" spans="1:13" x14ac:dyDescent="0.3">
      <c r="A539" s="1" t="s">
        <v>1463</v>
      </c>
      <c r="B539" s="1" t="s">
        <v>1464</v>
      </c>
      <c r="C539" s="1" t="s">
        <v>492</v>
      </c>
      <c r="D539" s="1" t="s">
        <v>1457</v>
      </c>
      <c r="E539" s="1" t="s">
        <v>132</v>
      </c>
      <c r="F539" s="1" t="s">
        <v>1459</v>
      </c>
      <c r="G539" s="1" t="s">
        <v>98</v>
      </c>
      <c r="H539" s="1" t="s">
        <v>1465</v>
      </c>
      <c r="I539" s="1" t="s">
        <v>1336</v>
      </c>
      <c r="J539" s="1"/>
      <c r="K539" s="1"/>
      <c r="L539" s="1" t="s">
        <v>15</v>
      </c>
      <c r="M539" s="1" t="s">
        <v>14</v>
      </c>
    </row>
    <row r="540" spans="1:13" x14ac:dyDescent="0.3">
      <c r="A540" s="1" t="s">
        <v>1466</v>
      </c>
      <c r="B540" s="1" t="s">
        <v>1467</v>
      </c>
      <c r="C540" s="1" t="s">
        <v>492</v>
      </c>
      <c r="D540" s="1" t="s">
        <v>1457</v>
      </c>
      <c r="E540" s="1" t="s">
        <v>132</v>
      </c>
      <c r="F540" s="1" t="s">
        <v>1459</v>
      </c>
      <c r="G540" s="1" t="s">
        <v>98</v>
      </c>
      <c r="H540" s="1" t="s">
        <v>1451</v>
      </c>
      <c r="I540" s="1" t="s">
        <v>1336</v>
      </c>
      <c r="J540" s="1"/>
      <c r="K540" s="1"/>
      <c r="L540" s="1" t="s">
        <v>15</v>
      </c>
      <c r="M540" s="1" t="s">
        <v>14</v>
      </c>
    </row>
    <row r="541" spans="1:13" x14ac:dyDescent="0.3">
      <c r="A541" s="1" t="s">
        <v>1468</v>
      </c>
      <c r="B541" s="1" t="s">
        <v>1469</v>
      </c>
      <c r="C541" s="1" t="s">
        <v>492</v>
      </c>
      <c r="D541" s="1" t="s">
        <v>1457</v>
      </c>
      <c r="E541" s="1" t="s">
        <v>132</v>
      </c>
      <c r="F541" s="1" t="s">
        <v>1459</v>
      </c>
      <c r="G541" s="1" t="s">
        <v>98</v>
      </c>
      <c r="H541" s="1" t="s">
        <v>596</v>
      </c>
      <c r="I541" s="1" t="s">
        <v>1336</v>
      </c>
      <c r="J541" s="1" t="s">
        <v>341</v>
      </c>
      <c r="K541" s="1"/>
      <c r="L541" s="1" t="s">
        <v>15</v>
      </c>
      <c r="M541" s="1" t="s">
        <v>14</v>
      </c>
    </row>
    <row r="542" spans="1:13" x14ac:dyDescent="0.3">
      <c r="A542" s="1" t="s">
        <v>1470</v>
      </c>
      <c r="B542" s="1" t="s">
        <v>1471</v>
      </c>
      <c r="C542" s="1" t="s">
        <v>492</v>
      </c>
      <c r="D542" s="1" t="s">
        <v>1457</v>
      </c>
      <c r="E542" s="1" t="s">
        <v>132</v>
      </c>
      <c r="F542" s="1" t="s">
        <v>1459</v>
      </c>
      <c r="G542" s="1" t="s">
        <v>98</v>
      </c>
      <c r="H542" s="1" t="s">
        <v>1472</v>
      </c>
      <c r="I542" s="1" t="s">
        <v>1336</v>
      </c>
      <c r="J542" s="1"/>
      <c r="K542" s="1"/>
      <c r="L542" s="1" t="s">
        <v>15</v>
      </c>
      <c r="M542" s="1" t="s">
        <v>14</v>
      </c>
    </row>
    <row r="543" spans="1:13" x14ac:dyDescent="0.3">
      <c r="A543" s="1" t="s">
        <v>1473</v>
      </c>
      <c r="B543" s="1" t="s">
        <v>1474</v>
      </c>
      <c r="C543" s="1" t="s">
        <v>492</v>
      </c>
      <c r="D543" s="1" t="s">
        <v>1457</v>
      </c>
      <c r="E543" s="1" t="s">
        <v>132</v>
      </c>
      <c r="F543" s="1" t="s">
        <v>1459</v>
      </c>
      <c r="G543" s="1" t="s">
        <v>98</v>
      </c>
      <c r="H543" s="1" t="s">
        <v>1454</v>
      </c>
      <c r="I543" s="1" t="s">
        <v>1336</v>
      </c>
      <c r="J543" s="1"/>
      <c r="K543" s="1"/>
      <c r="L543" s="1" t="s">
        <v>15</v>
      </c>
      <c r="M543" s="1" t="s">
        <v>14</v>
      </c>
    </row>
    <row r="544" spans="1:13" x14ac:dyDescent="0.3">
      <c r="A544" s="1" t="s">
        <v>1475</v>
      </c>
      <c r="B544" s="1" t="s">
        <v>1476</v>
      </c>
      <c r="C544" s="1" t="s">
        <v>492</v>
      </c>
      <c r="D544" s="1" t="s">
        <v>1477</v>
      </c>
      <c r="E544" s="1" t="s">
        <v>132</v>
      </c>
      <c r="F544" s="1" t="s">
        <v>1479</v>
      </c>
      <c r="G544" s="1" t="s">
        <v>98</v>
      </c>
      <c r="H544" s="1" t="s">
        <v>1478</v>
      </c>
      <c r="I544" s="1" t="s">
        <v>1336</v>
      </c>
      <c r="J544" s="1" t="s">
        <v>357</v>
      </c>
      <c r="K544" s="1"/>
      <c r="L544" s="1" t="s">
        <v>15</v>
      </c>
      <c r="M544" s="1" t="s">
        <v>14</v>
      </c>
    </row>
    <row r="545" spans="1:13" x14ac:dyDescent="0.3">
      <c r="A545" s="1" t="s">
        <v>1480</v>
      </c>
      <c r="B545" s="1" t="s">
        <v>1481</v>
      </c>
      <c r="C545" s="1" t="s">
        <v>492</v>
      </c>
      <c r="D545" s="1" t="s">
        <v>1477</v>
      </c>
      <c r="E545" s="1" t="s">
        <v>132</v>
      </c>
      <c r="F545" s="1" t="s">
        <v>1479</v>
      </c>
      <c r="G545" s="1" t="s">
        <v>98</v>
      </c>
      <c r="H545" s="1" t="s">
        <v>1482</v>
      </c>
      <c r="I545" s="1" t="s">
        <v>1336</v>
      </c>
      <c r="J545" s="1"/>
      <c r="K545" s="1"/>
      <c r="L545" s="1" t="s">
        <v>15</v>
      </c>
      <c r="M545" s="1" t="s">
        <v>14</v>
      </c>
    </row>
    <row r="546" spans="1:13" x14ac:dyDescent="0.3">
      <c r="A546" s="1" t="s">
        <v>1483</v>
      </c>
      <c r="B546" s="1" t="s">
        <v>1484</v>
      </c>
      <c r="C546" s="1" t="s">
        <v>492</v>
      </c>
      <c r="D546" s="1" t="s">
        <v>1477</v>
      </c>
      <c r="E546" s="1" t="s">
        <v>132</v>
      </c>
      <c r="F546" s="1" t="s">
        <v>1479</v>
      </c>
      <c r="G546" s="1" t="s">
        <v>98</v>
      </c>
      <c r="H546" s="1" t="s">
        <v>1485</v>
      </c>
      <c r="I546" s="1" t="s">
        <v>1336</v>
      </c>
      <c r="J546" s="1"/>
      <c r="K546" s="1"/>
      <c r="L546" s="1" t="s">
        <v>15</v>
      </c>
      <c r="M546" s="1" t="s">
        <v>14</v>
      </c>
    </row>
    <row r="547" spans="1:13" x14ac:dyDescent="0.3">
      <c r="A547" s="1" t="s">
        <v>1486</v>
      </c>
      <c r="B547" s="1" t="s">
        <v>1487</v>
      </c>
      <c r="C547" s="1" t="s">
        <v>492</v>
      </c>
      <c r="D547" s="1" t="s">
        <v>1477</v>
      </c>
      <c r="E547" s="1" t="s">
        <v>132</v>
      </c>
      <c r="F547" s="1" t="s">
        <v>1479</v>
      </c>
      <c r="G547" s="1" t="s">
        <v>98</v>
      </c>
      <c r="H547" s="1" t="s">
        <v>1488</v>
      </c>
      <c r="I547" s="1" t="s">
        <v>1336</v>
      </c>
      <c r="J547" s="1"/>
      <c r="K547" s="1"/>
      <c r="L547" s="1" t="s">
        <v>15</v>
      </c>
      <c r="M547" s="1" t="s">
        <v>14</v>
      </c>
    </row>
    <row r="548" spans="1:13" x14ac:dyDescent="0.3">
      <c r="A548" s="1" t="s">
        <v>1489</v>
      </c>
      <c r="B548" s="1" t="s">
        <v>1490</v>
      </c>
      <c r="C548" s="1" t="s">
        <v>492</v>
      </c>
      <c r="D548" s="1" t="s">
        <v>1477</v>
      </c>
      <c r="E548" s="1" t="s">
        <v>132</v>
      </c>
      <c r="F548" s="1" t="s">
        <v>1479</v>
      </c>
      <c r="G548" s="1" t="s">
        <v>98</v>
      </c>
      <c r="H548" s="1" t="s">
        <v>514</v>
      </c>
      <c r="I548" s="1" t="s">
        <v>1336</v>
      </c>
      <c r="J548" s="1" t="s">
        <v>341</v>
      </c>
      <c r="K548" s="1"/>
      <c r="L548" s="1" t="s">
        <v>15</v>
      </c>
      <c r="M548" s="1" t="s">
        <v>14</v>
      </c>
    </row>
    <row r="549" spans="1:13" x14ac:dyDescent="0.3">
      <c r="A549" s="1" t="s">
        <v>1491</v>
      </c>
      <c r="B549" s="1" t="s">
        <v>1492</v>
      </c>
      <c r="C549" s="1" t="s">
        <v>492</v>
      </c>
      <c r="D549" s="1" t="s">
        <v>1477</v>
      </c>
      <c r="E549" s="1" t="s">
        <v>132</v>
      </c>
      <c r="F549" s="1" t="s">
        <v>1479</v>
      </c>
      <c r="G549" s="1" t="s">
        <v>98</v>
      </c>
      <c r="H549" s="1" t="s">
        <v>1493</v>
      </c>
      <c r="I549" s="1" t="s">
        <v>1336</v>
      </c>
      <c r="J549" s="1"/>
      <c r="K549" s="1"/>
      <c r="L549" s="1" t="s">
        <v>15</v>
      </c>
      <c r="M549" s="1" t="s">
        <v>14</v>
      </c>
    </row>
    <row r="550" spans="1:13" x14ac:dyDescent="0.3">
      <c r="A550" s="1" t="s">
        <v>1494</v>
      </c>
      <c r="B550" s="1" t="s">
        <v>1495</v>
      </c>
      <c r="C550" s="1" t="s">
        <v>492</v>
      </c>
      <c r="D550" s="1" t="s">
        <v>1496</v>
      </c>
      <c r="E550" s="1"/>
      <c r="F550" s="1"/>
      <c r="G550" s="1" t="s">
        <v>98</v>
      </c>
      <c r="H550" s="1" t="s">
        <v>1497</v>
      </c>
      <c r="I550" s="1"/>
      <c r="J550" s="1"/>
      <c r="K550" s="1"/>
      <c r="L550" s="1" t="s">
        <v>15</v>
      </c>
      <c r="M550" s="1" t="s">
        <v>14</v>
      </c>
    </row>
    <row r="551" spans="1:13" x14ac:dyDescent="0.3">
      <c r="A551" s="1" t="s">
        <v>1498</v>
      </c>
      <c r="B551" s="1" t="s">
        <v>1499</v>
      </c>
      <c r="C551" s="1" t="s">
        <v>492</v>
      </c>
      <c r="D551" s="1" t="s">
        <v>1496</v>
      </c>
      <c r="E551" s="1"/>
      <c r="F551" s="1"/>
      <c r="G551" s="1" t="s">
        <v>98</v>
      </c>
      <c r="H551" s="1" t="s">
        <v>1500</v>
      </c>
      <c r="I551" s="1"/>
      <c r="J551" s="1"/>
      <c r="K551" s="1"/>
      <c r="L551" s="1" t="s">
        <v>15</v>
      </c>
      <c r="M551" s="1" t="s">
        <v>14</v>
      </c>
    </row>
    <row r="552" spans="1:13" x14ac:dyDescent="0.3">
      <c r="A552" s="1" t="s">
        <v>1501</v>
      </c>
      <c r="B552" s="1" t="s">
        <v>1502</v>
      </c>
      <c r="C552" s="1" t="s">
        <v>492</v>
      </c>
      <c r="D552" s="1" t="s">
        <v>1496</v>
      </c>
      <c r="E552" s="1"/>
      <c r="F552" s="1"/>
      <c r="G552" s="1" t="s">
        <v>98</v>
      </c>
      <c r="H552" s="1" t="s">
        <v>1503</v>
      </c>
      <c r="I552" s="1"/>
      <c r="J552" s="1"/>
      <c r="K552" s="1"/>
      <c r="L552" s="1" t="s">
        <v>15</v>
      </c>
      <c r="M552" s="1" t="s">
        <v>14</v>
      </c>
    </row>
    <row r="553" spans="1:13" x14ac:dyDescent="0.3">
      <c r="A553" s="1" t="s">
        <v>1504</v>
      </c>
      <c r="B553" s="1" t="s">
        <v>1505</v>
      </c>
      <c r="C553" s="1" t="s">
        <v>492</v>
      </c>
      <c r="D553" s="1" t="s">
        <v>1496</v>
      </c>
      <c r="E553" s="1"/>
      <c r="F553" s="1"/>
      <c r="G553" s="1" t="s">
        <v>98</v>
      </c>
      <c r="H553" s="1" t="s">
        <v>1497</v>
      </c>
      <c r="I553" s="1"/>
      <c r="J553" s="1"/>
      <c r="K553" s="1"/>
      <c r="L553" s="1" t="s">
        <v>15</v>
      </c>
      <c r="M553" s="1" t="s">
        <v>14</v>
      </c>
    </row>
    <row r="554" spans="1:13" x14ac:dyDescent="0.3">
      <c r="A554" s="1" t="s">
        <v>1506</v>
      </c>
      <c r="B554" s="1" t="s">
        <v>1507</v>
      </c>
      <c r="C554" s="1" t="s">
        <v>492</v>
      </c>
      <c r="D554" s="1" t="s">
        <v>1496</v>
      </c>
      <c r="E554" s="1"/>
      <c r="F554" s="1"/>
      <c r="G554" s="1" t="s">
        <v>98</v>
      </c>
      <c r="H554" s="1" t="s">
        <v>1500</v>
      </c>
      <c r="I554" s="1"/>
      <c r="J554" s="1"/>
      <c r="K554" s="1"/>
      <c r="L554" s="1" t="s">
        <v>15</v>
      </c>
      <c r="M554" s="1" t="s">
        <v>14</v>
      </c>
    </row>
    <row r="555" spans="1:13" x14ac:dyDescent="0.3">
      <c r="A555" s="1" t="s">
        <v>1508</v>
      </c>
      <c r="B555" s="1" t="s">
        <v>1509</v>
      </c>
      <c r="C555" s="1" t="s">
        <v>492</v>
      </c>
      <c r="D555" s="1" t="s">
        <v>1496</v>
      </c>
      <c r="E555" s="1"/>
      <c r="F555" s="1"/>
      <c r="G555" s="1" t="s">
        <v>98</v>
      </c>
      <c r="H555" s="1" t="s">
        <v>1510</v>
      </c>
      <c r="I555" s="1"/>
      <c r="J555" s="1"/>
      <c r="K555" s="1"/>
      <c r="L555" s="1" t="s">
        <v>15</v>
      </c>
      <c r="M555" s="1" t="s">
        <v>14</v>
      </c>
    </row>
    <row r="556" spans="1:13" x14ac:dyDescent="0.3">
      <c r="A556" s="1" t="s">
        <v>1511</v>
      </c>
      <c r="B556" s="1" t="s">
        <v>1512</v>
      </c>
      <c r="C556" s="1" t="s">
        <v>492</v>
      </c>
      <c r="D556" s="1" t="s">
        <v>1496</v>
      </c>
      <c r="E556" s="1"/>
      <c r="F556" s="1"/>
      <c r="G556" s="1" t="s">
        <v>98</v>
      </c>
      <c r="H556" s="1" t="s">
        <v>1513</v>
      </c>
      <c r="I556" s="1"/>
      <c r="J556" s="1"/>
      <c r="K556" s="1"/>
      <c r="L556" s="1" t="s">
        <v>15</v>
      </c>
      <c r="M556" s="1" t="s">
        <v>14</v>
      </c>
    </row>
    <row r="557" spans="1:13" x14ac:dyDescent="0.3">
      <c r="A557" s="1" t="s">
        <v>1514</v>
      </c>
      <c r="B557" s="1" t="s">
        <v>1515</v>
      </c>
      <c r="C557" s="1" t="s">
        <v>492</v>
      </c>
      <c r="D557" s="1" t="s">
        <v>1496</v>
      </c>
      <c r="E557" s="1"/>
      <c r="F557" s="1"/>
      <c r="G557" s="1" t="s">
        <v>98</v>
      </c>
      <c r="H557" s="1" t="s">
        <v>1497</v>
      </c>
      <c r="I557" s="1"/>
      <c r="J557" s="1"/>
      <c r="K557" s="1"/>
      <c r="L557" s="1" t="s">
        <v>15</v>
      </c>
      <c r="M557" s="1" t="s">
        <v>14</v>
      </c>
    </row>
    <row r="558" spans="1:13" x14ac:dyDescent="0.3">
      <c r="A558" s="1" t="s">
        <v>1516</v>
      </c>
      <c r="B558" s="1" t="s">
        <v>1517</v>
      </c>
      <c r="C558" s="1" t="s">
        <v>492</v>
      </c>
      <c r="D558" s="1" t="s">
        <v>1496</v>
      </c>
      <c r="E558" s="1"/>
      <c r="F558" s="1"/>
      <c r="G558" s="1" t="s">
        <v>98</v>
      </c>
      <c r="H558" s="1" t="s">
        <v>1500</v>
      </c>
      <c r="I558" s="1"/>
      <c r="J558" s="1"/>
      <c r="K558" s="1"/>
      <c r="L558" s="1" t="s">
        <v>15</v>
      </c>
      <c r="M558" s="1" t="s">
        <v>14</v>
      </c>
    </row>
    <row r="559" spans="1:13" x14ac:dyDescent="0.3">
      <c r="A559" s="1" t="s">
        <v>1518</v>
      </c>
      <c r="B559" s="1" t="s">
        <v>1519</v>
      </c>
      <c r="C559" s="1" t="s">
        <v>492</v>
      </c>
      <c r="D559" s="1" t="s">
        <v>1496</v>
      </c>
      <c r="E559" s="1"/>
      <c r="F559" s="1"/>
      <c r="G559" s="1" t="s">
        <v>98</v>
      </c>
      <c r="H559" s="1" t="s">
        <v>1510</v>
      </c>
      <c r="I559" s="1"/>
      <c r="J559" s="1"/>
      <c r="K559" s="1"/>
      <c r="L559" s="1" t="s">
        <v>15</v>
      </c>
      <c r="M559" s="1" t="s">
        <v>14</v>
      </c>
    </row>
    <row r="560" spans="1:13" x14ac:dyDescent="0.3">
      <c r="A560" s="1" t="s">
        <v>1520</v>
      </c>
      <c r="B560" s="1" t="s">
        <v>1521</v>
      </c>
      <c r="C560" s="1" t="s">
        <v>492</v>
      </c>
      <c r="D560" s="1" t="s">
        <v>1496</v>
      </c>
      <c r="E560" s="1"/>
      <c r="F560" s="1"/>
      <c r="G560" s="1" t="s">
        <v>98</v>
      </c>
      <c r="H560" s="1" t="s">
        <v>1500</v>
      </c>
      <c r="I560" s="1"/>
      <c r="J560" s="1"/>
      <c r="K560" s="1"/>
      <c r="L560" s="1" t="s">
        <v>15</v>
      </c>
      <c r="M560" s="1" t="s">
        <v>14</v>
      </c>
    </row>
    <row r="561" spans="1:13" x14ac:dyDescent="0.3">
      <c r="A561" s="1" t="s">
        <v>1522</v>
      </c>
      <c r="B561" s="1" t="s">
        <v>1523</v>
      </c>
      <c r="C561" s="1" t="s">
        <v>492</v>
      </c>
      <c r="D561" s="1" t="s">
        <v>1496</v>
      </c>
      <c r="E561" s="1"/>
      <c r="F561" s="1"/>
      <c r="G561" s="1" t="s">
        <v>98</v>
      </c>
      <c r="H561" s="1" t="s">
        <v>1510</v>
      </c>
      <c r="I561" s="1"/>
      <c r="J561" s="1"/>
      <c r="K561" s="1"/>
      <c r="L561" s="1" t="s">
        <v>15</v>
      </c>
      <c r="M561" s="1" t="s">
        <v>14</v>
      </c>
    </row>
    <row r="562" spans="1:13" x14ac:dyDescent="0.3">
      <c r="A562" s="1" t="s">
        <v>1524</v>
      </c>
      <c r="B562" s="1" t="s">
        <v>1525</v>
      </c>
      <c r="C562" s="1" t="s">
        <v>492</v>
      </c>
      <c r="D562" s="1" t="s">
        <v>1496</v>
      </c>
      <c r="E562" s="1"/>
      <c r="F562" s="1"/>
      <c r="G562" s="1" t="s">
        <v>98</v>
      </c>
      <c r="H562" s="1" t="s">
        <v>1497</v>
      </c>
      <c r="I562" s="1"/>
      <c r="J562" s="1"/>
      <c r="K562" s="1"/>
      <c r="L562" s="1" t="s">
        <v>15</v>
      </c>
      <c r="M562" s="1" t="s">
        <v>14</v>
      </c>
    </row>
    <row r="563" spans="1:13" x14ac:dyDescent="0.3">
      <c r="A563" s="1" t="s">
        <v>1526</v>
      </c>
      <c r="B563" s="1" t="s">
        <v>1527</v>
      </c>
      <c r="C563" s="1" t="s">
        <v>492</v>
      </c>
      <c r="D563" s="1" t="s">
        <v>1496</v>
      </c>
      <c r="E563" s="1"/>
      <c r="F563" s="1"/>
      <c r="G563" s="1" t="s">
        <v>98</v>
      </c>
      <c r="H563" s="1" t="s">
        <v>1513</v>
      </c>
      <c r="I563" s="1"/>
      <c r="J563" s="1"/>
      <c r="K563" s="1"/>
      <c r="L563" s="1" t="s">
        <v>15</v>
      </c>
      <c r="M563" s="1" t="s">
        <v>14</v>
      </c>
    </row>
    <row r="564" spans="1:13" x14ac:dyDescent="0.3">
      <c r="A564" s="1" t="s">
        <v>1528</v>
      </c>
      <c r="B564" s="1" t="s">
        <v>1529</v>
      </c>
      <c r="C564" s="1" t="s">
        <v>492</v>
      </c>
      <c r="D564" s="1" t="s">
        <v>1496</v>
      </c>
      <c r="E564" s="1"/>
      <c r="F564" s="1"/>
      <c r="G564" s="1" t="s">
        <v>98</v>
      </c>
      <c r="H564" s="1" t="s">
        <v>1497</v>
      </c>
      <c r="I564" s="1"/>
      <c r="J564" s="1"/>
      <c r="K564" s="1"/>
      <c r="L564" s="1" t="s">
        <v>15</v>
      </c>
      <c r="M564" s="1" t="s">
        <v>14</v>
      </c>
    </row>
    <row r="565" spans="1:13" x14ac:dyDescent="0.3">
      <c r="A565" s="1" t="s">
        <v>1530</v>
      </c>
      <c r="B565" s="1" t="s">
        <v>1531</v>
      </c>
      <c r="C565" s="1" t="s">
        <v>492</v>
      </c>
      <c r="D565" s="1" t="s">
        <v>1496</v>
      </c>
      <c r="E565" s="1"/>
      <c r="F565" s="1"/>
      <c r="G565" s="1" t="s">
        <v>98</v>
      </c>
      <c r="H565" s="1" t="s">
        <v>1500</v>
      </c>
      <c r="I565" s="1"/>
      <c r="J565" s="1"/>
      <c r="K565" s="1"/>
      <c r="L565" s="1" t="s">
        <v>15</v>
      </c>
      <c r="M565" s="1" t="s">
        <v>14</v>
      </c>
    </row>
    <row r="566" spans="1:13" x14ac:dyDescent="0.3">
      <c r="A566" s="1" t="s">
        <v>1532</v>
      </c>
      <c r="B566" s="1" t="s">
        <v>1533</v>
      </c>
      <c r="C566" s="1" t="s">
        <v>492</v>
      </c>
      <c r="D566" s="1" t="s">
        <v>1496</v>
      </c>
      <c r="E566" s="1"/>
      <c r="F566" s="1"/>
      <c r="G566" s="1" t="s">
        <v>98</v>
      </c>
      <c r="H566" s="1" t="s">
        <v>1510</v>
      </c>
      <c r="I566" s="1"/>
      <c r="J566" s="1"/>
      <c r="K566" s="1"/>
      <c r="L566" s="1" t="s">
        <v>15</v>
      </c>
      <c r="M566" s="1" t="s">
        <v>14</v>
      </c>
    </row>
    <row r="567" spans="1:13" x14ac:dyDescent="0.3">
      <c r="A567" s="1" t="s">
        <v>1534</v>
      </c>
      <c r="B567" s="1" t="s">
        <v>1535</v>
      </c>
      <c r="C567" s="1" t="s">
        <v>492</v>
      </c>
      <c r="D567" s="1" t="s">
        <v>1496</v>
      </c>
      <c r="E567" s="1"/>
      <c r="F567" s="1"/>
      <c r="G567" s="1" t="s">
        <v>98</v>
      </c>
      <c r="H567" s="1" t="s">
        <v>1513</v>
      </c>
      <c r="I567" s="1"/>
      <c r="J567" s="1"/>
      <c r="K567" s="1"/>
      <c r="L567" s="1" t="s">
        <v>15</v>
      </c>
      <c r="M567" s="1" t="s">
        <v>14</v>
      </c>
    </row>
    <row r="568" spans="1:13" x14ac:dyDescent="0.3">
      <c r="A568" s="1" t="s">
        <v>1536</v>
      </c>
      <c r="B568" s="1" t="s">
        <v>1537</v>
      </c>
      <c r="C568" s="1" t="s">
        <v>17</v>
      </c>
      <c r="D568" s="1" t="s">
        <v>1538</v>
      </c>
      <c r="E568" s="1" t="s">
        <v>132</v>
      </c>
      <c r="F568" s="1" t="s">
        <v>1541</v>
      </c>
      <c r="G568" s="1" t="s">
        <v>98</v>
      </c>
      <c r="H568" s="1" t="s">
        <v>1539</v>
      </c>
      <c r="I568" s="1" t="s">
        <v>1540</v>
      </c>
      <c r="J568" s="1" t="s">
        <v>1539</v>
      </c>
      <c r="K568" s="1"/>
      <c r="L568" s="1" t="s">
        <v>15</v>
      </c>
      <c r="M568" s="1" t="s">
        <v>14</v>
      </c>
    </row>
    <row r="569" spans="1:13" x14ac:dyDescent="0.3">
      <c r="A569" s="1" t="s">
        <v>1542</v>
      </c>
      <c r="B569" s="1" t="s">
        <v>1543</v>
      </c>
      <c r="C569" s="1" t="s">
        <v>17</v>
      </c>
      <c r="D569" s="1" t="s">
        <v>1538</v>
      </c>
      <c r="E569" s="1" t="s">
        <v>132</v>
      </c>
      <c r="F569" s="1" t="s">
        <v>1541</v>
      </c>
      <c r="G569" s="1" t="s">
        <v>98</v>
      </c>
      <c r="H569" s="1" t="s">
        <v>1544</v>
      </c>
      <c r="I569" s="1" t="s">
        <v>1540</v>
      </c>
      <c r="J569" s="1" t="s">
        <v>1544</v>
      </c>
      <c r="K569" s="1"/>
      <c r="L569" s="1" t="s">
        <v>15</v>
      </c>
      <c r="M569" s="1" t="s">
        <v>14</v>
      </c>
    </row>
    <row r="570" spans="1:13" x14ac:dyDescent="0.3">
      <c r="A570" s="1" t="s">
        <v>1545</v>
      </c>
      <c r="B570" s="1" t="s">
        <v>1546</v>
      </c>
      <c r="C570" s="1" t="s">
        <v>17</v>
      </c>
      <c r="D570" s="1" t="s">
        <v>1538</v>
      </c>
      <c r="E570" s="1" t="s">
        <v>132</v>
      </c>
      <c r="F570" s="1" t="s">
        <v>1541</v>
      </c>
      <c r="G570" s="1" t="s">
        <v>98</v>
      </c>
      <c r="H570" s="1" t="s">
        <v>1547</v>
      </c>
      <c r="I570" s="1" t="s">
        <v>1540</v>
      </c>
      <c r="J570" s="1" t="s">
        <v>1547</v>
      </c>
      <c r="K570" s="1"/>
      <c r="L570" s="1" t="s">
        <v>15</v>
      </c>
      <c r="M570" s="1" t="s">
        <v>14</v>
      </c>
    </row>
    <row r="571" spans="1:13" x14ac:dyDescent="0.3">
      <c r="A571" s="1" t="s">
        <v>1548</v>
      </c>
      <c r="B571" s="1" t="s">
        <v>1549</v>
      </c>
      <c r="C571" s="1" t="s">
        <v>17</v>
      </c>
      <c r="D571" s="1" t="s">
        <v>1538</v>
      </c>
      <c r="E571" s="1" t="s">
        <v>19</v>
      </c>
      <c r="F571" s="1" t="s">
        <v>1551</v>
      </c>
      <c r="G571" s="1" t="s">
        <v>98</v>
      </c>
      <c r="H571" s="1" t="s">
        <v>1550</v>
      </c>
      <c r="I571" s="1" t="s">
        <v>1540</v>
      </c>
      <c r="J571" s="1" t="s">
        <v>1550</v>
      </c>
      <c r="K571" s="1"/>
      <c r="L571" s="1" t="s">
        <v>15</v>
      </c>
      <c r="M571" s="1" t="s">
        <v>14</v>
      </c>
    </row>
    <row r="572" spans="1:13" x14ac:dyDescent="0.3">
      <c r="A572" s="1" t="s">
        <v>1552</v>
      </c>
      <c r="B572" s="1" t="s">
        <v>1553</v>
      </c>
      <c r="C572" s="1" t="s">
        <v>17</v>
      </c>
      <c r="D572" s="1" t="s">
        <v>1538</v>
      </c>
      <c r="E572" s="1" t="s">
        <v>19</v>
      </c>
      <c r="F572" s="1" t="s">
        <v>1551</v>
      </c>
      <c r="G572" s="1" t="s">
        <v>98</v>
      </c>
      <c r="H572" s="1" t="s">
        <v>1554</v>
      </c>
      <c r="I572" s="1" t="s">
        <v>1540</v>
      </c>
      <c r="J572" s="1" t="s">
        <v>1554</v>
      </c>
      <c r="K572" s="1"/>
      <c r="L572" s="1" t="s">
        <v>15</v>
      </c>
      <c r="M572" s="1" t="s">
        <v>14</v>
      </c>
    </row>
    <row r="573" spans="1:13" x14ac:dyDescent="0.3">
      <c r="A573" s="1" t="s">
        <v>1555</v>
      </c>
      <c r="B573" s="1" t="s">
        <v>1556</v>
      </c>
      <c r="C573" s="1" t="s">
        <v>17</v>
      </c>
      <c r="D573" s="1" t="s">
        <v>1538</v>
      </c>
      <c r="E573" s="1" t="s">
        <v>19</v>
      </c>
      <c r="F573" s="1" t="s">
        <v>1551</v>
      </c>
      <c r="G573" s="1" t="s">
        <v>98</v>
      </c>
      <c r="H573" s="1" t="s">
        <v>1557</v>
      </c>
      <c r="I573" s="1" t="s">
        <v>1540</v>
      </c>
      <c r="J573" s="1" t="s">
        <v>1557</v>
      </c>
      <c r="K573" s="1"/>
      <c r="L573" s="1" t="s">
        <v>15</v>
      </c>
      <c r="M573" s="1" t="s">
        <v>14</v>
      </c>
    </row>
    <row r="574" spans="1:13" x14ac:dyDescent="0.3">
      <c r="A574" s="1" t="s">
        <v>1558</v>
      </c>
      <c r="B574" s="1" t="s">
        <v>1559</v>
      </c>
      <c r="C574" s="1" t="s">
        <v>17</v>
      </c>
      <c r="D574" s="1" t="s">
        <v>1538</v>
      </c>
      <c r="E574" s="1" t="s">
        <v>19</v>
      </c>
      <c r="F574" s="1" t="s">
        <v>1551</v>
      </c>
      <c r="G574" s="1" t="s">
        <v>98</v>
      </c>
      <c r="H574" s="1" t="s">
        <v>1560</v>
      </c>
      <c r="I574" s="1" t="s">
        <v>1540</v>
      </c>
      <c r="J574" s="1" t="s">
        <v>1560</v>
      </c>
      <c r="K574" s="1"/>
      <c r="L574" s="1" t="s">
        <v>15</v>
      </c>
      <c r="M574" s="1" t="s">
        <v>14</v>
      </c>
    </row>
    <row r="575" spans="1:13" x14ac:dyDescent="0.3">
      <c r="A575" s="1" t="s">
        <v>1561</v>
      </c>
      <c r="B575" s="1" t="s">
        <v>1562</v>
      </c>
      <c r="C575" s="1" t="s">
        <v>17</v>
      </c>
      <c r="D575" s="1" t="s">
        <v>1538</v>
      </c>
      <c r="E575" s="1" t="s">
        <v>19</v>
      </c>
      <c r="F575" s="1" t="s">
        <v>1551</v>
      </c>
      <c r="G575" s="1" t="s">
        <v>98</v>
      </c>
      <c r="H575" s="1" t="s">
        <v>1563</v>
      </c>
      <c r="I575" s="1" t="s">
        <v>1540</v>
      </c>
      <c r="J575" s="1" t="s">
        <v>1563</v>
      </c>
      <c r="K575" s="1"/>
      <c r="L575" s="1" t="s">
        <v>15</v>
      </c>
      <c r="M575" s="1" t="s">
        <v>14</v>
      </c>
    </row>
    <row r="576" spans="1:13" x14ac:dyDescent="0.3">
      <c r="A576" s="1" t="s">
        <v>1564</v>
      </c>
      <c r="B576" s="1" t="s">
        <v>1565</v>
      </c>
      <c r="C576" s="1" t="s">
        <v>17</v>
      </c>
      <c r="D576" s="1" t="s">
        <v>1538</v>
      </c>
      <c r="E576" s="1" t="s">
        <v>19</v>
      </c>
      <c r="F576" s="1" t="s">
        <v>1551</v>
      </c>
      <c r="G576" s="1" t="s">
        <v>98</v>
      </c>
      <c r="H576" s="1" t="s">
        <v>1566</v>
      </c>
      <c r="I576" s="1" t="s">
        <v>1540</v>
      </c>
      <c r="J576" s="1" t="s">
        <v>1566</v>
      </c>
      <c r="K576" s="1"/>
      <c r="L576" s="1" t="s">
        <v>15</v>
      </c>
      <c r="M576" s="1" t="s">
        <v>14</v>
      </c>
    </row>
    <row r="577" spans="1:13" x14ac:dyDescent="0.3">
      <c r="A577" s="1" t="s">
        <v>1567</v>
      </c>
      <c r="B577" s="1" t="s">
        <v>1568</v>
      </c>
      <c r="C577" s="1" t="s">
        <v>17</v>
      </c>
      <c r="D577" s="1" t="s">
        <v>1538</v>
      </c>
      <c r="E577" s="1" t="s">
        <v>19</v>
      </c>
      <c r="F577" s="1" t="s">
        <v>1551</v>
      </c>
      <c r="G577" s="1" t="s">
        <v>98</v>
      </c>
      <c r="H577" s="1" t="s">
        <v>1569</v>
      </c>
      <c r="I577" s="1" t="s">
        <v>1540</v>
      </c>
      <c r="J577" s="1" t="s">
        <v>1569</v>
      </c>
      <c r="K577" s="1"/>
      <c r="L577" s="1" t="s">
        <v>15</v>
      </c>
      <c r="M577" s="1" t="s">
        <v>14</v>
      </c>
    </row>
    <row r="578" spans="1:13" x14ac:dyDescent="0.3">
      <c r="A578" s="1" t="s">
        <v>1570</v>
      </c>
      <c r="B578" s="1" t="s">
        <v>1571</v>
      </c>
      <c r="C578" s="1" t="s">
        <v>17</v>
      </c>
      <c r="D578" s="1" t="s">
        <v>1538</v>
      </c>
      <c r="E578" s="1" t="s">
        <v>19</v>
      </c>
      <c r="F578" s="1" t="s">
        <v>1551</v>
      </c>
      <c r="G578" s="1" t="s">
        <v>98</v>
      </c>
      <c r="H578" s="1" t="s">
        <v>1572</v>
      </c>
      <c r="I578" s="1" t="s">
        <v>1540</v>
      </c>
      <c r="J578" s="1" t="s">
        <v>1572</v>
      </c>
      <c r="K578" s="1"/>
      <c r="L578" s="1" t="s">
        <v>15</v>
      </c>
      <c r="M578" s="1" t="s">
        <v>14</v>
      </c>
    </row>
    <row r="579" spans="1:13" x14ac:dyDescent="0.3">
      <c r="A579" s="1" t="s">
        <v>1573</v>
      </c>
      <c r="B579" s="1" t="s">
        <v>1574</v>
      </c>
      <c r="C579" s="1" t="s">
        <v>17</v>
      </c>
      <c r="D579" s="1" t="s">
        <v>1538</v>
      </c>
      <c r="E579" s="1" t="s">
        <v>19</v>
      </c>
      <c r="F579" s="1" t="s">
        <v>1551</v>
      </c>
      <c r="G579" s="1" t="s">
        <v>98</v>
      </c>
      <c r="H579" s="1" t="s">
        <v>1575</v>
      </c>
      <c r="I579" s="1" t="s">
        <v>1540</v>
      </c>
      <c r="J579" s="1" t="s">
        <v>1575</v>
      </c>
      <c r="K579" s="1"/>
      <c r="L579" s="1" t="s">
        <v>15</v>
      </c>
      <c r="M579" s="1" t="s">
        <v>14</v>
      </c>
    </row>
    <row r="580" spans="1:13" x14ac:dyDescent="0.3">
      <c r="A580" s="1" t="s">
        <v>1576</v>
      </c>
      <c r="B580" s="1" t="s">
        <v>1577</v>
      </c>
      <c r="C580" s="1" t="s">
        <v>17</v>
      </c>
      <c r="D580" s="1" t="s">
        <v>1538</v>
      </c>
      <c r="E580" s="1" t="s">
        <v>132</v>
      </c>
      <c r="F580" s="1" t="s">
        <v>1541</v>
      </c>
      <c r="G580" s="1" t="s">
        <v>98</v>
      </c>
      <c r="H580" s="1" t="s">
        <v>1578</v>
      </c>
      <c r="I580" s="1" t="s">
        <v>1540</v>
      </c>
      <c r="J580" s="1" t="s">
        <v>1578</v>
      </c>
      <c r="K580" s="1"/>
      <c r="L580" s="1" t="s">
        <v>15</v>
      </c>
      <c r="M580" s="1" t="s">
        <v>14</v>
      </c>
    </row>
    <row r="581" spans="1:13" x14ac:dyDescent="0.3">
      <c r="A581" s="1" t="s">
        <v>1579</v>
      </c>
      <c r="B581" s="1" t="s">
        <v>1580</v>
      </c>
      <c r="C581" s="1" t="s">
        <v>17</v>
      </c>
      <c r="D581" s="1" t="s">
        <v>1538</v>
      </c>
      <c r="E581" s="1" t="s">
        <v>132</v>
      </c>
      <c r="F581" s="1" t="s">
        <v>1541</v>
      </c>
      <c r="G581" s="1" t="s">
        <v>145</v>
      </c>
      <c r="H581" s="1" t="s">
        <v>340</v>
      </c>
      <c r="I581" s="1" t="s">
        <v>1540</v>
      </c>
      <c r="J581" s="1" t="s">
        <v>341</v>
      </c>
      <c r="K581" s="1"/>
      <c r="L581" s="1" t="s">
        <v>15</v>
      </c>
      <c r="M581" s="1" t="s">
        <v>14</v>
      </c>
    </row>
    <row r="582" spans="1:13" x14ac:dyDescent="0.3">
      <c r="A582" s="1" t="s">
        <v>1581</v>
      </c>
      <c r="B582" s="1" t="s">
        <v>1582</v>
      </c>
      <c r="C582" s="1" t="s">
        <v>17</v>
      </c>
      <c r="D582" s="1" t="s">
        <v>1538</v>
      </c>
      <c r="E582" s="1" t="s">
        <v>132</v>
      </c>
      <c r="F582" s="1" t="s">
        <v>1541</v>
      </c>
      <c r="G582" s="1" t="s">
        <v>98</v>
      </c>
      <c r="H582" s="1" t="s">
        <v>1583</v>
      </c>
      <c r="I582" s="1" t="s">
        <v>1540</v>
      </c>
      <c r="J582" s="1" t="s">
        <v>1583</v>
      </c>
      <c r="K582" s="1"/>
      <c r="L582" s="1" t="s">
        <v>15</v>
      </c>
      <c r="M582" s="1" t="s">
        <v>14</v>
      </c>
    </row>
    <row r="583" spans="1:13" x14ac:dyDescent="0.3">
      <c r="A583" s="1" t="s">
        <v>1584</v>
      </c>
      <c r="B583" s="1" t="s">
        <v>1585</v>
      </c>
      <c r="C583" s="1" t="s">
        <v>17</v>
      </c>
      <c r="D583" s="1" t="s">
        <v>1538</v>
      </c>
      <c r="E583" s="1" t="s">
        <v>132</v>
      </c>
      <c r="F583" s="1" t="s">
        <v>1541</v>
      </c>
      <c r="G583" s="1" t="s">
        <v>98</v>
      </c>
      <c r="H583" s="1" t="s">
        <v>1586</v>
      </c>
      <c r="I583" s="1" t="s">
        <v>1540</v>
      </c>
      <c r="J583" s="1" t="s">
        <v>1586</v>
      </c>
      <c r="K583" s="1"/>
      <c r="L583" s="1" t="s">
        <v>15</v>
      </c>
      <c r="M583" s="1" t="s">
        <v>14</v>
      </c>
    </row>
    <row r="584" spans="1:13" x14ac:dyDescent="0.3">
      <c r="A584" s="1" t="s">
        <v>1587</v>
      </c>
      <c r="B584" s="1" t="s">
        <v>1588</v>
      </c>
      <c r="C584" s="1" t="s">
        <v>17</v>
      </c>
      <c r="D584" s="1" t="s">
        <v>1538</v>
      </c>
      <c r="E584" s="1" t="s">
        <v>132</v>
      </c>
      <c r="F584" s="1" t="s">
        <v>1541</v>
      </c>
      <c r="G584" s="1" t="s">
        <v>98</v>
      </c>
      <c r="H584" s="1" t="s">
        <v>1589</v>
      </c>
      <c r="I584" s="1" t="s">
        <v>1540</v>
      </c>
      <c r="J584" s="1" t="s">
        <v>1589</v>
      </c>
      <c r="K584" s="1"/>
      <c r="L584" s="1" t="s">
        <v>15</v>
      </c>
      <c r="M584" s="1" t="s">
        <v>14</v>
      </c>
    </row>
    <row r="585" spans="1:13" x14ac:dyDescent="0.3">
      <c r="A585" s="1" t="s">
        <v>1590</v>
      </c>
      <c r="B585" s="1" t="s">
        <v>1591</v>
      </c>
      <c r="C585" s="1" t="s">
        <v>17</v>
      </c>
      <c r="D585" s="1" t="s">
        <v>1538</v>
      </c>
      <c r="E585" s="1" t="s">
        <v>132</v>
      </c>
      <c r="F585" s="1" t="s">
        <v>1541</v>
      </c>
      <c r="G585" s="1" t="s">
        <v>98</v>
      </c>
      <c r="H585" s="1" t="s">
        <v>1592</v>
      </c>
      <c r="I585" s="1" t="s">
        <v>1540</v>
      </c>
      <c r="J585" s="1" t="s">
        <v>1592</v>
      </c>
      <c r="K585" s="1"/>
      <c r="L585" s="1" t="s">
        <v>15</v>
      </c>
      <c r="M585" s="1" t="s">
        <v>14</v>
      </c>
    </row>
    <row r="586" spans="1:13" x14ac:dyDescent="0.3">
      <c r="A586" s="1" t="s">
        <v>1593</v>
      </c>
      <c r="B586" s="1" t="s">
        <v>1594</v>
      </c>
      <c r="C586" s="1" t="s">
        <v>17</v>
      </c>
      <c r="D586" s="1" t="s">
        <v>1538</v>
      </c>
      <c r="E586" s="1" t="s">
        <v>19</v>
      </c>
      <c r="F586" s="1" t="s">
        <v>1551</v>
      </c>
      <c r="G586" s="1" t="s">
        <v>98</v>
      </c>
      <c r="H586" s="1" t="s">
        <v>1595</v>
      </c>
      <c r="I586" s="1" t="s">
        <v>1540</v>
      </c>
      <c r="J586" s="1" t="s">
        <v>1595</v>
      </c>
      <c r="K586" s="1"/>
      <c r="L586" s="1" t="s">
        <v>15</v>
      </c>
      <c r="M586" s="1" t="s">
        <v>14</v>
      </c>
    </row>
    <row r="587" spans="1:13" x14ac:dyDescent="0.3">
      <c r="A587" s="1" t="s">
        <v>1596</v>
      </c>
      <c r="B587" s="1" t="s">
        <v>1597</v>
      </c>
      <c r="C587" s="1" t="s">
        <v>17</v>
      </c>
      <c r="D587" s="1" t="s">
        <v>1538</v>
      </c>
      <c r="E587" s="1" t="s">
        <v>132</v>
      </c>
      <c r="F587" s="1" t="s">
        <v>1541</v>
      </c>
      <c r="G587" s="1" t="s">
        <v>98</v>
      </c>
      <c r="H587" s="1" t="s">
        <v>1598</v>
      </c>
      <c r="I587" s="1" t="s">
        <v>1540</v>
      </c>
      <c r="J587" s="1" t="s">
        <v>1598</v>
      </c>
      <c r="K587" s="1"/>
      <c r="L587" s="1" t="s">
        <v>15</v>
      </c>
      <c r="M587" s="1" t="s">
        <v>14</v>
      </c>
    </row>
    <row r="588" spans="1:13" x14ac:dyDescent="0.3">
      <c r="A588" s="1" t="s">
        <v>1599</v>
      </c>
      <c r="B588" s="1" t="s">
        <v>1600</v>
      </c>
      <c r="C588" s="1" t="s">
        <v>17</v>
      </c>
      <c r="D588" s="1" t="s">
        <v>1538</v>
      </c>
      <c r="E588" s="1" t="s">
        <v>19</v>
      </c>
      <c r="F588" s="1" t="s">
        <v>1551</v>
      </c>
      <c r="G588" s="1" t="s">
        <v>98</v>
      </c>
      <c r="H588" s="1" t="s">
        <v>1601</v>
      </c>
      <c r="I588" s="1" t="s">
        <v>1540</v>
      </c>
      <c r="J588" s="1" t="s">
        <v>1601</v>
      </c>
      <c r="K588" s="1"/>
      <c r="L588" s="1" t="s">
        <v>15</v>
      </c>
      <c r="M588" s="1" t="s">
        <v>14</v>
      </c>
    </row>
    <row r="589" spans="1:13" x14ac:dyDescent="0.3">
      <c r="A589" s="1" t="s">
        <v>1602</v>
      </c>
      <c r="B589" s="1" t="s">
        <v>1603</v>
      </c>
      <c r="C589" s="1" t="s">
        <v>17</v>
      </c>
      <c r="D589" s="1" t="s">
        <v>1538</v>
      </c>
      <c r="E589" s="1" t="s">
        <v>19</v>
      </c>
      <c r="F589" s="1" t="s">
        <v>1551</v>
      </c>
      <c r="G589" s="1" t="s">
        <v>98</v>
      </c>
      <c r="H589" s="1" t="s">
        <v>1604</v>
      </c>
      <c r="I589" s="1" t="s">
        <v>1540</v>
      </c>
      <c r="J589" s="1" t="s">
        <v>1604</v>
      </c>
      <c r="K589" s="1"/>
      <c r="L589" s="1" t="s">
        <v>15</v>
      </c>
      <c r="M589" s="1" t="s">
        <v>14</v>
      </c>
    </row>
    <row r="590" spans="1:13" x14ac:dyDescent="0.3">
      <c r="A590" s="1" t="s">
        <v>1605</v>
      </c>
      <c r="B590" s="1" t="s">
        <v>1606</v>
      </c>
      <c r="C590" s="1" t="s">
        <v>17</v>
      </c>
      <c r="D590" s="1" t="s">
        <v>1538</v>
      </c>
      <c r="E590" s="1" t="s">
        <v>19</v>
      </c>
      <c r="F590" s="1" t="s">
        <v>1551</v>
      </c>
      <c r="G590" s="1" t="s">
        <v>98</v>
      </c>
      <c r="H590" s="1" t="s">
        <v>73</v>
      </c>
      <c r="I590" s="1" t="s">
        <v>1540</v>
      </c>
      <c r="J590" s="1" t="s">
        <v>73</v>
      </c>
      <c r="K590" s="1"/>
      <c r="L590" s="1" t="s">
        <v>15</v>
      </c>
      <c r="M590" s="1" t="s">
        <v>14</v>
      </c>
    </row>
    <row r="591" spans="1:13" x14ac:dyDescent="0.3">
      <c r="A591" s="1" t="s">
        <v>1607</v>
      </c>
      <c r="B591" s="1" t="s">
        <v>1608</v>
      </c>
      <c r="C591" s="1" t="s">
        <v>17</v>
      </c>
      <c r="D591" s="1" t="s">
        <v>1538</v>
      </c>
      <c r="E591" s="1" t="s">
        <v>19</v>
      </c>
      <c r="F591" s="1" t="s">
        <v>1551</v>
      </c>
      <c r="G591" s="1" t="s">
        <v>98</v>
      </c>
      <c r="H591" s="1" t="s">
        <v>114</v>
      </c>
      <c r="I591" s="1" t="s">
        <v>1540</v>
      </c>
      <c r="J591" s="1" t="s">
        <v>114</v>
      </c>
      <c r="K591" s="1"/>
      <c r="L591" s="1" t="s">
        <v>15</v>
      </c>
      <c r="M591" s="1" t="s">
        <v>14</v>
      </c>
    </row>
    <row r="592" spans="1:13" x14ac:dyDescent="0.3">
      <c r="A592" s="1" t="s">
        <v>1609</v>
      </c>
      <c r="B592" s="1" t="s">
        <v>1610</v>
      </c>
      <c r="C592" s="1" t="s">
        <v>17</v>
      </c>
      <c r="D592" s="1" t="s">
        <v>1538</v>
      </c>
      <c r="E592" s="1" t="s">
        <v>19</v>
      </c>
      <c r="F592" s="1" t="s">
        <v>1551</v>
      </c>
      <c r="G592" s="1" t="s">
        <v>98</v>
      </c>
      <c r="H592" s="1" t="s">
        <v>1611</v>
      </c>
      <c r="I592" s="1" t="s">
        <v>1540</v>
      </c>
      <c r="J592" s="1" t="s">
        <v>1611</v>
      </c>
      <c r="K592" s="1"/>
      <c r="L592" s="1" t="s">
        <v>15</v>
      </c>
      <c r="M592" s="1" t="s">
        <v>14</v>
      </c>
    </row>
    <row r="593" spans="1:13" x14ac:dyDescent="0.3">
      <c r="A593" s="1" t="s">
        <v>1612</v>
      </c>
      <c r="B593" s="1" t="s">
        <v>1613</v>
      </c>
      <c r="C593" s="1" t="s">
        <v>17</v>
      </c>
      <c r="D593" s="1" t="s">
        <v>1538</v>
      </c>
      <c r="E593" s="1" t="s">
        <v>19</v>
      </c>
      <c r="F593" s="1" t="s">
        <v>1551</v>
      </c>
      <c r="G593" s="1" t="s">
        <v>98</v>
      </c>
      <c r="H593" s="1" t="s">
        <v>1614</v>
      </c>
      <c r="I593" s="1" t="s">
        <v>1540</v>
      </c>
      <c r="J593" s="1" t="s">
        <v>1614</v>
      </c>
      <c r="K593" s="1"/>
      <c r="L593" s="1" t="s">
        <v>15</v>
      </c>
      <c r="M593" s="1" t="s">
        <v>14</v>
      </c>
    </row>
    <row r="594" spans="1:13" x14ac:dyDescent="0.3">
      <c r="A594" s="1" t="s">
        <v>1615</v>
      </c>
      <c r="B594" s="1" t="s">
        <v>1616</v>
      </c>
      <c r="C594" s="1" t="s">
        <v>17</v>
      </c>
      <c r="D594" s="1" t="s">
        <v>1538</v>
      </c>
      <c r="E594" s="1" t="s">
        <v>19</v>
      </c>
      <c r="F594" s="1" t="s">
        <v>1551</v>
      </c>
      <c r="G594" s="1" t="s">
        <v>98</v>
      </c>
      <c r="H594" s="1" t="s">
        <v>1617</v>
      </c>
      <c r="I594" s="1" t="s">
        <v>1540</v>
      </c>
      <c r="J594" s="1" t="s">
        <v>1617</v>
      </c>
      <c r="K594" s="1"/>
      <c r="L594" s="1" t="s">
        <v>15</v>
      </c>
      <c r="M594" s="1" t="s">
        <v>14</v>
      </c>
    </row>
    <row r="595" spans="1:13" x14ac:dyDescent="0.3">
      <c r="A595" s="1" t="s">
        <v>1618</v>
      </c>
      <c r="B595" s="1" t="s">
        <v>1619</v>
      </c>
      <c r="C595" s="1" t="s">
        <v>17</v>
      </c>
      <c r="D595" s="1" t="s">
        <v>1538</v>
      </c>
      <c r="E595" s="1" t="s">
        <v>132</v>
      </c>
      <c r="F595" s="1" t="s">
        <v>1541</v>
      </c>
      <c r="G595" s="1" t="s">
        <v>98</v>
      </c>
      <c r="H595" s="1" t="s">
        <v>1620</v>
      </c>
      <c r="I595" s="1" t="s">
        <v>1540</v>
      </c>
      <c r="J595" s="1" t="s">
        <v>1620</v>
      </c>
      <c r="K595" s="1"/>
      <c r="L595" s="1" t="s">
        <v>15</v>
      </c>
      <c r="M595" s="1" t="s">
        <v>14</v>
      </c>
    </row>
    <row r="596" spans="1:13" x14ac:dyDescent="0.3">
      <c r="A596" s="1" t="s">
        <v>1621</v>
      </c>
      <c r="B596" s="1" t="s">
        <v>1622</v>
      </c>
      <c r="C596" s="1" t="s">
        <v>17</v>
      </c>
      <c r="D596" s="1" t="s">
        <v>1538</v>
      </c>
      <c r="E596" s="1" t="s">
        <v>132</v>
      </c>
      <c r="F596" s="1" t="s">
        <v>1541</v>
      </c>
      <c r="G596" s="1" t="s">
        <v>98</v>
      </c>
      <c r="H596" s="1" t="s">
        <v>1623</v>
      </c>
      <c r="I596" s="1" t="s">
        <v>1540</v>
      </c>
      <c r="J596" s="1" t="s">
        <v>1623</v>
      </c>
      <c r="K596" s="1"/>
      <c r="L596" s="1" t="s">
        <v>15</v>
      </c>
      <c r="M596" s="1" t="s">
        <v>14</v>
      </c>
    </row>
    <row r="597" spans="1:13" x14ac:dyDescent="0.3">
      <c r="A597" s="1" t="s">
        <v>1624</v>
      </c>
      <c r="B597" s="1" t="s">
        <v>1625</v>
      </c>
      <c r="C597" s="1" t="s">
        <v>17</v>
      </c>
      <c r="D597" s="1" t="s">
        <v>1538</v>
      </c>
      <c r="E597" s="1" t="s">
        <v>132</v>
      </c>
      <c r="F597" s="1" t="s">
        <v>1541</v>
      </c>
      <c r="G597" s="1" t="s">
        <v>98</v>
      </c>
      <c r="H597" s="1" t="s">
        <v>199</v>
      </c>
      <c r="I597" s="1" t="s">
        <v>1540</v>
      </c>
      <c r="J597" s="1" t="s">
        <v>200</v>
      </c>
      <c r="K597" s="1"/>
      <c r="L597" s="1" t="s">
        <v>15</v>
      </c>
      <c r="M597" s="1" t="s">
        <v>14</v>
      </c>
    </row>
    <row r="598" spans="1:13" x14ac:dyDescent="0.3">
      <c r="A598" s="1" t="s">
        <v>1626</v>
      </c>
      <c r="B598" s="1" t="s">
        <v>1627</v>
      </c>
      <c r="C598" s="1" t="s">
        <v>17</v>
      </c>
      <c r="D598" s="1" t="s">
        <v>1538</v>
      </c>
      <c r="E598" s="1" t="s">
        <v>132</v>
      </c>
      <c r="F598" s="1" t="s">
        <v>1541</v>
      </c>
      <c r="G598" s="1" t="s">
        <v>98</v>
      </c>
      <c r="H598" s="1" t="s">
        <v>215</v>
      </c>
      <c r="I598" s="1" t="s">
        <v>1540</v>
      </c>
      <c r="J598" s="1" t="s">
        <v>215</v>
      </c>
      <c r="K598" s="1"/>
      <c r="L598" s="1" t="s">
        <v>15</v>
      </c>
      <c r="M598" s="1" t="s">
        <v>14</v>
      </c>
    </row>
    <row r="599" spans="1:13" x14ac:dyDescent="0.3">
      <c r="A599" s="1" t="s">
        <v>1628</v>
      </c>
      <c r="B599" s="1" t="s">
        <v>1629</v>
      </c>
      <c r="C599" s="1" t="s">
        <v>17</v>
      </c>
      <c r="D599" s="1" t="s">
        <v>1538</v>
      </c>
      <c r="E599" s="1" t="s">
        <v>132</v>
      </c>
      <c r="F599" s="1" t="s">
        <v>1541</v>
      </c>
      <c r="G599" s="1" t="s">
        <v>98</v>
      </c>
      <c r="H599" s="1" t="s">
        <v>146</v>
      </c>
      <c r="I599" s="1" t="s">
        <v>1540</v>
      </c>
      <c r="J599" s="1" t="s">
        <v>146</v>
      </c>
      <c r="K599" s="1"/>
      <c r="L599" s="1" t="s">
        <v>15</v>
      </c>
      <c r="M599" s="1" t="s">
        <v>14</v>
      </c>
    </row>
    <row r="600" spans="1:13" x14ac:dyDescent="0.3">
      <c r="A600" s="1" t="s">
        <v>1630</v>
      </c>
      <c r="B600" s="1" t="s">
        <v>1631</v>
      </c>
      <c r="C600" s="1" t="s">
        <v>17</v>
      </c>
      <c r="D600" s="1" t="s">
        <v>1538</v>
      </c>
      <c r="E600" s="1" t="s">
        <v>132</v>
      </c>
      <c r="F600" s="1" t="s">
        <v>1541</v>
      </c>
      <c r="G600" s="1" t="s">
        <v>98</v>
      </c>
      <c r="H600" s="1" t="s">
        <v>1632</v>
      </c>
      <c r="I600" s="1" t="s">
        <v>1540</v>
      </c>
      <c r="J600" s="1" t="s">
        <v>1632</v>
      </c>
      <c r="K600" s="1"/>
      <c r="L600" s="1" t="s">
        <v>15</v>
      </c>
      <c r="M600" s="1" t="s">
        <v>14</v>
      </c>
    </row>
    <row r="601" spans="1:13" x14ac:dyDescent="0.3">
      <c r="A601" s="1" t="s">
        <v>1633</v>
      </c>
      <c r="B601" s="1" t="s">
        <v>1634</v>
      </c>
      <c r="C601" s="1" t="s">
        <v>17</v>
      </c>
      <c r="D601" s="1" t="s">
        <v>1538</v>
      </c>
      <c r="E601" s="1" t="s">
        <v>132</v>
      </c>
      <c r="F601" s="1" t="s">
        <v>1541</v>
      </c>
      <c r="G601" s="1" t="s">
        <v>98</v>
      </c>
      <c r="H601" s="1" t="s">
        <v>1635</v>
      </c>
      <c r="I601" s="1" t="s">
        <v>1540</v>
      </c>
      <c r="J601" s="1" t="s">
        <v>1635</v>
      </c>
      <c r="K601" s="1"/>
      <c r="L601" s="1" t="s">
        <v>15</v>
      </c>
      <c r="M601" s="1" t="s">
        <v>14</v>
      </c>
    </row>
    <row r="602" spans="1:13" x14ac:dyDescent="0.3">
      <c r="A602" s="1" t="s">
        <v>1636</v>
      </c>
      <c r="B602" s="1" t="s">
        <v>1637</v>
      </c>
      <c r="C602" s="1" t="s">
        <v>17</v>
      </c>
      <c r="D602" s="1" t="s">
        <v>1538</v>
      </c>
      <c r="E602" s="1" t="s">
        <v>19</v>
      </c>
      <c r="F602" s="1" t="s">
        <v>1551</v>
      </c>
      <c r="G602" s="1" t="s">
        <v>98</v>
      </c>
      <c r="H602" s="1" t="s">
        <v>1638</v>
      </c>
      <c r="I602" s="1" t="s">
        <v>1540</v>
      </c>
      <c r="J602" s="1" t="s">
        <v>1638</v>
      </c>
      <c r="K602" s="1"/>
      <c r="L602" s="1" t="s">
        <v>15</v>
      </c>
      <c r="M602" s="1" t="s">
        <v>14</v>
      </c>
    </row>
    <row r="603" spans="1:13" x14ac:dyDescent="0.3">
      <c r="A603" s="1" t="s">
        <v>1639</v>
      </c>
      <c r="B603" s="1" t="s">
        <v>1640</v>
      </c>
      <c r="C603" s="1" t="s">
        <v>17</v>
      </c>
      <c r="D603" s="1" t="s">
        <v>1538</v>
      </c>
      <c r="E603" s="1" t="s">
        <v>19</v>
      </c>
      <c r="F603" s="1" t="s">
        <v>1551</v>
      </c>
      <c r="G603" s="1" t="s">
        <v>98</v>
      </c>
      <c r="H603" s="1" t="s">
        <v>1641</v>
      </c>
      <c r="I603" s="1" t="s">
        <v>1540</v>
      </c>
      <c r="J603" s="1" t="s">
        <v>1641</v>
      </c>
      <c r="K603" s="1"/>
      <c r="L603" s="1" t="s">
        <v>15</v>
      </c>
      <c r="M603" s="1" t="s">
        <v>14</v>
      </c>
    </row>
    <row r="604" spans="1:13" x14ac:dyDescent="0.3">
      <c r="A604" s="1" t="s">
        <v>1642</v>
      </c>
      <c r="B604" s="1" t="s">
        <v>1643</v>
      </c>
      <c r="C604" s="1" t="s">
        <v>17</v>
      </c>
      <c r="D604" s="1" t="s">
        <v>1538</v>
      </c>
      <c r="E604" s="1" t="s">
        <v>19</v>
      </c>
      <c r="F604" s="1" t="s">
        <v>1551</v>
      </c>
      <c r="G604" s="1" t="s">
        <v>98</v>
      </c>
      <c r="H604" s="1" t="s">
        <v>1644</v>
      </c>
      <c r="I604" s="1" t="s">
        <v>1540</v>
      </c>
      <c r="J604" s="1" t="s">
        <v>1644</v>
      </c>
      <c r="K604" s="1"/>
      <c r="L604" s="1" t="s">
        <v>15</v>
      </c>
      <c r="M604" s="1" t="s">
        <v>14</v>
      </c>
    </row>
    <row r="605" spans="1:13" x14ac:dyDescent="0.3">
      <c r="A605" s="1" t="s">
        <v>1645</v>
      </c>
      <c r="B605" s="1" t="s">
        <v>1646</v>
      </c>
      <c r="C605" s="1" t="s">
        <v>17</v>
      </c>
      <c r="D605" s="1" t="s">
        <v>1538</v>
      </c>
      <c r="E605" s="1" t="s">
        <v>19</v>
      </c>
      <c r="F605" s="1" t="s">
        <v>1551</v>
      </c>
      <c r="G605" s="1" t="s">
        <v>98</v>
      </c>
      <c r="H605" s="1" t="s">
        <v>1647</v>
      </c>
      <c r="I605" s="1" t="s">
        <v>1540</v>
      </c>
      <c r="J605" s="1" t="s">
        <v>1647</v>
      </c>
      <c r="K605" s="1"/>
      <c r="L605" s="1" t="s">
        <v>15</v>
      </c>
      <c r="M605" s="1" t="s">
        <v>14</v>
      </c>
    </row>
    <row r="606" spans="1:13" x14ac:dyDescent="0.3">
      <c r="A606" s="1" t="s">
        <v>1648</v>
      </c>
      <c r="B606" s="1" t="s">
        <v>1649</v>
      </c>
      <c r="C606" s="1" t="s">
        <v>17</v>
      </c>
      <c r="D606" s="1" t="s">
        <v>1538</v>
      </c>
      <c r="E606" s="1" t="s">
        <v>19</v>
      </c>
      <c r="F606" s="1" t="s">
        <v>1551</v>
      </c>
      <c r="G606" s="1" t="s">
        <v>98</v>
      </c>
      <c r="H606" s="1" t="s">
        <v>1650</v>
      </c>
      <c r="I606" s="1" t="s">
        <v>1540</v>
      </c>
      <c r="J606" s="1" t="s">
        <v>1650</v>
      </c>
      <c r="K606" s="1"/>
      <c r="L606" s="1" t="s">
        <v>15</v>
      </c>
      <c r="M606" s="1" t="s">
        <v>14</v>
      </c>
    </row>
    <row r="607" spans="1:13" x14ac:dyDescent="0.3">
      <c r="A607" s="1" t="s">
        <v>1651</v>
      </c>
      <c r="B607" s="1" t="s">
        <v>1652</v>
      </c>
      <c r="C607" s="1" t="s">
        <v>17</v>
      </c>
      <c r="D607" s="1" t="s">
        <v>1538</v>
      </c>
      <c r="E607" s="1" t="s">
        <v>19</v>
      </c>
      <c r="F607" s="1" t="s">
        <v>1551</v>
      </c>
      <c r="G607" s="1" t="s">
        <v>98</v>
      </c>
      <c r="H607" s="1" t="s">
        <v>1653</v>
      </c>
      <c r="I607" s="1" t="s">
        <v>1540</v>
      </c>
      <c r="J607" s="1" t="s">
        <v>1653</v>
      </c>
      <c r="K607" s="1"/>
      <c r="L607" s="1" t="s">
        <v>15</v>
      </c>
      <c r="M607" s="1" t="s">
        <v>14</v>
      </c>
    </row>
    <row r="608" spans="1:13" x14ac:dyDescent="0.3">
      <c r="A608" s="1" t="s">
        <v>1654</v>
      </c>
      <c r="B608" s="1" t="s">
        <v>1655</v>
      </c>
      <c r="C608" s="1" t="s">
        <v>17</v>
      </c>
      <c r="D608" s="1" t="s">
        <v>1656</v>
      </c>
      <c r="E608" s="1" t="s">
        <v>132</v>
      </c>
      <c r="F608" s="1" t="s">
        <v>1658</v>
      </c>
      <c r="G608" s="1" t="s">
        <v>98</v>
      </c>
      <c r="H608" s="1" t="s">
        <v>1657</v>
      </c>
      <c r="I608" s="1" t="s">
        <v>1540</v>
      </c>
      <c r="J608" s="1" t="s">
        <v>1657</v>
      </c>
      <c r="K608" s="1"/>
      <c r="L608" s="1" t="s">
        <v>15</v>
      </c>
      <c r="M608" s="1" t="s">
        <v>14</v>
      </c>
    </row>
    <row r="609" spans="1:13" x14ac:dyDescent="0.3">
      <c r="A609" s="1" t="s">
        <v>1659</v>
      </c>
      <c r="B609" s="1" t="s">
        <v>1660</v>
      </c>
      <c r="C609" s="1" t="s">
        <v>17</v>
      </c>
      <c r="D609" s="1" t="s">
        <v>1656</v>
      </c>
      <c r="E609" s="1" t="s">
        <v>132</v>
      </c>
      <c r="F609" s="1" t="s">
        <v>1658</v>
      </c>
      <c r="G609" s="1" t="s">
        <v>98</v>
      </c>
      <c r="H609" s="1" t="s">
        <v>1661</v>
      </c>
      <c r="I609" s="1" t="s">
        <v>1540</v>
      </c>
      <c r="J609" s="1" t="s">
        <v>1661</v>
      </c>
      <c r="K609" s="1"/>
      <c r="L609" s="1" t="s">
        <v>15</v>
      </c>
      <c r="M609" s="1" t="s">
        <v>14</v>
      </c>
    </row>
    <row r="610" spans="1:13" x14ac:dyDescent="0.3">
      <c r="A610" s="1" t="s">
        <v>1662</v>
      </c>
      <c r="B610" s="1" t="s">
        <v>1663</v>
      </c>
      <c r="C610" s="1" t="s">
        <v>17</v>
      </c>
      <c r="D610" s="1" t="s">
        <v>1656</v>
      </c>
      <c r="E610" s="1" t="s">
        <v>132</v>
      </c>
      <c r="F610" s="1" t="s">
        <v>1658</v>
      </c>
      <c r="G610" s="1" t="s">
        <v>98</v>
      </c>
      <c r="H610" s="1" t="s">
        <v>1664</v>
      </c>
      <c r="I610" s="1" t="s">
        <v>1540</v>
      </c>
      <c r="J610" s="1" t="s">
        <v>1664</v>
      </c>
      <c r="K610" s="1"/>
      <c r="L610" s="1" t="s">
        <v>15</v>
      </c>
      <c r="M610" s="1" t="s">
        <v>14</v>
      </c>
    </row>
    <row r="611" spans="1:13" x14ac:dyDescent="0.3">
      <c r="A611" s="1" t="s">
        <v>1665</v>
      </c>
      <c r="B611" s="1" t="s">
        <v>1666</v>
      </c>
      <c r="C611" s="1" t="s">
        <v>17</v>
      </c>
      <c r="D611" s="1" t="s">
        <v>1656</v>
      </c>
      <c r="E611" s="1" t="s">
        <v>132</v>
      </c>
      <c r="F611" s="1" t="s">
        <v>1658</v>
      </c>
      <c r="G611" s="1" t="s">
        <v>98</v>
      </c>
      <c r="H611" s="1" t="s">
        <v>1667</v>
      </c>
      <c r="I611" s="1" t="s">
        <v>1540</v>
      </c>
      <c r="J611" s="1" t="s">
        <v>1667</v>
      </c>
      <c r="K611" s="1"/>
      <c r="L611" s="1" t="s">
        <v>15</v>
      </c>
      <c r="M611" s="1" t="s">
        <v>14</v>
      </c>
    </row>
    <row r="612" spans="1:13" x14ac:dyDescent="0.3">
      <c r="A612" s="1" t="s">
        <v>1668</v>
      </c>
      <c r="B612" s="1" t="s">
        <v>1669</v>
      </c>
      <c r="C612" s="1" t="s">
        <v>17</v>
      </c>
      <c r="D612" s="1" t="s">
        <v>1656</v>
      </c>
      <c r="E612" s="1" t="s">
        <v>132</v>
      </c>
      <c r="F612" s="1" t="s">
        <v>1658</v>
      </c>
      <c r="G612" s="1" t="s">
        <v>98</v>
      </c>
      <c r="H612" s="1" t="s">
        <v>1670</v>
      </c>
      <c r="I612" s="1" t="s">
        <v>1540</v>
      </c>
      <c r="J612" s="1" t="s">
        <v>1670</v>
      </c>
      <c r="K612" s="1"/>
      <c r="L612" s="1" t="s">
        <v>15</v>
      </c>
      <c r="M612" s="1" t="s">
        <v>14</v>
      </c>
    </row>
    <row r="613" spans="1:13" x14ac:dyDescent="0.3">
      <c r="A613" s="1" t="s">
        <v>1671</v>
      </c>
      <c r="B613" s="1" t="s">
        <v>1672</v>
      </c>
      <c r="C613" s="1" t="s">
        <v>17</v>
      </c>
      <c r="D613" s="1" t="s">
        <v>1656</v>
      </c>
      <c r="E613" s="1" t="s">
        <v>132</v>
      </c>
      <c r="F613" s="1" t="s">
        <v>1658</v>
      </c>
      <c r="G613" s="1" t="s">
        <v>98</v>
      </c>
      <c r="H613" s="1" t="s">
        <v>1667</v>
      </c>
      <c r="I613" s="1" t="s">
        <v>1540</v>
      </c>
      <c r="J613" s="1" t="s">
        <v>1667</v>
      </c>
      <c r="K613" s="1"/>
      <c r="L613" s="1" t="s">
        <v>15</v>
      </c>
      <c r="M613" s="1" t="s">
        <v>14</v>
      </c>
    </row>
    <row r="614" spans="1:13" x14ac:dyDescent="0.3">
      <c r="A614" s="1" t="s">
        <v>1673</v>
      </c>
      <c r="B614" s="1" t="s">
        <v>1674</v>
      </c>
      <c r="C614" s="1" t="s">
        <v>17</v>
      </c>
      <c r="D614" s="1" t="s">
        <v>1656</v>
      </c>
      <c r="E614" s="1" t="s">
        <v>132</v>
      </c>
      <c r="F614" s="1" t="s">
        <v>1658</v>
      </c>
      <c r="G614" s="1" t="s">
        <v>98</v>
      </c>
      <c r="H614" s="1" t="s">
        <v>1675</v>
      </c>
      <c r="I614" s="1" t="s">
        <v>1540</v>
      </c>
      <c r="J614" s="1" t="s">
        <v>1675</v>
      </c>
      <c r="K614" s="1"/>
      <c r="L614" s="1" t="s">
        <v>15</v>
      </c>
      <c r="M614" s="1" t="s">
        <v>14</v>
      </c>
    </row>
    <row r="615" spans="1:13" x14ac:dyDescent="0.3">
      <c r="A615" s="1" t="s">
        <v>1676</v>
      </c>
      <c r="B615" s="1" t="s">
        <v>1677</v>
      </c>
      <c r="C615" s="1" t="s">
        <v>17</v>
      </c>
      <c r="D615" s="1" t="s">
        <v>1656</v>
      </c>
      <c r="E615" s="1" t="s">
        <v>132</v>
      </c>
      <c r="F615" s="1" t="s">
        <v>1658</v>
      </c>
      <c r="G615" s="1" t="s">
        <v>98</v>
      </c>
      <c r="H615" s="1" t="s">
        <v>1678</v>
      </c>
      <c r="I615" s="1" t="s">
        <v>1540</v>
      </c>
      <c r="J615" s="1" t="s">
        <v>1678</v>
      </c>
      <c r="K615" s="1"/>
      <c r="L615" s="1" t="s">
        <v>15</v>
      </c>
      <c r="M615" s="1" t="s">
        <v>14</v>
      </c>
    </row>
    <row r="616" spans="1:13" x14ac:dyDescent="0.3">
      <c r="A616" s="1" t="s">
        <v>1679</v>
      </c>
      <c r="B616" s="1" t="s">
        <v>1680</v>
      </c>
      <c r="C616" s="1" t="s">
        <v>17</v>
      </c>
      <c r="D616" s="1" t="s">
        <v>1656</v>
      </c>
      <c r="E616" s="1" t="s">
        <v>132</v>
      </c>
      <c r="F616" s="1" t="s">
        <v>1658</v>
      </c>
      <c r="G616" s="1" t="s">
        <v>98</v>
      </c>
      <c r="H616" s="1" t="s">
        <v>1681</v>
      </c>
      <c r="I616" s="1" t="s">
        <v>1540</v>
      </c>
      <c r="J616" s="1" t="s">
        <v>1681</v>
      </c>
      <c r="K616" s="1"/>
      <c r="L616" s="1" t="s">
        <v>15</v>
      </c>
      <c r="M616" s="1" t="s">
        <v>14</v>
      </c>
    </row>
    <row r="617" spans="1:13" x14ac:dyDescent="0.3">
      <c r="A617" s="1" t="s">
        <v>1682</v>
      </c>
      <c r="B617" s="1" t="s">
        <v>1683</v>
      </c>
      <c r="C617" s="1" t="s">
        <v>17</v>
      </c>
      <c r="D617" s="1" t="s">
        <v>1656</v>
      </c>
      <c r="E617" s="1" t="s">
        <v>132</v>
      </c>
      <c r="F617" s="1" t="s">
        <v>1658</v>
      </c>
      <c r="G617" s="1" t="s">
        <v>98</v>
      </c>
      <c r="H617" s="1" t="s">
        <v>1684</v>
      </c>
      <c r="I617" s="1" t="s">
        <v>1540</v>
      </c>
      <c r="J617" s="1" t="s">
        <v>1684</v>
      </c>
      <c r="K617" s="1"/>
      <c r="L617" s="1" t="s">
        <v>15</v>
      </c>
      <c r="M617" s="1" t="s">
        <v>14</v>
      </c>
    </row>
    <row r="618" spans="1:13" x14ac:dyDescent="0.3">
      <c r="A618" s="1" t="s">
        <v>1685</v>
      </c>
      <c r="B618" s="1" t="s">
        <v>1686</v>
      </c>
      <c r="C618" s="1" t="s">
        <v>17</v>
      </c>
      <c r="D618" s="1" t="s">
        <v>1656</v>
      </c>
      <c r="E618" s="1" t="s">
        <v>19</v>
      </c>
      <c r="F618" s="1" t="s">
        <v>1688</v>
      </c>
      <c r="G618" s="1" t="s">
        <v>98</v>
      </c>
      <c r="H618" s="1" t="s">
        <v>1687</v>
      </c>
      <c r="I618" s="1" t="s">
        <v>1540</v>
      </c>
      <c r="J618" s="1" t="s">
        <v>1687</v>
      </c>
      <c r="K618" s="1"/>
      <c r="L618" s="1" t="s">
        <v>15</v>
      </c>
      <c r="M618" s="1" t="s">
        <v>14</v>
      </c>
    </row>
    <row r="619" spans="1:13" x14ac:dyDescent="0.3">
      <c r="A619" s="1" t="s">
        <v>1689</v>
      </c>
      <c r="B619" s="1" t="s">
        <v>1690</v>
      </c>
      <c r="C619" s="1" t="s">
        <v>17</v>
      </c>
      <c r="D619" s="1" t="s">
        <v>1656</v>
      </c>
      <c r="E619" s="1" t="s">
        <v>19</v>
      </c>
      <c r="F619" s="1" t="s">
        <v>1688</v>
      </c>
      <c r="G619" s="1" t="s">
        <v>98</v>
      </c>
      <c r="H619" s="1" t="s">
        <v>1691</v>
      </c>
      <c r="I619" s="1" t="s">
        <v>1540</v>
      </c>
      <c r="J619" s="1" t="s">
        <v>1691</v>
      </c>
      <c r="K619" s="1"/>
      <c r="L619" s="1" t="s">
        <v>15</v>
      </c>
      <c r="M619" s="1" t="s">
        <v>14</v>
      </c>
    </row>
    <row r="620" spans="1:13" x14ac:dyDescent="0.3">
      <c r="A620" s="1" t="s">
        <v>1692</v>
      </c>
      <c r="B620" s="1" t="s">
        <v>1693</v>
      </c>
      <c r="C620" s="1" t="s">
        <v>17</v>
      </c>
      <c r="D620" s="1" t="s">
        <v>1656</v>
      </c>
      <c r="E620" s="1" t="s">
        <v>19</v>
      </c>
      <c r="F620" s="1" t="s">
        <v>1688</v>
      </c>
      <c r="G620" s="1" t="s">
        <v>98</v>
      </c>
      <c r="H620" s="1" t="s">
        <v>1694</v>
      </c>
      <c r="I620" s="1" t="s">
        <v>1540</v>
      </c>
      <c r="J620" s="1" t="s">
        <v>1694</v>
      </c>
      <c r="K620" s="1"/>
      <c r="L620" s="1" t="s">
        <v>15</v>
      </c>
      <c r="M620" s="1" t="s">
        <v>14</v>
      </c>
    </row>
    <row r="621" spans="1:13" x14ac:dyDescent="0.3">
      <c r="A621" s="1" t="s">
        <v>1695</v>
      </c>
      <c r="B621" s="1" t="s">
        <v>1696</v>
      </c>
      <c r="C621" s="1" t="s">
        <v>17</v>
      </c>
      <c r="D621" s="1" t="s">
        <v>1656</v>
      </c>
      <c r="E621" s="1" t="s">
        <v>19</v>
      </c>
      <c r="F621" s="1" t="s">
        <v>1688</v>
      </c>
      <c r="G621" s="1" t="s">
        <v>98</v>
      </c>
      <c r="H621" s="1" t="s">
        <v>1697</v>
      </c>
      <c r="I621" s="1" t="s">
        <v>1540</v>
      </c>
      <c r="J621" s="1" t="s">
        <v>1697</v>
      </c>
      <c r="K621" s="1"/>
      <c r="L621" s="1" t="s">
        <v>15</v>
      </c>
      <c r="M621" s="1" t="s">
        <v>14</v>
      </c>
    </row>
    <row r="622" spans="1:13" x14ac:dyDescent="0.3">
      <c r="A622" s="1" t="s">
        <v>1698</v>
      </c>
      <c r="B622" s="1" t="s">
        <v>1699</v>
      </c>
      <c r="C622" s="1" t="s">
        <v>17</v>
      </c>
      <c r="D622" s="1" t="s">
        <v>1656</v>
      </c>
      <c r="E622" s="1" t="s">
        <v>19</v>
      </c>
      <c r="F622" s="1" t="s">
        <v>1688</v>
      </c>
      <c r="G622" s="1" t="s">
        <v>98</v>
      </c>
      <c r="H622" s="1" t="s">
        <v>1700</v>
      </c>
      <c r="I622" s="1" t="s">
        <v>1540</v>
      </c>
      <c r="J622" s="1" t="s">
        <v>1700</v>
      </c>
      <c r="K622" s="1"/>
      <c r="L622" s="1" t="s">
        <v>15</v>
      </c>
      <c r="M622" s="1" t="s">
        <v>14</v>
      </c>
    </row>
    <row r="623" spans="1:13" x14ac:dyDescent="0.3">
      <c r="A623" s="1" t="s">
        <v>1701</v>
      </c>
      <c r="B623" s="1" t="s">
        <v>1702</v>
      </c>
      <c r="C623" s="1" t="s">
        <v>17</v>
      </c>
      <c r="D623" s="1" t="s">
        <v>1656</v>
      </c>
      <c r="E623" s="1" t="s">
        <v>19</v>
      </c>
      <c r="F623" s="1" t="s">
        <v>1688</v>
      </c>
      <c r="G623" s="1" t="s">
        <v>98</v>
      </c>
      <c r="H623" s="1" t="s">
        <v>1703</v>
      </c>
      <c r="I623" s="1" t="s">
        <v>1540</v>
      </c>
      <c r="J623" s="1" t="s">
        <v>1703</v>
      </c>
      <c r="K623" s="1"/>
      <c r="L623" s="1" t="s">
        <v>15</v>
      </c>
      <c r="M623" s="1" t="s">
        <v>14</v>
      </c>
    </row>
    <row r="624" spans="1:13" x14ac:dyDescent="0.3">
      <c r="A624" s="1" t="s">
        <v>1704</v>
      </c>
      <c r="B624" s="1" t="s">
        <v>1705</v>
      </c>
      <c r="C624" s="1" t="s">
        <v>17</v>
      </c>
      <c r="D624" s="1" t="s">
        <v>1656</v>
      </c>
      <c r="E624" s="1" t="s">
        <v>19</v>
      </c>
      <c r="F624" s="1" t="s">
        <v>1688</v>
      </c>
      <c r="G624" s="1" t="s">
        <v>98</v>
      </c>
      <c r="H624" s="1" t="s">
        <v>1706</v>
      </c>
      <c r="I624" s="1" t="s">
        <v>1540</v>
      </c>
      <c r="J624" s="1" t="s">
        <v>1706</v>
      </c>
      <c r="K624" s="1"/>
      <c r="L624" s="1" t="s">
        <v>15</v>
      </c>
      <c r="M624" s="1" t="s">
        <v>14</v>
      </c>
    </row>
    <row r="625" spans="1:13" x14ac:dyDescent="0.3">
      <c r="A625" s="1" t="s">
        <v>1707</v>
      </c>
      <c r="B625" s="1" t="s">
        <v>1708</v>
      </c>
      <c r="C625" s="1" t="s">
        <v>17</v>
      </c>
      <c r="D625" s="1" t="s">
        <v>1656</v>
      </c>
      <c r="E625" s="1" t="s">
        <v>19</v>
      </c>
      <c r="F625" s="1" t="s">
        <v>1688</v>
      </c>
      <c r="G625" s="1" t="s">
        <v>98</v>
      </c>
      <c r="H625" s="1" t="s">
        <v>1709</v>
      </c>
      <c r="I625" s="1" t="s">
        <v>1540</v>
      </c>
      <c r="J625" s="1" t="s">
        <v>1709</v>
      </c>
      <c r="K625" s="1"/>
      <c r="L625" s="1" t="s">
        <v>15</v>
      </c>
      <c r="M625" s="1" t="s">
        <v>14</v>
      </c>
    </row>
    <row r="626" spans="1:13" x14ac:dyDescent="0.3">
      <c r="A626" s="1" t="s">
        <v>1710</v>
      </c>
      <c r="B626" s="1" t="s">
        <v>1711</v>
      </c>
      <c r="C626" s="1" t="s">
        <v>17</v>
      </c>
      <c r="D626" s="1" t="s">
        <v>1656</v>
      </c>
      <c r="E626" s="1" t="s">
        <v>19</v>
      </c>
      <c r="F626" s="1" t="s">
        <v>1688</v>
      </c>
      <c r="G626" s="1" t="s">
        <v>98</v>
      </c>
      <c r="H626" s="1" t="s">
        <v>1712</v>
      </c>
      <c r="I626" s="1" t="s">
        <v>1540</v>
      </c>
      <c r="J626" s="1" t="s">
        <v>1712</v>
      </c>
      <c r="K626" s="1"/>
      <c r="L626" s="1" t="s">
        <v>15</v>
      </c>
      <c r="M626" s="1" t="s">
        <v>14</v>
      </c>
    </row>
    <row r="627" spans="1:13" x14ac:dyDescent="0.3">
      <c r="A627" s="1" t="s">
        <v>1713</v>
      </c>
      <c r="B627" s="1" t="s">
        <v>1714</v>
      </c>
      <c r="C627" s="1" t="s">
        <v>17</v>
      </c>
      <c r="D627" s="1" t="s">
        <v>1656</v>
      </c>
      <c r="E627" s="1" t="s">
        <v>19</v>
      </c>
      <c r="F627" s="1" t="s">
        <v>1688</v>
      </c>
      <c r="G627" s="1" t="s">
        <v>98</v>
      </c>
      <c r="H627" s="1" t="s">
        <v>1715</v>
      </c>
      <c r="I627" s="1" t="s">
        <v>1540</v>
      </c>
      <c r="J627" s="1" t="s">
        <v>1715</v>
      </c>
      <c r="K627" s="1"/>
      <c r="L627" s="1" t="s">
        <v>15</v>
      </c>
      <c r="M627" s="1" t="s">
        <v>14</v>
      </c>
    </row>
    <row r="628" spans="1:13" x14ac:dyDescent="0.3">
      <c r="A628" s="1" t="s">
        <v>1716</v>
      </c>
      <c r="B628" s="1" t="s">
        <v>1717</v>
      </c>
      <c r="C628" s="1" t="s">
        <v>17</v>
      </c>
      <c r="D628" s="1" t="s">
        <v>1656</v>
      </c>
      <c r="E628" s="1" t="s">
        <v>19</v>
      </c>
      <c r="F628" s="1" t="s">
        <v>1688</v>
      </c>
      <c r="G628" s="1" t="s">
        <v>98</v>
      </c>
      <c r="H628" s="1" t="s">
        <v>1718</v>
      </c>
      <c r="I628" s="1" t="s">
        <v>1540</v>
      </c>
      <c r="J628" s="1" t="s">
        <v>1718</v>
      </c>
      <c r="K628" s="1"/>
      <c r="L628" s="1" t="s">
        <v>15</v>
      </c>
      <c r="M628" s="1" t="s">
        <v>14</v>
      </c>
    </row>
    <row r="629" spans="1:13" x14ac:dyDescent="0.3">
      <c r="A629" s="1" t="s">
        <v>1719</v>
      </c>
      <c r="B629" s="1" t="s">
        <v>1720</v>
      </c>
      <c r="C629" s="1" t="s">
        <v>17</v>
      </c>
      <c r="D629" s="1" t="s">
        <v>1656</v>
      </c>
      <c r="E629" s="1" t="s">
        <v>19</v>
      </c>
      <c r="F629" s="1" t="s">
        <v>1688</v>
      </c>
      <c r="G629" s="1" t="s">
        <v>98</v>
      </c>
      <c r="H629" s="1" t="s">
        <v>1721</v>
      </c>
      <c r="I629" s="1" t="s">
        <v>1540</v>
      </c>
      <c r="J629" s="1" t="s">
        <v>1721</v>
      </c>
      <c r="K629" s="1"/>
      <c r="L629" s="1" t="s">
        <v>15</v>
      </c>
      <c r="M629" s="1" t="s">
        <v>14</v>
      </c>
    </row>
    <row r="630" spans="1:13" x14ac:dyDescent="0.3">
      <c r="A630" s="1" t="s">
        <v>1722</v>
      </c>
      <c r="B630" s="1" t="s">
        <v>1723</v>
      </c>
      <c r="C630" s="1" t="s">
        <v>17</v>
      </c>
      <c r="D630" s="1" t="s">
        <v>1656</v>
      </c>
      <c r="E630" s="1" t="s">
        <v>19</v>
      </c>
      <c r="F630" s="1" t="s">
        <v>1688</v>
      </c>
      <c r="G630" s="1" t="s">
        <v>98</v>
      </c>
      <c r="H630" s="1" t="s">
        <v>1724</v>
      </c>
      <c r="I630" s="1" t="s">
        <v>1540</v>
      </c>
      <c r="J630" s="1" t="s">
        <v>1724</v>
      </c>
      <c r="K630" s="1"/>
      <c r="L630" s="1" t="s">
        <v>15</v>
      </c>
      <c r="M630" s="1" t="s">
        <v>14</v>
      </c>
    </row>
    <row r="631" spans="1:13" x14ac:dyDescent="0.3">
      <c r="A631" s="1" t="s">
        <v>1725</v>
      </c>
      <c r="B631" s="1" t="s">
        <v>1726</v>
      </c>
      <c r="C631" s="1" t="s">
        <v>17</v>
      </c>
      <c r="D631" s="1" t="s">
        <v>1656</v>
      </c>
      <c r="E631" s="1" t="s">
        <v>19</v>
      </c>
      <c r="F631" s="1" t="s">
        <v>1688</v>
      </c>
      <c r="G631" s="1" t="s">
        <v>98</v>
      </c>
      <c r="H631" s="1" t="s">
        <v>1727</v>
      </c>
      <c r="I631" s="1" t="s">
        <v>1540</v>
      </c>
      <c r="J631" s="1" t="s">
        <v>1727</v>
      </c>
      <c r="K631" s="1"/>
      <c r="L631" s="1" t="s">
        <v>15</v>
      </c>
      <c r="M631" s="1" t="s">
        <v>14</v>
      </c>
    </row>
    <row r="632" spans="1:13" x14ac:dyDescent="0.3">
      <c r="A632" s="1" t="s">
        <v>1728</v>
      </c>
      <c r="B632" s="1" t="s">
        <v>1729</v>
      </c>
      <c r="C632" s="1" t="s">
        <v>17</v>
      </c>
      <c r="D632" s="1" t="s">
        <v>1656</v>
      </c>
      <c r="E632" s="1" t="s">
        <v>19</v>
      </c>
      <c r="F632" s="1" t="s">
        <v>1688</v>
      </c>
      <c r="G632" s="1" t="s">
        <v>98</v>
      </c>
      <c r="H632" s="1" t="s">
        <v>1730</v>
      </c>
      <c r="I632" s="1" t="s">
        <v>1540</v>
      </c>
      <c r="J632" s="1" t="s">
        <v>1730</v>
      </c>
      <c r="K632" s="1"/>
      <c r="L632" s="1" t="s">
        <v>15</v>
      </c>
      <c r="M632" s="1" t="s">
        <v>14</v>
      </c>
    </row>
    <row r="633" spans="1:13" x14ac:dyDescent="0.3">
      <c r="A633" s="1" t="s">
        <v>1731</v>
      </c>
      <c r="B633" s="1" t="s">
        <v>1732</v>
      </c>
      <c r="C633" s="1" t="s">
        <v>17</v>
      </c>
      <c r="D633" s="1" t="s">
        <v>1656</v>
      </c>
      <c r="E633" s="1" t="s">
        <v>19</v>
      </c>
      <c r="F633" s="1" t="s">
        <v>1688</v>
      </c>
      <c r="G633" s="1" t="s">
        <v>98</v>
      </c>
      <c r="H633" s="1" t="s">
        <v>1733</v>
      </c>
      <c r="I633" s="1" t="s">
        <v>1540</v>
      </c>
      <c r="J633" s="1" t="s">
        <v>1733</v>
      </c>
      <c r="K633" s="1"/>
      <c r="L633" s="1" t="s">
        <v>15</v>
      </c>
      <c r="M633" s="1" t="s">
        <v>14</v>
      </c>
    </row>
    <row r="634" spans="1:13" x14ac:dyDescent="0.3">
      <c r="A634" s="1" t="s">
        <v>1734</v>
      </c>
      <c r="B634" s="1" t="s">
        <v>1735</v>
      </c>
      <c r="C634" s="1" t="s">
        <v>17</v>
      </c>
      <c r="D634" s="1" t="s">
        <v>1656</v>
      </c>
      <c r="E634" s="1" t="s">
        <v>132</v>
      </c>
      <c r="F634" s="1" t="s">
        <v>1658</v>
      </c>
      <c r="G634" s="1" t="s">
        <v>98</v>
      </c>
      <c r="H634" s="1" t="s">
        <v>1736</v>
      </c>
      <c r="I634" s="1" t="s">
        <v>1540</v>
      </c>
      <c r="J634" s="1" t="s">
        <v>1736</v>
      </c>
      <c r="K634" s="1"/>
      <c r="L634" s="1" t="s">
        <v>15</v>
      </c>
      <c r="M634" s="1" t="s">
        <v>14</v>
      </c>
    </row>
    <row r="635" spans="1:13" x14ac:dyDescent="0.3">
      <c r="A635" s="1" t="s">
        <v>1737</v>
      </c>
      <c r="B635" s="1" t="s">
        <v>1738</v>
      </c>
      <c r="C635" s="1" t="s">
        <v>17</v>
      </c>
      <c r="D635" s="1" t="s">
        <v>1656</v>
      </c>
      <c r="E635" s="1" t="s">
        <v>19</v>
      </c>
      <c r="F635" s="1" t="s">
        <v>1688</v>
      </c>
      <c r="G635" s="1" t="s">
        <v>98</v>
      </c>
      <c r="H635" s="1" t="s">
        <v>1739</v>
      </c>
      <c r="I635" s="1" t="s">
        <v>1540</v>
      </c>
      <c r="J635" s="1" t="s">
        <v>1739</v>
      </c>
      <c r="K635" s="1"/>
      <c r="L635" s="1" t="s">
        <v>15</v>
      </c>
      <c r="M635" s="1" t="s">
        <v>14</v>
      </c>
    </row>
    <row r="636" spans="1:13" x14ac:dyDescent="0.3">
      <c r="A636" s="1" t="s">
        <v>1740</v>
      </c>
      <c r="B636" s="1" t="s">
        <v>1741</v>
      </c>
      <c r="C636" s="1" t="s">
        <v>17</v>
      </c>
      <c r="D636" s="1" t="s">
        <v>1656</v>
      </c>
      <c r="E636" s="1" t="s">
        <v>132</v>
      </c>
      <c r="F636" s="1" t="s">
        <v>1658</v>
      </c>
      <c r="G636" s="1" t="s">
        <v>98</v>
      </c>
      <c r="H636" s="1" t="s">
        <v>1742</v>
      </c>
      <c r="I636" s="1" t="s">
        <v>1540</v>
      </c>
      <c r="J636" s="1" t="s">
        <v>1742</v>
      </c>
      <c r="K636" s="1"/>
      <c r="L636" s="1" t="s">
        <v>15</v>
      </c>
      <c r="M636" s="1" t="s">
        <v>14</v>
      </c>
    </row>
    <row r="637" spans="1:13" x14ac:dyDescent="0.3">
      <c r="A637" s="1" t="s">
        <v>1743</v>
      </c>
      <c r="B637" s="1" t="s">
        <v>1744</v>
      </c>
      <c r="C637" s="1" t="s">
        <v>17</v>
      </c>
      <c r="D637" s="1" t="s">
        <v>1656</v>
      </c>
      <c r="E637" s="1" t="s">
        <v>132</v>
      </c>
      <c r="F637" s="1" t="s">
        <v>1658</v>
      </c>
      <c r="G637" s="1" t="s">
        <v>98</v>
      </c>
      <c r="H637" s="1" t="s">
        <v>1623</v>
      </c>
      <c r="I637" s="1" t="s">
        <v>1540</v>
      </c>
      <c r="J637" s="1" t="s">
        <v>1623</v>
      </c>
      <c r="K637" s="1"/>
      <c r="L637" s="1" t="s">
        <v>15</v>
      </c>
      <c r="M637" s="1" t="s">
        <v>14</v>
      </c>
    </row>
    <row r="638" spans="1:13" x14ac:dyDescent="0.3">
      <c r="A638" s="1" t="s">
        <v>1745</v>
      </c>
      <c r="B638" s="1" t="s">
        <v>1746</v>
      </c>
      <c r="C638" s="1" t="s">
        <v>17</v>
      </c>
      <c r="D638" s="1" t="s">
        <v>1656</v>
      </c>
      <c r="E638" s="1" t="s">
        <v>132</v>
      </c>
      <c r="F638" s="1" t="s">
        <v>1658</v>
      </c>
      <c r="G638" s="1" t="s">
        <v>98</v>
      </c>
      <c r="H638" s="1" t="s">
        <v>248</v>
      </c>
      <c r="I638" s="1" t="s">
        <v>1540</v>
      </c>
      <c r="J638" s="1" t="s">
        <v>248</v>
      </c>
      <c r="K638" s="1"/>
      <c r="L638" s="1" t="s">
        <v>15</v>
      </c>
      <c r="M638" s="1" t="s">
        <v>14</v>
      </c>
    </row>
    <row r="639" spans="1:13" x14ac:dyDescent="0.3">
      <c r="A639" s="1" t="s">
        <v>1747</v>
      </c>
      <c r="B639" s="1" t="s">
        <v>1748</v>
      </c>
      <c r="C639" s="1" t="s">
        <v>17</v>
      </c>
      <c r="D639" s="1" t="s">
        <v>1656</v>
      </c>
      <c r="E639" s="1" t="s">
        <v>132</v>
      </c>
      <c r="F639" s="1" t="s">
        <v>1658</v>
      </c>
      <c r="G639" s="1" t="s">
        <v>98</v>
      </c>
      <c r="H639" s="1" t="s">
        <v>1749</v>
      </c>
      <c r="I639" s="1" t="s">
        <v>1540</v>
      </c>
      <c r="J639" s="1" t="s">
        <v>1749</v>
      </c>
      <c r="K639" s="1"/>
      <c r="L639" s="1" t="s">
        <v>15</v>
      </c>
      <c r="M639" s="1" t="s">
        <v>14</v>
      </c>
    </row>
    <row r="640" spans="1:13" x14ac:dyDescent="0.3">
      <c r="A640" s="1" t="s">
        <v>1750</v>
      </c>
      <c r="B640" s="1" t="s">
        <v>1751</v>
      </c>
      <c r="C640" s="1" t="s">
        <v>17</v>
      </c>
      <c r="D640" s="1" t="s">
        <v>1656</v>
      </c>
      <c r="E640" s="1" t="s">
        <v>132</v>
      </c>
      <c r="F640" s="1" t="s">
        <v>1658</v>
      </c>
      <c r="G640" s="1" t="s">
        <v>98</v>
      </c>
      <c r="H640" s="1" t="s">
        <v>1752</v>
      </c>
      <c r="I640" s="1" t="s">
        <v>1540</v>
      </c>
      <c r="J640" s="1" t="s">
        <v>1752</v>
      </c>
      <c r="K640" s="1"/>
      <c r="L640" s="1" t="s">
        <v>15</v>
      </c>
      <c r="M640" s="1" t="s">
        <v>14</v>
      </c>
    </row>
    <row r="641" spans="1:13" x14ac:dyDescent="0.3">
      <c r="A641" s="1" t="s">
        <v>1753</v>
      </c>
      <c r="B641" s="1" t="s">
        <v>1754</v>
      </c>
      <c r="C641" s="1" t="s">
        <v>17</v>
      </c>
      <c r="D641" s="1" t="s">
        <v>1656</v>
      </c>
      <c r="E641" s="1" t="s">
        <v>132</v>
      </c>
      <c r="F641" s="1" t="s">
        <v>1658</v>
      </c>
      <c r="G641" s="1" t="s">
        <v>98</v>
      </c>
      <c r="H641" s="1" t="s">
        <v>1539</v>
      </c>
      <c r="I641" s="1" t="s">
        <v>1540</v>
      </c>
      <c r="J641" s="1" t="s">
        <v>1539</v>
      </c>
      <c r="K641" s="1"/>
      <c r="L641" s="1" t="s">
        <v>15</v>
      </c>
      <c r="M641" s="1" t="s">
        <v>14</v>
      </c>
    </row>
    <row r="642" spans="1:13" x14ac:dyDescent="0.3">
      <c r="A642" s="1" t="s">
        <v>1755</v>
      </c>
      <c r="B642" s="1" t="s">
        <v>1756</v>
      </c>
      <c r="C642" s="1" t="s">
        <v>17</v>
      </c>
      <c r="D642" s="1" t="s">
        <v>1656</v>
      </c>
      <c r="E642" s="1" t="s">
        <v>132</v>
      </c>
      <c r="F642" s="1" t="s">
        <v>1658</v>
      </c>
      <c r="G642" s="1" t="s">
        <v>98</v>
      </c>
      <c r="H642" s="1" t="s">
        <v>1757</v>
      </c>
      <c r="I642" s="1" t="s">
        <v>1540</v>
      </c>
      <c r="J642" s="1" t="s">
        <v>1757</v>
      </c>
      <c r="K642" s="1"/>
      <c r="L642" s="1" t="s">
        <v>15</v>
      </c>
      <c r="M642" s="1" t="s">
        <v>14</v>
      </c>
    </row>
    <row r="643" spans="1:13" x14ac:dyDescent="0.3">
      <c r="A643" s="1" t="s">
        <v>1758</v>
      </c>
      <c r="B643" s="1" t="s">
        <v>1759</v>
      </c>
      <c r="C643" s="1" t="s">
        <v>17</v>
      </c>
      <c r="D643" s="1" t="s">
        <v>1656</v>
      </c>
      <c r="E643" s="1" t="s">
        <v>132</v>
      </c>
      <c r="F643" s="1" t="s">
        <v>1658</v>
      </c>
      <c r="G643" s="1" t="s">
        <v>98</v>
      </c>
      <c r="H643" s="1" t="s">
        <v>1760</v>
      </c>
      <c r="I643" s="1" t="s">
        <v>1540</v>
      </c>
      <c r="J643" s="1" t="s">
        <v>1760</v>
      </c>
      <c r="K643" s="1"/>
      <c r="L643" s="1" t="s">
        <v>15</v>
      </c>
      <c r="M643" s="1" t="s">
        <v>14</v>
      </c>
    </row>
    <row r="644" spans="1:13" x14ac:dyDescent="0.3">
      <c r="A644" s="1" t="s">
        <v>1761</v>
      </c>
      <c r="B644" s="1" t="s">
        <v>1762</v>
      </c>
      <c r="C644" s="1" t="s">
        <v>17</v>
      </c>
      <c r="D644" s="1" t="s">
        <v>1656</v>
      </c>
      <c r="E644" s="1" t="s">
        <v>132</v>
      </c>
      <c r="F644" s="1" t="s">
        <v>1658</v>
      </c>
      <c r="G644" s="1" t="s">
        <v>98</v>
      </c>
      <c r="H644" s="1" t="s">
        <v>1763</v>
      </c>
      <c r="I644" s="1" t="s">
        <v>1540</v>
      </c>
      <c r="J644" s="1" t="s">
        <v>1763</v>
      </c>
      <c r="K644" s="1"/>
      <c r="L644" s="1" t="s">
        <v>15</v>
      </c>
      <c r="M644" s="1" t="s">
        <v>14</v>
      </c>
    </row>
    <row r="645" spans="1:13" x14ac:dyDescent="0.3">
      <c r="A645" s="1" t="s">
        <v>1764</v>
      </c>
      <c r="B645" s="1" t="s">
        <v>1765</v>
      </c>
      <c r="C645" s="1" t="s">
        <v>17</v>
      </c>
      <c r="D645" s="1" t="s">
        <v>1656</v>
      </c>
      <c r="E645" s="1" t="s">
        <v>132</v>
      </c>
      <c r="F645" s="1" t="s">
        <v>1658</v>
      </c>
      <c r="G645" s="1" t="s">
        <v>98</v>
      </c>
      <c r="H645" s="1" t="s">
        <v>1757</v>
      </c>
      <c r="I645" s="1" t="s">
        <v>1540</v>
      </c>
      <c r="J645" s="1" t="s">
        <v>1757</v>
      </c>
      <c r="K645" s="1"/>
      <c r="L645" s="1" t="s">
        <v>15</v>
      </c>
      <c r="M645" s="1" t="s">
        <v>14</v>
      </c>
    </row>
    <row r="646" spans="1:13" x14ac:dyDescent="0.3">
      <c r="A646" s="1" t="s">
        <v>1766</v>
      </c>
      <c r="B646" s="1" t="s">
        <v>1767</v>
      </c>
      <c r="C646" s="1" t="s">
        <v>17</v>
      </c>
      <c r="D646" s="1" t="s">
        <v>1656</v>
      </c>
      <c r="E646" s="1" t="s">
        <v>132</v>
      </c>
      <c r="F646" s="1" t="s">
        <v>1658</v>
      </c>
      <c r="G646" s="1" t="s">
        <v>98</v>
      </c>
      <c r="H646" s="1" t="s">
        <v>1768</v>
      </c>
      <c r="I646" s="1" t="s">
        <v>1540</v>
      </c>
      <c r="J646" s="1" t="s">
        <v>1768</v>
      </c>
      <c r="K646" s="1"/>
      <c r="L646" s="1" t="s">
        <v>15</v>
      </c>
      <c r="M646" s="1" t="s">
        <v>14</v>
      </c>
    </row>
    <row r="647" spans="1:13" x14ac:dyDescent="0.3">
      <c r="A647" s="1" t="s">
        <v>1769</v>
      </c>
      <c r="B647" s="1" t="s">
        <v>1770</v>
      </c>
      <c r="C647" s="1" t="s">
        <v>17</v>
      </c>
      <c r="D647" s="1" t="s">
        <v>1656</v>
      </c>
      <c r="E647" s="1" t="s">
        <v>132</v>
      </c>
      <c r="F647" s="1" t="s">
        <v>1658</v>
      </c>
      <c r="G647" s="1" t="s">
        <v>98</v>
      </c>
      <c r="H647" s="1" t="s">
        <v>1771</v>
      </c>
      <c r="I647" s="1" t="s">
        <v>1540</v>
      </c>
      <c r="J647" s="1" t="s">
        <v>1771</v>
      </c>
      <c r="K647" s="1"/>
      <c r="L647" s="1" t="s">
        <v>15</v>
      </c>
      <c r="M647" s="1" t="s">
        <v>14</v>
      </c>
    </row>
    <row r="648" spans="1:13" x14ac:dyDescent="0.3">
      <c r="A648" s="1" t="s">
        <v>1772</v>
      </c>
      <c r="B648" s="1" t="s">
        <v>1773</v>
      </c>
      <c r="C648" s="1" t="s">
        <v>17</v>
      </c>
      <c r="D648" s="1" t="s">
        <v>1656</v>
      </c>
      <c r="E648" s="1" t="s">
        <v>132</v>
      </c>
      <c r="F648" s="1" t="s">
        <v>1658</v>
      </c>
      <c r="G648" s="1" t="s">
        <v>98</v>
      </c>
      <c r="H648" s="1" t="s">
        <v>1763</v>
      </c>
      <c r="I648" s="1" t="s">
        <v>1540</v>
      </c>
      <c r="J648" s="1" t="s">
        <v>1763</v>
      </c>
      <c r="K648" s="1"/>
      <c r="L648" s="1" t="s">
        <v>15</v>
      </c>
      <c r="M648" s="1" t="s">
        <v>14</v>
      </c>
    </row>
    <row r="649" spans="1:13" x14ac:dyDescent="0.3">
      <c r="A649" s="1" t="s">
        <v>1774</v>
      </c>
      <c r="B649" s="1" t="s">
        <v>1775</v>
      </c>
      <c r="C649" s="1" t="s">
        <v>17</v>
      </c>
      <c r="D649" s="1" t="s">
        <v>1656</v>
      </c>
      <c r="E649" s="1" t="s">
        <v>132</v>
      </c>
      <c r="F649" s="1" t="s">
        <v>1658</v>
      </c>
      <c r="G649" s="1" t="s">
        <v>98</v>
      </c>
      <c r="H649" s="1" t="s">
        <v>1776</v>
      </c>
      <c r="I649" s="1" t="s">
        <v>1540</v>
      </c>
      <c r="J649" s="1" t="s">
        <v>1776</v>
      </c>
      <c r="K649" s="1"/>
      <c r="L649" s="1" t="s">
        <v>15</v>
      </c>
      <c r="M649" s="1" t="s">
        <v>14</v>
      </c>
    </row>
    <row r="650" spans="1:13" x14ac:dyDescent="0.3">
      <c r="A650" s="1" t="s">
        <v>1777</v>
      </c>
      <c r="B650" s="1" t="s">
        <v>1778</v>
      </c>
      <c r="C650" s="1" t="s">
        <v>17</v>
      </c>
      <c r="D650" s="1" t="s">
        <v>1656</v>
      </c>
      <c r="E650" s="1" t="s">
        <v>132</v>
      </c>
      <c r="F650" s="1" t="s">
        <v>1658</v>
      </c>
      <c r="G650" s="1" t="s">
        <v>98</v>
      </c>
      <c r="H650" s="1" t="s">
        <v>1779</v>
      </c>
      <c r="I650" s="1" t="s">
        <v>1540</v>
      </c>
      <c r="J650" s="1" t="s">
        <v>1779</v>
      </c>
      <c r="K650" s="1"/>
      <c r="L650" s="1" t="s">
        <v>15</v>
      </c>
      <c r="M650" s="1" t="s">
        <v>14</v>
      </c>
    </row>
    <row r="651" spans="1:13" x14ac:dyDescent="0.3">
      <c r="A651" s="1" t="s">
        <v>1780</v>
      </c>
      <c r="B651" s="1" t="s">
        <v>1781</v>
      </c>
      <c r="C651" s="1" t="s">
        <v>17</v>
      </c>
      <c r="D651" s="1" t="s">
        <v>1656</v>
      </c>
      <c r="E651" s="1" t="s">
        <v>132</v>
      </c>
      <c r="F651" s="1" t="s">
        <v>1658</v>
      </c>
      <c r="G651" s="1" t="s">
        <v>98</v>
      </c>
      <c r="H651" s="1" t="s">
        <v>1782</v>
      </c>
      <c r="I651" s="1" t="s">
        <v>1540</v>
      </c>
      <c r="J651" s="1" t="s">
        <v>1782</v>
      </c>
      <c r="K651" s="1"/>
      <c r="L651" s="1" t="s">
        <v>15</v>
      </c>
      <c r="M651" s="1" t="s">
        <v>14</v>
      </c>
    </row>
    <row r="652" spans="1:13" x14ac:dyDescent="0.3">
      <c r="A652" s="1" t="s">
        <v>1783</v>
      </c>
      <c r="B652" s="1" t="s">
        <v>1784</v>
      </c>
      <c r="C652" s="1" t="s">
        <v>17</v>
      </c>
      <c r="D652" s="1" t="s">
        <v>1656</v>
      </c>
      <c r="E652" s="1" t="s">
        <v>19</v>
      </c>
      <c r="F652" s="1" t="s">
        <v>1688</v>
      </c>
      <c r="G652" s="1" t="s">
        <v>98</v>
      </c>
      <c r="H652" s="1" t="s">
        <v>1785</v>
      </c>
      <c r="I652" s="1" t="s">
        <v>1540</v>
      </c>
      <c r="J652" s="1" t="s">
        <v>1785</v>
      </c>
      <c r="K652" s="1"/>
      <c r="L652" s="1" t="s">
        <v>15</v>
      </c>
      <c r="M652" s="1" t="s">
        <v>14</v>
      </c>
    </row>
    <row r="653" spans="1:13" x14ac:dyDescent="0.3">
      <c r="A653" s="1" t="s">
        <v>1786</v>
      </c>
      <c r="B653" s="1" t="s">
        <v>1787</v>
      </c>
      <c r="C653" s="1" t="s">
        <v>17</v>
      </c>
      <c r="D653" s="1" t="s">
        <v>1656</v>
      </c>
      <c r="E653" s="1" t="s">
        <v>19</v>
      </c>
      <c r="F653" s="1" t="s">
        <v>1688</v>
      </c>
      <c r="G653" s="1" t="s">
        <v>98</v>
      </c>
      <c r="H653" s="1" t="s">
        <v>1788</v>
      </c>
      <c r="I653" s="1" t="s">
        <v>1540</v>
      </c>
      <c r="J653" s="1" t="s">
        <v>1788</v>
      </c>
      <c r="K653" s="1"/>
      <c r="L653" s="1" t="s">
        <v>15</v>
      </c>
      <c r="M653" s="1" t="s">
        <v>14</v>
      </c>
    </row>
    <row r="654" spans="1:13" x14ac:dyDescent="0.3">
      <c r="A654" s="1" t="s">
        <v>1789</v>
      </c>
      <c r="B654" s="1" t="s">
        <v>1790</v>
      </c>
      <c r="C654" s="1" t="s">
        <v>17</v>
      </c>
      <c r="D654" s="1" t="s">
        <v>1791</v>
      </c>
      <c r="E654" s="1" t="s">
        <v>132</v>
      </c>
      <c r="F654" s="1" t="s">
        <v>1793</v>
      </c>
      <c r="G654" s="1" t="s">
        <v>98</v>
      </c>
      <c r="H654" s="1" t="s">
        <v>1792</v>
      </c>
      <c r="I654" s="1" t="s">
        <v>1540</v>
      </c>
      <c r="J654" s="1" t="s">
        <v>1792</v>
      </c>
      <c r="K654" s="1"/>
      <c r="L654" s="1" t="s">
        <v>15</v>
      </c>
      <c r="M654" s="1" t="s">
        <v>14</v>
      </c>
    </row>
    <row r="655" spans="1:13" x14ac:dyDescent="0.3">
      <c r="A655" s="1" t="s">
        <v>1794</v>
      </c>
      <c r="B655" s="1" t="s">
        <v>1795</v>
      </c>
      <c r="C655" s="1" t="s">
        <v>17</v>
      </c>
      <c r="D655" s="1" t="s">
        <v>1791</v>
      </c>
      <c r="E655" s="1" t="s">
        <v>132</v>
      </c>
      <c r="F655" s="1" t="s">
        <v>1793</v>
      </c>
      <c r="G655" s="1" t="s">
        <v>98</v>
      </c>
      <c r="H655" s="1" t="s">
        <v>1796</v>
      </c>
      <c r="I655" s="1" t="s">
        <v>1540</v>
      </c>
      <c r="J655" s="1" t="s">
        <v>1796</v>
      </c>
      <c r="K655" s="1"/>
      <c r="L655" s="1" t="s">
        <v>15</v>
      </c>
      <c r="M655" s="1" t="s">
        <v>14</v>
      </c>
    </row>
    <row r="656" spans="1:13" x14ac:dyDescent="0.3">
      <c r="A656" s="1" t="s">
        <v>1797</v>
      </c>
      <c r="B656" s="1" t="s">
        <v>1798</v>
      </c>
      <c r="C656" s="1" t="s">
        <v>17</v>
      </c>
      <c r="D656" s="1" t="s">
        <v>1791</v>
      </c>
      <c r="E656" s="1" t="s">
        <v>132</v>
      </c>
      <c r="F656" s="1" t="s">
        <v>1793</v>
      </c>
      <c r="G656" s="1" t="s">
        <v>98</v>
      </c>
      <c r="H656" s="1" t="s">
        <v>1667</v>
      </c>
      <c r="I656" s="1" t="s">
        <v>1540</v>
      </c>
      <c r="J656" s="1" t="s">
        <v>1667</v>
      </c>
      <c r="K656" s="1"/>
      <c r="L656" s="1" t="s">
        <v>15</v>
      </c>
      <c r="M656" s="1" t="s">
        <v>14</v>
      </c>
    </row>
    <row r="657" spans="1:13" x14ac:dyDescent="0.3">
      <c r="A657" s="1" t="s">
        <v>1799</v>
      </c>
      <c r="B657" s="1" t="s">
        <v>1800</v>
      </c>
      <c r="C657" s="1" t="s">
        <v>17</v>
      </c>
      <c r="D657" s="1" t="s">
        <v>1791</v>
      </c>
      <c r="E657" s="1" t="s">
        <v>132</v>
      </c>
      <c r="F657" s="1" t="s">
        <v>1793</v>
      </c>
      <c r="G657" s="1" t="s">
        <v>98</v>
      </c>
      <c r="H657" s="1" t="s">
        <v>1801</v>
      </c>
      <c r="I657" s="1" t="s">
        <v>1540</v>
      </c>
      <c r="J657" s="1" t="s">
        <v>1801</v>
      </c>
      <c r="K657" s="1"/>
      <c r="L657" s="1" t="s">
        <v>15</v>
      </c>
      <c r="M657" s="1" t="s">
        <v>14</v>
      </c>
    </row>
    <row r="658" spans="1:13" x14ac:dyDescent="0.3">
      <c r="A658" s="1" t="s">
        <v>1802</v>
      </c>
      <c r="B658" s="1" t="s">
        <v>1803</v>
      </c>
      <c r="C658" s="1" t="s">
        <v>17</v>
      </c>
      <c r="D658" s="1" t="s">
        <v>1791</v>
      </c>
      <c r="E658" s="1" t="s">
        <v>132</v>
      </c>
      <c r="F658" s="1" t="s">
        <v>1793</v>
      </c>
      <c r="G658" s="1" t="s">
        <v>98</v>
      </c>
      <c r="H658" s="1" t="s">
        <v>1804</v>
      </c>
      <c r="I658" s="1" t="s">
        <v>1540</v>
      </c>
      <c r="J658" s="1" t="s">
        <v>1804</v>
      </c>
      <c r="K658" s="1"/>
      <c r="L658" s="1" t="s">
        <v>15</v>
      </c>
      <c r="M658" s="1" t="s">
        <v>14</v>
      </c>
    </row>
    <row r="659" spans="1:13" x14ac:dyDescent="0.3">
      <c r="A659" s="1" t="s">
        <v>1805</v>
      </c>
      <c r="B659" s="1" t="s">
        <v>1806</v>
      </c>
      <c r="C659" s="1" t="s">
        <v>17</v>
      </c>
      <c r="D659" s="1" t="s">
        <v>1791</v>
      </c>
      <c r="E659" s="1" t="s">
        <v>132</v>
      </c>
      <c r="F659" s="1" t="s">
        <v>1793</v>
      </c>
      <c r="G659" s="1" t="s">
        <v>98</v>
      </c>
      <c r="H659" s="1" t="s">
        <v>1807</v>
      </c>
      <c r="I659" s="1" t="s">
        <v>1540</v>
      </c>
      <c r="J659" s="1" t="s">
        <v>1807</v>
      </c>
      <c r="K659" s="1"/>
      <c r="L659" s="1" t="s">
        <v>15</v>
      </c>
      <c r="M659" s="1" t="s">
        <v>14</v>
      </c>
    </row>
    <row r="660" spans="1:13" x14ac:dyDescent="0.3">
      <c r="A660" s="1" t="s">
        <v>1808</v>
      </c>
      <c r="B660" s="1" t="s">
        <v>1809</v>
      </c>
      <c r="C660" s="1" t="s">
        <v>17</v>
      </c>
      <c r="D660" s="1" t="s">
        <v>1791</v>
      </c>
      <c r="E660" s="1" t="s">
        <v>132</v>
      </c>
      <c r="F660" s="1" t="s">
        <v>1793</v>
      </c>
      <c r="G660" s="1" t="s">
        <v>98</v>
      </c>
      <c r="H660" s="1" t="s">
        <v>1575</v>
      </c>
      <c r="I660" s="1" t="s">
        <v>1540</v>
      </c>
      <c r="J660" s="1" t="s">
        <v>1575</v>
      </c>
      <c r="K660" s="1"/>
      <c r="L660" s="1" t="s">
        <v>15</v>
      </c>
      <c r="M660" s="1" t="s">
        <v>14</v>
      </c>
    </row>
    <row r="661" spans="1:13" x14ac:dyDescent="0.3">
      <c r="A661" s="1" t="s">
        <v>1810</v>
      </c>
      <c r="B661" s="1" t="s">
        <v>1811</v>
      </c>
      <c r="C661" s="1" t="s">
        <v>17</v>
      </c>
      <c r="D661" s="1" t="s">
        <v>1791</v>
      </c>
      <c r="E661" s="1" t="s">
        <v>132</v>
      </c>
      <c r="F661" s="1" t="s">
        <v>1793</v>
      </c>
      <c r="G661" s="1" t="s">
        <v>98</v>
      </c>
      <c r="H661" s="1" t="s">
        <v>1812</v>
      </c>
      <c r="I661" s="1" t="s">
        <v>1540</v>
      </c>
      <c r="J661" s="1" t="s">
        <v>1812</v>
      </c>
      <c r="K661" s="1"/>
      <c r="L661" s="1" t="s">
        <v>15</v>
      </c>
      <c r="M661" s="1" t="s">
        <v>14</v>
      </c>
    </row>
    <row r="662" spans="1:13" x14ac:dyDescent="0.3">
      <c r="A662" s="1" t="s">
        <v>1813</v>
      </c>
      <c r="B662" s="1" t="s">
        <v>1814</v>
      </c>
      <c r="C662" s="1" t="s">
        <v>17</v>
      </c>
      <c r="D662" s="1" t="s">
        <v>1791</v>
      </c>
      <c r="E662" s="1" t="s">
        <v>132</v>
      </c>
      <c r="F662" s="1" t="s">
        <v>1793</v>
      </c>
      <c r="G662" s="1" t="s">
        <v>98</v>
      </c>
      <c r="H662" s="1" t="s">
        <v>1815</v>
      </c>
      <c r="I662" s="1" t="s">
        <v>1540</v>
      </c>
      <c r="J662" s="1" t="s">
        <v>341</v>
      </c>
      <c r="K662" s="1"/>
      <c r="L662" s="1" t="s">
        <v>15</v>
      </c>
      <c r="M662" s="1" t="s">
        <v>14</v>
      </c>
    </row>
    <row r="663" spans="1:13" x14ac:dyDescent="0.3">
      <c r="A663" s="1" t="s">
        <v>1816</v>
      </c>
      <c r="B663" s="1" t="s">
        <v>1817</v>
      </c>
      <c r="C663" s="1" t="s">
        <v>17</v>
      </c>
      <c r="D663" s="1" t="s">
        <v>1791</v>
      </c>
      <c r="E663" s="1" t="s">
        <v>132</v>
      </c>
      <c r="F663" s="1" t="s">
        <v>1793</v>
      </c>
      <c r="G663" s="1" t="s">
        <v>98</v>
      </c>
      <c r="H663" s="1" t="s">
        <v>1818</v>
      </c>
      <c r="I663" s="1" t="s">
        <v>1540</v>
      </c>
      <c r="J663" s="1" t="s">
        <v>1818</v>
      </c>
      <c r="K663" s="1"/>
      <c r="L663" s="1" t="s">
        <v>15</v>
      </c>
      <c r="M663" s="1" t="s">
        <v>14</v>
      </c>
    </row>
    <row r="664" spans="1:13" x14ac:dyDescent="0.3">
      <c r="A664" s="1" t="s">
        <v>1819</v>
      </c>
      <c r="B664" s="1" t="s">
        <v>1820</v>
      </c>
      <c r="C664" s="1" t="s">
        <v>17</v>
      </c>
      <c r="D664" s="1" t="s">
        <v>1791</v>
      </c>
      <c r="E664" s="1" t="s">
        <v>132</v>
      </c>
      <c r="F664" s="1" t="s">
        <v>1793</v>
      </c>
      <c r="G664" s="1" t="s">
        <v>98</v>
      </c>
      <c r="H664" s="1" t="s">
        <v>1821</v>
      </c>
      <c r="I664" s="1" t="s">
        <v>1540</v>
      </c>
      <c r="J664" s="1" t="s">
        <v>1821</v>
      </c>
      <c r="K664" s="1"/>
      <c r="L664" s="1" t="s">
        <v>15</v>
      </c>
      <c r="M664" s="1" t="s">
        <v>14</v>
      </c>
    </row>
    <row r="665" spans="1:13" x14ac:dyDescent="0.3">
      <c r="A665" s="1" t="s">
        <v>1822</v>
      </c>
      <c r="B665" s="1" t="s">
        <v>1823</v>
      </c>
      <c r="C665" s="1" t="s">
        <v>17</v>
      </c>
      <c r="D665" s="1" t="s">
        <v>1791</v>
      </c>
      <c r="E665" s="1" t="s">
        <v>132</v>
      </c>
      <c r="F665" s="1" t="s">
        <v>1793</v>
      </c>
      <c r="G665" s="1" t="s">
        <v>98</v>
      </c>
      <c r="H665" s="1" t="s">
        <v>1824</v>
      </c>
      <c r="I665" s="1" t="s">
        <v>1540</v>
      </c>
      <c r="J665" s="1" t="s">
        <v>1824</v>
      </c>
      <c r="K665" s="1"/>
      <c r="L665" s="1" t="s">
        <v>15</v>
      </c>
      <c r="M665" s="1" t="s">
        <v>14</v>
      </c>
    </row>
    <row r="666" spans="1:13" x14ac:dyDescent="0.3">
      <c r="A666" s="1" t="s">
        <v>1825</v>
      </c>
      <c r="B666" s="1" t="s">
        <v>1826</v>
      </c>
      <c r="C666" s="1" t="s">
        <v>17</v>
      </c>
      <c r="D666" s="1" t="s">
        <v>1791</v>
      </c>
      <c r="E666" s="1" t="s">
        <v>19</v>
      </c>
      <c r="F666" s="1" t="s">
        <v>1828</v>
      </c>
      <c r="G666" s="1" t="s">
        <v>98</v>
      </c>
      <c r="H666" s="1" t="s">
        <v>1827</v>
      </c>
      <c r="I666" s="1" t="s">
        <v>1540</v>
      </c>
      <c r="J666" s="1" t="s">
        <v>1827</v>
      </c>
      <c r="K666" s="1"/>
      <c r="L666" s="1" t="s">
        <v>15</v>
      </c>
      <c r="M666" s="1" t="s">
        <v>14</v>
      </c>
    </row>
    <row r="667" spans="1:13" x14ac:dyDescent="0.3">
      <c r="A667" s="1" t="s">
        <v>1829</v>
      </c>
      <c r="B667" s="1" t="s">
        <v>1830</v>
      </c>
      <c r="C667" s="1" t="s">
        <v>17</v>
      </c>
      <c r="D667" s="1" t="s">
        <v>1791</v>
      </c>
      <c r="E667" s="1" t="s">
        <v>19</v>
      </c>
      <c r="F667" s="1" t="s">
        <v>1828</v>
      </c>
      <c r="G667" s="1" t="s">
        <v>98</v>
      </c>
      <c r="H667" s="1" t="s">
        <v>1831</v>
      </c>
      <c r="I667" s="1" t="s">
        <v>1540</v>
      </c>
      <c r="J667" s="1" t="s">
        <v>1831</v>
      </c>
      <c r="K667" s="1"/>
      <c r="L667" s="1" t="s">
        <v>15</v>
      </c>
      <c r="M667" s="1" t="s">
        <v>14</v>
      </c>
    </row>
    <row r="668" spans="1:13" x14ac:dyDescent="0.3">
      <c r="A668" s="1" t="s">
        <v>1832</v>
      </c>
      <c r="B668" s="1" t="s">
        <v>1833</v>
      </c>
      <c r="C668" s="1" t="s">
        <v>17</v>
      </c>
      <c r="D668" s="1" t="s">
        <v>1791</v>
      </c>
      <c r="E668" s="1" t="s">
        <v>19</v>
      </c>
      <c r="F668" s="1" t="s">
        <v>1828</v>
      </c>
      <c r="G668" s="1" t="s">
        <v>98</v>
      </c>
      <c r="H668" s="1" t="s">
        <v>1834</v>
      </c>
      <c r="I668" s="1" t="s">
        <v>1540</v>
      </c>
      <c r="J668" s="1" t="s">
        <v>1834</v>
      </c>
      <c r="K668" s="1"/>
      <c r="L668" s="1" t="s">
        <v>15</v>
      </c>
      <c r="M668" s="1" t="s">
        <v>14</v>
      </c>
    </row>
    <row r="669" spans="1:13" x14ac:dyDescent="0.3">
      <c r="A669" s="1" t="s">
        <v>1835</v>
      </c>
      <c r="B669" s="1" t="s">
        <v>1836</v>
      </c>
      <c r="C669" s="1" t="s">
        <v>17</v>
      </c>
      <c r="D669" s="1" t="s">
        <v>1791</v>
      </c>
      <c r="E669" s="1" t="s">
        <v>19</v>
      </c>
      <c r="F669" s="1" t="s">
        <v>1828</v>
      </c>
      <c r="G669" s="1" t="s">
        <v>98</v>
      </c>
      <c r="H669" s="1" t="s">
        <v>1837</v>
      </c>
      <c r="I669" s="1" t="s">
        <v>1540</v>
      </c>
      <c r="J669" s="1" t="s">
        <v>1837</v>
      </c>
      <c r="K669" s="1"/>
      <c r="L669" s="1" t="s">
        <v>15</v>
      </c>
      <c r="M669" s="1" t="s">
        <v>14</v>
      </c>
    </row>
    <row r="670" spans="1:13" x14ac:dyDescent="0.3">
      <c r="A670" s="1" t="s">
        <v>1838</v>
      </c>
      <c r="B670" s="1" t="s">
        <v>1839</v>
      </c>
      <c r="C670" s="1" t="s">
        <v>17</v>
      </c>
      <c r="D670" s="1" t="s">
        <v>1791</v>
      </c>
      <c r="E670" s="1" t="s">
        <v>19</v>
      </c>
      <c r="F670" s="1" t="s">
        <v>1828</v>
      </c>
      <c r="G670" s="1" t="s">
        <v>98</v>
      </c>
      <c r="H670" s="1" t="s">
        <v>1840</v>
      </c>
      <c r="I670" s="1" t="s">
        <v>1540</v>
      </c>
      <c r="J670" s="1" t="s">
        <v>1840</v>
      </c>
      <c r="K670" s="1"/>
      <c r="L670" s="1" t="s">
        <v>15</v>
      </c>
      <c r="M670" s="1" t="s">
        <v>14</v>
      </c>
    </row>
    <row r="671" spans="1:13" x14ac:dyDescent="0.3">
      <c r="A671" s="1" t="s">
        <v>1841</v>
      </c>
      <c r="B671" s="1" t="s">
        <v>1842</v>
      </c>
      <c r="C671" s="1" t="s">
        <v>17</v>
      </c>
      <c r="D671" s="1" t="s">
        <v>1791</v>
      </c>
      <c r="E671" s="1" t="s">
        <v>19</v>
      </c>
      <c r="F671" s="1" t="s">
        <v>1828</v>
      </c>
      <c r="G671" s="1" t="s">
        <v>98</v>
      </c>
      <c r="H671" s="1" t="s">
        <v>1843</v>
      </c>
      <c r="I671" s="1" t="s">
        <v>1540</v>
      </c>
      <c r="J671" s="1" t="s">
        <v>1843</v>
      </c>
      <c r="K671" s="1"/>
      <c r="L671" s="1" t="s">
        <v>15</v>
      </c>
      <c r="M671" s="1" t="s">
        <v>14</v>
      </c>
    </row>
    <row r="672" spans="1:13" x14ac:dyDescent="0.3">
      <c r="A672" s="1" t="s">
        <v>1844</v>
      </c>
      <c r="B672" s="1" t="s">
        <v>1845</v>
      </c>
      <c r="C672" s="1" t="s">
        <v>17</v>
      </c>
      <c r="D672" s="1" t="s">
        <v>1791</v>
      </c>
      <c r="E672" s="1" t="s">
        <v>19</v>
      </c>
      <c r="F672" s="1" t="s">
        <v>1828</v>
      </c>
      <c r="G672" s="1" t="s">
        <v>98</v>
      </c>
      <c r="H672" s="1" t="s">
        <v>1846</v>
      </c>
      <c r="I672" s="1" t="s">
        <v>1540</v>
      </c>
      <c r="J672" s="1" t="s">
        <v>1846</v>
      </c>
      <c r="K672" s="1"/>
      <c r="L672" s="1" t="s">
        <v>15</v>
      </c>
      <c r="M672" s="1" t="s">
        <v>14</v>
      </c>
    </row>
    <row r="673" spans="1:13" x14ac:dyDescent="0.3">
      <c r="A673" s="1" t="s">
        <v>1847</v>
      </c>
      <c r="B673" s="1" t="s">
        <v>1848</v>
      </c>
      <c r="C673" s="1" t="s">
        <v>17</v>
      </c>
      <c r="D673" s="1" t="s">
        <v>1791</v>
      </c>
      <c r="E673" s="1" t="s">
        <v>19</v>
      </c>
      <c r="F673" s="1" t="s">
        <v>1828</v>
      </c>
      <c r="G673" s="1" t="s">
        <v>98</v>
      </c>
      <c r="H673" s="1" t="s">
        <v>1849</v>
      </c>
      <c r="I673" s="1" t="s">
        <v>1540</v>
      </c>
      <c r="J673" s="1" t="s">
        <v>1849</v>
      </c>
      <c r="K673" s="1"/>
      <c r="L673" s="1" t="s">
        <v>15</v>
      </c>
      <c r="M673" s="1" t="s">
        <v>14</v>
      </c>
    </row>
    <row r="674" spans="1:13" x14ac:dyDescent="0.3">
      <c r="A674" s="1" t="s">
        <v>1850</v>
      </c>
      <c r="B674" s="1" t="s">
        <v>1851</v>
      </c>
      <c r="C674" s="1" t="s">
        <v>17</v>
      </c>
      <c r="D674" s="1" t="s">
        <v>1791</v>
      </c>
      <c r="E674" s="1" t="s">
        <v>19</v>
      </c>
      <c r="F674" s="1" t="s">
        <v>1828</v>
      </c>
      <c r="G674" s="1" t="s">
        <v>98</v>
      </c>
      <c r="H674" s="1" t="s">
        <v>1852</v>
      </c>
      <c r="I674" s="1" t="s">
        <v>1540</v>
      </c>
      <c r="J674" s="1" t="s">
        <v>1852</v>
      </c>
      <c r="K674" s="1"/>
      <c r="L674" s="1" t="s">
        <v>15</v>
      </c>
      <c r="M674" s="1" t="s">
        <v>14</v>
      </c>
    </row>
    <row r="675" spans="1:13" x14ac:dyDescent="0.3">
      <c r="A675" s="1" t="s">
        <v>1853</v>
      </c>
      <c r="B675" s="1" t="s">
        <v>1854</v>
      </c>
      <c r="C675" s="1" t="s">
        <v>17</v>
      </c>
      <c r="D675" s="1" t="s">
        <v>1791</v>
      </c>
      <c r="E675" s="1" t="s">
        <v>19</v>
      </c>
      <c r="F675" s="1" t="s">
        <v>1828</v>
      </c>
      <c r="G675" s="1" t="s">
        <v>98</v>
      </c>
      <c r="H675" s="1" t="s">
        <v>1855</v>
      </c>
      <c r="I675" s="1" t="s">
        <v>1540</v>
      </c>
      <c r="J675" s="1" t="s">
        <v>1855</v>
      </c>
      <c r="K675" s="1"/>
      <c r="L675" s="1" t="s">
        <v>15</v>
      </c>
      <c r="M675" s="1" t="s">
        <v>14</v>
      </c>
    </row>
    <row r="676" spans="1:13" x14ac:dyDescent="0.3">
      <c r="A676" s="1" t="s">
        <v>1856</v>
      </c>
      <c r="B676" s="1" t="s">
        <v>1857</v>
      </c>
      <c r="C676" s="1" t="s">
        <v>17</v>
      </c>
      <c r="D676" s="1" t="s">
        <v>1791</v>
      </c>
      <c r="E676" s="1" t="s">
        <v>19</v>
      </c>
      <c r="F676" s="1" t="s">
        <v>1828</v>
      </c>
      <c r="G676" s="1" t="s">
        <v>98</v>
      </c>
      <c r="H676" s="1" t="s">
        <v>1858</v>
      </c>
      <c r="I676" s="1" t="s">
        <v>1540</v>
      </c>
      <c r="J676" s="1" t="s">
        <v>1858</v>
      </c>
      <c r="K676" s="1"/>
      <c r="L676" s="1" t="s">
        <v>15</v>
      </c>
      <c r="M676" s="1" t="s">
        <v>14</v>
      </c>
    </row>
    <row r="677" spans="1:13" x14ac:dyDescent="0.3">
      <c r="A677" s="1" t="s">
        <v>1859</v>
      </c>
      <c r="B677" s="1" t="s">
        <v>1860</v>
      </c>
      <c r="C677" s="1" t="s">
        <v>17</v>
      </c>
      <c r="D677" s="1" t="s">
        <v>1791</v>
      </c>
      <c r="E677" s="1" t="s">
        <v>19</v>
      </c>
      <c r="F677" s="1" t="s">
        <v>1828</v>
      </c>
      <c r="G677" s="1" t="s">
        <v>98</v>
      </c>
      <c r="H677" s="1" t="s">
        <v>1861</v>
      </c>
      <c r="I677" s="1" t="s">
        <v>1540</v>
      </c>
      <c r="J677" s="1" t="s">
        <v>1861</v>
      </c>
      <c r="K677" s="1"/>
      <c r="L677" s="1" t="s">
        <v>15</v>
      </c>
      <c r="M677" s="1" t="s">
        <v>14</v>
      </c>
    </row>
    <row r="678" spans="1:13" x14ac:dyDescent="0.3">
      <c r="A678" s="1" t="s">
        <v>1862</v>
      </c>
      <c r="B678" s="1" t="s">
        <v>1863</v>
      </c>
      <c r="C678" s="1" t="s">
        <v>17</v>
      </c>
      <c r="D678" s="1" t="s">
        <v>1791</v>
      </c>
      <c r="E678" s="1" t="s">
        <v>19</v>
      </c>
      <c r="F678" s="1" t="s">
        <v>1828</v>
      </c>
      <c r="G678" s="1" t="s">
        <v>98</v>
      </c>
      <c r="H678" s="1" t="s">
        <v>1864</v>
      </c>
      <c r="I678" s="1" t="s">
        <v>1540</v>
      </c>
      <c r="J678" s="1" t="s">
        <v>1864</v>
      </c>
      <c r="K678" s="1"/>
      <c r="L678" s="1" t="s">
        <v>15</v>
      </c>
      <c r="M678" s="1" t="s">
        <v>14</v>
      </c>
    </row>
    <row r="679" spans="1:13" x14ac:dyDescent="0.3">
      <c r="A679" s="1" t="s">
        <v>1865</v>
      </c>
      <c r="B679" s="1" t="s">
        <v>1866</v>
      </c>
      <c r="C679" s="1" t="s">
        <v>17</v>
      </c>
      <c r="D679" s="1" t="s">
        <v>1791</v>
      </c>
      <c r="E679" s="1" t="s">
        <v>19</v>
      </c>
      <c r="F679" s="1" t="s">
        <v>1828</v>
      </c>
      <c r="G679" s="1" t="s">
        <v>98</v>
      </c>
      <c r="H679" s="1" t="s">
        <v>1867</v>
      </c>
      <c r="I679" s="1" t="s">
        <v>1540</v>
      </c>
      <c r="J679" s="1" t="s">
        <v>1867</v>
      </c>
      <c r="K679" s="1"/>
      <c r="L679" s="1" t="s">
        <v>15</v>
      </c>
      <c r="M679" s="1" t="s">
        <v>14</v>
      </c>
    </row>
    <row r="680" spans="1:13" x14ac:dyDescent="0.3">
      <c r="A680" s="1" t="s">
        <v>1868</v>
      </c>
      <c r="B680" s="1" t="s">
        <v>1869</v>
      </c>
      <c r="C680" s="1" t="s">
        <v>17</v>
      </c>
      <c r="D680" s="1" t="s">
        <v>1791</v>
      </c>
      <c r="E680" s="1" t="s">
        <v>19</v>
      </c>
      <c r="F680" s="1" t="s">
        <v>1828</v>
      </c>
      <c r="G680" s="1" t="s">
        <v>98</v>
      </c>
      <c r="H680" s="1" t="s">
        <v>1792</v>
      </c>
      <c r="I680" s="1" t="s">
        <v>1540</v>
      </c>
      <c r="J680" s="1" t="s">
        <v>1792</v>
      </c>
      <c r="K680" s="1"/>
      <c r="L680" s="1" t="s">
        <v>15</v>
      </c>
      <c r="M680" s="1" t="s">
        <v>14</v>
      </c>
    </row>
    <row r="681" spans="1:13" x14ac:dyDescent="0.3">
      <c r="A681" s="1" t="s">
        <v>1870</v>
      </c>
      <c r="B681" s="1" t="s">
        <v>1871</v>
      </c>
      <c r="C681" s="1" t="s">
        <v>17</v>
      </c>
      <c r="D681" s="1" t="s">
        <v>1791</v>
      </c>
      <c r="E681" s="1" t="s">
        <v>19</v>
      </c>
      <c r="F681" s="1" t="s">
        <v>1828</v>
      </c>
      <c r="G681" s="1" t="s">
        <v>98</v>
      </c>
      <c r="H681" s="1" t="s">
        <v>1872</v>
      </c>
      <c r="I681" s="1" t="s">
        <v>1540</v>
      </c>
      <c r="J681" s="1" t="s">
        <v>1872</v>
      </c>
      <c r="K681" s="1"/>
      <c r="L681" s="1" t="s">
        <v>15</v>
      </c>
      <c r="M681" s="1" t="s">
        <v>14</v>
      </c>
    </row>
    <row r="682" spans="1:13" x14ac:dyDescent="0.3">
      <c r="A682" s="1" t="s">
        <v>1873</v>
      </c>
      <c r="B682" s="1" t="s">
        <v>1874</v>
      </c>
      <c r="C682" s="1" t="s">
        <v>17</v>
      </c>
      <c r="D682" s="1" t="s">
        <v>1791</v>
      </c>
      <c r="E682" s="1" t="s">
        <v>19</v>
      </c>
      <c r="F682" s="1" t="s">
        <v>1828</v>
      </c>
      <c r="G682" s="1" t="s">
        <v>98</v>
      </c>
      <c r="H682" s="1" t="s">
        <v>1875</v>
      </c>
      <c r="I682" s="1" t="s">
        <v>1540</v>
      </c>
      <c r="J682" s="1" t="s">
        <v>1875</v>
      </c>
      <c r="K682" s="1"/>
      <c r="L682" s="1" t="s">
        <v>15</v>
      </c>
      <c r="M682" s="1" t="s">
        <v>14</v>
      </c>
    </row>
    <row r="683" spans="1:13" x14ac:dyDescent="0.3">
      <c r="A683" s="1" t="s">
        <v>1876</v>
      </c>
      <c r="B683" s="1" t="s">
        <v>1877</v>
      </c>
      <c r="C683" s="1" t="s">
        <v>17</v>
      </c>
      <c r="D683" s="1" t="s">
        <v>1791</v>
      </c>
      <c r="E683" s="1" t="s">
        <v>132</v>
      </c>
      <c r="F683" s="1" t="s">
        <v>1793</v>
      </c>
      <c r="G683" s="1" t="s">
        <v>98</v>
      </c>
      <c r="H683" s="1" t="s">
        <v>1575</v>
      </c>
      <c r="I683" s="1" t="s">
        <v>1540</v>
      </c>
      <c r="J683" s="1" t="s">
        <v>1575</v>
      </c>
      <c r="K683" s="1"/>
      <c r="L683" s="1" t="s">
        <v>15</v>
      </c>
      <c r="M683" s="1" t="s">
        <v>14</v>
      </c>
    </row>
    <row r="684" spans="1:13" x14ac:dyDescent="0.3">
      <c r="A684" s="1" t="s">
        <v>1878</v>
      </c>
      <c r="B684" s="1" t="s">
        <v>1879</v>
      </c>
      <c r="C684" s="1" t="s">
        <v>17</v>
      </c>
      <c r="D684" s="1" t="s">
        <v>1791</v>
      </c>
      <c r="E684" s="1" t="s">
        <v>132</v>
      </c>
      <c r="F684" s="1" t="s">
        <v>1793</v>
      </c>
      <c r="G684" s="1" t="s">
        <v>98</v>
      </c>
      <c r="H684" s="1" t="s">
        <v>1880</v>
      </c>
      <c r="I684" s="1" t="s">
        <v>1540</v>
      </c>
      <c r="J684" s="1" t="s">
        <v>1880</v>
      </c>
      <c r="K684" s="1"/>
      <c r="L684" s="1" t="s">
        <v>15</v>
      </c>
      <c r="M684" s="1" t="s">
        <v>14</v>
      </c>
    </row>
    <row r="685" spans="1:13" x14ac:dyDescent="0.3">
      <c r="A685" s="1" t="s">
        <v>1881</v>
      </c>
      <c r="B685" s="1" t="s">
        <v>1882</v>
      </c>
      <c r="C685" s="1" t="s">
        <v>17</v>
      </c>
      <c r="D685" s="1" t="s">
        <v>1791</v>
      </c>
      <c r="E685" s="1" t="s">
        <v>132</v>
      </c>
      <c r="F685" s="1" t="s">
        <v>1793</v>
      </c>
      <c r="G685" s="1" t="s">
        <v>98</v>
      </c>
      <c r="H685" s="1" t="s">
        <v>1883</v>
      </c>
      <c r="I685" s="1" t="s">
        <v>1540</v>
      </c>
      <c r="J685" s="1" t="s">
        <v>1883</v>
      </c>
      <c r="K685" s="1"/>
      <c r="L685" s="1" t="s">
        <v>15</v>
      </c>
      <c r="M685" s="1" t="s">
        <v>14</v>
      </c>
    </row>
    <row r="686" spans="1:13" x14ac:dyDescent="0.3">
      <c r="A686" s="1" t="s">
        <v>1884</v>
      </c>
      <c r="B686" s="1" t="s">
        <v>1885</v>
      </c>
      <c r="C686" s="1" t="s">
        <v>17</v>
      </c>
      <c r="D686" s="1" t="s">
        <v>1791</v>
      </c>
      <c r="E686" s="1" t="s">
        <v>132</v>
      </c>
      <c r="F686" s="1" t="s">
        <v>1793</v>
      </c>
      <c r="G686" s="1" t="s">
        <v>98</v>
      </c>
      <c r="H686" s="1" t="s">
        <v>1886</v>
      </c>
      <c r="I686" s="1" t="s">
        <v>1540</v>
      </c>
      <c r="J686" s="1" t="s">
        <v>1886</v>
      </c>
      <c r="K686" s="1"/>
      <c r="L686" s="1" t="s">
        <v>15</v>
      </c>
      <c r="M686" s="1" t="s">
        <v>14</v>
      </c>
    </row>
    <row r="687" spans="1:13" x14ac:dyDescent="0.3">
      <c r="A687" s="1" t="s">
        <v>1887</v>
      </c>
      <c r="B687" s="1" t="s">
        <v>1888</v>
      </c>
      <c r="C687" s="1" t="s">
        <v>17</v>
      </c>
      <c r="D687" s="1" t="s">
        <v>1791</v>
      </c>
      <c r="E687" s="1" t="s">
        <v>132</v>
      </c>
      <c r="F687" s="1" t="s">
        <v>1793</v>
      </c>
      <c r="G687" s="1" t="s">
        <v>98</v>
      </c>
      <c r="H687" s="1" t="s">
        <v>1889</v>
      </c>
      <c r="I687" s="1" t="s">
        <v>1540</v>
      </c>
      <c r="J687" s="1" t="s">
        <v>1889</v>
      </c>
      <c r="K687" s="1"/>
      <c r="L687" s="1" t="s">
        <v>15</v>
      </c>
      <c r="M687" s="1" t="s">
        <v>14</v>
      </c>
    </row>
    <row r="688" spans="1:13" x14ac:dyDescent="0.3">
      <c r="A688" s="1" t="s">
        <v>1890</v>
      </c>
      <c r="B688" s="1" t="s">
        <v>1891</v>
      </c>
      <c r="C688" s="1" t="s">
        <v>17</v>
      </c>
      <c r="D688" s="1" t="s">
        <v>1791</v>
      </c>
      <c r="E688" s="1" t="s">
        <v>132</v>
      </c>
      <c r="F688" s="1" t="s">
        <v>1793</v>
      </c>
      <c r="G688" s="1" t="s">
        <v>98</v>
      </c>
      <c r="H688" s="1" t="s">
        <v>1892</v>
      </c>
      <c r="I688" s="1" t="s">
        <v>1540</v>
      </c>
      <c r="J688" s="1" t="s">
        <v>1892</v>
      </c>
      <c r="K688" s="1"/>
      <c r="L688" s="1" t="s">
        <v>15</v>
      </c>
      <c r="M688" s="1" t="s">
        <v>14</v>
      </c>
    </row>
    <row r="689" spans="1:13" x14ac:dyDescent="0.3">
      <c r="A689" s="1" t="s">
        <v>1893</v>
      </c>
      <c r="B689" s="1" t="s">
        <v>1894</v>
      </c>
      <c r="C689" s="1" t="s">
        <v>17</v>
      </c>
      <c r="D689" s="1" t="s">
        <v>1791</v>
      </c>
      <c r="E689" s="1" t="s">
        <v>132</v>
      </c>
      <c r="F689" s="1" t="s">
        <v>1793</v>
      </c>
      <c r="G689" s="1" t="s">
        <v>98</v>
      </c>
      <c r="H689" s="1" t="s">
        <v>1895</v>
      </c>
      <c r="I689" s="1" t="s">
        <v>1540</v>
      </c>
      <c r="J689" s="1" t="s">
        <v>1895</v>
      </c>
      <c r="K689" s="1"/>
      <c r="L689" s="1" t="s">
        <v>15</v>
      </c>
      <c r="M689" s="1" t="s">
        <v>14</v>
      </c>
    </row>
    <row r="690" spans="1:13" x14ac:dyDescent="0.3">
      <c r="A690" s="1" t="s">
        <v>1896</v>
      </c>
      <c r="B690" s="1" t="s">
        <v>1897</v>
      </c>
      <c r="C690" s="1" t="s">
        <v>17</v>
      </c>
      <c r="D690" s="1" t="s">
        <v>1791</v>
      </c>
      <c r="E690" s="1" t="s">
        <v>132</v>
      </c>
      <c r="F690" s="1" t="s">
        <v>1793</v>
      </c>
      <c r="G690" s="1" t="s">
        <v>98</v>
      </c>
      <c r="H690" s="1" t="s">
        <v>1898</v>
      </c>
      <c r="I690" s="1" t="s">
        <v>1540</v>
      </c>
      <c r="J690" s="1" t="s">
        <v>1898</v>
      </c>
      <c r="K690" s="1"/>
      <c r="L690" s="1" t="s">
        <v>15</v>
      </c>
      <c r="M690" s="1" t="s">
        <v>14</v>
      </c>
    </row>
    <row r="691" spans="1:13" x14ac:dyDescent="0.3">
      <c r="A691" s="1" t="s">
        <v>1899</v>
      </c>
      <c r="B691" s="1" t="s">
        <v>1900</v>
      </c>
      <c r="C691" s="1" t="s">
        <v>17</v>
      </c>
      <c r="D691" s="1" t="s">
        <v>1901</v>
      </c>
      <c r="E691" s="1" t="s">
        <v>132</v>
      </c>
      <c r="F691" s="1" t="s">
        <v>1903</v>
      </c>
      <c r="G691" s="1" t="s">
        <v>98</v>
      </c>
      <c r="H691" s="1" t="s">
        <v>514</v>
      </c>
      <c r="I691" s="1" t="s">
        <v>1902</v>
      </c>
      <c r="J691" s="1" t="s">
        <v>341</v>
      </c>
      <c r="K691" s="1"/>
      <c r="L691" s="1" t="s">
        <v>15</v>
      </c>
      <c r="M691" s="1" t="s">
        <v>14</v>
      </c>
    </row>
    <row r="692" spans="1:13" x14ac:dyDescent="0.3">
      <c r="A692" s="1" t="s">
        <v>1904</v>
      </c>
      <c r="B692" s="1" t="s">
        <v>1905</v>
      </c>
      <c r="C692" s="1" t="s">
        <v>17</v>
      </c>
      <c r="D692" s="1" t="s">
        <v>1901</v>
      </c>
      <c r="E692" s="1" t="s">
        <v>132</v>
      </c>
      <c r="F692" s="1" t="s">
        <v>1903</v>
      </c>
      <c r="G692" s="1" t="s">
        <v>98</v>
      </c>
      <c r="H692" s="1" t="s">
        <v>1906</v>
      </c>
      <c r="I692" s="1" t="s">
        <v>1902</v>
      </c>
      <c r="J692" s="1"/>
      <c r="K692" s="1"/>
      <c r="L692" s="1" t="s">
        <v>15</v>
      </c>
      <c r="M692" s="1" t="s">
        <v>14</v>
      </c>
    </row>
    <row r="693" spans="1:13" x14ac:dyDescent="0.3">
      <c r="A693" s="1" t="s">
        <v>1907</v>
      </c>
      <c r="B693" s="1" t="s">
        <v>1908</v>
      </c>
      <c r="C693" s="1" t="s">
        <v>17</v>
      </c>
      <c r="D693" s="1" t="s">
        <v>1901</v>
      </c>
      <c r="E693" s="1" t="s">
        <v>132</v>
      </c>
      <c r="F693" s="1" t="s">
        <v>1903</v>
      </c>
      <c r="G693" s="1" t="s">
        <v>98</v>
      </c>
      <c r="H693" s="1" t="s">
        <v>1909</v>
      </c>
      <c r="I693" s="1" t="s">
        <v>1902</v>
      </c>
      <c r="J693" s="1" t="s">
        <v>325</v>
      </c>
      <c r="K693" s="1"/>
      <c r="L693" s="1" t="s">
        <v>15</v>
      </c>
      <c r="M693" s="1" t="s">
        <v>14</v>
      </c>
    </row>
    <row r="694" spans="1:13" x14ac:dyDescent="0.3">
      <c r="A694" s="1" t="s">
        <v>1910</v>
      </c>
      <c r="B694" s="1" t="s">
        <v>1911</v>
      </c>
      <c r="C694" s="1" t="s">
        <v>17</v>
      </c>
      <c r="D694" s="1" t="s">
        <v>1901</v>
      </c>
      <c r="E694" s="1" t="s">
        <v>132</v>
      </c>
      <c r="F694" s="1" t="s">
        <v>1903</v>
      </c>
      <c r="G694" s="1" t="s">
        <v>98</v>
      </c>
      <c r="H694" s="1" t="s">
        <v>520</v>
      </c>
      <c r="I694" s="1" t="s">
        <v>1902</v>
      </c>
      <c r="J694" s="1" t="s">
        <v>357</v>
      </c>
      <c r="K694" s="1"/>
      <c r="L694" s="1" t="s">
        <v>15</v>
      </c>
      <c r="M694" s="1" t="s">
        <v>14</v>
      </c>
    </row>
    <row r="695" spans="1:13" x14ac:dyDescent="0.3">
      <c r="A695" s="1" t="s">
        <v>1912</v>
      </c>
      <c r="B695" s="1" t="s">
        <v>1913</v>
      </c>
      <c r="C695" s="1" t="s">
        <v>17</v>
      </c>
      <c r="D695" s="1" t="s">
        <v>1901</v>
      </c>
      <c r="E695" s="1" t="s">
        <v>132</v>
      </c>
      <c r="F695" s="1" t="s">
        <v>1903</v>
      </c>
      <c r="G695" s="1" t="s">
        <v>98</v>
      </c>
      <c r="H695" s="1" t="s">
        <v>1914</v>
      </c>
      <c r="I695" s="1" t="s">
        <v>1902</v>
      </c>
      <c r="J695" s="1"/>
      <c r="K695" s="1"/>
      <c r="L695" s="1" t="s">
        <v>15</v>
      </c>
      <c r="M695" s="1" t="s">
        <v>14</v>
      </c>
    </row>
    <row r="696" spans="1:13" x14ac:dyDescent="0.3">
      <c r="A696" s="1" t="s">
        <v>1915</v>
      </c>
      <c r="B696" s="1" t="s">
        <v>1916</v>
      </c>
      <c r="C696" s="1" t="s">
        <v>17</v>
      </c>
      <c r="D696" s="1" t="s">
        <v>1901</v>
      </c>
      <c r="E696" s="1" t="s">
        <v>132</v>
      </c>
      <c r="F696" s="1" t="s">
        <v>1903</v>
      </c>
      <c r="G696" s="1" t="s">
        <v>98</v>
      </c>
      <c r="H696" s="1" t="s">
        <v>494</v>
      </c>
      <c r="I696" s="1" t="s">
        <v>1902</v>
      </c>
      <c r="J696" s="1"/>
      <c r="K696" s="1"/>
      <c r="L696" s="1" t="s">
        <v>15</v>
      </c>
      <c r="M696" s="1" t="s">
        <v>14</v>
      </c>
    </row>
    <row r="697" spans="1:13" x14ac:dyDescent="0.3">
      <c r="A697" s="1" t="s">
        <v>1917</v>
      </c>
      <c r="B697" s="1" t="s">
        <v>1918</v>
      </c>
      <c r="C697" s="1" t="s">
        <v>17</v>
      </c>
      <c r="D697" s="1" t="s">
        <v>1901</v>
      </c>
      <c r="E697" s="1" t="s">
        <v>132</v>
      </c>
      <c r="F697" s="1" t="s">
        <v>1903</v>
      </c>
      <c r="G697" s="1" t="s">
        <v>98</v>
      </c>
      <c r="H697" s="1" t="s">
        <v>499</v>
      </c>
      <c r="I697" s="1" t="s">
        <v>1902</v>
      </c>
      <c r="J697" s="1"/>
      <c r="K697" s="1"/>
      <c r="L697" s="1" t="s">
        <v>15</v>
      </c>
      <c r="M697" s="1" t="s">
        <v>14</v>
      </c>
    </row>
    <row r="698" spans="1:13" x14ac:dyDescent="0.3">
      <c r="A698" s="1" t="s">
        <v>1919</v>
      </c>
      <c r="B698" s="1" t="s">
        <v>1920</v>
      </c>
      <c r="C698" s="1" t="s">
        <v>17</v>
      </c>
      <c r="D698" s="1" t="s">
        <v>1901</v>
      </c>
      <c r="E698" s="1" t="s">
        <v>132</v>
      </c>
      <c r="F698" s="1" t="s">
        <v>1903</v>
      </c>
      <c r="G698" s="1" t="s">
        <v>98</v>
      </c>
      <c r="H698" s="1" t="s">
        <v>505</v>
      </c>
      <c r="I698" s="1" t="s">
        <v>1902</v>
      </c>
      <c r="J698" s="1"/>
      <c r="K698" s="1"/>
      <c r="L698" s="1" t="s">
        <v>15</v>
      </c>
      <c r="M698" s="1" t="s">
        <v>14</v>
      </c>
    </row>
    <row r="699" spans="1:13" x14ac:dyDescent="0.3">
      <c r="A699" s="1" t="s">
        <v>1921</v>
      </c>
      <c r="B699" s="1" t="s">
        <v>1922</v>
      </c>
      <c r="C699" s="1" t="s">
        <v>17</v>
      </c>
      <c r="D699" s="1" t="s">
        <v>1901</v>
      </c>
      <c r="E699" s="1" t="s">
        <v>132</v>
      </c>
      <c r="F699" s="1" t="s">
        <v>1903</v>
      </c>
      <c r="G699" s="1" t="s">
        <v>98</v>
      </c>
      <c r="H699" s="1" t="s">
        <v>99</v>
      </c>
      <c r="I699" s="1" t="s">
        <v>1902</v>
      </c>
      <c r="J699" s="1"/>
      <c r="K699" s="1"/>
      <c r="L699" s="1" t="s">
        <v>15</v>
      </c>
      <c r="M699" s="1" t="s">
        <v>14</v>
      </c>
    </row>
    <row r="700" spans="1:13" x14ac:dyDescent="0.3">
      <c r="A700" s="1" t="s">
        <v>1923</v>
      </c>
      <c r="B700" s="1" t="s">
        <v>1924</v>
      </c>
      <c r="C700" s="1" t="s">
        <v>17</v>
      </c>
      <c r="D700" s="1" t="s">
        <v>1901</v>
      </c>
      <c r="E700" s="1" t="s">
        <v>19</v>
      </c>
      <c r="F700" s="1" t="s">
        <v>1926</v>
      </c>
      <c r="G700" s="1" t="s">
        <v>98</v>
      </c>
      <c r="H700" s="1" t="s">
        <v>1925</v>
      </c>
      <c r="I700" s="1" t="s">
        <v>1902</v>
      </c>
      <c r="J700" s="1" t="s">
        <v>74</v>
      </c>
      <c r="K700" s="1"/>
      <c r="L700" s="1" t="s">
        <v>15</v>
      </c>
      <c r="M700" s="1" t="s">
        <v>14</v>
      </c>
    </row>
    <row r="701" spans="1:13" x14ac:dyDescent="0.3">
      <c r="A701" s="1" t="s">
        <v>1927</v>
      </c>
      <c r="B701" s="1" t="s">
        <v>1928</v>
      </c>
      <c r="C701" s="1" t="s">
        <v>17</v>
      </c>
      <c r="D701" s="1" t="s">
        <v>1901</v>
      </c>
      <c r="E701" s="1" t="s">
        <v>19</v>
      </c>
      <c r="F701" s="1" t="s">
        <v>1926</v>
      </c>
      <c r="G701" s="1" t="s">
        <v>98</v>
      </c>
      <c r="H701" s="1" t="s">
        <v>1929</v>
      </c>
      <c r="I701" s="1" t="s">
        <v>1902</v>
      </c>
      <c r="J701" s="1" t="s">
        <v>58</v>
      </c>
      <c r="K701" s="1"/>
      <c r="L701" s="1" t="s">
        <v>15</v>
      </c>
      <c r="M701" s="1" t="s">
        <v>14</v>
      </c>
    </row>
    <row r="702" spans="1:13" x14ac:dyDescent="0.3">
      <c r="A702" s="1" t="s">
        <v>1930</v>
      </c>
      <c r="B702" s="1" t="s">
        <v>1931</v>
      </c>
      <c r="C702" s="1" t="s">
        <v>17</v>
      </c>
      <c r="D702" s="1" t="s">
        <v>1901</v>
      </c>
      <c r="E702" s="1" t="s">
        <v>19</v>
      </c>
      <c r="F702" s="1" t="s">
        <v>1926</v>
      </c>
      <c r="G702" s="1" t="s">
        <v>98</v>
      </c>
      <c r="H702" s="1" t="s">
        <v>1932</v>
      </c>
      <c r="I702" s="1" t="s">
        <v>1902</v>
      </c>
      <c r="J702" s="1"/>
      <c r="K702" s="1"/>
      <c r="L702" s="1" t="s">
        <v>15</v>
      </c>
      <c r="M702" s="1" t="s">
        <v>14</v>
      </c>
    </row>
    <row r="703" spans="1:13" x14ac:dyDescent="0.3">
      <c r="A703" s="1" t="s">
        <v>1933</v>
      </c>
      <c r="B703" s="1" t="s">
        <v>1934</v>
      </c>
      <c r="C703" s="1" t="s">
        <v>17</v>
      </c>
      <c r="D703" s="1" t="s">
        <v>1901</v>
      </c>
      <c r="E703" s="1" t="s">
        <v>19</v>
      </c>
      <c r="F703" s="1" t="s">
        <v>1926</v>
      </c>
      <c r="G703" s="1" t="s">
        <v>98</v>
      </c>
      <c r="H703" s="1" t="s">
        <v>1935</v>
      </c>
      <c r="I703" s="1" t="s">
        <v>1902</v>
      </c>
      <c r="J703" s="1"/>
      <c r="K703" s="1"/>
      <c r="L703" s="1" t="s">
        <v>15</v>
      </c>
      <c r="M703" s="1" t="s">
        <v>14</v>
      </c>
    </row>
    <row r="704" spans="1:13" x14ac:dyDescent="0.3">
      <c r="A704" s="1" t="s">
        <v>1936</v>
      </c>
      <c r="B704" s="1" t="s">
        <v>1937</v>
      </c>
      <c r="C704" s="1" t="s">
        <v>17</v>
      </c>
      <c r="D704" s="1" t="s">
        <v>1901</v>
      </c>
      <c r="E704" s="1" t="s">
        <v>19</v>
      </c>
      <c r="F704" s="1" t="s">
        <v>1926</v>
      </c>
      <c r="G704" s="1" t="s">
        <v>98</v>
      </c>
      <c r="H704" s="1" t="s">
        <v>1938</v>
      </c>
      <c r="I704" s="1" t="s">
        <v>1902</v>
      </c>
      <c r="J704" s="1"/>
      <c r="K704" s="1"/>
      <c r="L704" s="1" t="s">
        <v>15</v>
      </c>
      <c r="M704" s="1" t="s">
        <v>14</v>
      </c>
    </row>
    <row r="705" spans="1:13" x14ac:dyDescent="0.3">
      <c r="A705" s="1" t="s">
        <v>1939</v>
      </c>
      <c r="B705" s="1" t="s">
        <v>1940</v>
      </c>
      <c r="C705" s="1" t="s">
        <v>17</v>
      </c>
      <c r="D705" s="1" t="s">
        <v>1901</v>
      </c>
      <c r="E705" s="1" t="s">
        <v>19</v>
      </c>
      <c r="F705" s="1" t="s">
        <v>1926</v>
      </c>
      <c r="G705" s="1" t="s">
        <v>98</v>
      </c>
      <c r="H705" s="1" t="s">
        <v>1941</v>
      </c>
      <c r="I705" s="1" t="s">
        <v>1902</v>
      </c>
      <c r="J705" s="1"/>
      <c r="K705" s="1"/>
      <c r="L705" s="1" t="s">
        <v>15</v>
      </c>
      <c r="M705" s="1" t="s">
        <v>14</v>
      </c>
    </row>
    <row r="706" spans="1:13" x14ac:dyDescent="0.3">
      <c r="A706" s="1" t="s">
        <v>1942</v>
      </c>
      <c r="B706" s="1" t="s">
        <v>1943</v>
      </c>
      <c r="C706" s="1" t="s">
        <v>17</v>
      </c>
      <c r="D706" s="1" t="s">
        <v>1944</v>
      </c>
      <c r="E706" s="1" t="s">
        <v>19</v>
      </c>
      <c r="F706" s="1" t="s">
        <v>1946</v>
      </c>
      <c r="G706" s="1" t="s">
        <v>98</v>
      </c>
      <c r="H706" s="1" t="s">
        <v>1945</v>
      </c>
      <c r="I706" s="1" t="s">
        <v>1902</v>
      </c>
      <c r="J706" s="1"/>
      <c r="K706" s="1"/>
      <c r="L706" s="1" t="s">
        <v>15</v>
      </c>
      <c r="M706" s="1" t="s">
        <v>14</v>
      </c>
    </row>
    <row r="707" spans="1:13" x14ac:dyDescent="0.3">
      <c r="A707" s="1" t="s">
        <v>1947</v>
      </c>
      <c r="B707" s="1" t="s">
        <v>1948</v>
      </c>
      <c r="C707" s="1" t="s">
        <v>17</v>
      </c>
      <c r="D707" s="1" t="s">
        <v>1901</v>
      </c>
      <c r="E707" s="1" t="s">
        <v>19</v>
      </c>
      <c r="F707" s="1" t="s">
        <v>1926</v>
      </c>
      <c r="G707" s="1" t="s">
        <v>98</v>
      </c>
      <c r="H707" s="1" t="s">
        <v>567</v>
      </c>
      <c r="I707" s="1" t="s">
        <v>1902</v>
      </c>
      <c r="J707" s="1"/>
      <c r="K707" s="1"/>
      <c r="L707" s="1" t="s">
        <v>15</v>
      </c>
      <c r="M707" s="1" t="s">
        <v>14</v>
      </c>
    </row>
    <row r="708" spans="1:13" x14ac:dyDescent="0.3">
      <c r="A708" s="1" t="s">
        <v>1949</v>
      </c>
      <c r="B708" s="1" t="s">
        <v>1950</v>
      </c>
      <c r="C708" s="1" t="s">
        <v>17</v>
      </c>
      <c r="D708" s="1" t="s">
        <v>1901</v>
      </c>
      <c r="E708" s="1" t="s">
        <v>19</v>
      </c>
      <c r="F708" s="1" t="s">
        <v>1926</v>
      </c>
      <c r="G708" s="1" t="s">
        <v>98</v>
      </c>
      <c r="H708" s="1" t="s">
        <v>1951</v>
      </c>
      <c r="I708" s="1" t="s">
        <v>1902</v>
      </c>
      <c r="J708" s="1"/>
      <c r="K708" s="1"/>
      <c r="L708" s="1" t="s">
        <v>15</v>
      </c>
      <c r="M708" s="1" t="s">
        <v>14</v>
      </c>
    </row>
    <row r="709" spans="1:13" x14ac:dyDescent="0.3">
      <c r="A709" s="1" t="s">
        <v>1952</v>
      </c>
      <c r="B709" s="1" t="s">
        <v>1953</v>
      </c>
      <c r="C709" s="1" t="s">
        <v>17</v>
      </c>
      <c r="D709" s="1" t="s">
        <v>1901</v>
      </c>
      <c r="E709" s="1" t="s">
        <v>132</v>
      </c>
      <c r="F709" s="1" t="s">
        <v>1903</v>
      </c>
      <c r="G709" s="1" t="s">
        <v>98</v>
      </c>
      <c r="H709" s="1" t="s">
        <v>1954</v>
      </c>
      <c r="I709" s="1" t="s">
        <v>1902</v>
      </c>
      <c r="J709" s="1"/>
      <c r="K709" s="1"/>
      <c r="L709" s="1" t="s">
        <v>15</v>
      </c>
      <c r="M709" s="1" t="s">
        <v>14</v>
      </c>
    </row>
    <row r="710" spans="1:13" x14ac:dyDescent="0.3">
      <c r="A710" s="1" t="s">
        <v>1955</v>
      </c>
      <c r="B710" s="1" t="s">
        <v>1956</v>
      </c>
      <c r="C710" s="1" t="s">
        <v>17</v>
      </c>
      <c r="D710" s="1" t="s">
        <v>1901</v>
      </c>
      <c r="E710" s="1" t="s">
        <v>19</v>
      </c>
      <c r="F710" s="1" t="s">
        <v>1926</v>
      </c>
      <c r="G710" s="1" t="s">
        <v>98</v>
      </c>
      <c r="H710" s="1" t="s">
        <v>231</v>
      </c>
      <c r="I710" s="1" t="s">
        <v>1902</v>
      </c>
      <c r="J710" s="1"/>
      <c r="K710" s="1"/>
      <c r="L710" s="1" t="s">
        <v>15</v>
      </c>
      <c r="M710" s="1" t="s">
        <v>14</v>
      </c>
    </row>
    <row r="711" spans="1:13" x14ac:dyDescent="0.3">
      <c r="A711" s="1" t="s">
        <v>1957</v>
      </c>
      <c r="B711" s="1" t="s">
        <v>1958</v>
      </c>
      <c r="C711" s="1" t="s">
        <v>17</v>
      </c>
      <c r="D711" s="1" t="s">
        <v>1901</v>
      </c>
      <c r="E711" s="1" t="s">
        <v>132</v>
      </c>
      <c r="F711" s="1" t="s">
        <v>1903</v>
      </c>
      <c r="G711" s="1" t="s">
        <v>98</v>
      </c>
      <c r="H711" s="1" t="s">
        <v>1959</v>
      </c>
      <c r="I711" s="1" t="s">
        <v>1902</v>
      </c>
      <c r="J711" s="1"/>
      <c r="K711" s="1"/>
      <c r="L711" s="1" t="s">
        <v>15</v>
      </c>
      <c r="M711" s="1" t="s">
        <v>14</v>
      </c>
    </row>
    <row r="712" spans="1:13" x14ac:dyDescent="0.3">
      <c r="A712" s="1" t="s">
        <v>1960</v>
      </c>
      <c r="B712" s="1" t="s">
        <v>1961</v>
      </c>
      <c r="C712" s="1" t="s">
        <v>17</v>
      </c>
      <c r="D712" s="1" t="s">
        <v>1944</v>
      </c>
      <c r="E712" s="1" t="s">
        <v>132</v>
      </c>
      <c r="F712" s="1" t="s">
        <v>1962</v>
      </c>
      <c r="G712" s="1" t="s">
        <v>98</v>
      </c>
      <c r="H712" s="1" t="s">
        <v>514</v>
      </c>
      <c r="I712" s="1" t="s">
        <v>1902</v>
      </c>
      <c r="J712" s="1" t="s">
        <v>341</v>
      </c>
      <c r="K712" s="1"/>
      <c r="L712" s="1" t="s">
        <v>15</v>
      </c>
      <c r="M712" s="1" t="s">
        <v>14</v>
      </c>
    </row>
    <row r="713" spans="1:13" x14ac:dyDescent="0.3">
      <c r="A713" s="1" t="s">
        <v>1963</v>
      </c>
      <c r="B713" s="1" t="s">
        <v>1964</v>
      </c>
      <c r="C713" s="1" t="s">
        <v>17</v>
      </c>
      <c r="D713" s="1" t="s">
        <v>1944</v>
      </c>
      <c r="E713" s="1" t="s">
        <v>132</v>
      </c>
      <c r="F713" s="1" t="s">
        <v>1962</v>
      </c>
      <c r="G713" s="1" t="s">
        <v>98</v>
      </c>
      <c r="H713" s="1" t="s">
        <v>517</v>
      </c>
      <c r="I713" s="1" t="s">
        <v>1902</v>
      </c>
      <c r="J713" s="1" t="s">
        <v>325</v>
      </c>
      <c r="K713" s="1"/>
      <c r="L713" s="1" t="s">
        <v>15</v>
      </c>
      <c r="M713" s="1" t="s">
        <v>14</v>
      </c>
    </row>
    <row r="714" spans="1:13" x14ac:dyDescent="0.3">
      <c r="A714" s="1" t="s">
        <v>1965</v>
      </c>
      <c r="B714" s="1" t="s">
        <v>1966</v>
      </c>
      <c r="C714" s="1" t="s">
        <v>17</v>
      </c>
      <c r="D714" s="1" t="s">
        <v>1944</v>
      </c>
      <c r="E714" s="1" t="s">
        <v>132</v>
      </c>
      <c r="F714" s="1" t="s">
        <v>1962</v>
      </c>
      <c r="G714" s="1" t="s">
        <v>98</v>
      </c>
      <c r="H714" s="1" t="s">
        <v>520</v>
      </c>
      <c r="I714" s="1" t="s">
        <v>1902</v>
      </c>
      <c r="J714" s="1" t="s">
        <v>357</v>
      </c>
      <c r="K714" s="1"/>
      <c r="L714" s="1" t="s">
        <v>15</v>
      </c>
      <c r="M714" s="1" t="s">
        <v>14</v>
      </c>
    </row>
    <row r="715" spans="1:13" x14ac:dyDescent="0.3">
      <c r="A715" s="1" t="s">
        <v>1967</v>
      </c>
      <c r="B715" s="1" t="s">
        <v>1968</v>
      </c>
      <c r="C715" s="1" t="s">
        <v>17</v>
      </c>
      <c r="D715" s="1" t="s">
        <v>1944</v>
      </c>
      <c r="E715" s="1" t="s">
        <v>132</v>
      </c>
      <c r="F715" s="1" t="s">
        <v>1962</v>
      </c>
      <c r="G715" s="1" t="s">
        <v>98</v>
      </c>
      <c r="H715" s="1" t="s">
        <v>1969</v>
      </c>
      <c r="I715" s="1" t="s">
        <v>1902</v>
      </c>
      <c r="J715" s="1" t="s">
        <v>299</v>
      </c>
      <c r="K715" s="1"/>
      <c r="L715" s="1" t="s">
        <v>15</v>
      </c>
      <c r="M715" s="1" t="s">
        <v>14</v>
      </c>
    </row>
    <row r="716" spans="1:13" x14ac:dyDescent="0.3">
      <c r="A716" s="1" t="s">
        <v>1970</v>
      </c>
      <c r="B716" s="1" t="s">
        <v>1971</v>
      </c>
      <c r="C716" s="1" t="s">
        <v>17</v>
      </c>
      <c r="D716" s="1" t="s">
        <v>1944</v>
      </c>
      <c r="E716" s="1" t="s">
        <v>132</v>
      </c>
      <c r="F716" s="1" t="s">
        <v>1962</v>
      </c>
      <c r="G716" s="1" t="s">
        <v>98</v>
      </c>
      <c r="H716" s="1" t="s">
        <v>1972</v>
      </c>
      <c r="I716" s="1" t="s">
        <v>1902</v>
      </c>
      <c r="J716" s="1" t="s">
        <v>200</v>
      </c>
      <c r="K716" s="1"/>
      <c r="L716" s="1" t="s">
        <v>15</v>
      </c>
      <c r="M716" s="1" t="s">
        <v>14</v>
      </c>
    </row>
    <row r="717" spans="1:13" x14ac:dyDescent="0.3">
      <c r="A717" s="1" t="s">
        <v>1973</v>
      </c>
      <c r="B717" s="1" t="s">
        <v>1974</v>
      </c>
      <c r="C717" s="1" t="s">
        <v>17</v>
      </c>
      <c r="D717" s="1" t="s">
        <v>48</v>
      </c>
      <c r="E717" s="1" t="s">
        <v>132</v>
      </c>
      <c r="F717" s="1" t="s">
        <v>162</v>
      </c>
      <c r="G717" s="1" t="s">
        <v>98</v>
      </c>
      <c r="H717" s="1" t="s">
        <v>1975</v>
      </c>
      <c r="I717" s="1" t="s">
        <v>21</v>
      </c>
      <c r="J717" s="1" t="s">
        <v>147</v>
      </c>
      <c r="K717" s="1"/>
      <c r="L717" s="1" t="s">
        <v>15</v>
      </c>
      <c r="M717" s="1" t="s">
        <v>14</v>
      </c>
    </row>
    <row r="718" spans="1:13" x14ac:dyDescent="0.3">
      <c r="A718" s="1" t="s">
        <v>1976</v>
      </c>
      <c r="B718" s="1" t="s">
        <v>1977</v>
      </c>
      <c r="C718" s="1" t="s">
        <v>17</v>
      </c>
      <c r="D718" s="1" t="s">
        <v>1944</v>
      </c>
      <c r="E718" s="1" t="s">
        <v>132</v>
      </c>
      <c r="F718" s="1" t="s">
        <v>1962</v>
      </c>
      <c r="G718" s="1" t="s">
        <v>98</v>
      </c>
      <c r="H718" s="1" t="s">
        <v>1978</v>
      </c>
      <c r="I718" s="1" t="s">
        <v>1902</v>
      </c>
      <c r="J718" s="1" t="s">
        <v>183</v>
      </c>
      <c r="K718" s="1"/>
      <c r="L718" s="1" t="s">
        <v>15</v>
      </c>
      <c r="M718" s="1" t="s">
        <v>14</v>
      </c>
    </row>
    <row r="719" spans="1:13" x14ac:dyDescent="0.3">
      <c r="A719" s="1" t="s">
        <v>1979</v>
      </c>
      <c r="B719" s="1" t="s">
        <v>1980</v>
      </c>
      <c r="C719" s="1" t="s">
        <v>17</v>
      </c>
      <c r="D719" s="1" t="s">
        <v>1944</v>
      </c>
      <c r="E719" s="1" t="s">
        <v>19</v>
      </c>
      <c r="F719" s="1" t="s">
        <v>1946</v>
      </c>
      <c r="G719" s="1" t="s">
        <v>98</v>
      </c>
      <c r="H719" s="1" t="s">
        <v>99</v>
      </c>
      <c r="I719" s="1" t="s">
        <v>1902</v>
      </c>
      <c r="J719" s="1" t="s">
        <v>99</v>
      </c>
      <c r="K719" s="1"/>
      <c r="L719" s="1" t="s">
        <v>15</v>
      </c>
      <c r="M719" s="1" t="s">
        <v>14</v>
      </c>
    </row>
    <row r="720" spans="1:13" x14ac:dyDescent="0.3">
      <c r="A720" s="1" t="s">
        <v>1981</v>
      </c>
      <c r="B720" s="1" t="s">
        <v>1982</v>
      </c>
      <c r="C720" s="1" t="s">
        <v>17</v>
      </c>
      <c r="D720" s="1" t="s">
        <v>1944</v>
      </c>
      <c r="E720" s="1" t="s">
        <v>19</v>
      </c>
      <c r="F720" s="1" t="s">
        <v>1946</v>
      </c>
      <c r="G720" s="1" t="s">
        <v>98</v>
      </c>
      <c r="H720" s="1" t="s">
        <v>1983</v>
      </c>
      <c r="I720" s="1" t="s">
        <v>1902</v>
      </c>
      <c r="J720" s="1" t="s">
        <v>74</v>
      </c>
      <c r="K720" s="1"/>
      <c r="L720" s="1" t="s">
        <v>15</v>
      </c>
      <c r="M720" s="1" t="s">
        <v>14</v>
      </c>
    </row>
    <row r="721" spans="1:13" x14ac:dyDescent="0.3">
      <c r="A721" s="1" t="s">
        <v>1984</v>
      </c>
      <c r="B721" s="1" t="s">
        <v>1985</v>
      </c>
      <c r="C721" s="1" t="s">
        <v>17</v>
      </c>
      <c r="D721" s="1" t="s">
        <v>1944</v>
      </c>
      <c r="E721" s="1" t="s">
        <v>19</v>
      </c>
      <c r="F721" s="1" t="s">
        <v>1946</v>
      </c>
      <c r="G721" s="1" t="s">
        <v>98</v>
      </c>
      <c r="H721" s="1" t="s">
        <v>1986</v>
      </c>
      <c r="I721" s="1" t="s">
        <v>1902</v>
      </c>
      <c r="J721" s="1" t="s">
        <v>58</v>
      </c>
      <c r="K721" s="1"/>
      <c r="L721" s="1" t="s">
        <v>15</v>
      </c>
      <c r="M721" s="1" t="s">
        <v>14</v>
      </c>
    </row>
    <row r="722" spans="1:13" x14ac:dyDescent="0.3">
      <c r="A722" s="1" t="s">
        <v>1987</v>
      </c>
      <c r="B722" s="1" t="s">
        <v>1988</v>
      </c>
      <c r="C722" s="1" t="s">
        <v>17</v>
      </c>
      <c r="D722" s="1" t="s">
        <v>1944</v>
      </c>
      <c r="E722" s="1" t="s">
        <v>19</v>
      </c>
      <c r="F722" s="1" t="s">
        <v>1946</v>
      </c>
      <c r="G722" s="1" t="s">
        <v>98</v>
      </c>
      <c r="H722" s="1" t="s">
        <v>552</v>
      </c>
      <c r="I722" s="1" t="s">
        <v>1902</v>
      </c>
      <c r="J722" s="1" t="s">
        <v>115</v>
      </c>
      <c r="K722" s="1"/>
      <c r="L722" s="1" t="s">
        <v>15</v>
      </c>
      <c r="M722" s="1" t="s">
        <v>14</v>
      </c>
    </row>
    <row r="723" spans="1:13" x14ac:dyDescent="0.3">
      <c r="A723" s="1" t="s">
        <v>1989</v>
      </c>
      <c r="B723" s="1" t="s">
        <v>1990</v>
      </c>
      <c r="C723" s="1" t="s">
        <v>17</v>
      </c>
      <c r="D723" s="1" t="s">
        <v>1944</v>
      </c>
      <c r="E723" s="1" t="s">
        <v>19</v>
      </c>
      <c r="F723" s="1" t="s">
        <v>1946</v>
      </c>
      <c r="G723" s="1" t="s">
        <v>98</v>
      </c>
      <c r="H723" s="1" t="s">
        <v>1991</v>
      </c>
      <c r="I723" s="1" t="s">
        <v>1902</v>
      </c>
      <c r="J723" s="1" t="s">
        <v>408</v>
      </c>
      <c r="K723" s="1"/>
      <c r="L723" s="1" t="s">
        <v>15</v>
      </c>
      <c r="M723" s="1" t="s">
        <v>14</v>
      </c>
    </row>
    <row r="724" spans="1:13" x14ac:dyDescent="0.3">
      <c r="A724" s="1" t="s">
        <v>1992</v>
      </c>
      <c r="B724" s="1" t="s">
        <v>1993</v>
      </c>
      <c r="C724" s="1" t="s">
        <v>17</v>
      </c>
      <c r="D724" s="1" t="s">
        <v>1944</v>
      </c>
      <c r="E724" s="1" t="s">
        <v>19</v>
      </c>
      <c r="F724" s="1" t="s">
        <v>1946</v>
      </c>
      <c r="G724" s="1" t="s">
        <v>98</v>
      </c>
      <c r="H724" s="1" t="s">
        <v>1994</v>
      </c>
      <c r="I724" s="1" t="s">
        <v>1902</v>
      </c>
      <c r="J724" s="1" t="s">
        <v>411</v>
      </c>
      <c r="K724" s="1"/>
      <c r="L724" s="1" t="s">
        <v>15</v>
      </c>
      <c r="M724" s="1" t="s">
        <v>14</v>
      </c>
    </row>
    <row r="725" spans="1:13" x14ac:dyDescent="0.3">
      <c r="A725" s="1" t="s">
        <v>1995</v>
      </c>
      <c r="B725" s="1" t="s">
        <v>1996</v>
      </c>
      <c r="C725" s="1" t="s">
        <v>17</v>
      </c>
      <c r="D725" s="1" t="s">
        <v>1944</v>
      </c>
      <c r="E725" s="1" t="s">
        <v>19</v>
      </c>
      <c r="F725" s="1" t="s">
        <v>1946</v>
      </c>
      <c r="G725" s="1" t="s">
        <v>98</v>
      </c>
      <c r="H725" s="1" t="s">
        <v>1997</v>
      </c>
      <c r="I725" s="1" t="s">
        <v>1902</v>
      </c>
      <c r="J725" s="1" t="s">
        <v>390</v>
      </c>
      <c r="K725" s="1"/>
      <c r="L725" s="1" t="s">
        <v>15</v>
      </c>
      <c r="M725" s="1" t="s">
        <v>14</v>
      </c>
    </row>
    <row r="726" spans="1:13" x14ac:dyDescent="0.3">
      <c r="A726" s="1" t="s">
        <v>1998</v>
      </c>
      <c r="B726" s="1" t="s">
        <v>1999</v>
      </c>
      <c r="C726" s="1" t="s">
        <v>17</v>
      </c>
      <c r="D726" s="1" t="s">
        <v>1944</v>
      </c>
      <c r="E726" s="1" t="s">
        <v>19</v>
      </c>
      <c r="F726" s="1" t="s">
        <v>1946</v>
      </c>
      <c r="G726" s="1" t="s">
        <v>98</v>
      </c>
      <c r="H726" s="1" t="s">
        <v>900</v>
      </c>
      <c r="I726" s="1" t="s">
        <v>1902</v>
      </c>
      <c r="J726" s="1" t="s">
        <v>450</v>
      </c>
      <c r="K726" s="1"/>
      <c r="L726" s="1" t="s">
        <v>15</v>
      </c>
      <c r="M726" s="1" t="s">
        <v>14</v>
      </c>
    </row>
    <row r="727" spans="1:13" x14ac:dyDescent="0.3">
      <c r="A727" s="1" t="s">
        <v>2000</v>
      </c>
      <c r="B727" s="1" t="s">
        <v>2001</v>
      </c>
      <c r="C727" s="1" t="s">
        <v>17</v>
      </c>
      <c r="D727" s="1" t="s">
        <v>1944</v>
      </c>
      <c r="E727" s="1" t="s">
        <v>19</v>
      </c>
      <c r="F727" s="1" t="s">
        <v>1946</v>
      </c>
      <c r="G727" s="1" t="s">
        <v>98</v>
      </c>
      <c r="H727" s="1" t="s">
        <v>1951</v>
      </c>
      <c r="I727" s="1" t="s">
        <v>1902</v>
      </c>
      <c r="J727" s="1" t="s">
        <v>2002</v>
      </c>
      <c r="K727" s="1"/>
      <c r="L727" s="1" t="s">
        <v>15</v>
      </c>
      <c r="M727" s="1" t="s">
        <v>14</v>
      </c>
    </row>
    <row r="728" spans="1:13" x14ac:dyDescent="0.3">
      <c r="A728" s="1" t="s">
        <v>2003</v>
      </c>
      <c r="B728" s="1" t="s">
        <v>2004</v>
      </c>
      <c r="C728" s="1" t="s">
        <v>17</v>
      </c>
      <c r="D728" s="1" t="s">
        <v>1944</v>
      </c>
      <c r="E728" s="1" t="s">
        <v>132</v>
      </c>
      <c r="F728" s="1" t="s">
        <v>1962</v>
      </c>
      <c r="G728" s="1" t="s">
        <v>98</v>
      </c>
      <c r="H728" s="1" t="s">
        <v>2005</v>
      </c>
      <c r="I728" s="1" t="s">
        <v>1902</v>
      </c>
      <c r="J728" s="1" t="s">
        <v>167</v>
      </c>
      <c r="K728" s="1"/>
      <c r="L728" s="1" t="s">
        <v>15</v>
      </c>
      <c r="M728" s="1" t="s">
        <v>14</v>
      </c>
    </row>
    <row r="729" spans="1:13" x14ac:dyDescent="0.3">
      <c r="A729" s="1" t="s">
        <v>2006</v>
      </c>
      <c r="B729" s="1" t="s">
        <v>2007</v>
      </c>
      <c r="C729" s="1" t="s">
        <v>17</v>
      </c>
      <c r="D729" s="1" t="s">
        <v>1944</v>
      </c>
      <c r="E729" s="1" t="s">
        <v>19</v>
      </c>
      <c r="F729" s="1" t="s">
        <v>1946</v>
      </c>
      <c r="G729" s="1" t="s">
        <v>98</v>
      </c>
      <c r="H729" s="1" t="s">
        <v>2008</v>
      </c>
      <c r="I729" s="1" t="s">
        <v>1902</v>
      </c>
      <c r="J729" s="1" t="s">
        <v>232</v>
      </c>
      <c r="K729" s="1"/>
      <c r="L729" s="1" t="s">
        <v>15</v>
      </c>
      <c r="M729" s="1" t="s">
        <v>14</v>
      </c>
    </row>
    <row r="730" spans="1:13" x14ac:dyDescent="0.3">
      <c r="A730" s="1" t="s">
        <v>2009</v>
      </c>
      <c r="B730" s="1" t="s">
        <v>2010</v>
      </c>
      <c r="C730" s="1" t="s">
        <v>17</v>
      </c>
      <c r="D730" s="1" t="s">
        <v>1944</v>
      </c>
      <c r="E730" s="1" t="s">
        <v>132</v>
      </c>
      <c r="F730" s="1" t="s">
        <v>1962</v>
      </c>
      <c r="G730" s="1" t="s">
        <v>98</v>
      </c>
      <c r="H730" s="1" t="s">
        <v>2011</v>
      </c>
      <c r="I730" s="1" t="s">
        <v>1902</v>
      </c>
      <c r="J730" s="1" t="s">
        <v>248</v>
      </c>
      <c r="K730" s="1"/>
      <c r="L730" s="1" t="s">
        <v>15</v>
      </c>
      <c r="M730" s="1" t="s">
        <v>14</v>
      </c>
    </row>
    <row r="731" spans="1:13" x14ac:dyDescent="0.3">
      <c r="A731" s="1" t="s">
        <v>2012</v>
      </c>
      <c r="B731" s="1" t="s">
        <v>2013</v>
      </c>
      <c r="C731" s="1" t="s">
        <v>17</v>
      </c>
      <c r="D731" s="1" t="s">
        <v>1944</v>
      </c>
      <c r="E731" s="1" t="s">
        <v>132</v>
      </c>
      <c r="F731" s="1" t="s">
        <v>1962</v>
      </c>
      <c r="G731" s="1" t="s">
        <v>98</v>
      </c>
      <c r="H731" s="1" t="s">
        <v>1959</v>
      </c>
      <c r="I731" s="1" t="s">
        <v>1902</v>
      </c>
      <c r="J731" s="1" t="s">
        <v>282</v>
      </c>
      <c r="K731" s="1"/>
      <c r="L731" s="1" t="s">
        <v>15</v>
      </c>
      <c r="M731" s="1" t="s">
        <v>14</v>
      </c>
    </row>
    <row r="732" spans="1:13" x14ac:dyDescent="0.3">
      <c r="A732" s="1" t="s">
        <v>2014</v>
      </c>
      <c r="B732" s="1" t="s">
        <v>2015</v>
      </c>
      <c r="C732" s="1" t="s">
        <v>17</v>
      </c>
      <c r="D732" s="1" t="s">
        <v>30</v>
      </c>
      <c r="E732" s="1" t="s">
        <v>19</v>
      </c>
      <c r="F732" s="1" t="s">
        <v>33</v>
      </c>
      <c r="G732" s="1" t="s">
        <v>98</v>
      </c>
      <c r="H732" s="1" t="s">
        <v>2016</v>
      </c>
      <c r="I732" s="1" t="s">
        <v>21</v>
      </c>
      <c r="J732" s="1" t="s">
        <v>2017</v>
      </c>
      <c r="K732" s="1"/>
      <c r="L732" s="1" t="s">
        <v>15</v>
      </c>
      <c r="M732" s="1" t="s">
        <v>14</v>
      </c>
    </row>
    <row r="733" spans="1:13" x14ac:dyDescent="0.3">
      <c r="A733" s="1" t="s">
        <v>2018</v>
      </c>
      <c r="B733" s="1" t="s">
        <v>2019</v>
      </c>
      <c r="C733" s="1" t="s">
        <v>17</v>
      </c>
      <c r="D733" s="1" t="s">
        <v>2020</v>
      </c>
      <c r="E733" s="1" t="s">
        <v>132</v>
      </c>
      <c r="F733" s="1" t="s">
        <v>2021</v>
      </c>
      <c r="G733" s="1" t="s">
        <v>98</v>
      </c>
      <c r="H733" s="1" t="s">
        <v>596</v>
      </c>
      <c r="I733" s="1" t="s">
        <v>1902</v>
      </c>
      <c r="J733" s="1" t="s">
        <v>341</v>
      </c>
      <c r="K733" s="1"/>
      <c r="L733" s="1" t="s">
        <v>15</v>
      </c>
      <c r="M733" s="1" t="s">
        <v>14</v>
      </c>
    </row>
    <row r="734" spans="1:13" x14ac:dyDescent="0.3">
      <c r="A734" s="1" t="s">
        <v>2022</v>
      </c>
      <c r="B734" s="1" t="s">
        <v>2023</v>
      </c>
      <c r="C734" s="1" t="s">
        <v>17</v>
      </c>
      <c r="D734" s="1" t="s">
        <v>2020</v>
      </c>
      <c r="E734" s="1" t="s">
        <v>132</v>
      </c>
      <c r="F734" s="1" t="s">
        <v>2021</v>
      </c>
      <c r="G734" s="1" t="s">
        <v>98</v>
      </c>
      <c r="H734" s="1" t="s">
        <v>2024</v>
      </c>
      <c r="I734" s="1" t="s">
        <v>1902</v>
      </c>
      <c r="J734" s="1" t="s">
        <v>325</v>
      </c>
      <c r="K734" s="1"/>
      <c r="L734" s="1" t="s">
        <v>15</v>
      </c>
      <c r="M734" s="1" t="s">
        <v>14</v>
      </c>
    </row>
    <row r="735" spans="1:13" x14ac:dyDescent="0.3">
      <c r="A735" s="1" t="s">
        <v>2025</v>
      </c>
      <c r="B735" s="1" t="s">
        <v>2026</v>
      </c>
      <c r="C735" s="1" t="s">
        <v>17</v>
      </c>
      <c r="D735" s="1" t="s">
        <v>2020</v>
      </c>
      <c r="E735" s="1" t="s">
        <v>132</v>
      </c>
      <c r="F735" s="1" t="s">
        <v>2021</v>
      </c>
      <c r="G735" s="1" t="s">
        <v>98</v>
      </c>
      <c r="H735" s="1" t="s">
        <v>602</v>
      </c>
      <c r="I735" s="1" t="s">
        <v>1902</v>
      </c>
      <c r="J735" s="1" t="s">
        <v>357</v>
      </c>
      <c r="K735" s="1"/>
      <c r="L735" s="1" t="s">
        <v>15</v>
      </c>
      <c r="M735" s="1" t="s">
        <v>14</v>
      </c>
    </row>
    <row r="736" spans="1:13" x14ac:dyDescent="0.3">
      <c r="A736" s="1" t="s">
        <v>2027</v>
      </c>
      <c r="B736" s="1" t="s">
        <v>2028</v>
      </c>
      <c r="C736" s="1" t="s">
        <v>17</v>
      </c>
      <c r="D736" s="1" t="s">
        <v>2020</v>
      </c>
      <c r="E736" s="1" t="s">
        <v>132</v>
      </c>
      <c r="F736" s="1" t="s">
        <v>2021</v>
      </c>
      <c r="G736" s="1" t="s">
        <v>98</v>
      </c>
      <c r="H736" s="1" t="s">
        <v>2029</v>
      </c>
      <c r="I736" s="1" t="s">
        <v>1902</v>
      </c>
      <c r="J736" s="1" t="s">
        <v>299</v>
      </c>
      <c r="K736" s="1"/>
      <c r="L736" s="1" t="s">
        <v>15</v>
      </c>
      <c r="M736" s="1" t="s">
        <v>14</v>
      </c>
    </row>
    <row r="737" spans="1:13" x14ac:dyDescent="0.3">
      <c r="A737" s="1" t="s">
        <v>2030</v>
      </c>
      <c r="B737" s="1" t="s">
        <v>2031</v>
      </c>
      <c r="C737" s="1" t="s">
        <v>17</v>
      </c>
      <c r="D737" s="1" t="s">
        <v>2020</v>
      </c>
      <c r="E737" s="1" t="s">
        <v>132</v>
      </c>
      <c r="F737" s="1" t="s">
        <v>2021</v>
      </c>
      <c r="G737" s="1" t="s">
        <v>98</v>
      </c>
      <c r="H737" s="1" t="s">
        <v>583</v>
      </c>
      <c r="I737" s="1" t="s">
        <v>1902</v>
      </c>
      <c r="J737" s="1" t="s">
        <v>200</v>
      </c>
      <c r="K737" s="1"/>
      <c r="L737" s="1" t="s">
        <v>15</v>
      </c>
      <c r="M737" s="1" t="s">
        <v>14</v>
      </c>
    </row>
    <row r="738" spans="1:13" x14ac:dyDescent="0.3">
      <c r="A738" s="1" t="s">
        <v>2032</v>
      </c>
      <c r="B738" s="1" t="s">
        <v>2033</v>
      </c>
      <c r="C738" s="1" t="s">
        <v>17</v>
      </c>
      <c r="D738" s="1" t="s">
        <v>2020</v>
      </c>
      <c r="E738" s="1" t="s">
        <v>132</v>
      </c>
      <c r="F738" s="1" t="s">
        <v>2021</v>
      </c>
      <c r="G738" s="1" t="s">
        <v>98</v>
      </c>
      <c r="H738" s="1" t="s">
        <v>2034</v>
      </c>
      <c r="I738" s="1" t="s">
        <v>1902</v>
      </c>
      <c r="J738" s="1" t="s">
        <v>147</v>
      </c>
      <c r="K738" s="1"/>
      <c r="L738" s="1" t="s">
        <v>15</v>
      </c>
      <c r="M738" s="1" t="s">
        <v>14</v>
      </c>
    </row>
    <row r="739" spans="1:13" x14ac:dyDescent="0.3">
      <c r="A739" s="1" t="s">
        <v>2035</v>
      </c>
      <c r="B739" s="1" t="s">
        <v>2036</v>
      </c>
      <c r="C739" s="1" t="s">
        <v>17</v>
      </c>
      <c r="D739" s="1" t="s">
        <v>2020</v>
      </c>
      <c r="E739" s="1" t="s">
        <v>132</v>
      </c>
      <c r="F739" s="1" t="s">
        <v>2021</v>
      </c>
      <c r="G739" s="1" t="s">
        <v>98</v>
      </c>
      <c r="H739" s="1" t="s">
        <v>2037</v>
      </c>
      <c r="I739" s="1" t="s">
        <v>1902</v>
      </c>
      <c r="J739" s="1" t="s">
        <v>167</v>
      </c>
      <c r="K739" s="1"/>
      <c r="L739" s="1" t="s">
        <v>15</v>
      </c>
      <c r="M739" s="1" t="s">
        <v>14</v>
      </c>
    </row>
    <row r="740" spans="1:13" x14ac:dyDescent="0.3">
      <c r="A740" s="1" t="s">
        <v>2038</v>
      </c>
      <c r="B740" s="1" t="s">
        <v>2039</v>
      </c>
      <c r="C740" s="1" t="s">
        <v>17</v>
      </c>
      <c r="D740" s="1" t="s">
        <v>2020</v>
      </c>
      <c r="E740" s="1" t="s">
        <v>132</v>
      </c>
      <c r="F740" s="1" t="s">
        <v>2021</v>
      </c>
      <c r="G740" s="1" t="s">
        <v>98</v>
      </c>
      <c r="H740" s="1" t="s">
        <v>593</v>
      </c>
      <c r="I740" s="1" t="s">
        <v>1902</v>
      </c>
      <c r="J740" s="1" t="s">
        <v>183</v>
      </c>
      <c r="K740" s="1"/>
      <c r="L740" s="1" t="s">
        <v>15</v>
      </c>
      <c r="M740" s="1" t="s">
        <v>14</v>
      </c>
    </row>
    <row r="741" spans="1:13" x14ac:dyDescent="0.3">
      <c r="A741" s="1" t="s">
        <v>2040</v>
      </c>
      <c r="B741" s="1" t="s">
        <v>2041</v>
      </c>
      <c r="C741" s="1" t="s">
        <v>17</v>
      </c>
      <c r="D741" s="1" t="s">
        <v>2020</v>
      </c>
      <c r="E741" s="1" t="s">
        <v>19</v>
      </c>
      <c r="F741" s="1" t="s">
        <v>2042</v>
      </c>
      <c r="G741" s="1" t="s">
        <v>98</v>
      </c>
      <c r="H741" s="1" t="s">
        <v>636</v>
      </c>
      <c r="I741" s="1" t="s">
        <v>1902</v>
      </c>
      <c r="J741" s="1" t="s">
        <v>99</v>
      </c>
      <c r="K741" s="1"/>
      <c r="L741" s="1" t="s">
        <v>15</v>
      </c>
      <c r="M741" s="1" t="s">
        <v>14</v>
      </c>
    </row>
    <row r="742" spans="1:13" x14ac:dyDescent="0.3">
      <c r="A742" s="1" t="s">
        <v>2043</v>
      </c>
      <c r="B742" s="1" t="s">
        <v>2044</v>
      </c>
      <c r="C742" s="1" t="s">
        <v>17</v>
      </c>
      <c r="D742" s="1" t="s">
        <v>2020</v>
      </c>
      <c r="E742" s="1" t="s">
        <v>19</v>
      </c>
      <c r="F742" s="1" t="s">
        <v>2042</v>
      </c>
      <c r="G742" s="1" t="s">
        <v>98</v>
      </c>
      <c r="H742" s="1" t="s">
        <v>1925</v>
      </c>
      <c r="I742" s="1" t="s">
        <v>1902</v>
      </c>
      <c r="J742" s="1" t="s">
        <v>74</v>
      </c>
      <c r="K742" s="1"/>
      <c r="L742" s="1" t="s">
        <v>15</v>
      </c>
      <c r="M742" s="1" t="s">
        <v>14</v>
      </c>
    </row>
    <row r="743" spans="1:13" x14ac:dyDescent="0.3">
      <c r="A743" s="1" t="s">
        <v>2045</v>
      </c>
      <c r="B743" s="1" t="s">
        <v>2046</v>
      </c>
      <c r="C743" s="1" t="s">
        <v>17</v>
      </c>
      <c r="D743" s="1" t="s">
        <v>2020</v>
      </c>
      <c r="E743" s="1" t="s">
        <v>19</v>
      </c>
      <c r="F743" s="1" t="s">
        <v>2042</v>
      </c>
      <c r="G743" s="1" t="s">
        <v>98</v>
      </c>
      <c r="H743" s="1" t="s">
        <v>2047</v>
      </c>
      <c r="I743" s="1" t="s">
        <v>1902</v>
      </c>
      <c r="J743" s="1" t="s">
        <v>58</v>
      </c>
      <c r="K743" s="1"/>
      <c r="L743" s="1" t="s">
        <v>15</v>
      </c>
      <c r="M743" s="1" t="s">
        <v>14</v>
      </c>
    </row>
    <row r="744" spans="1:13" x14ac:dyDescent="0.3">
      <c r="A744" s="1" t="s">
        <v>2048</v>
      </c>
      <c r="B744" s="1" t="s">
        <v>2049</v>
      </c>
      <c r="C744" s="1" t="s">
        <v>17</v>
      </c>
      <c r="D744" s="1" t="s">
        <v>2020</v>
      </c>
      <c r="E744" s="1" t="s">
        <v>19</v>
      </c>
      <c r="F744" s="1" t="s">
        <v>2042</v>
      </c>
      <c r="G744" s="1" t="s">
        <v>98</v>
      </c>
      <c r="H744" s="1" t="s">
        <v>1694</v>
      </c>
      <c r="I744" s="1" t="s">
        <v>1902</v>
      </c>
      <c r="J744" s="1" t="s">
        <v>115</v>
      </c>
      <c r="K744" s="1"/>
      <c r="L744" s="1" t="s">
        <v>15</v>
      </c>
      <c r="M744" s="1" t="s">
        <v>14</v>
      </c>
    </row>
    <row r="745" spans="1:13" x14ac:dyDescent="0.3">
      <c r="A745" s="1" t="s">
        <v>2050</v>
      </c>
      <c r="B745" s="1" t="s">
        <v>2051</v>
      </c>
      <c r="C745" s="1" t="s">
        <v>17</v>
      </c>
      <c r="D745" s="1" t="s">
        <v>2020</v>
      </c>
      <c r="E745" s="1" t="s">
        <v>19</v>
      </c>
      <c r="F745" s="1" t="s">
        <v>2042</v>
      </c>
      <c r="G745" s="1" t="s">
        <v>98</v>
      </c>
      <c r="H745" s="1" t="s">
        <v>2052</v>
      </c>
      <c r="I745" s="1" t="s">
        <v>1902</v>
      </c>
      <c r="J745" s="1" t="s">
        <v>408</v>
      </c>
      <c r="K745" s="1"/>
      <c r="L745" s="1" t="s">
        <v>15</v>
      </c>
      <c r="M745" s="1" t="s">
        <v>14</v>
      </c>
    </row>
    <row r="746" spans="1:13" x14ac:dyDescent="0.3">
      <c r="A746" s="1" t="s">
        <v>2053</v>
      </c>
      <c r="B746" s="1" t="s">
        <v>2054</v>
      </c>
      <c r="C746" s="1" t="s">
        <v>17</v>
      </c>
      <c r="D746" s="1" t="s">
        <v>2020</v>
      </c>
      <c r="E746" s="1" t="s">
        <v>19</v>
      </c>
      <c r="F746" s="1" t="s">
        <v>2042</v>
      </c>
      <c r="G746" s="1" t="s">
        <v>98</v>
      </c>
      <c r="H746" s="1" t="s">
        <v>2055</v>
      </c>
      <c r="I746" s="1" t="s">
        <v>1902</v>
      </c>
      <c r="J746" s="1" t="s">
        <v>411</v>
      </c>
      <c r="K746" s="1"/>
      <c r="L746" s="1" t="s">
        <v>15</v>
      </c>
      <c r="M746" s="1" t="s">
        <v>14</v>
      </c>
    </row>
    <row r="747" spans="1:13" x14ac:dyDescent="0.3">
      <c r="A747" s="1" t="s">
        <v>2056</v>
      </c>
      <c r="B747" s="1" t="s">
        <v>2057</v>
      </c>
      <c r="C747" s="1" t="s">
        <v>17</v>
      </c>
      <c r="D747" s="1" t="s">
        <v>2020</v>
      </c>
      <c r="E747" s="1" t="s">
        <v>19</v>
      </c>
      <c r="F747" s="1" t="s">
        <v>2042</v>
      </c>
      <c r="G747" s="1" t="s">
        <v>98</v>
      </c>
      <c r="H747" s="1" t="s">
        <v>1700</v>
      </c>
      <c r="I747" s="1" t="s">
        <v>1902</v>
      </c>
      <c r="J747" s="1" t="s">
        <v>390</v>
      </c>
      <c r="K747" s="1"/>
      <c r="L747" s="1" t="s">
        <v>15</v>
      </c>
      <c r="M747" s="1" t="s">
        <v>14</v>
      </c>
    </row>
    <row r="748" spans="1:13" x14ac:dyDescent="0.3">
      <c r="A748" s="1" t="s">
        <v>2058</v>
      </c>
      <c r="B748" s="1" t="s">
        <v>2059</v>
      </c>
      <c r="C748" s="1" t="s">
        <v>17</v>
      </c>
      <c r="D748" s="1" t="s">
        <v>2020</v>
      </c>
      <c r="E748" s="1" t="s">
        <v>19</v>
      </c>
      <c r="F748" s="1" t="s">
        <v>2042</v>
      </c>
      <c r="G748" s="1" t="s">
        <v>98</v>
      </c>
      <c r="H748" s="1" t="s">
        <v>2060</v>
      </c>
      <c r="I748" s="1" t="s">
        <v>1902</v>
      </c>
      <c r="J748" s="1" t="s">
        <v>2017</v>
      </c>
      <c r="K748" s="1"/>
      <c r="L748" s="1" t="s">
        <v>15</v>
      </c>
      <c r="M748" s="1" t="s">
        <v>14</v>
      </c>
    </row>
    <row r="749" spans="1:13" x14ac:dyDescent="0.3">
      <c r="A749" s="1" t="s">
        <v>2061</v>
      </c>
      <c r="B749" s="1" t="s">
        <v>2062</v>
      </c>
      <c r="C749" s="1" t="s">
        <v>17</v>
      </c>
      <c r="D749" s="1" t="s">
        <v>2020</v>
      </c>
      <c r="E749" s="1" t="s">
        <v>19</v>
      </c>
      <c r="F749" s="1" t="s">
        <v>2042</v>
      </c>
      <c r="G749" s="1" t="s">
        <v>98</v>
      </c>
      <c r="H749" s="1" t="s">
        <v>628</v>
      </c>
      <c r="I749" s="1" t="s">
        <v>1902</v>
      </c>
      <c r="J749" s="1" t="s">
        <v>450</v>
      </c>
      <c r="K749" s="1"/>
      <c r="L749" s="1" t="s">
        <v>15</v>
      </c>
      <c r="M749" s="1" t="s">
        <v>14</v>
      </c>
    </row>
    <row r="750" spans="1:13" x14ac:dyDescent="0.3">
      <c r="A750" s="1" t="s">
        <v>2063</v>
      </c>
      <c r="B750" s="1" t="s">
        <v>2064</v>
      </c>
      <c r="C750" s="1" t="s">
        <v>17</v>
      </c>
      <c r="D750" s="1" t="s">
        <v>2020</v>
      </c>
      <c r="E750" s="1" t="s">
        <v>19</v>
      </c>
      <c r="F750" s="1" t="s">
        <v>2042</v>
      </c>
      <c r="G750" s="1" t="s">
        <v>98</v>
      </c>
      <c r="H750" s="1" t="s">
        <v>1951</v>
      </c>
      <c r="I750" s="1" t="s">
        <v>1902</v>
      </c>
      <c r="J750" s="1" t="s">
        <v>2002</v>
      </c>
      <c r="K750" s="1"/>
      <c r="L750" s="1" t="s">
        <v>15</v>
      </c>
      <c r="M750" s="1" t="s">
        <v>14</v>
      </c>
    </row>
    <row r="751" spans="1:13" x14ac:dyDescent="0.3">
      <c r="A751" s="1" t="s">
        <v>2065</v>
      </c>
      <c r="B751" s="1" t="s">
        <v>2066</v>
      </c>
      <c r="C751" s="1" t="s">
        <v>17</v>
      </c>
      <c r="D751" s="1" t="s">
        <v>2020</v>
      </c>
      <c r="E751" s="1" t="s">
        <v>19</v>
      </c>
      <c r="F751" s="1" t="s">
        <v>2042</v>
      </c>
      <c r="G751" s="1" t="s">
        <v>98</v>
      </c>
      <c r="H751" s="1" t="s">
        <v>2008</v>
      </c>
      <c r="I751" s="1" t="s">
        <v>1902</v>
      </c>
      <c r="J751" s="1" t="s">
        <v>232</v>
      </c>
      <c r="K751" s="1"/>
      <c r="L751" s="1" t="s">
        <v>15</v>
      </c>
      <c r="M751" s="1" t="s">
        <v>14</v>
      </c>
    </row>
    <row r="752" spans="1:13" x14ac:dyDescent="0.3">
      <c r="A752" s="1" t="s">
        <v>2067</v>
      </c>
      <c r="B752" s="1" t="s">
        <v>2068</v>
      </c>
      <c r="C752" s="1" t="s">
        <v>17</v>
      </c>
      <c r="D752" s="1" t="s">
        <v>2020</v>
      </c>
      <c r="E752" s="1" t="s">
        <v>132</v>
      </c>
      <c r="F752" s="1" t="s">
        <v>2021</v>
      </c>
      <c r="G752" s="1" t="s">
        <v>98</v>
      </c>
      <c r="H752" s="1" t="s">
        <v>2069</v>
      </c>
      <c r="I752" s="1" t="s">
        <v>1902</v>
      </c>
      <c r="J752" s="1" t="s">
        <v>248</v>
      </c>
      <c r="K752" s="1"/>
      <c r="L752" s="1" t="s">
        <v>15</v>
      </c>
      <c r="M752" s="1" t="s">
        <v>14</v>
      </c>
    </row>
    <row r="753" spans="1:13" x14ac:dyDescent="0.3">
      <c r="A753" s="1" t="s">
        <v>2070</v>
      </c>
      <c r="B753" s="1" t="s">
        <v>2071</v>
      </c>
      <c r="C753" s="1" t="s">
        <v>17</v>
      </c>
      <c r="D753" s="1" t="s">
        <v>2020</v>
      </c>
      <c r="E753" s="1" t="s">
        <v>132</v>
      </c>
      <c r="F753" s="1" t="s">
        <v>2021</v>
      </c>
      <c r="G753" s="1" t="s">
        <v>98</v>
      </c>
      <c r="H753" s="1" t="s">
        <v>2072</v>
      </c>
      <c r="I753" s="1" t="s">
        <v>1902</v>
      </c>
      <c r="J753" s="1" t="s">
        <v>282</v>
      </c>
      <c r="K753" s="1"/>
      <c r="L753" s="1" t="s">
        <v>15</v>
      </c>
      <c r="M753" s="1" t="s">
        <v>14</v>
      </c>
    </row>
    <row r="754" spans="1:13" x14ac:dyDescent="0.3">
      <c r="A754" s="1" t="s">
        <v>2073</v>
      </c>
      <c r="B754" s="1" t="s">
        <v>2074</v>
      </c>
      <c r="C754" s="1" t="s">
        <v>17</v>
      </c>
      <c r="D754" s="1" t="s">
        <v>2075</v>
      </c>
      <c r="E754" s="1" t="s">
        <v>132</v>
      </c>
      <c r="F754" s="1"/>
      <c r="G754" s="1" t="s">
        <v>98</v>
      </c>
      <c r="H754" s="1" t="s">
        <v>2076</v>
      </c>
      <c r="I754" s="1" t="s">
        <v>2077</v>
      </c>
      <c r="J754" s="1"/>
      <c r="K754" s="1"/>
      <c r="L754" s="1" t="s">
        <v>15</v>
      </c>
      <c r="M754" s="1" t="s">
        <v>14</v>
      </c>
    </row>
    <row r="755" spans="1:13" x14ac:dyDescent="0.3">
      <c r="A755" s="1" t="s">
        <v>2078</v>
      </c>
      <c r="B755" s="1" t="s">
        <v>2079</v>
      </c>
      <c r="C755" s="1" t="s">
        <v>17</v>
      </c>
      <c r="D755" s="1" t="s">
        <v>2075</v>
      </c>
      <c r="E755" s="1" t="s">
        <v>132</v>
      </c>
      <c r="F755" s="1"/>
      <c r="G755" s="1" t="s">
        <v>98</v>
      </c>
      <c r="H755" s="1" t="s">
        <v>2080</v>
      </c>
      <c r="I755" s="1" t="s">
        <v>2077</v>
      </c>
      <c r="J755" s="1"/>
      <c r="K755" s="1"/>
      <c r="L755" s="1" t="s">
        <v>15</v>
      </c>
      <c r="M755" s="1" t="s">
        <v>14</v>
      </c>
    </row>
    <row r="756" spans="1:13" x14ac:dyDescent="0.3">
      <c r="A756" s="1" t="s">
        <v>2081</v>
      </c>
      <c r="B756" s="1" t="s">
        <v>2082</v>
      </c>
      <c r="C756" s="1" t="s">
        <v>17</v>
      </c>
      <c r="D756" s="1" t="s">
        <v>2075</v>
      </c>
      <c r="E756" s="1" t="s">
        <v>132</v>
      </c>
      <c r="F756" s="1"/>
      <c r="G756" s="1" t="s">
        <v>98</v>
      </c>
      <c r="H756" s="1" t="s">
        <v>2083</v>
      </c>
      <c r="I756" s="1" t="s">
        <v>2077</v>
      </c>
      <c r="J756" s="1"/>
      <c r="K756" s="1"/>
      <c r="L756" s="1" t="s">
        <v>15</v>
      </c>
      <c r="M756" s="1" t="s">
        <v>14</v>
      </c>
    </row>
    <row r="757" spans="1:13" x14ac:dyDescent="0.3">
      <c r="A757" s="1" t="s">
        <v>2084</v>
      </c>
      <c r="B757" s="1" t="s">
        <v>2085</v>
      </c>
      <c r="C757" s="1" t="s">
        <v>17</v>
      </c>
      <c r="D757" s="1" t="s">
        <v>2086</v>
      </c>
      <c r="E757" s="1" t="s">
        <v>132</v>
      </c>
      <c r="F757" s="1"/>
      <c r="G757" s="1" t="s">
        <v>98</v>
      </c>
      <c r="H757" s="1" t="s">
        <v>2076</v>
      </c>
      <c r="I757" s="1" t="s">
        <v>2077</v>
      </c>
      <c r="J757" s="1"/>
      <c r="K757" s="1"/>
      <c r="L757" s="1" t="s">
        <v>15</v>
      </c>
      <c r="M757" s="1" t="s">
        <v>14</v>
      </c>
    </row>
    <row r="758" spans="1:13" x14ac:dyDescent="0.3">
      <c r="A758" s="1" t="s">
        <v>2087</v>
      </c>
      <c r="B758" s="1" t="s">
        <v>2088</v>
      </c>
      <c r="C758" s="1" t="s">
        <v>17</v>
      </c>
      <c r="D758" s="1" t="s">
        <v>2086</v>
      </c>
      <c r="E758" s="1" t="s">
        <v>132</v>
      </c>
      <c r="F758" s="1"/>
      <c r="G758" s="1" t="s">
        <v>98</v>
      </c>
      <c r="H758" s="1" t="s">
        <v>2080</v>
      </c>
      <c r="I758" s="1" t="s">
        <v>2077</v>
      </c>
      <c r="J758" s="1"/>
      <c r="K758" s="1"/>
      <c r="L758" s="1" t="s">
        <v>15</v>
      </c>
      <c r="M758" s="1" t="s">
        <v>14</v>
      </c>
    </row>
    <row r="759" spans="1:13" x14ac:dyDescent="0.3">
      <c r="A759" s="1" t="s">
        <v>2089</v>
      </c>
      <c r="B759" s="1" t="s">
        <v>2090</v>
      </c>
      <c r="C759" s="1" t="s">
        <v>17</v>
      </c>
      <c r="D759" s="1" t="s">
        <v>2086</v>
      </c>
      <c r="E759" s="1" t="s">
        <v>132</v>
      </c>
      <c r="F759" s="1"/>
      <c r="G759" s="1" t="s">
        <v>98</v>
      </c>
      <c r="H759" s="1" t="s">
        <v>2083</v>
      </c>
      <c r="I759" s="1" t="s">
        <v>2077</v>
      </c>
      <c r="J759" s="1"/>
      <c r="K759" s="1"/>
      <c r="L759" s="1" t="s">
        <v>15</v>
      </c>
      <c r="M759" s="1" t="s">
        <v>14</v>
      </c>
    </row>
    <row r="760" spans="1:13" x14ac:dyDescent="0.3">
      <c r="A760" s="1" t="s">
        <v>2091</v>
      </c>
      <c r="B760" s="1" t="s">
        <v>2092</v>
      </c>
      <c r="C760" s="1" t="s">
        <v>492</v>
      </c>
      <c r="D760" s="1" t="s">
        <v>730</v>
      </c>
      <c r="E760" s="1" t="s">
        <v>19</v>
      </c>
      <c r="F760" s="1" t="s">
        <v>753</v>
      </c>
      <c r="G760" s="1" t="s">
        <v>98</v>
      </c>
      <c r="H760" s="1" t="s">
        <v>2093</v>
      </c>
      <c r="I760" s="1" t="s">
        <v>731</v>
      </c>
      <c r="J760" s="1" t="s">
        <v>853</v>
      </c>
      <c r="K760" s="1"/>
      <c r="L760" s="1" t="s">
        <v>15</v>
      </c>
      <c r="M760" s="1" t="s">
        <v>14</v>
      </c>
    </row>
    <row r="761" spans="1:13" x14ac:dyDescent="0.3">
      <c r="A761" s="1" t="s">
        <v>2094</v>
      </c>
      <c r="B761" s="1" t="s">
        <v>2095</v>
      </c>
      <c r="C761" s="1" t="s">
        <v>2096</v>
      </c>
      <c r="D761" s="1" t="s">
        <v>2097</v>
      </c>
      <c r="E761" s="1"/>
      <c r="F761" s="1"/>
      <c r="G761" s="1" t="s">
        <v>98</v>
      </c>
      <c r="H761" s="1" t="s">
        <v>2098</v>
      </c>
      <c r="I761" s="1"/>
      <c r="J761" s="1"/>
      <c r="K761" s="1"/>
      <c r="L761" s="1" t="s">
        <v>15</v>
      </c>
      <c r="M761" s="1" t="s">
        <v>14</v>
      </c>
    </row>
    <row r="762" spans="1:13" x14ac:dyDescent="0.3">
      <c r="A762" s="1" t="s">
        <v>2099</v>
      </c>
      <c r="B762" s="1" t="s">
        <v>2100</v>
      </c>
      <c r="C762" s="1" t="s">
        <v>492</v>
      </c>
      <c r="D762" s="1" t="s">
        <v>2101</v>
      </c>
      <c r="E762" s="1" t="s">
        <v>132</v>
      </c>
      <c r="F762" s="1" t="s">
        <v>2104</v>
      </c>
      <c r="G762" s="1" t="s">
        <v>98</v>
      </c>
      <c r="H762" s="1" t="s">
        <v>2102</v>
      </c>
      <c r="I762" s="1" t="s">
        <v>2103</v>
      </c>
      <c r="J762" s="1"/>
      <c r="K762" s="1"/>
      <c r="L762" s="1" t="s">
        <v>15</v>
      </c>
      <c r="M762" s="1" t="s">
        <v>14</v>
      </c>
    </row>
    <row r="763" spans="1:13" x14ac:dyDescent="0.3">
      <c r="A763" s="1" t="s">
        <v>2105</v>
      </c>
      <c r="B763" s="1" t="s">
        <v>2106</v>
      </c>
      <c r="C763" s="1" t="s">
        <v>492</v>
      </c>
      <c r="D763" s="1" t="s">
        <v>2101</v>
      </c>
      <c r="E763" s="1" t="s">
        <v>132</v>
      </c>
      <c r="F763" s="1" t="s">
        <v>2104</v>
      </c>
      <c r="G763" s="1" t="s">
        <v>145</v>
      </c>
      <c r="H763" s="1" t="s">
        <v>2107</v>
      </c>
      <c r="I763" s="1" t="s">
        <v>2103</v>
      </c>
      <c r="J763" s="1" t="s">
        <v>341</v>
      </c>
      <c r="K763" s="1"/>
      <c r="L763" s="1" t="s">
        <v>15</v>
      </c>
      <c r="M763" s="1" t="s">
        <v>14</v>
      </c>
    </row>
    <row r="764" spans="1:13" x14ac:dyDescent="0.3">
      <c r="A764" s="1" t="s">
        <v>2108</v>
      </c>
      <c r="B764" s="1" t="s">
        <v>2109</v>
      </c>
      <c r="C764" s="1" t="s">
        <v>492</v>
      </c>
      <c r="D764" s="1" t="s">
        <v>2101</v>
      </c>
      <c r="E764" s="1" t="s">
        <v>132</v>
      </c>
      <c r="F764" s="1" t="s">
        <v>2104</v>
      </c>
      <c r="G764" s="1" t="s">
        <v>98</v>
      </c>
      <c r="H764" s="1" t="s">
        <v>2110</v>
      </c>
      <c r="I764" s="1" t="s">
        <v>2103</v>
      </c>
      <c r="J764" s="1" t="s">
        <v>357</v>
      </c>
      <c r="K764" s="1"/>
      <c r="L764" s="1" t="s">
        <v>15</v>
      </c>
      <c r="M764" s="1" t="s">
        <v>14</v>
      </c>
    </row>
    <row r="765" spans="1:13" x14ac:dyDescent="0.3">
      <c r="A765" s="1" t="s">
        <v>2111</v>
      </c>
      <c r="B765" s="1" t="s">
        <v>2112</v>
      </c>
      <c r="C765" s="1" t="s">
        <v>492</v>
      </c>
      <c r="D765" s="1" t="s">
        <v>2101</v>
      </c>
      <c r="E765" s="1" t="s">
        <v>132</v>
      </c>
      <c r="F765" s="1" t="s">
        <v>2104</v>
      </c>
      <c r="G765" s="1" t="s">
        <v>98</v>
      </c>
      <c r="H765" s="1" t="s">
        <v>2113</v>
      </c>
      <c r="I765" s="1" t="s">
        <v>2103</v>
      </c>
      <c r="J765" s="1"/>
      <c r="K765" s="1"/>
      <c r="L765" s="1" t="s">
        <v>15</v>
      </c>
      <c r="M765" s="1" t="s">
        <v>14</v>
      </c>
    </row>
    <row r="766" spans="1:13" x14ac:dyDescent="0.3">
      <c r="A766" s="1" t="s">
        <v>2114</v>
      </c>
      <c r="B766" s="1" t="s">
        <v>2115</v>
      </c>
      <c r="C766" s="1" t="s">
        <v>492</v>
      </c>
      <c r="D766" s="1" t="s">
        <v>2101</v>
      </c>
      <c r="E766" s="1" t="s">
        <v>132</v>
      </c>
      <c r="F766" s="1" t="s">
        <v>2104</v>
      </c>
      <c r="G766" s="1" t="s">
        <v>98</v>
      </c>
      <c r="H766" s="1" t="s">
        <v>2116</v>
      </c>
      <c r="I766" s="1" t="s">
        <v>2103</v>
      </c>
      <c r="J766" s="1" t="s">
        <v>200</v>
      </c>
      <c r="K766" s="1"/>
      <c r="L766" s="1" t="s">
        <v>15</v>
      </c>
      <c r="M766" s="1" t="s">
        <v>14</v>
      </c>
    </row>
    <row r="767" spans="1:13" x14ac:dyDescent="0.3">
      <c r="A767" s="1" t="s">
        <v>2117</v>
      </c>
      <c r="B767" s="1" t="s">
        <v>2118</v>
      </c>
      <c r="C767" s="1" t="s">
        <v>492</v>
      </c>
      <c r="D767" s="1" t="s">
        <v>2101</v>
      </c>
      <c r="E767" s="1" t="s">
        <v>132</v>
      </c>
      <c r="F767" s="1" t="s">
        <v>2104</v>
      </c>
      <c r="G767" s="1" t="s">
        <v>98</v>
      </c>
      <c r="H767" s="1" t="s">
        <v>2119</v>
      </c>
      <c r="I767" s="1" t="s">
        <v>2103</v>
      </c>
      <c r="J767" s="1"/>
      <c r="K767" s="1"/>
      <c r="L767" s="1" t="s">
        <v>15</v>
      </c>
      <c r="M767" s="1" t="s">
        <v>14</v>
      </c>
    </row>
    <row r="768" spans="1:13" x14ac:dyDescent="0.3">
      <c r="A768" s="1" t="s">
        <v>2120</v>
      </c>
      <c r="B768" s="1" t="s">
        <v>2121</v>
      </c>
      <c r="C768" s="1" t="s">
        <v>492</v>
      </c>
      <c r="D768" s="1" t="s">
        <v>2101</v>
      </c>
      <c r="E768" s="1" t="s">
        <v>132</v>
      </c>
      <c r="F768" s="1" t="s">
        <v>2104</v>
      </c>
      <c r="G768" s="1" t="s">
        <v>98</v>
      </c>
      <c r="H768" s="1" t="s">
        <v>2122</v>
      </c>
      <c r="I768" s="1" t="s">
        <v>2103</v>
      </c>
      <c r="J768" s="1"/>
      <c r="K768" s="1"/>
      <c r="L768" s="1" t="s">
        <v>15</v>
      </c>
      <c r="M768" s="1" t="s">
        <v>14</v>
      </c>
    </row>
    <row r="769" spans="1:13" x14ac:dyDescent="0.3">
      <c r="A769" s="1" t="s">
        <v>2123</v>
      </c>
      <c r="B769" s="1" t="s">
        <v>2124</v>
      </c>
      <c r="C769" s="1" t="s">
        <v>492</v>
      </c>
      <c r="D769" s="1" t="s">
        <v>2101</v>
      </c>
      <c r="E769" s="1" t="s">
        <v>132</v>
      </c>
      <c r="F769" s="1" t="s">
        <v>2104</v>
      </c>
      <c r="G769" s="1" t="s">
        <v>98</v>
      </c>
      <c r="H769" s="1" t="s">
        <v>2125</v>
      </c>
      <c r="I769" s="1" t="s">
        <v>2103</v>
      </c>
      <c r="J769" s="1"/>
      <c r="K769" s="1"/>
      <c r="L769" s="1" t="s">
        <v>15</v>
      </c>
      <c r="M769" s="1" t="s">
        <v>14</v>
      </c>
    </row>
    <row r="770" spans="1:13" x14ac:dyDescent="0.3">
      <c r="A770" s="1" t="s">
        <v>2126</v>
      </c>
      <c r="B770" s="1" t="s">
        <v>2127</v>
      </c>
      <c r="C770" s="1" t="s">
        <v>492</v>
      </c>
      <c r="D770" s="1" t="s">
        <v>2101</v>
      </c>
      <c r="E770" s="1" t="s">
        <v>132</v>
      </c>
      <c r="F770" s="1" t="s">
        <v>2104</v>
      </c>
      <c r="G770" s="1" t="s">
        <v>98</v>
      </c>
      <c r="H770" s="1" t="s">
        <v>2128</v>
      </c>
      <c r="I770" s="1" t="s">
        <v>2103</v>
      </c>
      <c r="J770" s="1"/>
      <c r="K770" s="1"/>
      <c r="L770" s="1" t="s">
        <v>15</v>
      </c>
      <c r="M770" s="1" t="s">
        <v>14</v>
      </c>
    </row>
    <row r="771" spans="1:13" x14ac:dyDescent="0.3">
      <c r="A771" s="1" t="s">
        <v>2129</v>
      </c>
      <c r="B771" s="1" t="s">
        <v>2130</v>
      </c>
      <c r="C771" s="1" t="s">
        <v>492</v>
      </c>
      <c r="D771" s="1" t="s">
        <v>2101</v>
      </c>
      <c r="E771" s="1" t="s">
        <v>132</v>
      </c>
      <c r="F771" s="1" t="s">
        <v>2104</v>
      </c>
      <c r="G771" s="1" t="s">
        <v>145</v>
      </c>
      <c r="H771" s="1" t="s">
        <v>2131</v>
      </c>
      <c r="I771" s="1" t="s">
        <v>2103</v>
      </c>
      <c r="J771" s="1" t="s">
        <v>341</v>
      </c>
      <c r="K771" s="1"/>
      <c r="L771" s="1" t="s">
        <v>15</v>
      </c>
      <c r="M771" s="1" t="s">
        <v>14</v>
      </c>
    </row>
    <row r="772" spans="1:13" x14ac:dyDescent="0.3">
      <c r="A772" s="1" t="s">
        <v>2132</v>
      </c>
      <c r="B772" s="1" t="s">
        <v>2133</v>
      </c>
      <c r="C772" s="1" t="s">
        <v>492</v>
      </c>
      <c r="D772" s="1" t="s">
        <v>2101</v>
      </c>
      <c r="E772" s="1" t="s">
        <v>132</v>
      </c>
      <c r="F772" s="1" t="s">
        <v>2104</v>
      </c>
      <c r="G772" s="1" t="s">
        <v>98</v>
      </c>
      <c r="H772" s="1" t="s">
        <v>2134</v>
      </c>
      <c r="I772" s="1" t="s">
        <v>2103</v>
      </c>
      <c r="J772" s="1" t="s">
        <v>357</v>
      </c>
      <c r="K772" s="1"/>
      <c r="L772" s="1" t="s">
        <v>15</v>
      </c>
      <c r="M772" s="1" t="s">
        <v>14</v>
      </c>
    </row>
    <row r="773" spans="1:13" x14ac:dyDescent="0.3">
      <c r="A773" s="1" t="s">
        <v>2135</v>
      </c>
      <c r="B773" s="1" t="s">
        <v>2136</v>
      </c>
      <c r="C773" s="1" t="s">
        <v>492</v>
      </c>
      <c r="D773" s="1" t="s">
        <v>2101</v>
      </c>
      <c r="E773" s="1" t="s">
        <v>132</v>
      </c>
      <c r="F773" s="1" t="s">
        <v>2104</v>
      </c>
      <c r="G773" s="1" t="s">
        <v>98</v>
      </c>
      <c r="H773" s="1" t="s">
        <v>2137</v>
      </c>
      <c r="I773" s="1" t="s">
        <v>2103</v>
      </c>
      <c r="J773" s="1"/>
      <c r="K773" s="1"/>
      <c r="L773" s="1" t="s">
        <v>15</v>
      </c>
      <c r="M773" s="1" t="s">
        <v>14</v>
      </c>
    </row>
    <row r="774" spans="1:13" x14ac:dyDescent="0.3">
      <c r="A774" s="1" t="s">
        <v>2138</v>
      </c>
      <c r="B774" s="1" t="s">
        <v>2139</v>
      </c>
      <c r="C774" s="1" t="s">
        <v>492</v>
      </c>
      <c r="D774" s="1" t="s">
        <v>2101</v>
      </c>
      <c r="E774" s="1" t="s">
        <v>132</v>
      </c>
      <c r="F774" s="1" t="s">
        <v>2104</v>
      </c>
      <c r="G774" s="1" t="s">
        <v>98</v>
      </c>
      <c r="H774" s="1" t="s">
        <v>2140</v>
      </c>
      <c r="I774" s="1" t="s">
        <v>2103</v>
      </c>
      <c r="J774" s="1" t="s">
        <v>200</v>
      </c>
      <c r="K774" s="1"/>
      <c r="L774" s="1" t="s">
        <v>15</v>
      </c>
      <c r="M774" s="1" t="s">
        <v>14</v>
      </c>
    </row>
    <row r="775" spans="1:13" x14ac:dyDescent="0.3">
      <c r="A775" s="1" t="s">
        <v>2141</v>
      </c>
      <c r="B775" s="1" t="s">
        <v>2142</v>
      </c>
      <c r="C775" s="1" t="s">
        <v>492</v>
      </c>
      <c r="D775" s="1" t="s">
        <v>2101</v>
      </c>
      <c r="E775" s="1" t="s">
        <v>132</v>
      </c>
      <c r="F775" s="1" t="s">
        <v>2104</v>
      </c>
      <c r="G775" s="1" t="s">
        <v>98</v>
      </c>
      <c r="H775" s="1" t="s">
        <v>2143</v>
      </c>
      <c r="I775" s="1" t="s">
        <v>2103</v>
      </c>
      <c r="J775" s="1"/>
      <c r="K775" s="1"/>
      <c r="L775" s="1" t="s">
        <v>15</v>
      </c>
      <c r="M775" s="1" t="s">
        <v>14</v>
      </c>
    </row>
    <row r="776" spans="1:13" x14ac:dyDescent="0.3">
      <c r="A776" s="1" t="s">
        <v>2144</v>
      </c>
      <c r="B776" s="1" t="s">
        <v>2145</v>
      </c>
      <c r="C776" s="1" t="s">
        <v>492</v>
      </c>
      <c r="D776" s="1" t="s">
        <v>2101</v>
      </c>
      <c r="E776" s="1" t="s">
        <v>132</v>
      </c>
      <c r="F776" s="1" t="s">
        <v>2104</v>
      </c>
      <c r="G776" s="1" t="s">
        <v>98</v>
      </c>
      <c r="H776" s="1" t="s">
        <v>2146</v>
      </c>
      <c r="I776" s="1" t="s">
        <v>2103</v>
      </c>
      <c r="J776" s="1"/>
      <c r="K776" s="1"/>
      <c r="L776" s="1" t="s">
        <v>15</v>
      </c>
      <c r="M776" s="1" t="s">
        <v>14</v>
      </c>
    </row>
    <row r="777" spans="1:13" x14ac:dyDescent="0.3">
      <c r="A777" s="1" t="s">
        <v>2147</v>
      </c>
      <c r="B777" s="1" t="s">
        <v>2148</v>
      </c>
      <c r="C777" s="1" t="s">
        <v>492</v>
      </c>
      <c r="D777" s="1" t="s">
        <v>2101</v>
      </c>
      <c r="E777" s="1" t="s">
        <v>132</v>
      </c>
      <c r="F777" s="1" t="s">
        <v>2104</v>
      </c>
      <c r="G777" s="1" t="s">
        <v>98</v>
      </c>
      <c r="H777" s="1" t="s">
        <v>2149</v>
      </c>
      <c r="I777" s="1" t="s">
        <v>2103</v>
      </c>
      <c r="J777" s="1"/>
      <c r="K777" s="1"/>
      <c r="L777" s="1" t="s">
        <v>15</v>
      </c>
      <c r="M777" s="1" t="s">
        <v>14</v>
      </c>
    </row>
    <row r="778" spans="1:13" x14ac:dyDescent="0.3">
      <c r="A778" s="1" t="s">
        <v>2150</v>
      </c>
      <c r="B778" s="1" t="s">
        <v>2151</v>
      </c>
      <c r="C778" s="1" t="s">
        <v>492</v>
      </c>
      <c r="D778" s="1" t="s">
        <v>2152</v>
      </c>
      <c r="E778" s="1" t="s">
        <v>19</v>
      </c>
      <c r="F778" s="1" t="s">
        <v>2154</v>
      </c>
      <c r="G778" s="1" t="s">
        <v>98</v>
      </c>
      <c r="H778" s="1" t="s">
        <v>2153</v>
      </c>
      <c r="I778" s="1" t="s">
        <v>2103</v>
      </c>
      <c r="J778" s="1"/>
      <c r="K778" s="1"/>
      <c r="L778" s="1" t="s">
        <v>15</v>
      </c>
      <c r="M778" s="1" t="s">
        <v>14</v>
      </c>
    </row>
    <row r="779" spans="1:13" x14ac:dyDescent="0.3">
      <c r="A779" s="1" t="s">
        <v>2155</v>
      </c>
      <c r="B779" s="1" t="s">
        <v>2156</v>
      </c>
      <c r="C779" s="1" t="s">
        <v>492</v>
      </c>
      <c r="D779" s="1" t="s">
        <v>2152</v>
      </c>
      <c r="E779" s="1" t="s">
        <v>19</v>
      </c>
      <c r="F779" s="1" t="s">
        <v>2154</v>
      </c>
      <c r="G779" s="1" t="s">
        <v>98</v>
      </c>
      <c r="H779" s="1" t="s">
        <v>2157</v>
      </c>
      <c r="I779" s="1" t="s">
        <v>2103</v>
      </c>
      <c r="J779" s="1"/>
      <c r="K779" s="1"/>
      <c r="L779" s="1" t="s">
        <v>15</v>
      </c>
      <c r="M779" s="1" t="s">
        <v>14</v>
      </c>
    </row>
    <row r="780" spans="1:13" x14ac:dyDescent="0.3">
      <c r="A780" s="1" t="s">
        <v>2158</v>
      </c>
      <c r="B780" s="1" t="s">
        <v>2159</v>
      </c>
      <c r="C780" s="1" t="s">
        <v>492</v>
      </c>
      <c r="D780" s="1" t="s">
        <v>2152</v>
      </c>
      <c r="E780" s="1" t="s">
        <v>19</v>
      </c>
      <c r="F780" s="1" t="s">
        <v>2154</v>
      </c>
      <c r="G780" s="1" t="s">
        <v>98</v>
      </c>
      <c r="H780" s="1" t="s">
        <v>2160</v>
      </c>
      <c r="I780" s="1" t="s">
        <v>2103</v>
      </c>
      <c r="J780" s="1"/>
      <c r="K780" s="1"/>
      <c r="L780" s="1" t="s">
        <v>15</v>
      </c>
      <c r="M780" s="1" t="s">
        <v>14</v>
      </c>
    </row>
    <row r="781" spans="1:13" x14ac:dyDescent="0.3">
      <c r="A781" s="1" t="s">
        <v>2161</v>
      </c>
      <c r="B781" s="1" t="s">
        <v>2162</v>
      </c>
      <c r="C781" s="1" t="s">
        <v>492</v>
      </c>
      <c r="D781" s="1" t="s">
        <v>2152</v>
      </c>
      <c r="E781" s="1" t="s">
        <v>19</v>
      </c>
      <c r="F781" s="1" t="s">
        <v>2154</v>
      </c>
      <c r="G781" s="1" t="s">
        <v>98</v>
      </c>
      <c r="H781" s="1" t="s">
        <v>2163</v>
      </c>
      <c r="I781" s="1" t="s">
        <v>2103</v>
      </c>
      <c r="J781" s="1"/>
      <c r="K781" s="1"/>
      <c r="L781" s="1" t="s">
        <v>15</v>
      </c>
      <c r="M781" s="1" t="s">
        <v>14</v>
      </c>
    </row>
    <row r="782" spans="1:13" x14ac:dyDescent="0.3">
      <c r="A782" s="1" t="s">
        <v>2164</v>
      </c>
      <c r="B782" s="1" t="s">
        <v>2165</v>
      </c>
      <c r="C782" s="1" t="s">
        <v>492</v>
      </c>
      <c r="D782" s="1" t="s">
        <v>2152</v>
      </c>
      <c r="E782" s="1" t="s">
        <v>19</v>
      </c>
      <c r="F782" s="1" t="s">
        <v>2154</v>
      </c>
      <c r="G782" s="1" t="s">
        <v>98</v>
      </c>
      <c r="H782" s="1" t="s">
        <v>2166</v>
      </c>
      <c r="I782" s="1" t="s">
        <v>2103</v>
      </c>
      <c r="J782" s="1"/>
      <c r="K782" s="1"/>
      <c r="L782" s="1" t="s">
        <v>15</v>
      </c>
      <c r="M782" s="1" t="s">
        <v>14</v>
      </c>
    </row>
    <row r="783" spans="1:13" x14ac:dyDescent="0.3">
      <c r="A783" s="1" t="s">
        <v>2167</v>
      </c>
      <c r="B783" s="1" t="s">
        <v>2168</v>
      </c>
      <c r="C783" s="1" t="s">
        <v>492</v>
      </c>
      <c r="D783" s="1" t="s">
        <v>2152</v>
      </c>
      <c r="E783" s="1" t="s">
        <v>19</v>
      </c>
      <c r="F783" s="1" t="s">
        <v>2154</v>
      </c>
      <c r="G783" s="1" t="s">
        <v>98</v>
      </c>
      <c r="H783" s="1" t="s">
        <v>2169</v>
      </c>
      <c r="I783" s="1" t="s">
        <v>2103</v>
      </c>
      <c r="J783" s="1"/>
      <c r="K783" s="1"/>
      <c r="L783" s="1" t="s">
        <v>15</v>
      </c>
      <c r="M783" s="1" t="s">
        <v>14</v>
      </c>
    </row>
    <row r="784" spans="1:13" x14ac:dyDescent="0.3">
      <c r="A784" s="1" t="s">
        <v>2170</v>
      </c>
      <c r="B784" s="1" t="s">
        <v>2171</v>
      </c>
      <c r="C784" s="1" t="s">
        <v>492</v>
      </c>
      <c r="D784" s="1" t="s">
        <v>2152</v>
      </c>
      <c r="E784" s="1" t="s">
        <v>19</v>
      </c>
      <c r="F784" s="1" t="s">
        <v>2154</v>
      </c>
      <c r="G784" s="1" t="s">
        <v>98</v>
      </c>
      <c r="H784" s="1" t="s">
        <v>2172</v>
      </c>
      <c r="I784" s="1" t="s">
        <v>2103</v>
      </c>
      <c r="J784" s="1"/>
      <c r="K784" s="1"/>
      <c r="L784" s="1" t="s">
        <v>15</v>
      </c>
      <c r="M784" s="1" t="s">
        <v>14</v>
      </c>
    </row>
    <row r="785" spans="1:13" x14ac:dyDescent="0.3">
      <c r="A785" s="1" t="s">
        <v>2173</v>
      </c>
      <c r="B785" s="1" t="s">
        <v>2174</v>
      </c>
      <c r="C785" s="1" t="s">
        <v>492</v>
      </c>
      <c r="D785" s="1" t="s">
        <v>2152</v>
      </c>
      <c r="E785" s="1" t="s">
        <v>19</v>
      </c>
      <c r="F785" s="1" t="s">
        <v>2154</v>
      </c>
      <c r="G785" s="1" t="s">
        <v>98</v>
      </c>
      <c r="H785" s="1" t="s">
        <v>2175</v>
      </c>
      <c r="I785" s="1" t="s">
        <v>2103</v>
      </c>
      <c r="J785" s="1"/>
      <c r="K785" s="1"/>
      <c r="L785" s="1" t="s">
        <v>15</v>
      </c>
      <c r="M785" s="1" t="s">
        <v>14</v>
      </c>
    </row>
    <row r="786" spans="1:13" x14ac:dyDescent="0.3">
      <c r="A786" s="1" t="s">
        <v>2176</v>
      </c>
      <c r="B786" s="1" t="s">
        <v>2177</v>
      </c>
      <c r="C786" s="1" t="s">
        <v>492</v>
      </c>
      <c r="D786" s="1" t="s">
        <v>2152</v>
      </c>
      <c r="E786" s="1" t="s">
        <v>19</v>
      </c>
      <c r="F786" s="1" t="s">
        <v>2154</v>
      </c>
      <c r="G786" s="1" t="s">
        <v>98</v>
      </c>
      <c r="H786" s="1" t="s">
        <v>2178</v>
      </c>
      <c r="I786" s="1" t="s">
        <v>2103</v>
      </c>
      <c r="J786" s="1"/>
      <c r="K786" s="1"/>
      <c r="L786" s="1" t="s">
        <v>15</v>
      </c>
      <c r="M786" s="1" t="s">
        <v>14</v>
      </c>
    </row>
    <row r="787" spans="1:13" x14ac:dyDescent="0.3">
      <c r="A787" s="1" t="s">
        <v>2179</v>
      </c>
      <c r="B787" s="1" t="s">
        <v>2180</v>
      </c>
      <c r="C787" s="1" t="s">
        <v>492</v>
      </c>
      <c r="D787" s="1" t="s">
        <v>2152</v>
      </c>
      <c r="E787" s="1" t="s">
        <v>19</v>
      </c>
      <c r="F787" s="1" t="s">
        <v>2154</v>
      </c>
      <c r="G787" s="1" t="s">
        <v>98</v>
      </c>
      <c r="H787" s="1" t="s">
        <v>2181</v>
      </c>
      <c r="I787" s="1" t="s">
        <v>2103</v>
      </c>
      <c r="J787" s="1"/>
      <c r="K787" s="1"/>
      <c r="L787" s="1" t="s">
        <v>15</v>
      </c>
      <c r="M787" s="1" t="s">
        <v>14</v>
      </c>
    </row>
    <row r="788" spans="1:13" x14ac:dyDescent="0.3">
      <c r="A788" s="1" t="s">
        <v>2182</v>
      </c>
      <c r="B788" s="1" t="s">
        <v>2183</v>
      </c>
      <c r="C788" s="1" t="s">
        <v>492</v>
      </c>
      <c r="D788" s="1" t="s">
        <v>2152</v>
      </c>
      <c r="E788" s="1" t="s">
        <v>19</v>
      </c>
      <c r="F788" s="1" t="s">
        <v>2154</v>
      </c>
      <c r="G788" s="1" t="s">
        <v>98</v>
      </c>
      <c r="H788" s="1" t="s">
        <v>2184</v>
      </c>
      <c r="I788" s="1" t="s">
        <v>2103</v>
      </c>
      <c r="J788" s="1"/>
      <c r="K788" s="1"/>
      <c r="L788" s="1" t="s">
        <v>15</v>
      </c>
      <c r="M788" s="1" t="s">
        <v>14</v>
      </c>
    </row>
    <row r="789" spans="1:13" x14ac:dyDescent="0.3">
      <c r="A789" s="1" t="s">
        <v>2185</v>
      </c>
      <c r="B789" s="1" t="s">
        <v>2186</v>
      </c>
      <c r="C789" s="1" t="s">
        <v>492</v>
      </c>
      <c r="D789" s="1" t="s">
        <v>2152</v>
      </c>
      <c r="E789" s="1" t="s">
        <v>19</v>
      </c>
      <c r="F789" s="1" t="s">
        <v>2154</v>
      </c>
      <c r="G789" s="1" t="s">
        <v>98</v>
      </c>
      <c r="H789" s="1" t="s">
        <v>2187</v>
      </c>
      <c r="I789" s="1" t="s">
        <v>2103</v>
      </c>
      <c r="J789" s="1"/>
      <c r="K789" s="1"/>
      <c r="L789" s="1" t="s">
        <v>15</v>
      </c>
      <c r="M789" s="1" t="s">
        <v>14</v>
      </c>
    </row>
    <row r="790" spans="1:13" x14ac:dyDescent="0.3">
      <c r="A790" s="1" t="s">
        <v>2188</v>
      </c>
      <c r="B790" s="1" t="s">
        <v>2189</v>
      </c>
      <c r="C790" s="1" t="s">
        <v>492</v>
      </c>
      <c r="D790" s="1" t="s">
        <v>2152</v>
      </c>
      <c r="E790" s="1" t="s">
        <v>19</v>
      </c>
      <c r="F790" s="1" t="s">
        <v>2154</v>
      </c>
      <c r="G790" s="1" t="s">
        <v>98</v>
      </c>
      <c r="H790" s="1" t="s">
        <v>2190</v>
      </c>
      <c r="I790" s="1" t="s">
        <v>2103</v>
      </c>
      <c r="J790" s="1"/>
      <c r="K790" s="1"/>
      <c r="L790" s="1" t="s">
        <v>15</v>
      </c>
      <c r="M790" s="1" t="s">
        <v>14</v>
      </c>
    </row>
    <row r="791" spans="1:13" x14ac:dyDescent="0.3">
      <c r="A791" s="1" t="s">
        <v>2191</v>
      </c>
      <c r="B791" s="1" t="s">
        <v>2192</v>
      </c>
      <c r="C791" s="1" t="s">
        <v>492</v>
      </c>
      <c r="D791" s="1" t="s">
        <v>2152</v>
      </c>
      <c r="E791" s="1" t="s">
        <v>19</v>
      </c>
      <c r="F791" s="1" t="s">
        <v>2154</v>
      </c>
      <c r="G791" s="1" t="s">
        <v>98</v>
      </c>
      <c r="H791" s="1" t="s">
        <v>2193</v>
      </c>
      <c r="I791" s="1" t="s">
        <v>2103</v>
      </c>
      <c r="J791" s="1"/>
      <c r="K791" s="1"/>
      <c r="L791" s="1" t="s">
        <v>15</v>
      </c>
      <c r="M791" s="1" t="s">
        <v>14</v>
      </c>
    </row>
    <row r="792" spans="1:13" x14ac:dyDescent="0.3">
      <c r="A792" s="1" t="s">
        <v>2194</v>
      </c>
      <c r="B792" s="1" t="s">
        <v>2195</v>
      </c>
      <c r="C792" s="1" t="s">
        <v>492</v>
      </c>
      <c r="D792" s="1" t="s">
        <v>2152</v>
      </c>
      <c r="E792" s="1" t="s">
        <v>19</v>
      </c>
      <c r="F792" s="1" t="s">
        <v>2154</v>
      </c>
      <c r="G792" s="1" t="s">
        <v>98</v>
      </c>
      <c r="H792" s="1" t="s">
        <v>2196</v>
      </c>
      <c r="I792" s="1" t="s">
        <v>2103</v>
      </c>
      <c r="J792" s="1"/>
      <c r="K792" s="1"/>
      <c r="L792" s="1" t="s">
        <v>15</v>
      </c>
      <c r="M792" s="1" t="s">
        <v>14</v>
      </c>
    </row>
    <row r="793" spans="1:13" x14ac:dyDescent="0.3">
      <c r="A793" s="1" t="s">
        <v>2197</v>
      </c>
      <c r="B793" s="1" t="s">
        <v>2198</v>
      </c>
      <c r="C793" s="1" t="s">
        <v>492</v>
      </c>
      <c r="D793" s="1" t="s">
        <v>2152</v>
      </c>
      <c r="E793" s="1" t="s">
        <v>19</v>
      </c>
      <c r="F793" s="1" t="s">
        <v>2154</v>
      </c>
      <c r="G793" s="1" t="s">
        <v>98</v>
      </c>
      <c r="H793" s="1" t="s">
        <v>2199</v>
      </c>
      <c r="I793" s="1" t="s">
        <v>2103</v>
      </c>
      <c r="J793" s="1"/>
      <c r="K793" s="1"/>
      <c r="L793" s="1" t="s">
        <v>15</v>
      </c>
      <c r="M793" s="1" t="s">
        <v>14</v>
      </c>
    </row>
    <row r="794" spans="1:13" x14ac:dyDescent="0.3">
      <c r="A794" s="1" t="s">
        <v>2200</v>
      </c>
      <c r="B794" s="1" t="s">
        <v>2201</v>
      </c>
      <c r="C794" s="1" t="s">
        <v>492</v>
      </c>
      <c r="D794" s="1" t="s">
        <v>2152</v>
      </c>
      <c r="E794" s="1" t="s">
        <v>19</v>
      </c>
      <c r="F794" s="1" t="s">
        <v>2154</v>
      </c>
      <c r="G794" s="1" t="s">
        <v>98</v>
      </c>
      <c r="H794" s="1" t="s">
        <v>2202</v>
      </c>
      <c r="I794" s="1" t="s">
        <v>2103</v>
      </c>
      <c r="J794" s="1"/>
      <c r="K794" s="1"/>
      <c r="L794" s="1" t="s">
        <v>15</v>
      </c>
      <c r="M794" s="1" t="s">
        <v>14</v>
      </c>
    </row>
    <row r="795" spans="1:13" x14ac:dyDescent="0.3">
      <c r="A795" s="1" t="s">
        <v>2203</v>
      </c>
      <c r="B795" s="1" t="s">
        <v>2204</v>
      </c>
      <c r="C795" s="1" t="s">
        <v>492</v>
      </c>
      <c r="D795" s="1" t="s">
        <v>2152</v>
      </c>
      <c r="E795" s="1" t="s">
        <v>19</v>
      </c>
      <c r="F795" s="1" t="s">
        <v>2154</v>
      </c>
      <c r="G795" s="1" t="s">
        <v>98</v>
      </c>
      <c r="H795" s="1" t="s">
        <v>2205</v>
      </c>
      <c r="I795" s="1" t="s">
        <v>2103</v>
      </c>
      <c r="J795" s="1"/>
      <c r="K795" s="1"/>
      <c r="L795" s="1" t="s">
        <v>15</v>
      </c>
      <c r="M795" s="1" t="s">
        <v>14</v>
      </c>
    </row>
    <row r="796" spans="1:13" x14ac:dyDescent="0.3">
      <c r="A796" s="1" t="s">
        <v>2206</v>
      </c>
      <c r="B796" s="1" t="s">
        <v>2207</v>
      </c>
      <c r="C796" s="1" t="s">
        <v>492</v>
      </c>
      <c r="D796" s="1" t="s">
        <v>2152</v>
      </c>
      <c r="E796" s="1" t="s">
        <v>19</v>
      </c>
      <c r="F796" s="1" t="s">
        <v>2154</v>
      </c>
      <c r="G796" s="1" t="s">
        <v>98</v>
      </c>
      <c r="H796" s="1" t="s">
        <v>2208</v>
      </c>
      <c r="I796" s="1" t="s">
        <v>2103</v>
      </c>
      <c r="J796" s="1"/>
      <c r="K796" s="1"/>
      <c r="L796" s="1" t="s">
        <v>15</v>
      </c>
      <c r="M796" s="1" t="s">
        <v>14</v>
      </c>
    </row>
    <row r="797" spans="1:13" x14ac:dyDescent="0.3">
      <c r="A797" s="1" t="s">
        <v>2209</v>
      </c>
      <c r="B797" s="1" t="s">
        <v>2210</v>
      </c>
      <c r="C797" s="1" t="s">
        <v>17</v>
      </c>
      <c r="D797" s="1" t="s">
        <v>30</v>
      </c>
      <c r="E797" s="1" t="s">
        <v>132</v>
      </c>
      <c r="F797" s="1" t="s">
        <v>133</v>
      </c>
      <c r="G797" s="1" t="s">
        <v>145</v>
      </c>
      <c r="H797" s="1" t="s">
        <v>2211</v>
      </c>
      <c r="I797" s="1" t="s">
        <v>21</v>
      </c>
      <c r="J797" s="1" t="s">
        <v>216</v>
      </c>
      <c r="K797" s="1"/>
      <c r="L797" s="1" t="s">
        <v>15</v>
      </c>
      <c r="M797" s="1" t="s">
        <v>14</v>
      </c>
    </row>
    <row r="798" spans="1:13" x14ac:dyDescent="0.3">
      <c r="A798" s="1" t="s">
        <v>2212</v>
      </c>
      <c r="B798" s="1" t="s">
        <v>2213</v>
      </c>
      <c r="C798" s="1" t="s">
        <v>2214</v>
      </c>
      <c r="D798" s="1"/>
      <c r="E798" s="1" t="s">
        <v>132</v>
      </c>
      <c r="F798" s="1"/>
      <c r="G798" s="1" t="s">
        <v>145</v>
      </c>
      <c r="H798" s="1" t="s">
        <v>2215</v>
      </c>
      <c r="I798" s="1"/>
      <c r="J798" s="1" t="s">
        <v>341</v>
      </c>
      <c r="K798" s="1"/>
      <c r="L798" s="1" t="s">
        <v>15</v>
      </c>
      <c r="M798" s="1" t="s">
        <v>14</v>
      </c>
    </row>
    <row r="799" spans="1:13" x14ac:dyDescent="0.3">
      <c r="A799" s="1" t="s">
        <v>2216</v>
      </c>
      <c r="B799" s="1" t="s">
        <v>2217</v>
      </c>
      <c r="C799" s="1" t="s">
        <v>17</v>
      </c>
      <c r="D799" s="1" t="s">
        <v>1944</v>
      </c>
      <c r="E799" s="1" t="s">
        <v>132</v>
      </c>
      <c r="F799" s="1" t="s">
        <v>1962</v>
      </c>
      <c r="G799" s="1" t="s">
        <v>145</v>
      </c>
      <c r="H799" s="1" t="s">
        <v>2215</v>
      </c>
      <c r="I799" s="1" t="s">
        <v>1902</v>
      </c>
      <c r="J799" s="1" t="s">
        <v>341</v>
      </c>
      <c r="K799" s="1"/>
      <c r="L799" s="1" t="s">
        <v>15</v>
      </c>
      <c r="M799" s="1" t="s">
        <v>14</v>
      </c>
    </row>
    <row r="800" spans="1:13" x14ac:dyDescent="0.3">
      <c r="A800" s="1" t="s">
        <v>2218</v>
      </c>
      <c r="B800" s="1" t="s">
        <v>2219</v>
      </c>
      <c r="C800" s="1" t="s">
        <v>2214</v>
      </c>
      <c r="D800" s="1"/>
      <c r="E800" s="1" t="s">
        <v>132</v>
      </c>
      <c r="F800" s="1"/>
      <c r="G800" s="1" t="s">
        <v>145</v>
      </c>
      <c r="H800" s="1" t="s">
        <v>2220</v>
      </c>
      <c r="I800" s="1"/>
      <c r="J800" s="1"/>
      <c r="K800" s="1"/>
      <c r="L800" s="1" t="s">
        <v>15</v>
      </c>
      <c r="M800" s="1" t="s">
        <v>14</v>
      </c>
    </row>
    <row r="801" spans="1:13" x14ac:dyDescent="0.3">
      <c r="A801" s="1" t="s">
        <v>2221</v>
      </c>
      <c r="B801" s="1" t="s">
        <v>2222</v>
      </c>
      <c r="C801" s="1" t="s">
        <v>17</v>
      </c>
      <c r="D801" s="1" t="s">
        <v>1944</v>
      </c>
      <c r="E801" s="1" t="s">
        <v>132</v>
      </c>
      <c r="F801" s="1" t="s">
        <v>1962</v>
      </c>
      <c r="G801" s="1" t="s">
        <v>98</v>
      </c>
      <c r="H801" s="1" t="s">
        <v>2223</v>
      </c>
      <c r="I801" s="1" t="s">
        <v>1902</v>
      </c>
      <c r="J801" s="1" t="s">
        <v>147</v>
      </c>
      <c r="K801" s="1"/>
      <c r="L801" s="1" t="s">
        <v>15</v>
      </c>
      <c r="M801" s="1" t="s">
        <v>14</v>
      </c>
    </row>
    <row r="802" spans="1:13" x14ac:dyDescent="0.3">
      <c r="A802" s="1" t="s">
        <v>2224</v>
      </c>
      <c r="B802" s="1" t="s">
        <v>2225</v>
      </c>
      <c r="C802" s="1" t="s">
        <v>17</v>
      </c>
      <c r="D802" s="1" t="s">
        <v>1656</v>
      </c>
      <c r="E802" s="1" t="s">
        <v>19</v>
      </c>
      <c r="F802" s="1" t="s">
        <v>1688</v>
      </c>
      <c r="G802" s="1" t="s">
        <v>19</v>
      </c>
      <c r="H802" s="1" t="s">
        <v>2226</v>
      </c>
      <c r="I802" s="1" t="s">
        <v>1540</v>
      </c>
      <c r="J802" s="1" t="s">
        <v>2226</v>
      </c>
      <c r="K802" s="1"/>
      <c r="L802" s="1" t="s">
        <v>15</v>
      </c>
      <c r="M802" s="1" t="s">
        <v>14</v>
      </c>
    </row>
    <row r="803" spans="1:13" x14ac:dyDescent="0.3">
      <c r="A803" s="1" t="s">
        <v>2227</v>
      </c>
      <c r="B803" s="1" t="s">
        <v>13</v>
      </c>
      <c r="C803" s="1" t="s">
        <v>2228</v>
      </c>
      <c r="D803" s="1" t="s">
        <v>2229</v>
      </c>
      <c r="E803" s="1" t="s">
        <v>132</v>
      </c>
      <c r="F803" s="1" t="s">
        <v>2231</v>
      </c>
      <c r="G803" s="1" t="s">
        <v>145</v>
      </c>
      <c r="H803" s="1" t="s">
        <v>2230</v>
      </c>
      <c r="I803" s="1"/>
      <c r="J803" s="1" t="s">
        <v>341</v>
      </c>
      <c r="K803" s="1"/>
      <c r="L803" s="1" t="s">
        <v>15</v>
      </c>
      <c r="M803" s="1" t="s">
        <v>14</v>
      </c>
    </row>
    <row r="804" spans="1:13" x14ac:dyDescent="0.3">
      <c r="A804" s="1" t="s">
        <v>2232</v>
      </c>
      <c r="B804" s="1" t="s">
        <v>2233</v>
      </c>
      <c r="C804" s="1" t="s">
        <v>2228</v>
      </c>
      <c r="D804" s="1" t="s">
        <v>2229</v>
      </c>
      <c r="E804" s="1"/>
      <c r="F804" s="1"/>
      <c r="G804" s="1" t="s">
        <v>2234</v>
      </c>
      <c r="H804" s="1" t="s">
        <v>2235</v>
      </c>
      <c r="I804" s="1"/>
      <c r="J804" s="1"/>
      <c r="K804" s="1"/>
      <c r="L804" s="1" t="s">
        <v>15</v>
      </c>
      <c r="M804" s="1" t="s">
        <v>14</v>
      </c>
    </row>
    <row r="805" spans="1:13" x14ac:dyDescent="0.3">
      <c r="A805" s="1" t="s">
        <v>2236</v>
      </c>
      <c r="B805" s="1" t="s">
        <v>2237</v>
      </c>
      <c r="C805" s="1" t="s">
        <v>492</v>
      </c>
      <c r="D805" s="1" t="s">
        <v>2238</v>
      </c>
      <c r="E805" s="1" t="s">
        <v>132</v>
      </c>
      <c r="F805" s="1" t="s">
        <v>2240</v>
      </c>
      <c r="G805" s="1" t="s">
        <v>98</v>
      </c>
      <c r="H805" s="1" t="s">
        <v>2239</v>
      </c>
      <c r="I805" s="1" t="s">
        <v>2103</v>
      </c>
      <c r="J805" s="1"/>
      <c r="K805" s="1"/>
      <c r="L805" s="1" t="s">
        <v>15</v>
      </c>
      <c r="M805" s="1" t="s">
        <v>14</v>
      </c>
    </row>
    <row r="806" spans="1:13" x14ac:dyDescent="0.3">
      <c r="A806" s="1" t="s">
        <v>2241</v>
      </c>
      <c r="B806" s="1" t="s">
        <v>2242</v>
      </c>
      <c r="C806" s="1" t="s">
        <v>492</v>
      </c>
      <c r="D806" s="1" t="s">
        <v>2238</v>
      </c>
      <c r="E806" s="1" t="s">
        <v>132</v>
      </c>
      <c r="F806" s="1" t="s">
        <v>2240</v>
      </c>
      <c r="G806" s="1" t="s">
        <v>145</v>
      </c>
      <c r="H806" s="1" t="s">
        <v>2243</v>
      </c>
      <c r="I806" s="1" t="s">
        <v>2103</v>
      </c>
      <c r="J806" s="1" t="s">
        <v>341</v>
      </c>
      <c r="K806" s="1"/>
      <c r="L806" s="1" t="s">
        <v>15</v>
      </c>
      <c r="M806" s="1" t="s">
        <v>14</v>
      </c>
    </row>
    <row r="807" spans="1:13" x14ac:dyDescent="0.3">
      <c r="A807" s="1" t="s">
        <v>2244</v>
      </c>
      <c r="B807" s="1" t="s">
        <v>2245</v>
      </c>
      <c r="C807" s="1" t="s">
        <v>492</v>
      </c>
      <c r="D807" s="1" t="s">
        <v>2238</v>
      </c>
      <c r="E807" s="1" t="s">
        <v>132</v>
      </c>
      <c r="F807" s="1" t="s">
        <v>2240</v>
      </c>
      <c r="G807" s="1" t="s">
        <v>145</v>
      </c>
      <c r="H807" s="1" t="s">
        <v>2246</v>
      </c>
      <c r="I807" s="1" t="s">
        <v>2103</v>
      </c>
      <c r="J807" s="1" t="s">
        <v>357</v>
      </c>
      <c r="K807" s="1"/>
      <c r="L807" s="1" t="s">
        <v>15</v>
      </c>
      <c r="M807" s="1" t="s">
        <v>14</v>
      </c>
    </row>
    <row r="808" spans="1:13" x14ac:dyDescent="0.3">
      <c r="A808" s="1" t="s">
        <v>2247</v>
      </c>
      <c r="B808" s="1" t="s">
        <v>2248</v>
      </c>
      <c r="C808" s="1" t="s">
        <v>492</v>
      </c>
      <c r="D808" s="1" t="s">
        <v>2238</v>
      </c>
      <c r="E808" s="1" t="s">
        <v>132</v>
      </c>
      <c r="F808" s="1" t="s">
        <v>2240</v>
      </c>
      <c r="G808" s="1" t="s">
        <v>2249</v>
      </c>
      <c r="H808" s="1" t="s">
        <v>2250</v>
      </c>
      <c r="I808" s="1" t="s">
        <v>2103</v>
      </c>
      <c r="J808" s="1"/>
      <c r="K808" s="1"/>
      <c r="L808" s="1" t="s">
        <v>15</v>
      </c>
      <c r="M808" s="1" t="s">
        <v>14</v>
      </c>
    </row>
    <row r="809" spans="1:13" x14ac:dyDescent="0.3">
      <c r="A809" s="1" t="s">
        <v>2251</v>
      </c>
      <c r="B809" s="1" t="s">
        <v>2252</v>
      </c>
      <c r="C809" s="1" t="s">
        <v>492</v>
      </c>
      <c r="D809" s="1" t="s">
        <v>2238</v>
      </c>
      <c r="E809" s="1" t="s">
        <v>132</v>
      </c>
      <c r="F809" s="1" t="s">
        <v>2240</v>
      </c>
      <c r="G809" s="1" t="s">
        <v>145</v>
      </c>
      <c r="H809" s="1" t="s">
        <v>2253</v>
      </c>
      <c r="I809" s="1" t="s">
        <v>2103</v>
      </c>
      <c r="J809" s="1" t="s">
        <v>200</v>
      </c>
      <c r="K809" s="1"/>
      <c r="L809" s="1" t="s">
        <v>15</v>
      </c>
      <c r="M809" s="1" t="s">
        <v>14</v>
      </c>
    </row>
    <row r="810" spans="1:13" x14ac:dyDescent="0.3">
      <c r="A810" s="1" t="s">
        <v>2254</v>
      </c>
      <c r="B810" s="1" t="s">
        <v>2255</v>
      </c>
      <c r="C810" s="1" t="s">
        <v>492</v>
      </c>
      <c r="D810" s="1" t="s">
        <v>2238</v>
      </c>
      <c r="E810" s="1" t="s">
        <v>132</v>
      </c>
      <c r="F810" s="1" t="s">
        <v>2240</v>
      </c>
      <c r="G810" s="1" t="s">
        <v>145</v>
      </c>
      <c r="H810" s="1" t="s">
        <v>2256</v>
      </c>
      <c r="I810" s="1" t="s">
        <v>2103</v>
      </c>
      <c r="J810" s="1"/>
      <c r="K810" s="1"/>
      <c r="L810" s="1" t="s">
        <v>15</v>
      </c>
      <c r="M810" s="1" t="s">
        <v>14</v>
      </c>
    </row>
    <row r="811" spans="1:13" x14ac:dyDescent="0.3">
      <c r="A811" s="1" t="s">
        <v>2257</v>
      </c>
      <c r="B811" s="1" t="s">
        <v>2258</v>
      </c>
      <c r="C811" s="1" t="s">
        <v>492</v>
      </c>
      <c r="D811" s="1" t="s">
        <v>2238</v>
      </c>
      <c r="E811" s="1" t="s">
        <v>132</v>
      </c>
      <c r="F811" s="1" t="s">
        <v>2240</v>
      </c>
      <c r="G811" s="1" t="s">
        <v>56</v>
      </c>
      <c r="H811" s="1" t="s">
        <v>2259</v>
      </c>
      <c r="I811" s="1" t="s">
        <v>2103</v>
      </c>
      <c r="J811" s="1"/>
      <c r="K811" s="1"/>
      <c r="L811" s="1" t="s">
        <v>15</v>
      </c>
      <c r="M811" s="1" t="s">
        <v>14</v>
      </c>
    </row>
    <row r="812" spans="1:13" x14ac:dyDescent="0.3">
      <c r="A812" s="1" t="s">
        <v>2260</v>
      </c>
      <c r="B812" s="1" t="s">
        <v>2261</v>
      </c>
      <c r="C812" s="1" t="s">
        <v>492</v>
      </c>
      <c r="D812" s="1" t="s">
        <v>2238</v>
      </c>
      <c r="E812" s="1" t="s">
        <v>132</v>
      </c>
      <c r="F812" s="1" t="s">
        <v>2240</v>
      </c>
      <c r="G812" s="1" t="s">
        <v>145</v>
      </c>
      <c r="H812" s="1" t="s">
        <v>2262</v>
      </c>
      <c r="I812" s="1" t="s">
        <v>2103</v>
      </c>
      <c r="J812" s="1"/>
      <c r="K812" s="1"/>
      <c r="L812" s="1" t="s">
        <v>15</v>
      </c>
      <c r="M812" s="1" t="s">
        <v>14</v>
      </c>
    </row>
    <row r="813" spans="1:13" x14ac:dyDescent="0.3">
      <c r="A813" s="1" t="s">
        <v>2263</v>
      </c>
      <c r="B813" s="1" t="s">
        <v>2264</v>
      </c>
      <c r="C813" s="1" t="s">
        <v>492</v>
      </c>
      <c r="D813" s="1" t="s">
        <v>2265</v>
      </c>
      <c r="E813" s="1" t="s">
        <v>132</v>
      </c>
      <c r="F813" s="1" t="s">
        <v>2267</v>
      </c>
      <c r="G813" s="1" t="s">
        <v>145</v>
      </c>
      <c r="H813" s="1" t="s">
        <v>340</v>
      </c>
      <c r="I813" s="1" t="s">
        <v>2266</v>
      </c>
      <c r="J813" s="1" t="s">
        <v>341</v>
      </c>
      <c r="K813" s="1"/>
      <c r="L813" s="1" t="s">
        <v>15</v>
      </c>
      <c r="M813" s="1" t="s">
        <v>14</v>
      </c>
    </row>
    <row r="814" spans="1:13" x14ac:dyDescent="0.3">
      <c r="A814" s="1" t="s">
        <v>2268</v>
      </c>
      <c r="B814" s="1" t="s">
        <v>2269</v>
      </c>
      <c r="C814" s="1" t="s">
        <v>492</v>
      </c>
      <c r="D814" s="1" t="s">
        <v>2265</v>
      </c>
      <c r="E814" s="1" t="s">
        <v>132</v>
      </c>
      <c r="F814" s="1" t="s">
        <v>2267</v>
      </c>
      <c r="G814" s="1" t="s">
        <v>165</v>
      </c>
      <c r="H814" s="1" t="s">
        <v>2270</v>
      </c>
      <c r="I814" s="1" t="s">
        <v>2266</v>
      </c>
      <c r="J814" s="1" t="s">
        <v>325</v>
      </c>
      <c r="K814" s="1"/>
      <c r="L814" s="1" t="s">
        <v>15</v>
      </c>
      <c r="M814" s="1" t="s">
        <v>14</v>
      </c>
    </row>
    <row r="815" spans="1:13" x14ac:dyDescent="0.3">
      <c r="A815" s="1" t="s">
        <v>2271</v>
      </c>
      <c r="B815" s="1" t="s">
        <v>2272</v>
      </c>
      <c r="C815" s="1" t="s">
        <v>492</v>
      </c>
      <c r="D815" s="1" t="s">
        <v>2265</v>
      </c>
      <c r="E815" s="1" t="s">
        <v>132</v>
      </c>
      <c r="F815" s="1" t="s">
        <v>2267</v>
      </c>
      <c r="G815" s="1" t="s">
        <v>145</v>
      </c>
      <c r="H815" s="1" t="s">
        <v>356</v>
      </c>
      <c r="I815" s="1" t="s">
        <v>2266</v>
      </c>
      <c r="J815" s="1" t="s">
        <v>357</v>
      </c>
      <c r="K815" s="1"/>
      <c r="L815" s="1" t="s">
        <v>15</v>
      </c>
      <c r="M815" s="1" t="s">
        <v>14</v>
      </c>
    </row>
    <row r="816" spans="1:13" x14ac:dyDescent="0.3">
      <c r="A816" s="1" t="s">
        <v>2273</v>
      </c>
      <c r="B816" s="1" t="s">
        <v>2274</v>
      </c>
      <c r="C816" s="1" t="s">
        <v>492</v>
      </c>
      <c r="D816" s="1" t="s">
        <v>2265</v>
      </c>
      <c r="E816" s="1" t="s">
        <v>132</v>
      </c>
      <c r="F816" s="1" t="s">
        <v>2267</v>
      </c>
      <c r="G816" s="1" t="s">
        <v>145</v>
      </c>
      <c r="H816" s="1" t="s">
        <v>199</v>
      </c>
      <c r="I816" s="1" t="s">
        <v>2266</v>
      </c>
      <c r="J816" s="1" t="s">
        <v>200</v>
      </c>
      <c r="K816" s="1"/>
      <c r="L816" s="1" t="s">
        <v>15</v>
      </c>
      <c r="M816" s="1" t="s">
        <v>14</v>
      </c>
    </row>
    <row r="817" spans="1:13" x14ac:dyDescent="0.3">
      <c r="A817" s="1" t="s">
        <v>2275</v>
      </c>
      <c r="B817" s="1" t="s">
        <v>2276</v>
      </c>
      <c r="C817" s="1" t="s">
        <v>492</v>
      </c>
      <c r="D817" s="1" t="s">
        <v>2265</v>
      </c>
      <c r="E817" s="1" t="s">
        <v>132</v>
      </c>
      <c r="F817" s="1" t="s">
        <v>2267</v>
      </c>
      <c r="G817" s="1" t="s">
        <v>165</v>
      </c>
      <c r="H817" s="1" t="s">
        <v>2277</v>
      </c>
      <c r="I817" s="1" t="s">
        <v>2266</v>
      </c>
      <c r="J817" s="1" t="s">
        <v>167</v>
      </c>
      <c r="K817" s="1"/>
      <c r="L817" s="1" t="s">
        <v>15</v>
      </c>
      <c r="M817" s="1" t="s">
        <v>14</v>
      </c>
    </row>
    <row r="818" spans="1:13" x14ac:dyDescent="0.3">
      <c r="A818" s="1" t="s">
        <v>2278</v>
      </c>
      <c r="B818" s="1" t="s">
        <v>2279</v>
      </c>
      <c r="C818" s="1" t="s">
        <v>492</v>
      </c>
      <c r="D818" s="1" t="s">
        <v>2265</v>
      </c>
      <c r="E818" s="1" t="s">
        <v>132</v>
      </c>
      <c r="F818" s="1" t="s">
        <v>2267</v>
      </c>
      <c r="G818" s="1" t="s">
        <v>145</v>
      </c>
      <c r="H818" s="1" t="s">
        <v>2280</v>
      </c>
      <c r="I818" s="1" t="s">
        <v>2266</v>
      </c>
      <c r="J818" s="1" t="s">
        <v>183</v>
      </c>
      <c r="K818" s="1"/>
      <c r="L818" s="1" t="s">
        <v>15</v>
      </c>
      <c r="M818" s="1" t="s">
        <v>14</v>
      </c>
    </row>
    <row r="819" spans="1:13" x14ac:dyDescent="0.3">
      <c r="A819" s="1" t="s">
        <v>2281</v>
      </c>
      <c r="B819" s="1" t="s">
        <v>2282</v>
      </c>
      <c r="C819" s="1" t="s">
        <v>492</v>
      </c>
      <c r="D819" s="1" t="s">
        <v>2265</v>
      </c>
      <c r="E819" s="1" t="s">
        <v>132</v>
      </c>
      <c r="F819" s="1" t="s">
        <v>2267</v>
      </c>
      <c r="G819" s="1" t="s">
        <v>2283</v>
      </c>
      <c r="H819" s="1" t="s">
        <v>2284</v>
      </c>
      <c r="I819" s="1" t="s">
        <v>2266</v>
      </c>
      <c r="J819" s="1" t="s">
        <v>299</v>
      </c>
      <c r="K819" s="1"/>
      <c r="L819" s="1" t="s">
        <v>15</v>
      </c>
      <c r="M819" s="1" t="s">
        <v>14</v>
      </c>
    </row>
    <row r="820" spans="1:13" x14ac:dyDescent="0.3">
      <c r="A820" s="1" t="s">
        <v>2285</v>
      </c>
      <c r="B820" s="1" t="s">
        <v>2286</v>
      </c>
      <c r="C820" s="1" t="s">
        <v>492</v>
      </c>
      <c r="D820" s="1" t="s">
        <v>2265</v>
      </c>
      <c r="E820" s="1" t="s">
        <v>132</v>
      </c>
      <c r="F820" s="1" t="s">
        <v>2267</v>
      </c>
      <c r="G820" s="1" t="s">
        <v>56</v>
      </c>
      <c r="H820" s="1" t="s">
        <v>2287</v>
      </c>
      <c r="I820" s="1" t="s">
        <v>2266</v>
      </c>
      <c r="J820" s="1" t="s">
        <v>282</v>
      </c>
      <c r="K820" s="1"/>
      <c r="L820" s="1" t="s">
        <v>15</v>
      </c>
      <c r="M820" s="1" t="s">
        <v>14</v>
      </c>
    </row>
    <row r="821" spans="1:13" x14ac:dyDescent="0.3">
      <c r="A821" s="1" t="s">
        <v>2288</v>
      </c>
      <c r="B821" s="1" t="s">
        <v>2289</v>
      </c>
      <c r="C821" s="1" t="s">
        <v>492</v>
      </c>
      <c r="D821" s="1" t="s">
        <v>2265</v>
      </c>
      <c r="E821" s="1" t="s">
        <v>19</v>
      </c>
      <c r="F821" s="1" t="s">
        <v>2290</v>
      </c>
      <c r="G821" s="1" t="s">
        <v>19</v>
      </c>
      <c r="H821" s="1" t="s">
        <v>752</v>
      </c>
      <c r="I821" s="1" t="s">
        <v>2266</v>
      </c>
      <c r="J821" s="1" t="s">
        <v>529</v>
      </c>
      <c r="K821" s="1"/>
      <c r="L821" s="1" t="s">
        <v>15</v>
      </c>
      <c r="M821" s="1" t="s">
        <v>14</v>
      </c>
    </row>
    <row r="822" spans="1:13" x14ac:dyDescent="0.3">
      <c r="A822" s="1" t="s">
        <v>2291</v>
      </c>
      <c r="B822" s="1" t="s">
        <v>2292</v>
      </c>
      <c r="C822" s="1" t="s">
        <v>492</v>
      </c>
      <c r="D822" s="1" t="s">
        <v>2265</v>
      </c>
      <c r="E822" s="1" t="s">
        <v>19</v>
      </c>
      <c r="F822" s="1" t="s">
        <v>2290</v>
      </c>
      <c r="G822" s="1" t="s">
        <v>19</v>
      </c>
      <c r="H822" s="1" t="s">
        <v>2293</v>
      </c>
      <c r="I822" s="1" t="s">
        <v>2266</v>
      </c>
      <c r="J822" s="1" t="s">
        <v>2294</v>
      </c>
      <c r="K822" s="1"/>
      <c r="L822" s="1" t="s">
        <v>15</v>
      </c>
      <c r="M822" s="1" t="s">
        <v>14</v>
      </c>
    </row>
    <row r="823" spans="1:13" x14ac:dyDescent="0.3">
      <c r="A823" s="1" t="s">
        <v>2295</v>
      </c>
      <c r="B823" s="1" t="s">
        <v>2296</v>
      </c>
      <c r="C823" s="1" t="s">
        <v>492</v>
      </c>
      <c r="D823" s="1" t="s">
        <v>2265</v>
      </c>
      <c r="E823" s="1" t="s">
        <v>19</v>
      </c>
      <c r="F823" s="1" t="s">
        <v>2290</v>
      </c>
      <c r="G823" s="1" t="s">
        <v>2283</v>
      </c>
      <c r="H823" s="1" t="s">
        <v>2297</v>
      </c>
      <c r="I823" s="1" t="s">
        <v>2266</v>
      </c>
      <c r="J823" s="1" t="s">
        <v>2297</v>
      </c>
      <c r="K823" s="1"/>
      <c r="L823" s="1" t="s">
        <v>15</v>
      </c>
      <c r="M823" s="1" t="s">
        <v>14</v>
      </c>
    </row>
    <row r="824" spans="1:13" x14ac:dyDescent="0.3">
      <c r="A824" s="1" t="s">
        <v>2298</v>
      </c>
      <c r="B824" s="1" t="s">
        <v>2299</v>
      </c>
      <c r="C824" s="1" t="s">
        <v>492</v>
      </c>
      <c r="D824" s="1" t="s">
        <v>2265</v>
      </c>
      <c r="E824" s="1" t="s">
        <v>19</v>
      </c>
      <c r="F824" s="1" t="s">
        <v>2290</v>
      </c>
      <c r="G824" s="1" t="s">
        <v>19</v>
      </c>
      <c r="H824" s="1" t="s">
        <v>2300</v>
      </c>
      <c r="I824" s="1" t="s">
        <v>2266</v>
      </c>
      <c r="J824" s="1" t="s">
        <v>2301</v>
      </c>
      <c r="K824" s="1"/>
      <c r="L824" s="1" t="s">
        <v>15</v>
      </c>
      <c r="M824" s="1" t="s">
        <v>14</v>
      </c>
    </row>
    <row r="825" spans="1:13" x14ac:dyDescent="0.3">
      <c r="A825" s="1" t="s">
        <v>2302</v>
      </c>
      <c r="B825" s="1" t="s">
        <v>2303</v>
      </c>
      <c r="C825" s="1" t="s">
        <v>492</v>
      </c>
      <c r="D825" s="1" t="s">
        <v>2265</v>
      </c>
      <c r="E825" s="1" t="s">
        <v>19</v>
      </c>
      <c r="F825" s="1" t="s">
        <v>2290</v>
      </c>
      <c r="G825" s="1" t="s">
        <v>19</v>
      </c>
      <c r="H825" s="1" t="s">
        <v>2304</v>
      </c>
      <c r="I825" s="1" t="s">
        <v>2266</v>
      </c>
      <c r="J825" s="1" t="s">
        <v>2304</v>
      </c>
      <c r="K825" s="1"/>
      <c r="L825" s="1" t="s">
        <v>15</v>
      </c>
      <c r="M825" s="1" t="s">
        <v>14</v>
      </c>
    </row>
    <row r="826" spans="1:13" x14ac:dyDescent="0.3">
      <c r="A826" s="1" t="s">
        <v>2305</v>
      </c>
      <c r="B826" s="1" t="s">
        <v>2306</v>
      </c>
      <c r="C826" s="1" t="s">
        <v>492</v>
      </c>
      <c r="D826" s="1" t="s">
        <v>2265</v>
      </c>
      <c r="E826" s="1" t="s">
        <v>19</v>
      </c>
      <c r="F826" s="1" t="s">
        <v>2290</v>
      </c>
      <c r="G826" s="1" t="s">
        <v>19</v>
      </c>
      <c r="H826" s="1" t="s">
        <v>2307</v>
      </c>
      <c r="I826" s="1" t="s">
        <v>2266</v>
      </c>
      <c r="J826" s="1" t="s">
        <v>115</v>
      </c>
      <c r="K826" s="1"/>
      <c r="L826" s="1" t="s">
        <v>15</v>
      </c>
      <c r="M826" s="1" t="s">
        <v>14</v>
      </c>
    </row>
    <row r="827" spans="1:13" x14ac:dyDescent="0.3">
      <c r="A827" s="1" t="s">
        <v>2308</v>
      </c>
      <c r="B827" s="1" t="s">
        <v>2309</v>
      </c>
      <c r="C827" s="1" t="s">
        <v>492</v>
      </c>
      <c r="D827" s="1" t="s">
        <v>2265</v>
      </c>
      <c r="E827" s="1" t="s">
        <v>19</v>
      </c>
      <c r="F827" s="1" t="s">
        <v>2290</v>
      </c>
      <c r="G827" s="1" t="s">
        <v>19</v>
      </c>
      <c r="H827" s="1" t="s">
        <v>2310</v>
      </c>
      <c r="I827" s="1" t="s">
        <v>2266</v>
      </c>
      <c r="J827" s="1" t="s">
        <v>2311</v>
      </c>
      <c r="K827" s="1"/>
      <c r="L827" s="1" t="s">
        <v>15</v>
      </c>
      <c r="M827" s="1" t="s">
        <v>14</v>
      </c>
    </row>
    <row r="828" spans="1:13" x14ac:dyDescent="0.3">
      <c r="A828" s="1" t="s">
        <v>2312</v>
      </c>
      <c r="B828" s="1" t="s">
        <v>2313</v>
      </c>
      <c r="C828" s="1" t="s">
        <v>492</v>
      </c>
      <c r="D828" s="1" t="s">
        <v>2265</v>
      </c>
      <c r="E828" s="1" t="s">
        <v>19</v>
      </c>
      <c r="F828" s="1" t="s">
        <v>2290</v>
      </c>
      <c r="G828" s="1" t="s">
        <v>56</v>
      </c>
      <c r="H828" s="1" t="s">
        <v>2314</v>
      </c>
      <c r="I828" s="1" t="s">
        <v>2266</v>
      </c>
      <c r="J828" s="1" t="s">
        <v>2315</v>
      </c>
      <c r="K828" s="1"/>
      <c r="L828" s="1" t="s">
        <v>15</v>
      </c>
      <c r="M828" s="1" t="s">
        <v>14</v>
      </c>
    </row>
    <row r="829" spans="1:13" x14ac:dyDescent="0.3">
      <c r="A829" s="1" t="s">
        <v>2316</v>
      </c>
      <c r="B829" s="1" t="s">
        <v>2317</v>
      </c>
      <c r="C829" s="1" t="s">
        <v>492</v>
      </c>
      <c r="D829" s="1" t="s">
        <v>2265</v>
      </c>
      <c r="E829" s="1" t="s">
        <v>19</v>
      </c>
      <c r="F829" s="1" t="s">
        <v>2290</v>
      </c>
      <c r="G829" s="1" t="s">
        <v>56</v>
      </c>
      <c r="H829" s="1" t="s">
        <v>773</v>
      </c>
      <c r="I829" s="1" t="s">
        <v>2266</v>
      </c>
      <c r="J829" s="1" t="s">
        <v>58</v>
      </c>
      <c r="K829" s="1"/>
      <c r="L829" s="1" t="s">
        <v>15</v>
      </c>
      <c r="M829" s="1" t="s">
        <v>14</v>
      </c>
    </row>
    <row r="830" spans="1:13" x14ac:dyDescent="0.3">
      <c r="A830" s="1" t="s">
        <v>2318</v>
      </c>
      <c r="B830" s="1" t="s">
        <v>2319</v>
      </c>
      <c r="C830" s="1" t="s">
        <v>492</v>
      </c>
      <c r="D830" s="1" t="s">
        <v>1314</v>
      </c>
      <c r="E830" s="1" t="s">
        <v>19</v>
      </c>
      <c r="F830" s="1" t="s">
        <v>1316</v>
      </c>
      <c r="G830" s="1" t="s">
        <v>56</v>
      </c>
      <c r="H830" s="1" t="s">
        <v>2320</v>
      </c>
      <c r="I830" s="1" t="s">
        <v>1288</v>
      </c>
      <c r="J830" s="1" t="s">
        <v>571</v>
      </c>
      <c r="K830" s="1"/>
      <c r="L830" s="1" t="s">
        <v>15</v>
      </c>
      <c r="M830" s="1" t="s">
        <v>14</v>
      </c>
    </row>
    <row r="831" spans="1:13" x14ac:dyDescent="0.3">
      <c r="A831" s="1" t="s">
        <v>2321</v>
      </c>
      <c r="B831" s="1" t="s">
        <v>2322</v>
      </c>
      <c r="C831" s="1" t="s">
        <v>492</v>
      </c>
      <c r="D831" s="1" t="s">
        <v>2265</v>
      </c>
      <c r="E831" s="1" t="s">
        <v>19</v>
      </c>
      <c r="F831" s="1" t="s">
        <v>2290</v>
      </c>
      <c r="G831" s="1" t="s">
        <v>56</v>
      </c>
      <c r="H831" s="1" t="s">
        <v>450</v>
      </c>
      <c r="I831" s="1" t="s">
        <v>2266</v>
      </c>
      <c r="J831" s="1" t="s">
        <v>450</v>
      </c>
      <c r="K831" s="1"/>
      <c r="L831" s="1" t="s">
        <v>15</v>
      </c>
      <c r="M831" s="1" t="s">
        <v>14</v>
      </c>
    </row>
    <row r="832" spans="1:13" x14ac:dyDescent="0.3">
      <c r="A832" s="1" t="s">
        <v>2323</v>
      </c>
      <c r="B832" s="1" t="s">
        <v>2324</v>
      </c>
      <c r="C832" s="1" t="s">
        <v>492</v>
      </c>
      <c r="D832" s="1" t="s">
        <v>2265</v>
      </c>
      <c r="E832" s="1" t="s">
        <v>19</v>
      </c>
      <c r="F832" s="1" t="s">
        <v>2290</v>
      </c>
      <c r="G832" s="1" t="s">
        <v>56</v>
      </c>
      <c r="H832" s="1" t="s">
        <v>2325</v>
      </c>
      <c r="I832" s="1" t="s">
        <v>2266</v>
      </c>
      <c r="J832" s="1" t="s">
        <v>2326</v>
      </c>
      <c r="K832" s="1"/>
      <c r="L832" s="1" t="s">
        <v>15</v>
      </c>
      <c r="M832" s="1" t="s">
        <v>14</v>
      </c>
    </row>
    <row r="833" spans="1:13" x14ac:dyDescent="0.3">
      <c r="A833" s="1" t="s">
        <v>2327</v>
      </c>
      <c r="B833" s="1" t="s">
        <v>2328</v>
      </c>
      <c r="C833" s="1" t="s">
        <v>492</v>
      </c>
      <c r="D833" s="1" t="s">
        <v>2265</v>
      </c>
      <c r="E833" s="1" t="s">
        <v>19</v>
      </c>
      <c r="F833" s="1" t="s">
        <v>2290</v>
      </c>
      <c r="G833" s="1" t="s">
        <v>56</v>
      </c>
      <c r="H833" s="1" t="s">
        <v>2329</v>
      </c>
      <c r="I833" s="1" t="s">
        <v>2266</v>
      </c>
      <c r="J833" s="1" t="s">
        <v>2330</v>
      </c>
      <c r="K833" s="1"/>
      <c r="L833" s="1" t="s">
        <v>15</v>
      </c>
      <c r="M833" s="1" t="s">
        <v>14</v>
      </c>
    </row>
    <row r="834" spans="1:13" x14ac:dyDescent="0.3">
      <c r="A834" s="1" t="s">
        <v>2331</v>
      </c>
      <c r="B834" s="1" t="s">
        <v>2332</v>
      </c>
      <c r="C834" s="1" t="s">
        <v>492</v>
      </c>
      <c r="D834" s="1" t="s">
        <v>2265</v>
      </c>
      <c r="E834" s="1" t="s">
        <v>19</v>
      </c>
      <c r="F834" s="1" t="s">
        <v>2290</v>
      </c>
      <c r="G834" s="1" t="s">
        <v>98</v>
      </c>
      <c r="H834" s="1" t="s">
        <v>232</v>
      </c>
      <c r="I834" s="1" t="s">
        <v>2266</v>
      </c>
      <c r="J834" s="1" t="s">
        <v>232</v>
      </c>
      <c r="K834" s="1"/>
      <c r="L834" s="1" t="s">
        <v>15</v>
      </c>
      <c r="M834" s="1" t="s">
        <v>14</v>
      </c>
    </row>
    <row r="835" spans="1:13" x14ac:dyDescent="0.3">
      <c r="A835" s="1" t="s">
        <v>2333</v>
      </c>
      <c r="B835" s="1" t="s">
        <v>2334</v>
      </c>
      <c r="C835" s="1" t="s">
        <v>492</v>
      </c>
      <c r="D835" s="1" t="s">
        <v>2265</v>
      </c>
      <c r="E835" s="1" t="s">
        <v>19</v>
      </c>
      <c r="F835" s="1" t="s">
        <v>2290</v>
      </c>
      <c r="G835" s="1" t="s">
        <v>19</v>
      </c>
      <c r="H835" s="1" t="s">
        <v>2335</v>
      </c>
      <c r="I835" s="1" t="s">
        <v>2266</v>
      </c>
      <c r="J835" s="1" t="s">
        <v>2336</v>
      </c>
      <c r="K835" s="1"/>
      <c r="L835" s="1" t="s">
        <v>15</v>
      </c>
      <c r="M835" s="1" t="s">
        <v>14</v>
      </c>
    </row>
    <row r="836" spans="1:13" x14ac:dyDescent="0.3">
      <c r="A836" s="1" t="s">
        <v>2337</v>
      </c>
      <c r="B836" s="1" t="s">
        <v>2338</v>
      </c>
      <c r="C836" s="1" t="s">
        <v>492</v>
      </c>
      <c r="D836" s="1" t="s">
        <v>2265</v>
      </c>
      <c r="E836" s="1" t="s">
        <v>19</v>
      </c>
      <c r="F836" s="1" t="s">
        <v>2290</v>
      </c>
      <c r="G836" s="1" t="s">
        <v>98</v>
      </c>
      <c r="H836" s="1" t="s">
        <v>2339</v>
      </c>
      <c r="I836" s="1" t="s">
        <v>2266</v>
      </c>
      <c r="J836" s="1" t="s">
        <v>2340</v>
      </c>
      <c r="K836" s="1"/>
      <c r="L836" s="1" t="s">
        <v>15</v>
      </c>
      <c r="M836" s="1" t="s">
        <v>14</v>
      </c>
    </row>
    <row r="837" spans="1:13" x14ac:dyDescent="0.3">
      <c r="A837" s="1" t="s">
        <v>2341</v>
      </c>
      <c r="B837" s="1" t="s">
        <v>2342</v>
      </c>
      <c r="C837" s="1" t="s">
        <v>2342</v>
      </c>
      <c r="D837" s="1" t="s">
        <v>2342</v>
      </c>
      <c r="E837" s="1"/>
      <c r="F837" s="1"/>
      <c r="G837" s="1" t="s">
        <v>2342</v>
      </c>
      <c r="H837" s="1" t="s">
        <v>2342</v>
      </c>
      <c r="I837" s="1"/>
      <c r="J837" s="1"/>
      <c r="K837" s="1"/>
      <c r="L837" s="1" t="s">
        <v>15</v>
      </c>
      <c r="M837" s="1" t="s">
        <v>14</v>
      </c>
    </row>
    <row r="838" spans="1:13" x14ac:dyDescent="0.3">
      <c r="A838" s="1" t="s">
        <v>2343</v>
      </c>
      <c r="B838" s="1" t="s">
        <v>2344</v>
      </c>
      <c r="C838" s="1" t="s">
        <v>492</v>
      </c>
      <c r="D838" s="1" t="s">
        <v>2345</v>
      </c>
      <c r="E838" s="1" t="s">
        <v>132</v>
      </c>
      <c r="F838" s="1" t="s">
        <v>2346</v>
      </c>
      <c r="G838" s="1" t="s">
        <v>145</v>
      </c>
      <c r="H838" s="1" t="s">
        <v>340</v>
      </c>
      <c r="I838" s="1" t="s">
        <v>2266</v>
      </c>
      <c r="J838" s="1" t="s">
        <v>341</v>
      </c>
      <c r="K838" s="1"/>
      <c r="L838" s="1" t="s">
        <v>15</v>
      </c>
      <c r="M838" s="1" t="s">
        <v>14</v>
      </c>
    </row>
    <row r="839" spans="1:13" x14ac:dyDescent="0.3">
      <c r="A839" s="1" t="s">
        <v>2347</v>
      </c>
      <c r="B839" s="1" t="s">
        <v>2348</v>
      </c>
      <c r="C839" s="1" t="s">
        <v>492</v>
      </c>
      <c r="D839" s="1" t="s">
        <v>2345</v>
      </c>
      <c r="E839" s="1" t="s">
        <v>132</v>
      </c>
      <c r="F839" s="1" t="s">
        <v>2346</v>
      </c>
      <c r="G839" s="1" t="s">
        <v>165</v>
      </c>
      <c r="H839" s="1" t="s">
        <v>2270</v>
      </c>
      <c r="I839" s="1" t="s">
        <v>2266</v>
      </c>
      <c r="J839" s="1" t="s">
        <v>325</v>
      </c>
      <c r="K839" s="1"/>
      <c r="L839" s="1" t="s">
        <v>15</v>
      </c>
      <c r="M839" s="1" t="s">
        <v>14</v>
      </c>
    </row>
    <row r="840" spans="1:13" x14ac:dyDescent="0.3">
      <c r="A840" s="1" t="s">
        <v>2349</v>
      </c>
      <c r="B840" s="1" t="s">
        <v>2350</v>
      </c>
      <c r="C840" s="1" t="s">
        <v>492</v>
      </c>
      <c r="D840" s="1" t="s">
        <v>2345</v>
      </c>
      <c r="E840" s="1" t="s">
        <v>132</v>
      </c>
      <c r="F840" s="1" t="s">
        <v>2346</v>
      </c>
      <c r="G840" s="1" t="s">
        <v>145</v>
      </c>
      <c r="H840" s="1" t="s">
        <v>356</v>
      </c>
      <c r="I840" s="1" t="s">
        <v>2266</v>
      </c>
      <c r="J840" s="1" t="s">
        <v>357</v>
      </c>
      <c r="K840" s="1"/>
      <c r="L840" s="1" t="s">
        <v>15</v>
      </c>
      <c r="M840" s="1" t="s">
        <v>14</v>
      </c>
    </row>
    <row r="841" spans="1:13" x14ac:dyDescent="0.3">
      <c r="A841" s="1" t="s">
        <v>2351</v>
      </c>
      <c r="B841" s="1" t="s">
        <v>2352</v>
      </c>
      <c r="C841" s="1" t="s">
        <v>492</v>
      </c>
      <c r="D841" s="1" t="s">
        <v>2345</v>
      </c>
      <c r="E841" s="1" t="s">
        <v>132</v>
      </c>
      <c r="F841" s="1" t="s">
        <v>2346</v>
      </c>
      <c r="G841" s="1" t="s">
        <v>145</v>
      </c>
      <c r="H841" s="1" t="s">
        <v>199</v>
      </c>
      <c r="I841" s="1" t="s">
        <v>2266</v>
      </c>
      <c r="J841" s="1" t="s">
        <v>200</v>
      </c>
      <c r="K841" s="1"/>
      <c r="L841" s="1" t="s">
        <v>15</v>
      </c>
      <c r="M841" s="1" t="s">
        <v>14</v>
      </c>
    </row>
    <row r="842" spans="1:13" x14ac:dyDescent="0.3">
      <c r="A842" s="1" t="s">
        <v>2353</v>
      </c>
      <c r="B842" s="1" t="s">
        <v>2354</v>
      </c>
      <c r="C842" s="1" t="s">
        <v>492</v>
      </c>
      <c r="D842" s="1" t="s">
        <v>2345</v>
      </c>
      <c r="E842" s="1" t="s">
        <v>132</v>
      </c>
      <c r="F842" s="1" t="s">
        <v>2346</v>
      </c>
      <c r="G842" s="1" t="s">
        <v>165</v>
      </c>
      <c r="H842" s="1" t="s">
        <v>2277</v>
      </c>
      <c r="I842" s="1" t="s">
        <v>2266</v>
      </c>
      <c r="J842" s="1" t="s">
        <v>167</v>
      </c>
      <c r="K842" s="1"/>
      <c r="L842" s="1" t="s">
        <v>15</v>
      </c>
      <c r="M842" s="1" t="s">
        <v>14</v>
      </c>
    </row>
    <row r="843" spans="1:13" x14ac:dyDescent="0.3">
      <c r="A843" s="1" t="s">
        <v>2355</v>
      </c>
      <c r="B843" s="1" t="s">
        <v>2356</v>
      </c>
      <c r="C843" s="1" t="s">
        <v>492</v>
      </c>
      <c r="D843" s="1" t="s">
        <v>2345</v>
      </c>
      <c r="E843" s="1" t="s">
        <v>132</v>
      </c>
      <c r="F843" s="1" t="s">
        <v>2346</v>
      </c>
      <c r="G843" s="1" t="s">
        <v>145</v>
      </c>
      <c r="H843" s="1" t="s">
        <v>2280</v>
      </c>
      <c r="I843" s="1" t="s">
        <v>2266</v>
      </c>
      <c r="J843" s="1" t="s">
        <v>183</v>
      </c>
      <c r="K843" s="1"/>
      <c r="L843" s="1" t="s">
        <v>15</v>
      </c>
      <c r="M843" s="1" t="s">
        <v>14</v>
      </c>
    </row>
    <row r="844" spans="1:13" x14ac:dyDescent="0.3">
      <c r="A844" s="1" t="s">
        <v>2357</v>
      </c>
      <c r="B844" s="1" t="s">
        <v>2358</v>
      </c>
      <c r="C844" s="1" t="s">
        <v>492</v>
      </c>
      <c r="D844" s="1" t="s">
        <v>2345</v>
      </c>
      <c r="E844" s="1" t="s">
        <v>132</v>
      </c>
      <c r="F844" s="1" t="s">
        <v>2346</v>
      </c>
      <c r="G844" s="1" t="s">
        <v>2283</v>
      </c>
      <c r="H844" s="1" t="s">
        <v>2359</v>
      </c>
      <c r="I844" s="1" t="s">
        <v>2266</v>
      </c>
      <c r="J844" s="1" t="s">
        <v>299</v>
      </c>
      <c r="K844" s="1"/>
      <c r="L844" s="1" t="s">
        <v>15</v>
      </c>
      <c r="M844" s="1" t="s">
        <v>14</v>
      </c>
    </row>
    <row r="845" spans="1:13" x14ac:dyDescent="0.3">
      <c r="A845" s="1" t="s">
        <v>2360</v>
      </c>
      <c r="B845" s="1" t="s">
        <v>2361</v>
      </c>
      <c r="C845" s="1" t="s">
        <v>492</v>
      </c>
      <c r="D845" s="1" t="s">
        <v>2345</v>
      </c>
      <c r="E845" s="1" t="s">
        <v>132</v>
      </c>
      <c r="F845" s="1" t="s">
        <v>2346</v>
      </c>
      <c r="G845" s="1" t="s">
        <v>56</v>
      </c>
      <c r="H845" s="1" t="s">
        <v>2362</v>
      </c>
      <c r="I845" s="1" t="s">
        <v>2266</v>
      </c>
      <c r="J845" s="1" t="s">
        <v>282</v>
      </c>
      <c r="K845" s="1"/>
      <c r="L845" s="1" t="s">
        <v>15</v>
      </c>
      <c r="M845" s="1" t="s">
        <v>14</v>
      </c>
    </row>
    <row r="846" spans="1:13" x14ac:dyDescent="0.3">
      <c r="A846" s="1" t="s">
        <v>2363</v>
      </c>
      <c r="B846" s="1" t="s">
        <v>2364</v>
      </c>
      <c r="C846" s="1" t="s">
        <v>492</v>
      </c>
      <c r="D846" s="1" t="s">
        <v>2345</v>
      </c>
      <c r="E846" s="1" t="s">
        <v>19</v>
      </c>
      <c r="F846" s="1" t="s">
        <v>2365</v>
      </c>
      <c r="G846" s="1" t="s">
        <v>19</v>
      </c>
      <c r="H846" s="1" t="s">
        <v>752</v>
      </c>
      <c r="I846" s="1" t="s">
        <v>2266</v>
      </c>
      <c r="J846" s="1" t="s">
        <v>529</v>
      </c>
      <c r="K846" s="1"/>
      <c r="L846" s="1" t="s">
        <v>15</v>
      </c>
      <c r="M846" s="1" t="s">
        <v>14</v>
      </c>
    </row>
    <row r="847" spans="1:13" x14ac:dyDescent="0.3">
      <c r="A847" s="1" t="s">
        <v>2366</v>
      </c>
      <c r="B847" s="1" t="s">
        <v>2367</v>
      </c>
      <c r="C847" s="1" t="s">
        <v>492</v>
      </c>
      <c r="D847" s="1" t="s">
        <v>2345</v>
      </c>
      <c r="E847" s="1" t="s">
        <v>19</v>
      </c>
      <c r="F847" s="1" t="s">
        <v>2365</v>
      </c>
      <c r="G847" s="1" t="s">
        <v>19</v>
      </c>
      <c r="H847" s="1" t="s">
        <v>2293</v>
      </c>
      <c r="I847" s="1" t="s">
        <v>2266</v>
      </c>
      <c r="J847" s="1" t="s">
        <v>2294</v>
      </c>
      <c r="K847" s="1"/>
      <c r="L847" s="1" t="s">
        <v>15</v>
      </c>
      <c r="M847" s="1" t="s">
        <v>14</v>
      </c>
    </row>
    <row r="848" spans="1:13" x14ac:dyDescent="0.3">
      <c r="A848" s="1" t="s">
        <v>2368</v>
      </c>
      <c r="B848" s="1" t="s">
        <v>2369</v>
      </c>
      <c r="C848" s="1" t="s">
        <v>492</v>
      </c>
      <c r="D848" s="1" t="s">
        <v>2345</v>
      </c>
      <c r="E848" s="1" t="s">
        <v>19</v>
      </c>
      <c r="F848" s="1" t="s">
        <v>2365</v>
      </c>
      <c r="G848" s="1" t="s">
        <v>19</v>
      </c>
      <c r="H848" s="1" t="s">
        <v>2297</v>
      </c>
      <c r="I848" s="1" t="s">
        <v>2266</v>
      </c>
      <c r="J848" s="1" t="s">
        <v>2297</v>
      </c>
      <c r="K848" s="1"/>
      <c r="L848" s="1" t="s">
        <v>15</v>
      </c>
      <c r="M848" s="1" t="s">
        <v>14</v>
      </c>
    </row>
    <row r="849" spans="1:13" x14ac:dyDescent="0.3">
      <c r="A849" s="1" t="s">
        <v>2370</v>
      </c>
      <c r="B849" s="1" t="s">
        <v>2371</v>
      </c>
      <c r="C849" s="1" t="s">
        <v>492</v>
      </c>
      <c r="D849" s="1" t="s">
        <v>2345</v>
      </c>
      <c r="E849" s="1" t="s">
        <v>19</v>
      </c>
      <c r="F849" s="1" t="s">
        <v>2365</v>
      </c>
      <c r="G849" s="1" t="s">
        <v>56</v>
      </c>
      <c r="H849" s="1" t="s">
        <v>2372</v>
      </c>
      <c r="I849" s="1" t="s">
        <v>2266</v>
      </c>
      <c r="J849" s="1" t="s">
        <v>2373</v>
      </c>
      <c r="K849" s="1"/>
      <c r="L849" s="1" t="s">
        <v>15</v>
      </c>
      <c r="M849" s="1" t="s">
        <v>14</v>
      </c>
    </row>
    <row r="850" spans="1:13" x14ac:dyDescent="0.3">
      <c r="A850" s="1" t="s">
        <v>2374</v>
      </c>
      <c r="B850" s="1" t="s">
        <v>2375</v>
      </c>
      <c r="C850" s="1" t="s">
        <v>492</v>
      </c>
      <c r="D850" s="1" t="s">
        <v>2345</v>
      </c>
      <c r="E850" s="1" t="s">
        <v>19</v>
      </c>
      <c r="F850" s="1" t="s">
        <v>2365</v>
      </c>
      <c r="G850" s="1" t="s">
        <v>19</v>
      </c>
      <c r="H850" s="1" t="s">
        <v>2304</v>
      </c>
      <c r="I850" s="1" t="s">
        <v>2266</v>
      </c>
      <c r="J850" s="1" t="s">
        <v>2304</v>
      </c>
      <c r="K850" s="1"/>
      <c r="L850" s="1" t="s">
        <v>15</v>
      </c>
      <c r="M850" s="1" t="s">
        <v>14</v>
      </c>
    </row>
    <row r="851" spans="1:13" x14ac:dyDescent="0.3">
      <c r="A851" s="1" t="s">
        <v>2376</v>
      </c>
      <c r="B851" s="1" t="s">
        <v>2377</v>
      </c>
      <c r="C851" s="1" t="s">
        <v>492</v>
      </c>
      <c r="D851" s="1" t="s">
        <v>2345</v>
      </c>
      <c r="E851" s="1" t="s">
        <v>19</v>
      </c>
      <c r="F851" s="1" t="s">
        <v>2365</v>
      </c>
      <c r="G851" s="1" t="s">
        <v>56</v>
      </c>
      <c r="H851" s="1" t="s">
        <v>2307</v>
      </c>
      <c r="I851" s="1" t="s">
        <v>2266</v>
      </c>
      <c r="J851" s="1" t="s">
        <v>115</v>
      </c>
      <c r="K851" s="1"/>
      <c r="L851" s="1" t="s">
        <v>15</v>
      </c>
      <c r="M851" s="1" t="s">
        <v>14</v>
      </c>
    </row>
    <row r="852" spans="1:13" x14ac:dyDescent="0.3">
      <c r="A852" s="1" t="s">
        <v>2378</v>
      </c>
      <c r="B852" s="1" t="s">
        <v>2379</v>
      </c>
      <c r="C852" s="1" t="s">
        <v>492</v>
      </c>
      <c r="D852" s="1" t="s">
        <v>2345</v>
      </c>
      <c r="E852" s="1" t="s">
        <v>19</v>
      </c>
      <c r="F852" s="1" t="s">
        <v>2365</v>
      </c>
      <c r="G852" s="1" t="s">
        <v>19</v>
      </c>
      <c r="H852" s="1" t="s">
        <v>2310</v>
      </c>
      <c r="I852" s="1" t="s">
        <v>2266</v>
      </c>
      <c r="J852" s="1" t="s">
        <v>2311</v>
      </c>
      <c r="K852" s="1"/>
      <c r="L852" s="1" t="s">
        <v>15</v>
      </c>
      <c r="M852" s="1" t="s">
        <v>14</v>
      </c>
    </row>
    <row r="853" spans="1:13" x14ac:dyDescent="0.3">
      <c r="A853" s="1" t="s">
        <v>2380</v>
      </c>
      <c r="B853" s="1" t="s">
        <v>2381</v>
      </c>
      <c r="C853" s="1" t="s">
        <v>492</v>
      </c>
      <c r="D853" s="1" t="s">
        <v>2345</v>
      </c>
      <c r="E853" s="1" t="s">
        <v>19</v>
      </c>
      <c r="F853" s="1" t="s">
        <v>2365</v>
      </c>
      <c r="G853" s="1" t="s">
        <v>56</v>
      </c>
      <c r="H853" s="1" t="s">
        <v>2382</v>
      </c>
      <c r="I853" s="1" t="s">
        <v>2266</v>
      </c>
      <c r="J853" s="1" t="s">
        <v>2315</v>
      </c>
      <c r="K853" s="1"/>
      <c r="L853" s="1" t="s">
        <v>15</v>
      </c>
      <c r="M853" s="1" t="s">
        <v>14</v>
      </c>
    </row>
    <row r="854" spans="1:13" x14ac:dyDescent="0.3">
      <c r="A854" s="1" t="s">
        <v>2383</v>
      </c>
      <c r="B854" s="1" t="s">
        <v>2384</v>
      </c>
      <c r="C854" s="1" t="s">
        <v>492</v>
      </c>
      <c r="D854" s="1" t="s">
        <v>2345</v>
      </c>
      <c r="E854" s="1" t="s">
        <v>19</v>
      </c>
      <c r="F854" s="1" t="s">
        <v>2365</v>
      </c>
      <c r="G854" s="1" t="s">
        <v>56</v>
      </c>
      <c r="H854" s="1" t="s">
        <v>450</v>
      </c>
      <c r="I854" s="1" t="s">
        <v>2266</v>
      </c>
      <c r="J854" s="1" t="s">
        <v>450</v>
      </c>
      <c r="K854" s="1"/>
      <c r="L854" s="1" t="s">
        <v>15</v>
      </c>
      <c r="M854" s="1" t="s">
        <v>14</v>
      </c>
    </row>
    <row r="855" spans="1:13" x14ac:dyDescent="0.3">
      <c r="A855" s="1" t="s">
        <v>2385</v>
      </c>
      <c r="B855" s="1" t="s">
        <v>2386</v>
      </c>
      <c r="C855" s="1" t="s">
        <v>492</v>
      </c>
      <c r="D855" s="1" t="s">
        <v>2345</v>
      </c>
      <c r="E855" s="1" t="s">
        <v>19</v>
      </c>
      <c r="F855" s="1" t="s">
        <v>2365</v>
      </c>
      <c r="G855" s="1" t="s">
        <v>19</v>
      </c>
      <c r="H855" s="1" t="s">
        <v>2387</v>
      </c>
      <c r="I855" s="1" t="s">
        <v>2266</v>
      </c>
      <c r="J855" s="1" t="s">
        <v>2326</v>
      </c>
      <c r="K855" s="1"/>
      <c r="L855" s="1" t="s">
        <v>15</v>
      </c>
      <c r="M855" s="1" t="s">
        <v>14</v>
      </c>
    </row>
    <row r="856" spans="1:13" x14ac:dyDescent="0.3">
      <c r="A856" s="1" t="s">
        <v>2388</v>
      </c>
      <c r="B856" s="1" t="s">
        <v>2389</v>
      </c>
      <c r="C856" s="1" t="s">
        <v>492</v>
      </c>
      <c r="D856" s="1" t="s">
        <v>2345</v>
      </c>
      <c r="E856" s="1" t="s">
        <v>19</v>
      </c>
      <c r="F856" s="1" t="s">
        <v>2365</v>
      </c>
      <c r="G856" s="1" t="s">
        <v>56</v>
      </c>
      <c r="H856" s="1" t="s">
        <v>2329</v>
      </c>
      <c r="I856" s="1" t="s">
        <v>2266</v>
      </c>
      <c r="J856" s="1" t="s">
        <v>2330</v>
      </c>
      <c r="K856" s="1"/>
      <c r="L856" s="1" t="s">
        <v>15</v>
      </c>
      <c r="M856" s="1" t="s">
        <v>14</v>
      </c>
    </row>
    <row r="857" spans="1:13" x14ac:dyDescent="0.3">
      <c r="A857" s="1" t="s">
        <v>2390</v>
      </c>
      <c r="B857" s="1" t="s">
        <v>2391</v>
      </c>
      <c r="C857" s="1" t="s">
        <v>492</v>
      </c>
      <c r="D857" s="1" t="s">
        <v>2345</v>
      </c>
      <c r="E857" s="1" t="s">
        <v>19</v>
      </c>
      <c r="F857" s="1" t="s">
        <v>2365</v>
      </c>
      <c r="G857" s="1" t="s">
        <v>98</v>
      </c>
      <c r="H857" s="1" t="s">
        <v>232</v>
      </c>
      <c r="I857" s="1" t="s">
        <v>2266</v>
      </c>
      <c r="J857" s="1" t="s">
        <v>232</v>
      </c>
      <c r="K857" s="1"/>
      <c r="L857" s="1" t="s">
        <v>15</v>
      </c>
      <c r="M857" s="1" t="s">
        <v>14</v>
      </c>
    </row>
    <row r="858" spans="1:13" x14ac:dyDescent="0.3">
      <c r="A858" s="1" t="s">
        <v>2392</v>
      </c>
      <c r="B858" s="1" t="s">
        <v>2393</v>
      </c>
      <c r="C858" s="1" t="s">
        <v>492</v>
      </c>
      <c r="D858" s="1" t="s">
        <v>2345</v>
      </c>
      <c r="E858" s="1" t="s">
        <v>19</v>
      </c>
      <c r="F858" s="1" t="s">
        <v>2365</v>
      </c>
      <c r="G858" s="1" t="s">
        <v>19</v>
      </c>
      <c r="H858" s="1" t="s">
        <v>2335</v>
      </c>
      <c r="I858" s="1" t="s">
        <v>2266</v>
      </c>
      <c r="J858" s="1" t="s">
        <v>2336</v>
      </c>
      <c r="K858" s="1"/>
      <c r="L858" s="1" t="s">
        <v>15</v>
      </c>
      <c r="M858" s="1" t="s">
        <v>14</v>
      </c>
    </row>
    <row r="859" spans="1:13" x14ac:dyDescent="0.3">
      <c r="A859" s="1" t="s">
        <v>2394</v>
      </c>
      <c r="B859" s="1" t="s">
        <v>2395</v>
      </c>
      <c r="C859" s="1" t="s">
        <v>492</v>
      </c>
      <c r="D859" s="1" t="s">
        <v>2345</v>
      </c>
      <c r="E859" s="1" t="s">
        <v>19</v>
      </c>
      <c r="F859" s="1" t="s">
        <v>2365</v>
      </c>
      <c r="G859" s="1" t="s">
        <v>98</v>
      </c>
      <c r="H859" s="1" t="s">
        <v>2339</v>
      </c>
      <c r="I859" s="1" t="s">
        <v>2266</v>
      </c>
      <c r="J859" s="1" t="s">
        <v>2340</v>
      </c>
      <c r="K859" s="1"/>
      <c r="L859" s="1" t="s">
        <v>15</v>
      </c>
      <c r="M859" s="1" t="s">
        <v>14</v>
      </c>
    </row>
    <row r="860" spans="1:13" x14ac:dyDescent="0.3">
      <c r="A860" s="1" t="s">
        <v>2396</v>
      </c>
      <c r="B860" s="1" t="s">
        <v>2397</v>
      </c>
      <c r="C860" s="1" t="s">
        <v>492</v>
      </c>
      <c r="D860" s="1" t="s">
        <v>2398</v>
      </c>
      <c r="E860" s="1" t="s">
        <v>19</v>
      </c>
      <c r="F860" s="1" t="s">
        <v>2154</v>
      </c>
      <c r="G860" s="1" t="s">
        <v>98</v>
      </c>
      <c r="H860" s="1" t="s">
        <v>2399</v>
      </c>
      <c r="I860" s="1" t="s">
        <v>2103</v>
      </c>
      <c r="J860" s="1"/>
      <c r="K860" s="1"/>
      <c r="L860" s="1" t="s">
        <v>15</v>
      </c>
      <c r="M860" s="1" t="s">
        <v>14</v>
      </c>
    </row>
    <row r="861" spans="1:13" x14ac:dyDescent="0.3">
      <c r="A861" s="1" t="s">
        <v>2400</v>
      </c>
      <c r="B861" s="1" t="s">
        <v>2401</v>
      </c>
      <c r="C861" s="1" t="s">
        <v>492</v>
      </c>
      <c r="D861" s="1" t="s">
        <v>2398</v>
      </c>
      <c r="E861" s="1" t="s">
        <v>19</v>
      </c>
      <c r="F861" s="1" t="s">
        <v>2154</v>
      </c>
      <c r="G861" s="1" t="s">
        <v>98</v>
      </c>
      <c r="H861" s="1" t="s">
        <v>2402</v>
      </c>
      <c r="I861" s="1" t="s">
        <v>2103</v>
      </c>
      <c r="J861" s="1"/>
      <c r="K861" s="1"/>
      <c r="L861" s="1" t="s">
        <v>15</v>
      </c>
      <c r="M861" s="1" t="s">
        <v>14</v>
      </c>
    </row>
    <row r="862" spans="1:13" x14ac:dyDescent="0.3">
      <c r="A862" s="1" t="s">
        <v>2403</v>
      </c>
      <c r="B862" s="1" t="s">
        <v>2404</v>
      </c>
      <c r="C862" s="1" t="s">
        <v>465</v>
      </c>
      <c r="D862" s="1" t="s">
        <v>469</v>
      </c>
      <c r="E862" s="1" t="s">
        <v>471</v>
      </c>
      <c r="F862" s="1"/>
      <c r="G862" s="1" t="s">
        <v>56</v>
      </c>
      <c r="H862" s="1" t="s">
        <v>2405</v>
      </c>
      <c r="I862" s="1" t="s">
        <v>2406</v>
      </c>
      <c r="J862" s="1" t="s">
        <v>2407</v>
      </c>
      <c r="K862" s="1" t="s">
        <v>472</v>
      </c>
      <c r="L862" s="1" t="s">
        <v>15</v>
      </c>
      <c r="M862" s="1" t="s">
        <v>14</v>
      </c>
    </row>
    <row r="863" spans="1:13" x14ac:dyDescent="0.3">
      <c r="A863" s="1" t="s">
        <v>2408</v>
      </c>
      <c r="B863" s="1" t="s">
        <v>2409</v>
      </c>
      <c r="C863" s="1" t="s">
        <v>465</v>
      </c>
      <c r="D863" s="1" t="s">
        <v>2410</v>
      </c>
      <c r="E863" s="1" t="s">
        <v>471</v>
      </c>
      <c r="F863" s="1" t="s">
        <v>2412</v>
      </c>
      <c r="G863" s="1" t="s">
        <v>98</v>
      </c>
      <c r="H863" s="1" t="s">
        <v>2411</v>
      </c>
      <c r="I863" s="1" t="s">
        <v>2410</v>
      </c>
      <c r="J863" s="1"/>
      <c r="K863" s="1" t="s">
        <v>472</v>
      </c>
      <c r="L863" s="1" t="s">
        <v>15</v>
      </c>
      <c r="M863" s="1" t="s">
        <v>14</v>
      </c>
    </row>
    <row r="864" spans="1:13" x14ac:dyDescent="0.3">
      <c r="A864" s="1" t="s">
        <v>2413</v>
      </c>
      <c r="B864" s="1" t="s">
        <v>2414</v>
      </c>
      <c r="C864" s="1" t="s">
        <v>465</v>
      </c>
      <c r="D864" s="1" t="s">
        <v>2410</v>
      </c>
      <c r="E864" s="1" t="s">
        <v>471</v>
      </c>
      <c r="F864" s="1" t="s">
        <v>2416</v>
      </c>
      <c r="G864" s="1" t="s">
        <v>98</v>
      </c>
      <c r="H864" s="1" t="s">
        <v>2415</v>
      </c>
      <c r="I864" s="1" t="s">
        <v>2410</v>
      </c>
      <c r="J864" s="1"/>
      <c r="K864" s="1" t="s">
        <v>472</v>
      </c>
      <c r="L864" s="1" t="s">
        <v>15</v>
      </c>
      <c r="M864" s="1" t="s">
        <v>14</v>
      </c>
    </row>
    <row r="865" spans="1:13" x14ac:dyDescent="0.3">
      <c r="A865" s="1" t="s">
        <v>2417</v>
      </c>
      <c r="B865" s="1" t="s">
        <v>2418</v>
      </c>
      <c r="C865" s="1" t="s">
        <v>465</v>
      </c>
      <c r="D865" s="1" t="s">
        <v>2410</v>
      </c>
      <c r="E865" s="1" t="s">
        <v>471</v>
      </c>
      <c r="F865" s="1" t="s">
        <v>2420</v>
      </c>
      <c r="G865" s="1" t="s">
        <v>98</v>
      </c>
      <c r="H865" s="1" t="s">
        <v>2419</v>
      </c>
      <c r="I865" s="1" t="s">
        <v>2410</v>
      </c>
      <c r="J865" s="1"/>
      <c r="K865" s="1" t="s">
        <v>472</v>
      </c>
      <c r="L865" s="1" t="s">
        <v>15</v>
      </c>
      <c r="M865" s="1" t="s">
        <v>14</v>
      </c>
    </row>
    <row r="866" spans="1:13" x14ac:dyDescent="0.3">
      <c r="A866" s="1" t="s">
        <v>2421</v>
      </c>
      <c r="B866" s="1" t="s">
        <v>2422</v>
      </c>
      <c r="C866" s="1" t="s">
        <v>465</v>
      </c>
      <c r="D866" s="1" t="s">
        <v>2410</v>
      </c>
      <c r="E866" s="1" t="s">
        <v>471</v>
      </c>
      <c r="F866" s="1" t="s">
        <v>2420</v>
      </c>
      <c r="G866" s="1" t="s">
        <v>98</v>
      </c>
      <c r="H866" s="1" t="s">
        <v>2423</v>
      </c>
      <c r="I866" s="1" t="s">
        <v>2410</v>
      </c>
      <c r="J866" s="1"/>
      <c r="K866" s="1" t="s">
        <v>472</v>
      </c>
      <c r="L866" s="1" t="s">
        <v>15</v>
      </c>
      <c r="M866" s="1" t="s">
        <v>14</v>
      </c>
    </row>
    <row r="867" spans="1:13" x14ac:dyDescent="0.3">
      <c r="A867" s="1" t="s">
        <v>2424</v>
      </c>
      <c r="B867" s="1" t="s">
        <v>2425</v>
      </c>
      <c r="C867" s="1" t="s">
        <v>465</v>
      </c>
      <c r="D867" s="1" t="s">
        <v>2410</v>
      </c>
      <c r="E867" s="1" t="s">
        <v>471</v>
      </c>
      <c r="F867" s="1"/>
      <c r="G867" s="1" t="s">
        <v>98</v>
      </c>
      <c r="H867" s="1" t="s">
        <v>2426</v>
      </c>
      <c r="I867" s="1" t="s">
        <v>2410</v>
      </c>
      <c r="J867" s="1"/>
      <c r="K867" s="1" t="s">
        <v>472</v>
      </c>
      <c r="L867" s="1" t="s">
        <v>15</v>
      </c>
      <c r="M867" s="1" t="s">
        <v>14</v>
      </c>
    </row>
    <row r="868" spans="1:13" x14ac:dyDescent="0.3">
      <c r="A868" s="1" t="s">
        <v>2427</v>
      </c>
      <c r="B868" s="1" t="s">
        <v>2428</v>
      </c>
      <c r="C868" s="1" t="s">
        <v>465</v>
      </c>
      <c r="D868" s="1" t="s">
        <v>2410</v>
      </c>
      <c r="E868" s="1" t="s">
        <v>471</v>
      </c>
      <c r="F868" s="1"/>
      <c r="G868" s="1" t="s">
        <v>98</v>
      </c>
      <c r="H868" s="1" t="s">
        <v>2429</v>
      </c>
      <c r="I868" s="1" t="s">
        <v>2410</v>
      </c>
      <c r="J868" s="1"/>
      <c r="K868" s="1" t="s">
        <v>472</v>
      </c>
      <c r="L868" s="1" t="s">
        <v>15</v>
      </c>
      <c r="M868" s="1" t="s">
        <v>14</v>
      </c>
    </row>
    <row r="869" spans="1:13" x14ac:dyDescent="0.3">
      <c r="A869" s="1" t="s">
        <v>2430</v>
      </c>
      <c r="B869" s="1" t="s">
        <v>2431</v>
      </c>
      <c r="C869" s="1" t="s">
        <v>465</v>
      </c>
      <c r="D869" s="1" t="s">
        <v>2410</v>
      </c>
      <c r="E869" s="1" t="s">
        <v>471</v>
      </c>
      <c r="F869" s="1"/>
      <c r="G869" s="1" t="s">
        <v>98</v>
      </c>
      <c r="H869" s="1" t="s">
        <v>2432</v>
      </c>
      <c r="I869" s="1" t="s">
        <v>2410</v>
      </c>
      <c r="J869" s="1"/>
      <c r="K869" s="1" t="s">
        <v>472</v>
      </c>
      <c r="L869" s="1" t="s">
        <v>15</v>
      </c>
      <c r="M869" s="1" t="s">
        <v>14</v>
      </c>
    </row>
    <row r="870" spans="1:13" x14ac:dyDescent="0.3">
      <c r="A870" s="1" t="s">
        <v>2433</v>
      </c>
      <c r="B870" s="1" t="s">
        <v>2434</v>
      </c>
      <c r="C870" s="1" t="s">
        <v>465</v>
      </c>
      <c r="D870" s="1" t="s">
        <v>2410</v>
      </c>
      <c r="E870" s="1" t="s">
        <v>471</v>
      </c>
      <c r="F870" s="1" t="s">
        <v>2436</v>
      </c>
      <c r="G870" s="1" t="s">
        <v>98</v>
      </c>
      <c r="H870" s="1" t="s">
        <v>2435</v>
      </c>
      <c r="I870" s="1" t="s">
        <v>2410</v>
      </c>
      <c r="J870" s="1"/>
      <c r="K870" s="1" t="s">
        <v>472</v>
      </c>
      <c r="L870" s="1" t="s">
        <v>15</v>
      </c>
      <c r="M870" s="1" t="s">
        <v>14</v>
      </c>
    </row>
    <row r="871" spans="1:13" x14ac:dyDescent="0.3">
      <c r="A871" s="1" t="s">
        <v>2437</v>
      </c>
      <c r="B871" s="1" t="s">
        <v>2438</v>
      </c>
      <c r="C871" s="1" t="s">
        <v>465</v>
      </c>
      <c r="D871" s="1" t="s">
        <v>2410</v>
      </c>
      <c r="E871" s="1" t="s">
        <v>471</v>
      </c>
      <c r="F871" s="1" t="s">
        <v>2436</v>
      </c>
      <c r="G871" s="1" t="s">
        <v>98</v>
      </c>
      <c r="H871" s="1" t="s">
        <v>2439</v>
      </c>
      <c r="I871" s="1" t="s">
        <v>2410</v>
      </c>
      <c r="J871" s="1"/>
      <c r="K871" s="1" t="s">
        <v>472</v>
      </c>
      <c r="L871" s="1" t="s">
        <v>15</v>
      </c>
      <c r="M871" s="1" t="s">
        <v>14</v>
      </c>
    </row>
    <row r="872" spans="1:13" x14ac:dyDescent="0.3">
      <c r="A872" s="1" t="s">
        <v>2440</v>
      </c>
      <c r="B872" s="1" t="s">
        <v>2441</v>
      </c>
      <c r="C872" s="1" t="s">
        <v>465</v>
      </c>
      <c r="D872" s="1" t="s">
        <v>2410</v>
      </c>
      <c r="E872" s="1" t="s">
        <v>471</v>
      </c>
      <c r="F872" s="1" t="s">
        <v>2443</v>
      </c>
      <c r="G872" s="1" t="s">
        <v>98</v>
      </c>
      <c r="H872" s="1" t="s">
        <v>2442</v>
      </c>
      <c r="I872" s="1" t="s">
        <v>2410</v>
      </c>
      <c r="J872" s="1"/>
      <c r="K872" s="1" t="s">
        <v>472</v>
      </c>
      <c r="L872" s="1" t="s">
        <v>15</v>
      </c>
      <c r="M872" s="1" t="s">
        <v>14</v>
      </c>
    </row>
    <row r="873" spans="1:13" x14ac:dyDescent="0.3">
      <c r="A873" s="1" t="s">
        <v>2444</v>
      </c>
      <c r="B873" s="1" t="s">
        <v>2445</v>
      </c>
      <c r="C873" s="1" t="s">
        <v>465</v>
      </c>
      <c r="D873" s="1" t="s">
        <v>2410</v>
      </c>
      <c r="E873" s="1" t="s">
        <v>471</v>
      </c>
      <c r="F873" s="1" t="s">
        <v>2447</v>
      </c>
      <c r="G873" s="1" t="s">
        <v>98</v>
      </c>
      <c r="H873" s="1" t="s">
        <v>2446</v>
      </c>
      <c r="I873" s="1" t="s">
        <v>2410</v>
      </c>
      <c r="J873" s="1"/>
      <c r="K873" s="1" t="s">
        <v>472</v>
      </c>
      <c r="L873" s="1" t="s">
        <v>15</v>
      </c>
      <c r="M873" s="1" t="s">
        <v>14</v>
      </c>
    </row>
    <row r="874" spans="1:13" x14ac:dyDescent="0.3">
      <c r="A874" s="1" t="s">
        <v>2448</v>
      </c>
      <c r="B874" s="1" t="s">
        <v>2449</v>
      </c>
      <c r="C874" s="1" t="s">
        <v>465</v>
      </c>
      <c r="D874" s="1" t="s">
        <v>2410</v>
      </c>
      <c r="E874" s="1" t="s">
        <v>471</v>
      </c>
      <c r="F874" s="1" t="s">
        <v>2447</v>
      </c>
      <c r="G874" s="1" t="s">
        <v>98</v>
      </c>
      <c r="H874" s="1" t="s">
        <v>2450</v>
      </c>
      <c r="I874" s="1" t="s">
        <v>2410</v>
      </c>
      <c r="J874" s="1"/>
      <c r="K874" s="1" t="s">
        <v>472</v>
      </c>
      <c r="L874" s="1" t="s">
        <v>15</v>
      </c>
      <c r="M874" s="1" t="s">
        <v>14</v>
      </c>
    </row>
    <row r="875" spans="1:13" x14ac:dyDescent="0.3">
      <c r="A875" s="1" t="s">
        <v>2451</v>
      </c>
      <c r="B875" s="1" t="s">
        <v>2452</v>
      </c>
      <c r="C875" s="1" t="s">
        <v>465</v>
      </c>
      <c r="D875" s="1" t="s">
        <v>2410</v>
      </c>
      <c r="E875" s="1" t="s">
        <v>471</v>
      </c>
      <c r="F875" s="1" t="s">
        <v>2447</v>
      </c>
      <c r="G875" s="1" t="s">
        <v>98</v>
      </c>
      <c r="H875" s="1" t="s">
        <v>2453</v>
      </c>
      <c r="I875" s="1" t="s">
        <v>2410</v>
      </c>
      <c r="J875" s="1"/>
      <c r="K875" s="1" t="s">
        <v>472</v>
      </c>
      <c r="L875" s="1" t="s">
        <v>15</v>
      </c>
      <c r="M875" s="1" t="s">
        <v>14</v>
      </c>
    </row>
    <row r="876" spans="1:13" x14ac:dyDescent="0.3">
      <c r="A876" s="1" t="s">
        <v>2454</v>
      </c>
      <c r="B876" s="1" t="s">
        <v>2455</v>
      </c>
      <c r="C876" s="1" t="s">
        <v>465</v>
      </c>
      <c r="D876" s="1" t="s">
        <v>2410</v>
      </c>
      <c r="E876" s="1" t="s">
        <v>471</v>
      </c>
      <c r="F876" s="1" t="s">
        <v>2447</v>
      </c>
      <c r="G876" s="1" t="s">
        <v>98</v>
      </c>
      <c r="H876" s="1" t="s">
        <v>2456</v>
      </c>
      <c r="I876" s="1" t="s">
        <v>2410</v>
      </c>
      <c r="J876" s="1"/>
      <c r="K876" s="1" t="s">
        <v>472</v>
      </c>
      <c r="L876" s="1" t="s">
        <v>15</v>
      </c>
      <c r="M876" s="1" t="s">
        <v>14</v>
      </c>
    </row>
    <row r="877" spans="1:13" x14ac:dyDescent="0.3">
      <c r="A877" s="1" t="s">
        <v>2457</v>
      </c>
      <c r="B877" s="1" t="s">
        <v>2458</v>
      </c>
      <c r="C877" s="1" t="s">
        <v>465</v>
      </c>
      <c r="D877" s="1" t="s">
        <v>2410</v>
      </c>
      <c r="E877" s="1" t="s">
        <v>471</v>
      </c>
      <c r="F877" s="1"/>
      <c r="G877" s="1" t="s">
        <v>98</v>
      </c>
      <c r="H877" s="1" t="s">
        <v>2459</v>
      </c>
      <c r="I877" s="1" t="s">
        <v>2410</v>
      </c>
      <c r="J877" s="1"/>
      <c r="K877" s="1" t="s">
        <v>472</v>
      </c>
      <c r="L877" s="1" t="s">
        <v>15</v>
      </c>
      <c r="M877" s="1" t="s">
        <v>14</v>
      </c>
    </row>
    <row r="878" spans="1:13" x14ac:dyDescent="0.3">
      <c r="A878" s="1" t="s">
        <v>2460</v>
      </c>
      <c r="B878" s="1" t="s">
        <v>2461</v>
      </c>
      <c r="C878" s="1" t="s">
        <v>465</v>
      </c>
      <c r="D878" s="1" t="s">
        <v>2410</v>
      </c>
      <c r="E878" s="1" t="s">
        <v>471</v>
      </c>
      <c r="F878" s="1" t="s">
        <v>2436</v>
      </c>
      <c r="G878" s="1" t="s">
        <v>98</v>
      </c>
      <c r="H878" s="1" t="s">
        <v>2462</v>
      </c>
      <c r="I878" s="1" t="s">
        <v>2410</v>
      </c>
      <c r="J878" s="1"/>
      <c r="K878" s="1" t="s">
        <v>472</v>
      </c>
      <c r="L878" s="1" t="s">
        <v>15</v>
      </c>
      <c r="M878" s="1" t="s">
        <v>14</v>
      </c>
    </row>
    <row r="879" spans="1:13" x14ac:dyDescent="0.3">
      <c r="A879" s="1" t="s">
        <v>2463</v>
      </c>
      <c r="B879" s="1" t="s">
        <v>2464</v>
      </c>
      <c r="C879" s="1" t="s">
        <v>465</v>
      </c>
      <c r="D879" s="1" t="s">
        <v>2410</v>
      </c>
      <c r="E879" s="1" t="s">
        <v>471</v>
      </c>
      <c r="F879" s="1" t="s">
        <v>2466</v>
      </c>
      <c r="G879" s="1" t="s">
        <v>98</v>
      </c>
      <c r="H879" s="1" t="s">
        <v>2465</v>
      </c>
      <c r="I879" s="1" t="s">
        <v>2410</v>
      </c>
      <c r="J879" s="1"/>
      <c r="K879" s="1" t="s">
        <v>472</v>
      </c>
      <c r="L879" s="1" t="s">
        <v>15</v>
      </c>
      <c r="M879" s="1" t="s">
        <v>14</v>
      </c>
    </row>
    <row r="880" spans="1:13" x14ac:dyDescent="0.3">
      <c r="A880" s="1" t="s">
        <v>2467</v>
      </c>
      <c r="B880" s="1" t="s">
        <v>2468</v>
      </c>
      <c r="C880" s="1" t="s">
        <v>465</v>
      </c>
      <c r="D880" s="1" t="s">
        <v>2410</v>
      </c>
      <c r="E880" s="1" t="s">
        <v>471</v>
      </c>
      <c r="F880" s="1"/>
      <c r="G880" s="1" t="s">
        <v>98</v>
      </c>
      <c r="H880" s="1" t="s">
        <v>2469</v>
      </c>
      <c r="I880" s="1" t="s">
        <v>2410</v>
      </c>
      <c r="J880" s="1"/>
      <c r="K880" s="1" t="s">
        <v>472</v>
      </c>
      <c r="L880" s="1" t="s">
        <v>15</v>
      </c>
      <c r="M880" s="1" t="s">
        <v>14</v>
      </c>
    </row>
    <row r="881" spans="1:13" x14ac:dyDescent="0.3">
      <c r="A881" s="1" t="s">
        <v>2470</v>
      </c>
      <c r="B881" s="1" t="s">
        <v>2471</v>
      </c>
      <c r="C881" s="1" t="s">
        <v>465</v>
      </c>
      <c r="D881" s="1" t="s">
        <v>2410</v>
      </c>
      <c r="E881" s="1" t="s">
        <v>471</v>
      </c>
      <c r="F881" s="1"/>
      <c r="G881" s="1" t="s">
        <v>98</v>
      </c>
      <c r="H881" s="1" t="s">
        <v>2472</v>
      </c>
      <c r="I881" s="1" t="s">
        <v>2410</v>
      </c>
      <c r="J881" s="1"/>
      <c r="K881" s="1" t="s">
        <v>472</v>
      </c>
      <c r="L881" s="1" t="s">
        <v>15</v>
      </c>
      <c r="M881" s="1" t="s">
        <v>14</v>
      </c>
    </row>
    <row r="882" spans="1:13" x14ac:dyDescent="0.3">
      <c r="A882" s="1" t="s">
        <v>2473</v>
      </c>
      <c r="B882" s="1" t="s">
        <v>2474</v>
      </c>
      <c r="C882" s="1" t="s">
        <v>465</v>
      </c>
      <c r="D882" s="1" t="s">
        <v>2410</v>
      </c>
      <c r="E882" s="1" t="s">
        <v>471</v>
      </c>
      <c r="F882" s="1"/>
      <c r="G882" s="1" t="s">
        <v>98</v>
      </c>
      <c r="H882" s="1" t="s">
        <v>2475</v>
      </c>
      <c r="I882" s="1" t="s">
        <v>2410</v>
      </c>
      <c r="J882" s="1"/>
      <c r="K882" s="1" t="s">
        <v>472</v>
      </c>
      <c r="L882" s="1" t="s">
        <v>15</v>
      </c>
      <c r="M882" s="1" t="s">
        <v>14</v>
      </c>
    </row>
    <row r="883" spans="1:13" x14ac:dyDescent="0.3">
      <c r="A883" s="1" t="s">
        <v>2476</v>
      </c>
      <c r="B883" s="1" t="s">
        <v>2477</v>
      </c>
      <c r="C883" s="1" t="s">
        <v>465</v>
      </c>
      <c r="D883" s="1" t="s">
        <v>2410</v>
      </c>
      <c r="E883" s="1" t="s">
        <v>471</v>
      </c>
      <c r="F883" s="1"/>
      <c r="G883" s="1" t="s">
        <v>98</v>
      </c>
      <c r="H883" s="1" t="s">
        <v>2478</v>
      </c>
      <c r="I883" s="1" t="s">
        <v>2410</v>
      </c>
      <c r="J883" s="1"/>
      <c r="K883" s="1" t="s">
        <v>472</v>
      </c>
      <c r="L883" s="1" t="s">
        <v>15</v>
      </c>
      <c r="M883" s="1" t="s">
        <v>14</v>
      </c>
    </row>
    <row r="884" spans="1:13" x14ac:dyDescent="0.3">
      <c r="A884" s="1" t="s">
        <v>2479</v>
      </c>
      <c r="B884" s="1" t="s">
        <v>2480</v>
      </c>
      <c r="C884" s="1" t="s">
        <v>465</v>
      </c>
      <c r="D884" s="1" t="s">
        <v>2410</v>
      </c>
      <c r="E884" s="1" t="s">
        <v>471</v>
      </c>
      <c r="F884" s="1"/>
      <c r="G884" s="1" t="s">
        <v>98</v>
      </c>
      <c r="H884" s="1" t="s">
        <v>2481</v>
      </c>
      <c r="I884" s="1" t="s">
        <v>2410</v>
      </c>
      <c r="J884" s="1"/>
      <c r="K884" s="1" t="s">
        <v>472</v>
      </c>
      <c r="L884" s="1" t="s">
        <v>15</v>
      </c>
      <c r="M884" s="1" t="s">
        <v>14</v>
      </c>
    </row>
    <row r="885" spans="1:13" x14ac:dyDescent="0.3">
      <c r="A885" s="1" t="s">
        <v>2482</v>
      </c>
      <c r="B885" s="1" t="s">
        <v>2483</v>
      </c>
      <c r="C885" s="1" t="s">
        <v>465</v>
      </c>
      <c r="D885" s="1" t="s">
        <v>2410</v>
      </c>
      <c r="E885" s="1" t="s">
        <v>471</v>
      </c>
      <c r="F885" s="1"/>
      <c r="G885" s="1" t="s">
        <v>98</v>
      </c>
      <c r="H885" s="1" t="s">
        <v>2484</v>
      </c>
      <c r="I885" s="1" t="s">
        <v>2410</v>
      </c>
      <c r="J885" s="1"/>
      <c r="K885" s="1" t="s">
        <v>472</v>
      </c>
      <c r="L885" s="1" t="s">
        <v>15</v>
      </c>
      <c r="M885" s="1" t="s">
        <v>14</v>
      </c>
    </row>
    <row r="886" spans="1:13" x14ac:dyDescent="0.3">
      <c r="A886" s="1" t="s">
        <v>2485</v>
      </c>
      <c r="B886" s="1" t="s">
        <v>2486</v>
      </c>
      <c r="C886" s="1" t="s">
        <v>465</v>
      </c>
      <c r="D886" s="1" t="s">
        <v>2410</v>
      </c>
      <c r="E886" s="1" t="s">
        <v>471</v>
      </c>
      <c r="F886" s="1"/>
      <c r="G886" s="1" t="s">
        <v>98</v>
      </c>
      <c r="H886" s="1" t="s">
        <v>2487</v>
      </c>
      <c r="I886" s="1" t="s">
        <v>2410</v>
      </c>
      <c r="J886" s="1"/>
      <c r="K886" s="1" t="s">
        <v>472</v>
      </c>
      <c r="L886" s="1" t="s">
        <v>15</v>
      </c>
      <c r="M886" s="1" t="s">
        <v>14</v>
      </c>
    </row>
    <row r="887" spans="1:13" x14ac:dyDescent="0.3">
      <c r="A887" s="1" t="s">
        <v>2488</v>
      </c>
      <c r="B887" s="1" t="s">
        <v>2489</v>
      </c>
      <c r="C887" s="1" t="s">
        <v>465</v>
      </c>
      <c r="D887" s="1" t="s">
        <v>2410</v>
      </c>
      <c r="E887" s="1" t="s">
        <v>471</v>
      </c>
      <c r="F887" s="1"/>
      <c r="G887" s="1" t="s">
        <v>98</v>
      </c>
      <c r="H887" s="1" t="s">
        <v>2490</v>
      </c>
      <c r="I887" s="1" t="s">
        <v>2410</v>
      </c>
      <c r="J887" s="1"/>
      <c r="K887" s="1" t="s">
        <v>472</v>
      </c>
      <c r="L887" s="1" t="s">
        <v>15</v>
      </c>
      <c r="M887" s="1" t="s">
        <v>14</v>
      </c>
    </row>
    <row r="888" spans="1:13" x14ac:dyDescent="0.3">
      <c r="A888" s="1" t="s">
        <v>2491</v>
      </c>
      <c r="B888" s="1" t="s">
        <v>2492</v>
      </c>
      <c r="C888" s="1" t="s">
        <v>17</v>
      </c>
      <c r="D888" s="1" t="s">
        <v>30</v>
      </c>
      <c r="E888" s="1" t="s">
        <v>19</v>
      </c>
      <c r="F888" s="1" t="s">
        <v>33</v>
      </c>
      <c r="G888" s="1" t="s">
        <v>98</v>
      </c>
      <c r="H888" s="1" t="s">
        <v>2493</v>
      </c>
      <c r="I888" s="1" t="s">
        <v>21</v>
      </c>
      <c r="J888" s="1" t="s">
        <v>2493</v>
      </c>
      <c r="K888" s="1"/>
      <c r="L888" s="1" t="s">
        <v>15</v>
      </c>
      <c r="M888" s="1" t="s">
        <v>14</v>
      </c>
    </row>
    <row r="889" spans="1:13" x14ac:dyDescent="0.3">
      <c r="A889" s="1"/>
      <c r="B889" s="1" t="s">
        <v>2494</v>
      </c>
      <c r="C889" s="1" t="s">
        <v>492</v>
      </c>
      <c r="D889" s="1" t="s">
        <v>1298</v>
      </c>
      <c r="E889" s="1" t="s">
        <v>19</v>
      </c>
      <c r="F889" s="1" t="s">
        <v>1300</v>
      </c>
      <c r="G889" s="1" t="s">
        <v>98</v>
      </c>
      <c r="H889" s="1" t="s">
        <v>1315</v>
      </c>
      <c r="I889" s="1" t="s">
        <v>1288</v>
      </c>
      <c r="J889" s="1" t="s">
        <v>1315</v>
      </c>
      <c r="K889" s="1"/>
      <c r="L889" s="1" t="s">
        <v>15</v>
      </c>
      <c r="M889" s="1" t="s">
        <v>14</v>
      </c>
    </row>
    <row r="890" spans="1:13" x14ac:dyDescent="0.3">
      <c r="A890" s="1"/>
      <c r="B890" s="1" t="s">
        <v>2495</v>
      </c>
      <c r="C890" s="1" t="s">
        <v>492</v>
      </c>
      <c r="D890" s="1" t="s">
        <v>582</v>
      </c>
      <c r="E890" s="1" t="s">
        <v>19</v>
      </c>
      <c r="F890" s="1" t="s">
        <v>606</v>
      </c>
      <c r="G890" s="1" t="s">
        <v>98</v>
      </c>
      <c r="H890" s="1" t="s">
        <v>231</v>
      </c>
      <c r="I890" s="1" t="s">
        <v>495</v>
      </c>
      <c r="J890" s="1" t="s">
        <v>232</v>
      </c>
      <c r="K890" s="1"/>
      <c r="L890" s="1" t="s">
        <v>15</v>
      </c>
      <c r="M890" s="1" t="s">
        <v>14</v>
      </c>
    </row>
    <row r="891" spans="1:13" x14ac:dyDescent="0.3">
      <c r="A891" s="1"/>
      <c r="B891" s="1" t="s">
        <v>2496</v>
      </c>
      <c r="C891" s="1" t="s">
        <v>492</v>
      </c>
      <c r="D891" s="1" t="s">
        <v>730</v>
      </c>
      <c r="E891" s="1" t="s">
        <v>19</v>
      </c>
      <c r="F891" s="1" t="s">
        <v>753</v>
      </c>
      <c r="G891" s="1" t="s">
        <v>98</v>
      </c>
      <c r="H891" s="1" t="s">
        <v>2497</v>
      </c>
      <c r="I891" s="1" t="s">
        <v>731</v>
      </c>
      <c r="J891" s="1" t="s">
        <v>2497</v>
      </c>
      <c r="K891" s="1"/>
      <c r="L891" s="1" t="s">
        <v>15</v>
      </c>
      <c r="M891" s="1" t="s">
        <v>14</v>
      </c>
    </row>
    <row r="892" spans="1:13" x14ac:dyDescent="0.3">
      <c r="A892" s="1"/>
      <c r="B892" s="1" t="s">
        <v>2498</v>
      </c>
      <c r="C892" s="1" t="s">
        <v>492</v>
      </c>
      <c r="D892" s="1" t="s">
        <v>800</v>
      </c>
      <c r="E892" s="1" t="s">
        <v>19</v>
      </c>
      <c r="F892" s="1" t="s">
        <v>819</v>
      </c>
      <c r="G892" s="1" t="s">
        <v>98</v>
      </c>
      <c r="H892" s="1" t="s">
        <v>2497</v>
      </c>
      <c r="I892" s="1" t="s">
        <v>731</v>
      </c>
      <c r="J892" s="1" t="s">
        <v>2497</v>
      </c>
      <c r="K892" s="1"/>
      <c r="L892" s="1" t="s">
        <v>15</v>
      </c>
      <c r="M892" s="1" t="s">
        <v>14</v>
      </c>
    </row>
    <row r="893" spans="1:13" x14ac:dyDescent="0.3">
      <c r="A893" s="1"/>
      <c r="B893" s="1" t="s">
        <v>2499</v>
      </c>
      <c r="C893" s="1" t="s">
        <v>492</v>
      </c>
      <c r="D893" s="1" t="s">
        <v>856</v>
      </c>
      <c r="E893" s="1" t="s">
        <v>19</v>
      </c>
      <c r="F893" s="1" t="s">
        <v>875</v>
      </c>
      <c r="G893" s="1" t="s">
        <v>98</v>
      </c>
      <c r="H893" s="1" t="s">
        <v>2497</v>
      </c>
      <c r="I893" s="1" t="s">
        <v>731</v>
      </c>
      <c r="J893" s="1" t="s">
        <v>2497</v>
      </c>
      <c r="K893" s="1"/>
      <c r="L893" s="1" t="s">
        <v>15</v>
      </c>
      <c r="M893" s="1" t="s">
        <v>14</v>
      </c>
    </row>
    <row r="894" spans="1:13" x14ac:dyDescent="0.3">
      <c r="A894" s="1"/>
      <c r="B894" s="1" t="s">
        <v>2500</v>
      </c>
      <c r="C894" s="1" t="s">
        <v>492</v>
      </c>
      <c r="D894" s="1" t="s">
        <v>920</v>
      </c>
      <c r="E894" s="1" t="s">
        <v>19</v>
      </c>
      <c r="F894" s="1" t="s">
        <v>939</v>
      </c>
      <c r="G894" s="1" t="s">
        <v>98</v>
      </c>
      <c r="H894" s="1" t="s">
        <v>2497</v>
      </c>
      <c r="I894" s="1" t="s">
        <v>731</v>
      </c>
      <c r="J894" s="1" t="s">
        <v>2497</v>
      </c>
      <c r="K894" s="1"/>
      <c r="L894" s="1" t="s">
        <v>15</v>
      </c>
      <c r="M894" s="1" t="s">
        <v>14</v>
      </c>
    </row>
    <row r="895" spans="1:13" x14ac:dyDescent="0.3">
      <c r="A895" s="1"/>
      <c r="B895" s="1" t="s">
        <v>2501</v>
      </c>
      <c r="C895" s="1" t="s">
        <v>492</v>
      </c>
      <c r="D895" s="1" t="s">
        <v>979</v>
      </c>
      <c r="E895" s="1" t="s">
        <v>19</v>
      </c>
      <c r="F895" s="1" t="s">
        <v>998</v>
      </c>
      <c r="G895" s="1" t="s">
        <v>98</v>
      </c>
      <c r="H895" s="1" t="s">
        <v>2497</v>
      </c>
      <c r="I895" s="1" t="s">
        <v>731</v>
      </c>
      <c r="J895" s="1" t="s">
        <v>2497</v>
      </c>
      <c r="K895" s="1"/>
      <c r="L895" s="1" t="s">
        <v>15</v>
      </c>
      <c r="M895" s="1" t="s">
        <v>14</v>
      </c>
    </row>
    <row r="896" spans="1:13" x14ac:dyDescent="0.3">
      <c r="A896" s="1"/>
      <c r="B896" s="1" t="s">
        <v>2502</v>
      </c>
      <c r="C896" s="1" t="s">
        <v>492</v>
      </c>
      <c r="D896" s="1" t="s">
        <v>1039</v>
      </c>
      <c r="E896" s="1" t="s">
        <v>19</v>
      </c>
      <c r="F896" s="1" t="s">
        <v>1057</v>
      </c>
      <c r="G896" s="1" t="s">
        <v>98</v>
      </c>
      <c r="H896" s="1" t="s">
        <v>2497</v>
      </c>
      <c r="I896" s="1" t="s">
        <v>731</v>
      </c>
      <c r="J896" s="1" t="s">
        <v>2497</v>
      </c>
      <c r="K896" s="1"/>
      <c r="L896" s="1" t="s">
        <v>15</v>
      </c>
      <c r="M896" s="1" t="s">
        <v>14</v>
      </c>
    </row>
    <row r="897" spans="1:13" x14ac:dyDescent="0.3">
      <c r="A897" s="1"/>
      <c r="B897" s="1" t="s">
        <v>2503</v>
      </c>
      <c r="C897" s="1" t="s">
        <v>492</v>
      </c>
      <c r="D897" s="1" t="s">
        <v>1096</v>
      </c>
      <c r="E897" s="1" t="s">
        <v>19</v>
      </c>
      <c r="F897" s="1" t="s">
        <v>1112</v>
      </c>
      <c r="G897" s="1" t="s">
        <v>98</v>
      </c>
      <c r="H897" s="1" t="s">
        <v>2497</v>
      </c>
      <c r="I897" s="1" t="s">
        <v>731</v>
      </c>
      <c r="J897" s="1" t="s">
        <v>2497</v>
      </c>
      <c r="K897" s="1"/>
      <c r="L897" s="1" t="s">
        <v>15</v>
      </c>
      <c r="M897" s="1" t="s">
        <v>14</v>
      </c>
    </row>
    <row r="898" spans="1:13" x14ac:dyDescent="0.3">
      <c r="A898" s="1"/>
      <c r="B898" s="1" t="s">
        <v>2504</v>
      </c>
      <c r="C898" s="1" t="s">
        <v>492</v>
      </c>
      <c r="D898" s="1" t="s">
        <v>1157</v>
      </c>
      <c r="E898" s="1" t="s">
        <v>19</v>
      </c>
      <c r="F898" s="1" t="s">
        <v>1179</v>
      </c>
      <c r="G898" s="1" t="s">
        <v>98</v>
      </c>
      <c r="H898" s="1" t="s">
        <v>2497</v>
      </c>
      <c r="I898" s="1" t="s">
        <v>731</v>
      </c>
      <c r="J898" s="1" t="s">
        <v>2497</v>
      </c>
      <c r="K898" s="1"/>
      <c r="L898" s="1" t="s">
        <v>15</v>
      </c>
      <c r="M898" s="1" t="s">
        <v>14</v>
      </c>
    </row>
    <row r="899" spans="1:13" x14ac:dyDescent="0.3">
      <c r="A899" s="1"/>
      <c r="B899" s="1" t="s">
        <v>2505</v>
      </c>
      <c r="C899" s="1" t="s">
        <v>492</v>
      </c>
      <c r="D899" s="1" t="s">
        <v>1211</v>
      </c>
      <c r="E899" s="1" t="s">
        <v>19</v>
      </c>
      <c r="F899" s="1" t="s">
        <v>1229</v>
      </c>
      <c r="G899" s="1" t="s">
        <v>98</v>
      </c>
      <c r="H899" s="1" t="s">
        <v>2497</v>
      </c>
      <c r="I899" s="1" t="s">
        <v>731</v>
      </c>
      <c r="J899" s="1" t="s">
        <v>2497</v>
      </c>
      <c r="K899" s="1"/>
      <c r="L899" s="1" t="s">
        <v>15</v>
      </c>
      <c r="M899" s="1" t="s">
        <v>14</v>
      </c>
    </row>
    <row r="900" spans="1:13" x14ac:dyDescent="0.3">
      <c r="A900" s="1"/>
      <c r="B900" s="1" t="s">
        <v>2506</v>
      </c>
      <c r="C900" s="1" t="s">
        <v>492</v>
      </c>
      <c r="D900" s="1" t="s">
        <v>2265</v>
      </c>
      <c r="E900" s="1" t="s">
        <v>19</v>
      </c>
      <c r="F900" s="1" t="s">
        <v>2290</v>
      </c>
      <c r="G900" s="1" t="s">
        <v>98</v>
      </c>
      <c r="H900" s="1" t="s">
        <v>2497</v>
      </c>
      <c r="I900" s="1" t="s">
        <v>2266</v>
      </c>
      <c r="J900" s="1" t="s">
        <v>2497</v>
      </c>
      <c r="K900" s="1"/>
      <c r="L900" s="1" t="s">
        <v>15</v>
      </c>
      <c r="M900" s="1" t="s">
        <v>14</v>
      </c>
    </row>
    <row r="901" spans="1:13" x14ac:dyDescent="0.3">
      <c r="A901" s="1"/>
      <c r="B901" s="1" t="s">
        <v>2507</v>
      </c>
      <c r="C901" s="1" t="s">
        <v>492</v>
      </c>
      <c r="D901" s="1" t="s">
        <v>2345</v>
      </c>
      <c r="E901" s="1" t="s">
        <v>19</v>
      </c>
      <c r="F901" s="1" t="s">
        <v>2365</v>
      </c>
      <c r="G901" s="1" t="s">
        <v>98</v>
      </c>
      <c r="H901" s="1" t="s">
        <v>2497</v>
      </c>
      <c r="I901" s="1" t="s">
        <v>2266</v>
      </c>
      <c r="J901" s="1" t="s">
        <v>2497</v>
      </c>
      <c r="K901" s="1"/>
      <c r="L901" s="1" t="s">
        <v>15</v>
      </c>
      <c r="M901" s="1" t="s">
        <v>14</v>
      </c>
    </row>
    <row r="902" spans="1:13" x14ac:dyDescent="0.3">
      <c r="A902" s="1"/>
      <c r="B902" s="1" t="s">
        <v>2508</v>
      </c>
      <c r="C902" s="1" t="s">
        <v>492</v>
      </c>
      <c r="D902" s="1" t="s">
        <v>493</v>
      </c>
      <c r="E902" s="1" t="s">
        <v>19</v>
      </c>
      <c r="F902" s="1" t="s">
        <v>525</v>
      </c>
      <c r="G902" s="1" t="s">
        <v>98</v>
      </c>
      <c r="H902" s="1" t="s">
        <v>2497</v>
      </c>
      <c r="I902" s="1" t="s">
        <v>495</v>
      </c>
      <c r="J902" s="1" t="s">
        <v>2497</v>
      </c>
      <c r="K902" s="1"/>
      <c r="L902" s="1" t="s">
        <v>15</v>
      </c>
      <c r="M902" s="1" t="s">
        <v>14</v>
      </c>
    </row>
    <row r="903" spans="1:13" x14ac:dyDescent="0.3">
      <c r="A903" s="1"/>
      <c r="B903" s="1" t="s">
        <v>2509</v>
      </c>
      <c r="C903" s="1" t="s">
        <v>492</v>
      </c>
      <c r="D903" s="1" t="s">
        <v>582</v>
      </c>
      <c r="E903" s="1" t="s">
        <v>19</v>
      </c>
      <c r="F903" s="1" t="s">
        <v>606</v>
      </c>
      <c r="G903" s="1" t="s">
        <v>98</v>
      </c>
      <c r="H903" s="1" t="s">
        <v>2497</v>
      </c>
      <c r="I903" s="1" t="s">
        <v>495</v>
      </c>
      <c r="J903" s="1" t="s">
        <v>2497</v>
      </c>
      <c r="K903" s="1"/>
      <c r="L903" s="1" t="s">
        <v>15</v>
      </c>
      <c r="M903" s="1" t="s">
        <v>14</v>
      </c>
    </row>
    <row r="904" spans="1:13" x14ac:dyDescent="0.3">
      <c r="A904" s="1"/>
      <c r="B904" s="1" t="s">
        <v>2510</v>
      </c>
      <c r="C904" s="1" t="s">
        <v>492</v>
      </c>
      <c r="D904" s="1" t="s">
        <v>661</v>
      </c>
      <c r="E904" s="1" t="s">
        <v>19</v>
      </c>
      <c r="F904" s="1" t="s">
        <v>679</v>
      </c>
      <c r="G904" s="1" t="s">
        <v>98</v>
      </c>
      <c r="H904" s="1" t="s">
        <v>2497</v>
      </c>
      <c r="I904" s="1" t="s">
        <v>495</v>
      </c>
      <c r="J904" s="1" t="s">
        <v>2497</v>
      </c>
      <c r="K904" s="1"/>
      <c r="L904" s="1" t="s">
        <v>15</v>
      </c>
      <c r="M904" s="1" t="s">
        <v>14</v>
      </c>
    </row>
    <row r="905" spans="1:13" x14ac:dyDescent="0.3">
      <c r="A905" s="1"/>
      <c r="B905" s="1" t="s">
        <v>2511</v>
      </c>
      <c r="C905" s="1" t="s">
        <v>17</v>
      </c>
      <c r="D905" s="1" t="s">
        <v>1944</v>
      </c>
      <c r="E905" s="1" t="s">
        <v>19</v>
      </c>
      <c r="F905" s="1" t="s">
        <v>1946</v>
      </c>
      <c r="G905" s="1" t="s">
        <v>98</v>
      </c>
      <c r="H905" s="1" t="s">
        <v>2497</v>
      </c>
      <c r="I905" s="1" t="s">
        <v>1902</v>
      </c>
      <c r="J905" s="1" t="s">
        <v>2497</v>
      </c>
      <c r="K905" s="1"/>
      <c r="L905" s="1" t="s">
        <v>15</v>
      </c>
      <c r="M905" s="1" t="s">
        <v>14</v>
      </c>
    </row>
    <row r="906" spans="1:13" x14ac:dyDescent="0.3">
      <c r="A906" s="1"/>
      <c r="B906" s="1" t="s">
        <v>2512</v>
      </c>
      <c r="C906" s="1" t="s">
        <v>17</v>
      </c>
      <c r="D906" s="1" t="s">
        <v>2020</v>
      </c>
      <c r="E906" s="1" t="s">
        <v>19</v>
      </c>
      <c r="F906" s="1" t="s">
        <v>2042</v>
      </c>
      <c r="G906" s="1" t="s">
        <v>98</v>
      </c>
      <c r="H906" s="1" t="s">
        <v>2497</v>
      </c>
      <c r="I906" s="1" t="s">
        <v>1902</v>
      </c>
      <c r="J906" s="1" t="s">
        <v>2497</v>
      </c>
      <c r="K906" s="1"/>
      <c r="L906" s="1" t="s">
        <v>15</v>
      </c>
      <c r="M906" s="1" t="s">
        <v>14</v>
      </c>
    </row>
    <row r="907" spans="1:13" x14ac:dyDescent="0.3">
      <c r="A907" s="1"/>
      <c r="B907" s="1" t="s">
        <v>2513</v>
      </c>
      <c r="C907" s="1" t="s">
        <v>17</v>
      </c>
      <c r="D907" s="1" t="s">
        <v>36</v>
      </c>
      <c r="E907" s="1" t="s">
        <v>19</v>
      </c>
      <c r="F907" s="1" t="s">
        <v>37</v>
      </c>
      <c r="G907" s="1" t="s">
        <v>98</v>
      </c>
      <c r="H907" s="1" t="s">
        <v>2497</v>
      </c>
      <c r="I907" s="1" t="s">
        <v>21</v>
      </c>
      <c r="J907" s="1" t="s">
        <v>2497</v>
      </c>
      <c r="K907" s="1"/>
      <c r="L907" s="1" t="s">
        <v>15</v>
      </c>
      <c r="M907" s="1" t="s">
        <v>14</v>
      </c>
    </row>
    <row r="908" spans="1:13" x14ac:dyDescent="0.3">
      <c r="A908" s="1"/>
      <c r="B908" s="1" t="s">
        <v>2514</v>
      </c>
      <c r="C908" s="1" t="s">
        <v>17</v>
      </c>
      <c r="D908" s="1" t="s">
        <v>52</v>
      </c>
      <c r="E908" s="1" t="s">
        <v>19</v>
      </c>
      <c r="F908" s="1" t="s">
        <v>53</v>
      </c>
      <c r="G908" s="1" t="s">
        <v>98</v>
      </c>
      <c r="H908" s="1" t="s">
        <v>2497</v>
      </c>
      <c r="I908" s="1" t="s">
        <v>21</v>
      </c>
      <c r="J908" s="1" t="s">
        <v>2497</v>
      </c>
      <c r="K908" s="1"/>
      <c r="L908" s="1" t="s">
        <v>15</v>
      </c>
      <c r="M908" s="1" t="s">
        <v>14</v>
      </c>
    </row>
    <row r="909" spans="1:13" x14ac:dyDescent="0.3">
      <c r="A909" s="1"/>
      <c r="B909" s="1" t="s">
        <v>2515</v>
      </c>
      <c r="C909" s="1" t="s">
        <v>17</v>
      </c>
      <c r="D909" s="1" t="s">
        <v>48</v>
      </c>
      <c r="E909" s="1" t="s">
        <v>19</v>
      </c>
      <c r="F909" s="1" t="s">
        <v>49</v>
      </c>
      <c r="G909" s="1" t="s">
        <v>98</v>
      </c>
      <c r="H909" s="1" t="s">
        <v>2497</v>
      </c>
      <c r="I909" s="1" t="s">
        <v>21</v>
      </c>
      <c r="J909" s="1" t="s">
        <v>2497</v>
      </c>
      <c r="K909" s="1"/>
      <c r="L909" s="1" t="s">
        <v>15</v>
      </c>
      <c r="M909" s="1" t="s">
        <v>14</v>
      </c>
    </row>
    <row r="910" spans="1:13" x14ac:dyDescent="0.3">
      <c r="A910" s="1"/>
      <c r="B910" s="1" t="s">
        <v>2516</v>
      </c>
      <c r="C910" s="1" t="s">
        <v>17</v>
      </c>
      <c r="D910" s="1" t="s">
        <v>30</v>
      </c>
      <c r="E910" s="1" t="s">
        <v>19</v>
      </c>
      <c r="F910" s="1" t="s">
        <v>33</v>
      </c>
      <c r="G910" s="1" t="s">
        <v>98</v>
      </c>
      <c r="H910" s="1" t="s">
        <v>2497</v>
      </c>
      <c r="I910" s="1" t="s">
        <v>21</v>
      </c>
      <c r="J910" s="1" t="s">
        <v>2497</v>
      </c>
      <c r="K910" s="1"/>
      <c r="L910" s="1" t="s">
        <v>15</v>
      </c>
      <c r="M910" s="1" t="s">
        <v>14</v>
      </c>
    </row>
    <row r="911" spans="1:13" x14ac:dyDescent="0.3">
      <c r="A911" s="1"/>
      <c r="B911" s="1" t="s">
        <v>2517</v>
      </c>
      <c r="C911" s="1" t="s">
        <v>17</v>
      </c>
      <c r="D911" s="1" t="s">
        <v>18</v>
      </c>
      <c r="E911" s="1" t="s">
        <v>19</v>
      </c>
      <c r="F911" s="1" t="s">
        <v>23</v>
      </c>
      <c r="G911" s="1" t="s">
        <v>98</v>
      </c>
      <c r="H911" s="1" t="s">
        <v>2497</v>
      </c>
      <c r="I911" s="1" t="s">
        <v>21</v>
      </c>
      <c r="J911" s="1" t="s">
        <v>2497</v>
      </c>
      <c r="K911" s="1"/>
      <c r="L911" s="1" t="s">
        <v>15</v>
      </c>
      <c r="M911" s="1" t="s">
        <v>14</v>
      </c>
    </row>
    <row r="912" spans="1:13" x14ac:dyDescent="0.3">
      <c r="A912" s="1"/>
      <c r="B912" s="1" t="s">
        <v>2518</v>
      </c>
      <c r="C912" s="1" t="s">
        <v>17</v>
      </c>
      <c r="D912" s="1" t="s">
        <v>42</v>
      </c>
      <c r="E912" s="1" t="s">
        <v>19</v>
      </c>
      <c r="F912" s="1" t="s">
        <v>43</v>
      </c>
      <c r="G912" s="1" t="s">
        <v>98</v>
      </c>
      <c r="H912" s="1" t="s">
        <v>2497</v>
      </c>
      <c r="I912" s="1" t="s">
        <v>21</v>
      </c>
      <c r="J912" s="1" t="s">
        <v>2497</v>
      </c>
      <c r="K912" s="1"/>
      <c r="L912" s="1" t="s">
        <v>15</v>
      </c>
      <c r="M912" s="1" t="s">
        <v>14</v>
      </c>
    </row>
    <row r="913" spans="1:13" x14ac:dyDescent="0.3">
      <c r="A913" s="1"/>
      <c r="B913" s="1" t="s">
        <v>2519</v>
      </c>
      <c r="C913" s="1" t="s">
        <v>17</v>
      </c>
      <c r="D913" s="1" t="s">
        <v>26</v>
      </c>
      <c r="E913" s="1" t="s">
        <v>19</v>
      </c>
      <c r="F913" s="1" t="s">
        <v>27</v>
      </c>
      <c r="G913" s="1" t="s">
        <v>98</v>
      </c>
      <c r="H913" s="1" t="s">
        <v>2497</v>
      </c>
      <c r="I913" s="1" t="s">
        <v>21</v>
      </c>
      <c r="J913" s="1" t="s">
        <v>2497</v>
      </c>
      <c r="K913" s="1"/>
      <c r="L913" s="1" t="s">
        <v>15</v>
      </c>
      <c r="M913" s="1" t="s">
        <v>14</v>
      </c>
    </row>
    <row r="914" spans="1:13" x14ac:dyDescent="0.3">
      <c r="A914" s="1"/>
      <c r="B914" s="1" t="s">
        <v>2520</v>
      </c>
      <c r="C914" s="1" t="s">
        <v>465</v>
      </c>
      <c r="D914" s="1" t="s">
        <v>469</v>
      </c>
      <c r="E914" s="1" t="s">
        <v>471</v>
      </c>
      <c r="F914" s="1"/>
      <c r="G914" s="1" t="s">
        <v>98</v>
      </c>
      <c r="H914" s="1" t="s">
        <v>468</v>
      </c>
      <c r="I914" s="1" t="s">
        <v>469</v>
      </c>
      <c r="J914" s="1"/>
      <c r="K914" s="1" t="s">
        <v>2521</v>
      </c>
      <c r="L914" s="1" t="s">
        <v>15</v>
      </c>
      <c r="M914" s="1" t="s">
        <v>14</v>
      </c>
    </row>
    <row r="915" spans="1:13" x14ac:dyDescent="0.3">
      <c r="A915" s="1"/>
      <c r="B915" s="1" t="s">
        <v>2522</v>
      </c>
      <c r="C915" s="1" t="s">
        <v>465</v>
      </c>
      <c r="D915" s="1" t="s">
        <v>469</v>
      </c>
      <c r="E915" s="1" t="s">
        <v>471</v>
      </c>
      <c r="F915" s="1"/>
      <c r="G915" s="1" t="s">
        <v>98</v>
      </c>
      <c r="H915" s="1" t="s">
        <v>475</v>
      </c>
      <c r="I915" s="1" t="s">
        <v>469</v>
      </c>
      <c r="J915" s="1"/>
      <c r="K915" s="1" t="s">
        <v>2521</v>
      </c>
      <c r="L915" s="1" t="s">
        <v>15</v>
      </c>
      <c r="M915" s="1" t="s">
        <v>14</v>
      </c>
    </row>
    <row r="916" spans="1:13" x14ac:dyDescent="0.3">
      <c r="A916" s="1"/>
      <c r="B916" s="1" t="s">
        <v>2523</v>
      </c>
      <c r="C916" s="1" t="s">
        <v>465</v>
      </c>
      <c r="D916" s="1" t="s">
        <v>469</v>
      </c>
      <c r="E916" s="1" t="s">
        <v>471</v>
      </c>
      <c r="F916" s="1"/>
      <c r="G916" s="1" t="s">
        <v>98</v>
      </c>
      <c r="H916" s="1" t="s">
        <v>479</v>
      </c>
      <c r="I916" s="1" t="s">
        <v>469</v>
      </c>
      <c r="J916" s="1"/>
      <c r="K916" s="1" t="s">
        <v>2521</v>
      </c>
      <c r="L916" s="1" t="s">
        <v>15</v>
      </c>
      <c r="M916" s="1" t="s">
        <v>14</v>
      </c>
    </row>
    <row r="917" spans="1:13" x14ac:dyDescent="0.3">
      <c r="A917" s="1"/>
      <c r="B917" s="1" t="s">
        <v>2524</v>
      </c>
      <c r="C917" s="1" t="s">
        <v>465</v>
      </c>
      <c r="D917" s="1" t="s">
        <v>469</v>
      </c>
      <c r="E917" s="1" t="s">
        <v>471</v>
      </c>
      <c r="F917" s="1"/>
      <c r="G917" s="1" t="s">
        <v>98</v>
      </c>
      <c r="H917" s="1" t="s">
        <v>483</v>
      </c>
      <c r="I917" s="1" t="s">
        <v>469</v>
      </c>
      <c r="J917" s="1"/>
      <c r="K917" s="1" t="s">
        <v>2521</v>
      </c>
      <c r="L917" s="1" t="s">
        <v>15</v>
      </c>
      <c r="M917" s="1" t="s">
        <v>14</v>
      </c>
    </row>
    <row r="918" spans="1:13" x14ac:dyDescent="0.3">
      <c r="A918" s="1"/>
      <c r="B918" s="1" t="s">
        <v>2525</v>
      </c>
      <c r="C918" s="1" t="s">
        <v>465</v>
      </c>
      <c r="D918" s="1" t="s">
        <v>469</v>
      </c>
      <c r="E918" s="1" t="s">
        <v>471</v>
      </c>
      <c r="F918" s="1"/>
      <c r="G918" s="1" t="s">
        <v>98</v>
      </c>
      <c r="H918" s="1" t="s">
        <v>487</v>
      </c>
      <c r="I918" s="1" t="s">
        <v>469</v>
      </c>
      <c r="J918" s="1"/>
      <c r="K918" s="1" t="s">
        <v>2521</v>
      </c>
      <c r="L918" s="1" t="s">
        <v>15</v>
      </c>
      <c r="M918" s="1" t="s">
        <v>14</v>
      </c>
    </row>
    <row r="919" spans="1:13" x14ac:dyDescent="0.3">
      <c r="A919" s="1"/>
      <c r="B919" s="1" t="s">
        <v>469</v>
      </c>
      <c r="C919" s="1" t="s">
        <v>465</v>
      </c>
      <c r="D919" s="1" t="s">
        <v>469</v>
      </c>
      <c r="E919" s="1" t="s">
        <v>471</v>
      </c>
      <c r="F919" s="1"/>
      <c r="G919" s="1" t="s">
        <v>98</v>
      </c>
      <c r="H919" s="1" t="s">
        <v>469</v>
      </c>
      <c r="I919" s="1" t="s">
        <v>469</v>
      </c>
      <c r="J919" s="1"/>
      <c r="K919" s="1" t="s">
        <v>2521</v>
      </c>
      <c r="L919" s="1" t="s">
        <v>15</v>
      </c>
      <c r="M919" s="1" t="s">
        <v>14</v>
      </c>
    </row>
    <row r="920" spans="1:13" x14ac:dyDescent="0.3">
      <c r="A920" s="1"/>
      <c r="B920" s="1" t="s">
        <v>2526</v>
      </c>
      <c r="C920" s="1" t="s">
        <v>17</v>
      </c>
      <c r="D920" s="1" t="s">
        <v>1538</v>
      </c>
      <c r="E920" s="1" t="s">
        <v>19</v>
      </c>
      <c r="F920" s="1" t="s">
        <v>1551</v>
      </c>
      <c r="G920" s="1" t="s">
        <v>98</v>
      </c>
      <c r="H920" s="1" t="s">
        <v>2527</v>
      </c>
      <c r="I920" s="1" t="s">
        <v>1540</v>
      </c>
      <c r="J920" s="1" t="s">
        <v>2527</v>
      </c>
      <c r="K920" s="1" t="s">
        <v>2528</v>
      </c>
      <c r="L920" s="1" t="s">
        <v>15</v>
      </c>
      <c r="M920" s="1" t="s">
        <v>14</v>
      </c>
    </row>
    <row r="921" spans="1:13" x14ac:dyDescent="0.3">
      <c r="A921" s="1"/>
      <c r="B921" s="1" t="s">
        <v>2529</v>
      </c>
      <c r="C921" s="1" t="s">
        <v>17</v>
      </c>
      <c r="D921" s="1" t="s">
        <v>1323</v>
      </c>
      <c r="E921" s="1" t="s">
        <v>19</v>
      </c>
      <c r="F921" s="1" t="s">
        <v>1320</v>
      </c>
      <c r="G921" s="1" t="s">
        <v>98</v>
      </c>
      <c r="H921" s="1" t="s">
        <v>2530</v>
      </c>
      <c r="I921" s="1" t="s">
        <v>1325</v>
      </c>
      <c r="J921" s="1"/>
      <c r="K921" s="1" t="s">
        <v>2528</v>
      </c>
      <c r="L921" s="1" t="s">
        <v>15</v>
      </c>
      <c r="M921" s="1" t="s">
        <v>14</v>
      </c>
    </row>
    <row r="922" spans="1:13" x14ac:dyDescent="0.3">
      <c r="A922" s="1"/>
      <c r="B922" s="1" t="s">
        <v>1318</v>
      </c>
      <c r="C922" s="1" t="s">
        <v>17</v>
      </c>
      <c r="D922" s="1" t="s">
        <v>2531</v>
      </c>
      <c r="E922" s="1" t="s">
        <v>19</v>
      </c>
      <c r="F922" s="1" t="s">
        <v>1320</v>
      </c>
      <c r="G922" s="1" t="s">
        <v>98</v>
      </c>
      <c r="H922" s="1" t="s">
        <v>1324</v>
      </c>
      <c r="I922" s="1" t="s">
        <v>1325</v>
      </c>
      <c r="J922" s="1"/>
      <c r="K922" s="1" t="s">
        <v>2528</v>
      </c>
      <c r="L922" s="1" t="s">
        <v>15</v>
      </c>
      <c r="M922" s="1" t="s">
        <v>14</v>
      </c>
    </row>
    <row r="923" spans="1:13" x14ac:dyDescent="0.3">
      <c r="A923" s="1"/>
      <c r="B923" s="1" t="s">
        <v>2532</v>
      </c>
      <c r="C923" s="1" t="s">
        <v>465</v>
      </c>
      <c r="D923" s="1" t="s">
        <v>2410</v>
      </c>
      <c r="E923" s="1" t="s">
        <v>471</v>
      </c>
      <c r="F923" s="1"/>
      <c r="G923" s="1" t="s">
        <v>98</v>
      </c>
      <c r="H923" s="1" t="s">
        <v>2533</v>
      </c>
      <c r="I923" s="1" t="s">
        <v>2410</v>
      </c>
      <c r="J923" s="1" t="s">
        <v>2534</v>
      </c>
      <c r="K923" s="1" t="s">
        <v>2528</v>
      </c>
      <c r="L923" s="1" t="s">
        <v>15</v>
      </c>
      <c r="M923" s="1" t="s">
        <v>14</v>
      </c>
    </row>
    <row r="924" spans="1:13" x14ac:dyDescent="0.3">
      <c r="A924" s="1"/>
      <c r="B924" s="1" t="s">
        <v>2535</v>
      </c>
      <c r="C924" s="1" t="s">
        <v>492</v>
      </c>
      <c r="D924" s="1" t="s">
        <v>2536</v>
      </c>
      <c r="E924" s="1" t="s">
        <v>19</v>
      </c>
      <c r="F924" s="1" t="s">
        <v>1280</v>
      </c>
      <c r="G924" s="1" t="s">
        <v>98</v>
      </c>
      <c r="H924" s="1" t="s">
        <v>99</v>
      </c>
      <c r="I924" s="1" t="s">
        <v>2536</v>
      </c>
      <c r="J924" s="1"/>
      <c r="K924" s="1" t="s">
        <v>2528</v>
      </c>
      <c r="L924" s="1" t="s">
        <v>15</v>
      </c>
      <c r="M924" s="1" t="s">
        <v>14</v>
      </c>
    </row>
    <row r="925" spans="1:13" x14ac:dyDescent="0.3">
      <c r="A925" s="1"/>
      <c r="B925" s="1" t="s">
        <v>1366</v>
      </c>
      <c r="C925" s="1" t="s">
        <v>492</v>
      </c>
      <c r="D925" s="1" t="s">
        <v>2536</v>
      </c>
      <c r="E925" s="1" t="s">
        <v>19</v>
      </c>
      <c r="F925" s="1" t="s">
        <v>1280</v>
      </c>
      <c r="G925" s="1" t="s">
        <v>98</v>
      </c>
      <c r="H925" s="1" t="s">
        <v>2537</v>
      </c>
      <c r="I925" s="1" t="s">
        <v>2536</v>
      </c>
      <c r="J925" s="1"/>
      <c r="K925" s="1" t="s">
        <v>2528</v>
      </c>
      <c r="L925" s="1" t="s">
        <v>15</v>
      </c>
      <c r="M925" s="1" t="s">
        <v>14</v>
      </c>
    </row>
    <row r="926" spans="1:13" x14ac:dyDescent="0.3">
      <c r="A926" s="1"/>
      <c r="B926" s="1" t="s">
        <v>2538</v>
      </c>
      <c r="C926" s="1" t="s">
        <v>492</v>
      </c>
      <c r="D926" s="1" t="s">
        <v>2536</v>
      </c>
      <c r="E926" s="1" t="s">
        <v>19</v>
      </c>
      <c r="F926" s="1" t="s">
        <v>1280</v>
      </c>
      <c r="G926" s="1" t="s">
        <v>98</v>
      </c>
      <c r="H926" s="1" t="s">
        <v>2539</v>
      </c>
      <c r="I926" s="1" t="s">
        <v>2536</v>
      </c>
      <c r="J926" s="1"/>
      <c r="K926" s="1" t="s">
        <v>2528</v>
      </c>
      <c r="L926" s="1" t="s">
        <v>15</v>
      </c>
      <c r="M926" s="1" t="s">
        <v>14</v>
      </c>
    </row>
    <row r="927" spans="1:13" x14ac:dyDescent="0.3">
      <c r="A927" s="1"/>
      <c r="B927" s="1" t="s">
        <v>2540</v>
      </c>
      <c r="C927" s="1" t="s">
        <v>492</v>
      </c>
      <c r="D927" s="1" t="s">
        <v>2536</v>
      </c>
      <c r="E927" s="1" t="s">
        <v>19</v>
      </c>
      <c r="F927" s="1" t="s">
        <v>1280</v>
      </c>
      <c r="G927" s="1" t="s">
        <v>98</v>
      </c>
      <c r="H927" s="1" t="s">
        <v>2541</v>
      </c>
      <c r="I927" s="1" t="s">
        <v>2536</v>
      </c>
      <c r="J927" s="1"/>
      <c r="K927" s="1" t="s">
        <v>2528</v>
      </c>
      <c r="L927" s="1" t="s">
        <v>15</v>
      </c>
      <c r="M927" s="1" t="s">
        <v>14</v>
      </c>
    </row>
    <row r="928" spans="1:13" x14ac:dyDescent="0.3">
      <c r="A928" s="1"/>
      <c r="B928" s="1" t="s">
        <v>2542</v>
      </c>
      <c r="C928" s="1" t="s">
        <v>492</v>
      </c>
      <c r="D928" s="1" t="s">
        <v>2543</v>
      </c>
      <c r="E928" s="1"/>
      <c r="F928" s="1" t="s">
        <v>2231</v>
      </c>
      <c r="G928" s="1" t="s">
        <v>98</v>
      </c>
      <c r="H928" s="1" t="s">
        <v>2544</v>
      </c>
      <c r="I928" s="1" t="s">
        <v>2545</v>
      </c>
      <c r="J928" s="1"/>
      <c r="K928" s="1" t="s">
        <v>2528</v>
      </c>
      <c r="L928" s="1" t="s">
        <v>15</v>
      </c>
      <c r="M928" s="1" t="s">
        <v>14</v>
      </c>
    </row>
    <row r="929" spans="1:13" x14ac:dyDescent="0.3">
      <c r="A929" s="1"/>
      <c r="B929" s="1" t="s">
        <v>2546</v>
      </c>
      <c r="C929" s="1" t="s">
        <v>492</v>
      </c>
      <c r="D929" s="1" t="s">
        <v>2543</v>
      </c>
      <c r="E929" s="1"/>
      <c r="F929" s="1" t="s">
        <v>2231</v>
      </c>
      <c r="G929" s="1" t="s">
        <v>98</v>
      </c>
      <c r="H929" s="1" t="s">
        <v>2547</v>
      </c>
      <c r="I929" s="1" t="s">
        <v>2545</v>
      </c>
      <c r="J929" s="1"/>
      <c r="K929" s="1" t="s">
        <v>2528</v>
      </c>
      <c r="L929" s="1" t="s">
        <v>15</v>
      </c>
      <c r="M929" s="1" t="s">
        <v>14</v>
      </c>
    </row>
    <row r="930" spans="1:13" x14ac:dyDescent="0.3">
      <c r="A930" s="1"/>
      <c r="B930" s="1" t="s">
        <v>2548</v>
      </c>
      <c r="C930" s="1" t="s">
        <v>492</v>
      </c>
      <c r="D930" s="1" t="s">
        <v>2543</v>
      </c>
      <c r="E930" s="1"/>
      <c r="F930" s="1" t="s">
        <v>2231</v>
      </c>
      <c r="G930" s="1" t="s">
        <v>98</v>
      </c>
      <c r="H930" s="1" t="s">
        <v>2549</v>
      </c>
      <c r="I930" s="1" t="s">
        <v>2545</v>
      </c>
      <c r="J930" s="1"/>
      <c r="K930" s="1" t="s">
        <v>2528</v>
      </c>
      <c r="L930" s="1" t="s">
        <v>15</v>
      </c>
      <c r="M930" s="1" t="s">
        <v>14</v>
      </c>
    </row>
    <row r="931" spans="1:13" x14ac:dyDescent="0.3">
      <c r="A931" s="1"/>
      <c r="B931" s="1" t="s">
        <v>2550</v>
      </c>
      <c r="C931" s="1" t="s">
        <v>492</v>
      </c>
      <c r="D931" s="1" t="s">
        <v>2543</v>
      </c>
      <c r="E931" s="1"/>
      <c r="F931" s="1" t="s">
        <v>2231</v>
      </c>
      <c r="G931" s="1" t="s">
        <v>98</v>
      </c>
      <c r="H931" s="1" t="s">
        <v>2551</v>
      </c>
      <c r="I931" s="1" t="s">
        <v>2545</v>
      </c>
      <c r="J931" s="1"/>
      <c r="K931" s="1" t="s">
        <v>2528</v>
      </c>
      <c r="L931" s="1" t="s">
        <v>15</v>
      </c>
      <c r="M931" s="1" t="s">
        <v>14</v>
      </c>
    </row>
    <row r="932" spans="1:13" x14ac:dyDescent="0.3">
      <c r="A932" s="1"/>
      <c r="B932" s="1" t="s">
        <v>2552</v>
      </c>
      <c r="C932" s="1" t="s">
        <v>492</v>
      </c>
      <c r="D932" s="1" t="s">
        <v>2543</v>
      </c>
      <c r="E932" s="1"/>
      <c r="F932" s="1" t="s">
        <v>2231</v>
      </c>
      <c r="G932" s="1" t="s">
        <v>98</v>
      </c>
      <c r="H932" s="1" t="s">
        <v>2553</v>
      </c>
      <c r="I932" s="1" t="s">
        <v>2545</v>
      </c>
      <c r="J932" s="1"/>
      <c r="K932" s="1" t="s">
        <v>2528</v>
      </c>
      <c r="L932" s="1" t="s">
        <v>15</v>
      </c>
      <c r="M932" s="1" t="s">
        <v>14</v>
      </c>
    </row>
    <row r="933" spans="1:13" x14ac:dyDescent="0.3">
      <c r="A933" s="1"/>
      <c r="B933" s="1" t="s">
        <v>2554</v>
      </c>
      <c r="C933" s="1" t="s">
        <v>492</v>
      </c>
      <c r="D933" s="1" t="s">
        <v>2543</v>
      </c>
      <c r="E933" s="1"/>
      <c r="F933" s="1" t="s">
        <v>2231</v>
      </c>
      <c r="G933" s="1" t="s">
        <v>98</v>
      </c>
      <c r="H933" s="1" t="s">
        <v>2555</v>
      </c>
      <c r="I933" s="1" t="s">
        <v>2545</v>
      </c>
      <c r="J933" s="1"/>
      <c r="K933" s="1" t="s">
        <v>2528</v>
      </c>
      <c r="L933" s="1" t="s">
        <v>15</v>
      </c>
      <c r="M933" s="1" t="s">
        <v>14</v>
      </c>
    </row>
    <row r="934" spans="1:13" x14ac:dyDescent="0.3">
      <c r="A934" s="1"/>
      <c r="B934" s="1" t="s">
        <v>2556</v>
      </c>
      <c r="C934" s="1" t="s">
        <v>492</v>
      </c>
      <c r="D934" s="1" t="s">
        <v>2543</v>
      </c>
      <c r="E934" s="1"/>
      <c r="F934" s="1" t="s">
        <v>2231</v>
      </c>
      <c r="G934" s="1" t="s">
        <v>98</v>
      </c>
      <c r="H934" s="1" t="s">
        <v>2557</v>
      </c>
      <c r="I934" s="1" t="s">
        <v>2545</v>
      </c>
      <c r="J934" s="1"/>
      <c r="K934" s="1" t="s">
        <v>2528</v>
      </c>
      <c r="L934" s="1" t="s">
        <v>15</v>
      </c>
      <c r="M934" s="1" t="s">
        <v>14</v>
      </c>
    </row>
    <row r="935" spans="1:13" x14ac:dyDescent="0.3">
      <c r="A935" s="1"/>
      <c r="B935" s="1" t="s">
        <v>2558</v>
      </c>
      <c r="C935" s="1" t="s">
        <v>465</v>
      </c>
      <c r="D935" s="1" t="s">
        <v>2229</v>
      </c>
      <c r="E935" s="1"/>
      <c r="F935" s="1" t="s">
        <v>2231</v>
      </c>
      <c r="G935" s="1" t="s">
        <v>98</v>
      </c>
      <c r="H935" s="1" t="s">
        <v>2559</v>
      </c>
      <c r="I935" s="1" t="s">
        <v>2545</v>
      </c>
      <c r="J935" s="1"/>
      <c r="K935" s="1" t="s">
        <v>2528</v>
      </c>
      <c r="L935" s="1" t="s">
        <v>15</v>
      </c>
      <c r="M935" s="1" t="s">
        <v>14</v>
      </c>
    </row>
    <row r="936" spans="1:13" x14ac:dyDescent="0.3">
      <c r="A936" s="1"/>
      <c r="B936" s="1" t="s">
        <v>2560</v>
      </c>
      <c r="C936" s="1" t="s">
        <v>465</v>
      </c>
      <c r="D936" s="1" t="s">
        <v>2229</v>
      </c>
      <c r="E936" s="1"/>
      <c r="F936" s="1" t="s">
        <v>2231</v>
      </c>
      <c r="G936" s="1" t="s">
        <v>98</v>
      </c>
      <c r="H936" s="1" t="s">
        <v>2561</v>
      </c>
      <c r="I936" s="1" t="s">
        <v>2545</v>
      </c>
      <c r="J936" s="1"/>
      <c r="K936" s="1" t="s">
        <v>2528</v>
      </c>
      <c r="L936" s="1" t="s">
        <v>15</v>
      </c>
      <c r="M936" s="1" t="s">
        <v>14</v>
      </c>
    </row>
    <row r="937" spans="1:13" x14ac:dyDescent="0.3">
      <c r="A937" s="1"/>
      <c r="B937" s="1" t="s">
        <v>2562</v>
      </c>
      <c r="C937" s="1" t="s">
        <v>465</v>
      </c>
      <c r="D937" s="1" t="s">
        <v>2229</v>
      </c>
      <c r="E937" s="1"/>
      <c r="F937" s="1" t="s">
        <v>2231</v>
      </c>
      <c r="G937" s="1" t="s">
        <v>98</v>
      </c>
      <c r="H937" s="1" t="s">
        <v>2563</v>
      </c>
      <c r="I937" s="1" t="s">
        <v>2545</v>
      </c>
      <c r="J937" s="1"/>
      <c r="K937" s="1" t="s">
        <v>2528</v>
      </c>
      <c r="L937" s="1" t="s">
        <v>15</v>
      </c>
      <c r="M937" s="1" t="s">
        <v>14</v>
      </c>
    </row>
    <row r="938" spans="1:13" x14ac:dyDescent="0.3">
      <c r="A938" s="1"/>
      <c r="B938" s="1" t="s">
        <v>2564</v>
      </c>
      <c r="C938" s="1" t="s">
        <v>465</v>
      </c>
      <c r="D938" s="1" t="s">
        <v>2229</v>
      </c>
      <c r="E938" s="1"/>
      <c r="F938" s="1" t="s">
        <v>2231</v>
      </c>
      <c r="G938" s="1" t="s">
        <v>98</v>
      </c>
      <c r="H938" s="1" t="s">
        <v>2565</v>
      </c>
      <c r="I938" s="1" t="s">
        <v>2545</v>
      </c>
      <c r="J938" s="1"/>
      <c r="K938" s="1" t="s">
        <v>2528</v>
      </c>
      <c r="L938" s="1" t="s">
        <v>15</v>
      </c>
      <c r="M938" s="1" t="s">
        <v>14</v>
      </c>
    </row>
    <row r="939" spans="1:13" x14ac:dyDescent="0.3">
      <c r="A939" s="1"/>
      <c r="B939" s="1" t="s">
        <v>2566</v>
      </c>
      <c r="C939" s="1" t="s">
        <v>465</v>
      </c>
      <c r="D939" s="1" t="s">
        <v>2229</v>
      </c>
      <c r="E939" s="1"/>
      <c r="F939" s="1" t="s">
        <v>2231</v>
      </c>
      <c r="G939" s="1" t="s">
        <v>98</v>
      </c>
      <c r="H939" s="1" t="s">
        <v>2567</v>
      </c>
      <c r="I939" s="1" t="s">
        <v>2545</v>
      </c>
      <c r="J939" s="1"/>
      <c r="K939" s="1" t="s">
        <v>2528</v>
      </c>
      <c r="L939" s="1" t="s">
        <v>15</v>
      </c>
      <c r="M939" s="1" t="s">
        <v>14</v>
      </c>
    </row>
    <row r="940" spans="1:13" x14ac:dyDescent="0.3">
      <c r="A940" s="1"/>
      <c r="B940" s="1" t="s">
        <v>2568</v>
      </c>
      <c r="C940" s="1" t="s">
        <v>465</v>
      </c>
      <c r="D940" s="1" t="s">
        <v>2229</v>
      </c>
      <c r="E940" s="1"/>
      <c r="F940" s="1" t="s">
        <v>2231</v>
      </c>
      <c r="G940" s="1" t="s">
        <v>98</v>
      </c>
      <c r="H940" s="1" t="s">
        <v>2569</v>
      </c>
      <c r="I940" s="1" t="s">
        <v>2545</v>
      </c>
      <c r="J940" s="1"/>
      <c r="K940" s="1" t="s">
        <v>2528</v>
      </c>
      <c r="L940" s="1" t="s">
        <v>15</v>
      </c>
      <c r="M940" s="1" t="s">
        <v>14</v>
      </c>
    </row>
    <row r="941" spans="1:13" x14ac:dyDescent="0.3">
      <c r="A941" s="1"/>
      <c r="B941" s="1" t="s">
        <v>2570</v>
      </c>
      <c r="C941" s="1" t="s">
        <v>465</v>
      </c>
      <c r="D941" s="1" t="s">
        <v>2229</v>
      </c>
      <c r="E941" s="1"/>
      <c r="F941" s="1" t="s">
        <v>2231</v>
      </c>
      <c r="G941" s="1" t="s">
        <v>98</v>
      </c>
      <c r="H941" s="1" t="s">
        <v>2571</v>
      </c>
      <c r="I941" s="1" t="s">
        <v>2545</v>
      </c>
      <c r="J941" s="1"/>
      <c r="K941" s="1" t="s">
        <v>2528</v>
      </c>
      <c r="L941" s="1" t="s">
        <v>15</v>
      </c>
      <c r="M941" s="1" t="s">
        <v>14</v>
      </c>
    </row>
    <row r="942" spans="1:13" x14ac:dyDescent="0.3">
      <c r="A942" s="1"/>
      <c r="B942" s="1" t="s">
        <v>2572</v>
      </c>
      <c r="C942" s="1" t="s">
        <v>465</v>
      </c>
      <c r="D942" s="1" t="s">
        <v>2229</v>
      </c>
      <c r="E942" s="1"/>
      <c r="F942" s="1" t="s">
        <v>2231</v>
      </c>
      <c r="G942" s="1" t="s">
        <v>98</v>
      </c>
      <c r="H942" s="1" t="s">
        <v>2573</v>
      </c>
      <c r="I942" s="1" t="s">
        <v>2545</v>
      </c>
      <c r="J942" s="1"/>
      <c r="K942" s="1" t="s">
        <v>2528</v>
      </c>
      <c r="L942" s="1" t="s">
        <v>15</v>
      </c>
      <c r="M942" s="1" t="s">
        <v>14</v>
      </c>
    </row>
    <row r="943" spans="1:13" x14ac:dyDescent="0.3">
      <c r="A943" s="1"/>
      <c r="B943" s="1" t="s">
        <v>2574</v>
      </c>
      <c r="C943" s="1" t="s">
        <v>465</v>
      </c>
      <c r="D943" s="1" t="s">
        <v>2229</v>
      </c>
      <c r="E943" s="1"/>
      <c r="F943" s="1" t="s">
        <v>2231</v>
      </c>
      <c r="G943" s="1" t="s">
        <v>98</v>
      </c>
      <c r="H943" s="1" t="s">
        <v>2575</v>
      </c>
      <c r="I943" s="1" t="s">
        <v>2545</v>
      </c>
      <c r="J943" s="1"/>
      <c r="K943" s="1" t="s">
        <v>2528</v>
      </c>
      <c r="L943" s="1" t="s">
        <v>15</v>
      </c>
      <c r="M943" s="1" t="s">
        <v>14</v>
      </c>
    </row>
    <row r="944" spans="1:13" x14ac:dyDescent="0.3">
      <c r="A944" s="1"/>
      <c r="B944" s="1" t="s">
        <v>2576</v>
      </c>
      <c r="C944" s="1" t="s">
        <v>465</v>
      </c>
      <c r="D944" s="1" t="s">
        <v>2229</v>
      </c>
      <c r="E944" s="1"/>
      <c r="F944" s="1" t="s">
        <v>2231</v>
      </c>
      <c r="G944" s="1" t="s">
        <v>98</v>
      </c>
      <c r="H944" s="1" t="s">
        <v>2577</v>
      </c>
      <c r="I944" s="1" t="s">
        <v>2545</v>
      </c>
      <c r="J944" s="1"/>
      <c r="K944" s="1" t="s">
        <v>2528</v>
      </c>
      <c r="L944" s="1" t="s">
        <v>15</v>
      </c>
      <c r="M944" s="1" t="s">
        <v>14</v>
      </c>
    </row>
    <row r="945" spans="1:13" x14ac:dyDescent="0.3">
      <c r="A945" s="1"/>
      <c r="B945" s="1" t="s">
        <v>2578</v>
      </c>
      <c r="C945" s="1" t="s">
        <v>465</v>
      </c>
      <c r="D945" s="1" t="s">
        <v>2229</v>
      </c>
      <c r="E945" s="1"/>
      <c r="F945" s="1" t="s">
        <v>2231</v>
      </c>
      <c r="G945" s="1" t="s">
        <v>98</v>
      </c>
      <c r="H945" s="1" t="s">
        <v>2579</v>
      </c>
      <c r="I945" s="1" t="s">
        <v>2545</v>
      </c>
      <c r="J945" s="1"/>
      <c r="K945" s="1" t="s">
        <v>2528</v>
      </c>
      <c r="L945" s="1" t="s">
        <v>15</v>
      </c>
      <c r="M945" s="1" t="s">
        <v>14</v>
      </c>
    </row>
    <row r="946" spans="1:13" x14ac:dyDescent="0.3">
      <c r="A946" s="1"/>
      <c r="B946" s="1" t="s">
        <v>2580</v>
      </c>
      <c r="C946" s="1" t="s">
        <v>465</v>
      </c>
      <c r="D946" s="1" t="s">
        <v>2229</v>
      </c>
      <c r="E946" s="1"/>
      <c r="F946" s="1" t="s">
        <v>2231</v>
      </c>
      <c r="G946" s="1" t="s">
        <v>98</v>
      </c>
      <c r="H946" s="1" t="s">
        <v>2581</v>
      </c>
      <c r="I946" s="1" t="s">
        <v>2545</v>
      </c>
      <c r="J946" s="1"/>
      <c r="K946" s="1" t="s">
        <v>2528</v>
      </c>
      <c r="L946" s="1" t="s">
        <v>15</v>
      </c>
      <c r="M946" s="1" t="s">
        <v>14</v>
      </c>
    </row>
    <row r="947" spans="1:13" x14ac:dyDescent="0.3">
      <c r="A947" s="1"/>
      <c r="B947" s="1" t="s">
        <v>2582</v>
      </c>
      <c r="C947" s="1" t="s">
        <v>465</v>
      </c>
      <c r="D947" s="1" t="s">
        <v>2229</v>
      </c>
      <c r="E947" s="1"/>
      <c r="F947" s="1" t="s">
        <v>2231</v>
      </c>
      <c r="G947" s="1" t="s">
        <v>98</v>
      </c>
      <c r="H947" s="1" t="s">
        <v>2583</v>
      </c>
      <c r="I947" s="1" t="s">
        <v>2545</v>
      </c>
      <c r="J947" s="1"/>
      <c r="K947" s="1" t="s">
        <v>2528</v>
      </c>
      <c r="L947" s="1" t="s">
        <v>15</v>
      </c>
      <c r="M947" s="1" t="s">
        <v>14</v>
      </c>
    </row>
    <row r="948" spans="1:13" x14ac:dyDescent="0.3">
      <c r="A948" s="1"/>
      <c r="B948" s="1" t="s">
        <v>2584</v>
      </c>
      <c r="C948" s="1" t="s">
        <v>465</v>
      </c>
      <c r="D948" s="1" t="s">
        <v>2229</v>
      </c>
      <c r="E948" s="1"/>
      <c r="F948" s="1" t="s">
        <v>2231</v>
      </c>
      <c r="G948" s="1" t="s">
        <v>98</v>
      </c>
      <c r="H948" s="1" t="s">
        <v>2585</v>
      </c>
      <c r="I948" s="1" t="s">
        <v>2545</v>
      </c>
      <c r="J948" s="1"/>
      <c r="K948" s="1" t="s">
        <v>2528</v>
      </c>
      <c r="L948" s="1" t="s">
        <v>15</v>
      </c>
      <c r="M948" s="1" t="s">
        <v>14</v>
      </c>
    </row>
    <row r="949" spans="1:13" x14ac:dyDescent="0.3">
      <c r="A949" s="1"/>
      <c r="B949" s="1" t="s">
        <v>2586</v>
      </c>
      <c r="C949" s="1" t="s">
        <v>465</v>
      </c>
      <c r="D949" s="1" t="s">
        <v>2229</v>
      </c>
      <c r="E949" s="1"/>
      <c r="F949" s="1" t="s">
        <v>2231</v>
      </c>
      <c r="G949" s="1" t="s">
        <v>98</v>
      </c>
      <c r="H949" s="1" t="s">
        <v>2587</v>
      </c>
      <c r="I949" s="1" t="s">
        <v>2545</v>
      </c>
      <c r="J949" s="1"/>
      <c r="K949" s="1" t="s">
        <v>2528</v>
      </c>
      <c r="L949" s="1" t="s">
        <v>15</v>
      </c>
      <c r="M949" s="1" t="s">
        <v>14</v>
      </c>
    </row>
    <row r="950" spans="1:13" x14ac:dyDescent="0.3">
      <c r="A950" s="1"/>
      <c r="B950" s="1" t="s">
        <v>2588</v>
      </c>
      <c r="C950" s="1" t="s">
        <v>465</v>
      </c>
      <c r="D950" s="1" t="s">
        <v>2229</v>
      </c>
      <c r="E950" s="1"/>
      <c r="F950" s="1" t="s">
        <v>2231</v>
      </c>
      <c r="G950" s="1" t="s">
        <v>98</v>
      </c>
      <c r="H950" s="1" t="s">
        <v>2589</v>
      </c>
      <c r="I950" s="1" t="s">
        <v>2545</v>
      </c>
      <c r="J950" s="1"/>
      <c r="K950" s="1" t="s">
        <v>2528</v>
      </c>
      <c r="L950" s="1" t="s">
        <v>15</v>
      </c>
      <c r="M950" s="1" t="s">
        <v>14</v>
      </c>
    </row>
    <row r="951" spans="1:13" x14ac:dyDescent="0.3">
      <c r="A951" s="1"/>
      <c r="B951" s="1" t="s">
        <v>2590</v>
      </c>
      <c r="C951" s="1" t="s">
        <v>2591</v>
      </c>
      <c r="D951" s="1" t="s">
        <v>2591</v>
      </c>
      <c r="E951" s="1"/>
      <c r="F951" s="1" t="s">
        <v>2593</v>
      </c>
      <c r="G951" s="1" t="s">
        <v>98</v>
      </c>
      <c r="H951" s="1" t="s">
        <v>2592</v>
      </c>
      <c r="I951" s="1" t="s">
        <v>2591</v>
      </c>
      <c r="J951" s="1"/>
      <c r="K951" s="1" t="s">
        <v>472</v>
      </c>
      <c r="L951" s="1" t="s">
        <v>15</v>
      </c>
      <c r="M951" s="1" t="s">
        <v>14</v>
      </c>
    </row>
    <row r="952" spans="1:13" x14ac:dyDescent="0.3">
      <c r="A952" s="1"/>
      <c r="B952" s="1" t="s">
        <v>2594</v>
      </c>
      <c r="C952" s="1" t="s">
        <v>2591</v>
      </c>
      <c r="D952" s="1" t="s">
        <v>2591</v>
      </c>
      <c r="E952" s="1"/>
      <c r="F952" s="1" t="s">
        <v>2595</v>
      </c>
      <c r="G952" s="1" t="s">
        <v>98</v>
      </c>
      <c r="H952" s="1" t="s">
        <v>2410</v>
      </c>
      <c r="I952" s="1" t="s">
        <v>2591</v>
      </c>
      <c r="J952" s="1"/>
      <c r="K952" s="1" t="s">
        <v>472</v>
      </c>
      <c r="L952" s="1" t="s">
        <v>15</v>
      </c>
      <c r="M952" s="1" t="s">
        <v>14</v>
      </c>
    </row>
    <row r="953" spans="1:13" x14ac:dyDescent="0.3">
      <c r="A953" s="1"/>
      <c r="B953" s="1" t="s">
        <v>2596</v>
      </c>
      <c r="C953" s="1" t="s">
        <v>2591</v>
      </c>
      <c r="D953" s="1" t="s">
        <v>2591</v>
      </c>
      <c r="E953" s="1"/>
      <c r="F953" s="1" t="s">
        <v>2597</v>
      </c>
      <c r="G953" s="1" t="s">
        <v>98</v>
      </c>
      <c r="H953" s="1" t="s">
        <v>469</v>
      </c>
      <c r="I953" s="1" t="s">
        <v>2591</v>
      </c>
      <c r="J953" s="1"/>
      <c r="K953" s="1" t="s">
        <v>472</v>
      </c>
      <c r="L953" s="1" t="s">
        <v>15</v>
      </c>
      <c r="M953" s="1" t="s">
        <v>14</v>
      </c>
    </row>
    <row r="954" spans="1:13" x14ac:dyDescent="0.3">
      <c r="A954" s="1"/>
      <c r="B954" s="1" t="s">
        <v>2598</v>
      </c>
      <c r="C954" s="1" t="s">
        <v>2591</v>
      </c>
      <c r="D954" s="1" t="s">
        <v>2591</v>
      </c>
      <c r="E954" s="1"/>
      <c r="F954" s="1" t="s">
        <v>2599</v>
      </c>
      <c r="G954" s="1" t="s">
        <v>98</v>
      </c>
      <c r="H954" s="1" t="s">
        <v>495</v>
      </c>
      <c r="I954" s="1" t="s">
        <v>2591</v>
      </c>
      <c r="J954" s="1"/>
      <c r="K954" s="1" t="s">
        <v>472</v>
      </c>
      <c r="L954" s="1" t="s">
        <v>15</v>
      </c>
      <c r="M954" s="1" t="s">
        <v>14</v>
      </c>
    </row>
    <row r="955" spans="1:13" x14ac:dyDescent="0.3">
      <c r="A955" s="1"/>
      <c r="B955" s="1" t="s">
        <v>2600</v>
      </c>
      <c r="C955" s="1" t="s">
        <v>2591</v>
      </c>
      <c r="D955" s="1" t="s">
        <v>2591</v>
      </c>
      <c r="E955" s="1"/>
      <c r="F955" s="1" t="s">
        <v>2601</v>
      </c>
      <c r="G955" s="1" t="s">
        <v>98</v>
      </c>
      <c r="H955" s="1" t="s">
        <v>1336</v>
      </c>
      <c r="I955" s="1" t="s">
        <v>2591</v>
      </c>
      <c r="J955" s="1"/>
      <c r="K955" s="1" t="s">
        <v>472</v>
      </c>
      <c r="L955" s="1" t="s">
        <v>15</v>
      </c>
      <c r="M955" s="1" t="s">
        <v>14</v>
      </c>
    </row>
    <row r="956" spans="1:13" x14ac:dyDescent="0.3">
      <c r="A956" s="1"/>
      <c r="B956" s="1" t="s">
        <v>2602</v>
      </c>
      <c r="C956" s="1" t="s">
        <v>2591</v>
      </c>
      <c r="D956" s="1" t="s">
        <v>2591</v>
      </c>
      <c r="E956" s="1"/>
      <c r="F956" s="1" t="s">
        <v>2603</v>
      </c>
      <c r="G956" s="1" t="s">
        <v>98</v>
      </c>
      <c r="H956" s="1" t="s">
        <v>1540</v>
      </c>
      <c r="I956" s="1" t="s">
        <v>2591</v>
      </c>
      <c r="J956" s="1"/>
      <c r="K956" s="1" t="s">
        <v>472</v>
      </c>
      <c r="L956" s="1" t="s">
        <v>15</v>
      </c>
      <c r="M956" s="1" t="s">
        <v>14</v>
      </c>
    </row>
    <row r="957" spans="1:13" x14ac:dyDescent="0.3">
      <c r="A957" s="1"/>
      <c r="B957" s="1" t="s">
        <v>2604</v>
      </c>
      <c r="C957" s="1" t="s">
        <v>2591</v>
      </c>
      <c r="D957" s="1" t="s">
        <v>2591</v>
      </c>
      <c r="E957" s="1"/>
      <c r="F957" s="1" t="s">
        <v>2605</v>
      </c>
      <c r="G957" s="1" t="s">
        <v>98</v>
      </c>
      <c r="H957" s="1" t="s">
        <v>21</v>
      </c>
      <c r="I957" s="1" t="s">
        <v>2591</v>
      </c>
      <c r="J957" s="1"/>
      <c r="K957" s="1" t="s">
        <v>472</v>
      </c>
      <c r="L957" s="1" t="s">
        <v>15</v>
      </c>
      <c r="M957" s="1" t="s">
        <v>14</v>
      </c>
    </row>
    <row r="958" spans="1:13" x14ac:dyDescent="0.3">
      <c r="A958" s="1"/>
      <c r="B958" s="1" t="s">
        <v>2606</v>
      </c>
      <c r="C958" s="1" t="s">
        <v>2591</v>
      </c>
      <c r="D958" s="1" t="s">
        <v>2591</v>
      </c>
      <c r="E958" s="1"/>
      <c r="F958" s="1" t="s">
        <v>2607</v>
      </c>
      <c r="G958" s="1" t="s">
        <v>98</v>
      </c>
      <c r="H958" s="1" t="s">
        <v>731</v>
      </c>
      <c r="I958" s="1" t="s">
        <v>2591</v>
      </c>
      <c r="J958" s="1"/>
      <c r="K958" s="1" t="s">
        <v>472</v>
      </c>
      <c r="L958" s="1" t="s">
        <v>15</v>
      </c>
      <c r="M958" s="1" t="s">
        <v>14</v>
      </c>
    </row>
    <row r="959" spans="1:13" x14ac:dyDescent="0.3">
      <c r="A959" s="1"/>
      <c r="B959" s="1" t="s">
        <v>2608</v>
      </c>
      <c r="C959" s="1" t="s">
        <v>2591</v>
      </c>
      <c r="D959" s="1" t="s">
        <v>2591</v>
      </c>
      <c r="E959" s="1"/>
      <c r="F959" s="1" t="s">
        <v>2609</v>
      </c>
      <c r="G959" s="1" t="s">
        <v>98</v>
      </c>
      <c r="H959" s="1" t="s">
        <v>2266</v>
      </c>
      <c r="I959" s="1" t="s">
        <v>2591</v>
      </c>
      <c r="J959" s="1"/>
      <c r="K959" s="1" t="s">
        <v>472</v>
      </c>
      <c r="L959" s="1" t="s">
        <v>15</v>
      </c>
      <c r="M959" s="1" t="s">
        <v>14</v>
      </c>
    </row>
    <row r="960" spans="1:13" x14ac:dyDescent="0.3">
      <c r="A960" s="1"/>
      <c r="B960" s="1" t="s">
        <v>2610</v>
      </c>
      <c r="C960" s="1" t="s">
        <v>2591</v>
      </c>
      <c r="D960" s="1" t="s">
        <v>2591</v>
      </c>
      <c r="E960" s="1"/>
      <c r="F960" s="1" t="s">
        <v>2611</v>
      </c>
      <c r="G960" s="1" t="s">
        <v>98</v>
      </c>
      <c r="H960" s="1" t="s">
        <v>1259</v>
      </c>
      <c r="I960" s="1" t="s">
        <v>2591</v>
      </c>
      <c r="J960" s="1"/>
      <c r="K960" s="1" t="s">
        <v>472</v>
      </c>
      <c r="L960" s="1" t="s">
        <v>15</v>
      </c>
      <c r="M960" s="1" t="s">
        <v>14</v>
      </c>
    </row>
    <row r="961" spans="1:13" x14ac:dyDescent="0.3">
      <c r="A961" s="1"/>
      <c r="B961" s="1" t="s">
        <v>2612</v>
      </c>
      <c r="C961" s="1" t="s">
        <v>2591</v>
      </c>
      <c r="D961" s="1" t="s">
        <v>2591</v>
      </c>
      <c r="E961" s="1"/>
      <c r="F961" s="1" t="s">
        <v>1316</v>
      </c>
      <c r="G961" s="1" t="s">
        <v>98</v>
      </c>
      <c r="H961" s="1" t="s">
        <v>1288</v>
      </c>
      <c r="I961" s="1" t="s">
        <v>2591</v>
      </c>
      <c r="J961" s="1"/>
      <c r="K961" s="1" t="s">
        <v>472</v>
      </c>
      <c r="L961" s="1" t="s">
        <v>15</v>
      </c>
      <c r="M961" s="1" t="s">
        <v>14</v>
      </c>
    </row>
    <row r="962" spans="1:13" x14ac:dyDescent="0.3">
      <c r="A962" s="1"/>
      <c r="B962" s="1" t="s">
        <v>2613</v>
      </c>
      <c r="C962" s="1" t="s">
        <v>2591</v>
      </c>
      <c r="D962" s="1" t="s">
        <v>2591</v>
      </c>
      <c r="E962" s="1"/>
      <c r="F962" s="1" t="s">
        <v>2614</v>
      </c>
      <c r="G962" s="1" t="s">
        <v>98</v>
      </c>
      <c r="H962" s="1" t="s">
        <v>1902</v>
      </c>
      <c r="I962" s="1" t="s">
        <v>2591</v>
      </c>
      <c r="J962" s="1"/>
      <c r="K962" s="1" t="s">
        <v>472</v>
      </c>
      <c r="L962" s="1" t="s">
        <v>15</v>
      </c>
      <c r="M962" s="1" t="s">
        <v>14</v>
      </c>
    </row>
    <row r="963" spans="1:13" x14ac:dyDescent="0.3">
      <c r="A963" s="1"/>
      <c r="B963" s="1" t="s">
        <v>2615</v>
      </c>
      <c r="C963" s="1" t="s">
        <v>2591</v>
      </c>
      <c r="D963" s="1" t="s">
        <v>2591</v>
      </c>
      <c r="E963" s="1"/>
      <c r="F963" s="1"/>
      <c r="G963" s="1" t="s">
        <v>98</v>
      </c>
      <c r="H963" s="1" t="s">
        <v>2616</v>
      </c>
      <c r="I963" s="1" t="s">
        <v>2591</v>
      </c>
      <c r="J963" s="1"/>
      <c r="K963" s="1" t="s">
        <v>472</v>
      </c>
      <c r="L963" s="1" t="s">
        <v>15</v>
      </c>
      <c r="M963" s="1" t="s">
        <v>14</v>
      </c>
    </row>
    <row r="964" spans="1:13" x14ac:dyDescent="0.3">
      <c r="A964" s="1"/>
      <c r="B964" s="1" t="s">
        <v>2617</v>
      </c>
      <c r="C964" s="1" t="s">
        <v>465</v>
      </c>
      <c r="D964" s="1" t="s">
        <v>2410</v>
      </c>
      <c r="E964" s="1"/>
      <c r="F964" s="1"/>
      <c r="G964" s="1" t="s">
        <v>98</v>
      </c>
      <c r="H964" s="1" t="s">
        <v>2618</v>
      </c>
      <c r="I964" s="1" t="s">
        <v>2410</v>
      </c>
      <c r="J964" s="1" t="s">
        <v>2618</v>
      </c>
      <c r="K964" s="1" t="s">
        <v>472</v>
      </c>
      <c r="L964" s="1" t="s">
        <v>15</v>
      </c>
      <c r="M964" s="1" t="s">
        <v>14</v>
      </c>
    </row>
    <row r="965" spans="1:13" x14ac:dyDescent="0.3">
      <c r="A965" s="1"/>
      <c r="B965" s="1" t="s">
        <v>2619</v>
      </c>
      <c r="C965" s="1" t="s">
        <v>465</v>
      </c>
      <c r="D965" s="1" t="s">
        <v>469</v>
      </c>
      <c r="E965" s="1"/>
      <c r="F965" s="1"/>
      <c r="G965" s="1" t="s">
        <v>98</v>
      </c>
      <c r="H965" s="1" t="s">
        <v>2618</v>
      </c>
      <c r="I965" s="1" t="s">
        <v>469</v>
      </c>
      <c r="J965" s="1"/>
      <c r="K965" s="1" t="s">
        <v>472</v>
      </c>
      <c r="L965" s="1" t="s">
        <v>15</v>
      </c>
      <c r="M965" s="1" t="s">
        <v>14</v>
      </c>
    </row>
    <row r="966" spans="1:13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 t="s">
        <v>2528</v>
      </c>
      <c r="L966" s="1" t="s">
        <v>15</v>
      </c>
      <c r="M966" s="1" t="s">
        <v>14</v>
      </c>
    </row>
    <row r="967" spans="1:13" x14ac:dyDescent="0.3">
      <c r="A967" s="1"/>
      <c r="B967" s="1" t="s">
        <v>2620</v>
      </c>
      <c r="C967" s="1" t="s">
        <v>2096</v>
      </c>
      <c r="D967" s="1" t="s">
        <v>2097</v>
      </c>
      <c r="E967" s="1"/>
      <c r="F967" s="1"/>
      <c r="G967" s="1" t="s">
        <v>98</v>
      </c>
      <c r="H967" s="1" t="s">
        <v>2621</v>
      </c>
      <c r="I967" s="1"/>
      <c r="J967" s="1"/>
      <c r="K967" s="1" t="s">
        <v>2528</v>
      </c>
      <c r="L967" s="1" t="s">
        <v>15</v>
      </c>
      <c r="M967" s="1" t="s">
        <v>14</v>
      </c>
    </row>
    <row r="968" spans="1:13" x14ac:dyDescent="0.3">
      <c r="A968" s="1"/>
      <c r="B968" s="1" t="s">
        <v>2622</v>
      </c>
      <c r="C968" s="1" t="s">
        <v>2096</v>
      </c>
      <c r="D968" s="1" t="s">
        <v>2097</v>
      </c>
      <c r="E968" s="1"/>
      <c r="F968" s="1"/>
      <c r="G968" s="1" t="s">
        <v>98</v>
      </c>
      <c r="H968" s="1" t="s">
        <v>2623</v>
      </c>
      <c r="I968" s="1"/>
      <c r="J968" s="1"/>
      <c r="K968" s="1" t="s">
        <v>2528</v>
      </c>
      <c r="L968" s="1" t="s">
        <v>15</v>
      </c>
      <c r="M968" s="1" t="s">
        <v>14</v>
      </c>
    </row>
    <row r="969" spans="1:13" x14ac:dyDescent="0.3">
      <c r="A969" s="1"/>
      <c r="B969" s="1" t="s">
        <v>2624</v>
      </c>
      <c r="C969" s="1" t="s">
        <v>2096</v>
      </c>
      <c r="D969" s="1" t="s">
        <v>2097</v>
      </c>
      <c r="E969" s="1"/>
      <c r="F969" s="1"/>
      <c r="G969" s="1" t="s">
        <v>98</v>
      </c>
      <c r="H969" s="1" t="s">
        <v>2625</v>
      </c>
      <c r="I969" s="1"/>
      <c r="J969" s="1"/>
      <c r="K969" s="1" t="s">
        <v>2528</v>
      </c>
      <c r="L969" s="1" t="s">
        <v>15</v>
      </c>
      <c r="M969" s="1" t="s">
        <v>14</v>
      </c>
    </row>
    <row r="970" spans="1:13" x14ac:dyDescent="0.3">
      <c r="A970" s="1"/>
      <c r="B970" s="1" t="s">
        <v>2626</v>
      </c>
      <c r="C970" s="1" t="s">
        <v>2096</v>
      </c>
      <c r="D970" s="1" t="s">
        <v>2097</v>
      </c>
      <c r="E970" s="1"/>
      <c r="F970" s="1"/>
      <c r="G970" s="1" t="s">
        <v>98</v>
      </c>
      <c r="H970" s="1" t="s">
        <v>2627</v>
      </c>
      <c r="I970" s="1"/>
      <c r="J970" s="1"/>
      <c r="K970" s="1" t="s">
        <v>2528</v>
      </c>
      <c r="L970" s="1" t="s">
        <v>15</v>
      </c>
      <c r="M970" s="1" t="s">
        <v>14</v>
      </c>
    </row>
    <row r="971" spans="1:13" x14ac:dyDescent="0.3">
      <c r="A971" s="1"/>
      <c r="B971" s="1" t="s">
        <v>2628</v>
      </c>
      <c r="C971" s="1" t="s">
        <v>2096</v>
      </c>
      <c r="D971" s="1" t="s">
        <v>2097</v>
      </c>
      <c r="E971" s="1"/>
      <c r="F971" s="1"/>
      <c r="G971" s="1" t="s">
        <v>98</v>
      </c>
      <c r="H971" s="1" t="s">
        <v>2629</v>
      </c>
      <c r="I971" s="1"/>
      <c r="J971" s="1"/>
      <c r="K971" s="1" t="s">
        <v>2528</v>
      </c>
      <c r="L971" s="1" t="s">
        <v>15</v>
      </c>
      <c r="M971" s="1" t="s">
        <v>14</v>
      </c>
    </row>
    <row r="972" spans="1:13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 t="s">
        <v>2528</v>
      </c>
      <c r="L972" s="1" t="s">
        <v>15</v>
      </c>
      <c r="M972" s="1" t="s">
        <v>14</v>
      </c>
    </row>
    <row r="973" spans="1:13" x14ac:dyDescent="0.3">
      <c r="A973" s="1"/>
      <c r="B973" s="1" t="s">
        <v>2630</v>
      </c>
      <c r="C973" s="1" t="s">
        <v>2096</v>
      </c>
      <c r="D973" s="1" t="s">
        <v>2097</v>
      </c>
      <c r="E973" s="1"/>
      <c r="F973" s="1"/>
      <c r="G973" s="1" t="s">
        <v>98</v>
      </c>
      <c r="H973" s="1" t="s">
        <v>2631</v>
      </c>
      <c r="I973" s="1"/>
      <c r="J973" s="1"/>
      <c r="K973" s="1" t="s">
        <v>2528</v>
      </c>
      <c r="L973" s="1" t="s">
        <v>15</v>
      </c>
      <c r="M973" s="1" t="s">
        <v>14</v>
      </c>
    </row>
    <row r="974" spans="1:13" x14ac:dyDescent="0.3">
      <c r="A974" s="1"/>
      <c r="B974" s="1" t="s">
        <v>2632</v>
      </c>
      <c r="C974" s="1" t="s">
        <v>2096</v>
      </c>
      <c r="D974" s="1" t="s">
        <v>2097</v>
      </c>
      <c r="E974" s="1"/>
      <c r="F974" s="1"/>
      <c r="G974" s="1" t="s">
        <v>98</v>
      </c>
      <c r="H974" s="1" t="s">
        <v>2633</v>
      </c>
      <c r="I974" s="1"/>
      <c r="J974" s="1"/>
      <c r="K974" s="1" t="s">
        <v>2528</v>
      </c>
      <c r="L974" s="1" t="s">
        <v>15</v>
      </c>
      <c r="M974" s="1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Machine_Clean</vt:lpstr>
      <vt:lpstr>Data_Readiness</vt:lpstr>
      <vt:lpstr>Cleaning_Rules</vt:lpstr>
      <vt:lpstr>query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PIYAPONG THONGSAN</dc:creator>
  <cp:lastModifiedBy>PIYAPONG THONGSAN</cp:lastModifiedBy>
  <dcterms:created xsi:type="dcterms:W3CDTF">2026-04-11T12:47:37Z</dcterms:created>
  <dcterms:modified xsi:type="dcterms:W3CDTF">2026-08-10T04:51:38Z</dcterms:modified>
</cp:coreProperties>
</file>